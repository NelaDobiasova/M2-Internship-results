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d\Documents\Internship GET\My work\Data\Data for box model from Jeroen\Martin 2022\"/>
    </mc:Choice>
  </mc:AlternateContent>
  <xr:revisionPtr revIDLastSave="0" documentId="13_ncr:1_{80F2A1C8-C5A9-4EB2-9EF3-20F130A614AF}" xr6:coauthVersionLast="47" xr6:coauthVersionMax="47" xr10:uidLastSave="{00000000-0000-0000-0000-000000000000}"/>
  <bookViews>
    <workbookView xWindow="5497" yWindow="0" windowWidth="16200" windowHeight="9315" activeTab="1" xr2:uid="{AC7F1974-6EF0-F94D-B16D-8EF2C715A45A}"/>
  </bookViews>
  <sheets>
    <sheet name="Dataset" sheetId="6" r:id="rId1"/>
    <sheet name="References" sheetId="2" r:id="rId2"/>
    <sheet name="Feuil1" sheetId="7" r:id="rId3"/>
    <sheet name="References_DBD" sheetId="4" r:id="rId4"/>
    <sheet name="Individual mass of particles" sheetId="3" r:id="rId5"/>
  </sheets>
  <definedNames>
    <definedName name="_xlnm._FilterDatabase" localSheetId="0" hidden="1">Dataset!$A$1:$AR$1650</definedName>
    <definedName name="_xlnm._FilterDatabase" localSheetId="1" hidden="1">References!$A$1:$A$998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6" l="1"/>
  <c r="G1126" i="6"/>
  <c r="AS1073" i="6"/>
  <c r="AS1074" i="6"/>
  <c r="AS1075" i="6"/>
  <c r="AS1076" i="6"/>
  <c r="AS1077" i="6"/>
  <c r="AS1078" i="6"/>
  <c r="AS1079" i="6"/>
  <c r="AS1080" i="6"/>
  <c r="AS1081" i="6"/>
  <c r="AS1082" i="6"/>
  <c r="AS1083" i="6"/>
  <c r="AS1084" i="6"/>
  <c r="AS1085" i="6"/>
  <c r="AS1086" i="6"/>
  <c r="AS1087" i="6"/>
  <c r="AS1072" i="6"/>
  <c r="AS654" i="6"/>
  <c r="AS655" i="6"/>
  <c r="AS656" i="6"/>
  <c r="AS657" i="6"/>
  <c r="AS658" i="6"/>
  <c r="AS659" i="6"/>
  <c r="AS660" i="6"/>
  <c r="AS661" i="6"/>
  <c r="AS662" i="6"/>
  <c r="AS663" i="6"/>
  <c r="AS664" i="6"/>
  <c r="AS665" i="6"/>
  <c r="AS666" i="6"/>
  <c r="AS667" i="6"/>
  <c r="AS668" i="6"/>
  <c r="AS669" i="6"/>
  <c r="AS670" i="6"/>
  <c r="AS671" i="6"/>
  <c r="AS672" i="6"/>
  <c r="AS673" i="6"/>
  <c r="AS674" i="6"/>
  <c r="AS675" i="6"/>
  <c r="AS676" i="6"/>
  <c r="AS677" i="6"/>
  <c r="AS678" i="6"/>
  <c r="AS679" i="6"/>
  <c r="AS680" i="6"/>
  <c r="AS653" i="6"/>
  <c r="AS430" i="6"/>
  <c r="AS431" i="6"/>
  <c r="AS432" i="6"/>
  <c r="AS433" i="6"/>
  <c r="AS434" i="6"/>
  <c r="AS435" i="6"/>
  <c r="AS436" i="6"/>
  <c r="AS437" i="6"/>
  <c r="AS438" i="6"/>
  <c r="AS439" i="6"/>
  <c r="AS440" i="6"/>
  <c r="AS441" i="6"/>
  <c r="AS442" i="6"/>
  <c r="G27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8" i="6"/>
  <c r="G89" i="6"/>
  <c r="G90" i="6"/>
  <c r="G91" i="6"/>
  <c r="G92" i="6"/>
  <c r="G93" i="6"/>
  <c r="G94" i="6"/>
  <c r="G95" i="6"/>
  <c r="G96" i="6"/>
  <c r="G97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587" i="6"/>
  <c r="G744" i="6"/>
  <c r="G759" i="6"/>
  <c r="G588" i="6"/>
  <c r="G745" i="6"/>
  <c r="G760" i="6"/>
  <c r="G649" i="6"/>
  <c r="G740" i="6"/>
  <c r="G755" i="6"/>
  <c r="G621" i="6"/>
  <c r="G617" i="6"/>
  <c r="G650" i="6"/>
  <c r="G741" i="6"/>
  <c r="G756" i="6"/>
  <c r="G622" i="6"/>
  <c r="G618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284" i="6"/>
  <c r="G1281" i="6"/>
  <c r="G1279" i="6"/>
  <c r="G1278" i="6"/>
  <c r="G1280" i="6"/>
  <c r="G1282" i="6"/>
  <c r="G1283" i="6"/>
  <c r="G1285" i="6"/>
  <c r="G150" i="6"/>
  <c r="G151" i="6"/>
  <c r="G152" i="6"/>
  <c r="G153" i="6"/>
  <c r="G154" i="6"/>
  <c r="G155" i="6"/>
  <c r="G1287" i="6"/>
  <c r="G1286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1259" i="6"/>
  <c r="G807" i="6"/>
  <c r="G808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6" i="6"/>
  <c r="G277" i="6"/>
  <c r="G278" i="6"/>
  <c r="G279" i="6"/>
  <c r="G280" i="6"/>
  <c r="G281" i="6"/>
  <c r="G1105" i="6"/>
  <c r="G1114" i="6"/>
  <c r="G1103" i="6"/>
  <c r="G1104" i="6"/>
  <c r="G842" i="6"/>
  <c r="G1102" i="6"/>
  <c r="G840" i="6"/>
  <c r="G841" i="6"/>
  <c r="G838" i="6"/>
  <c r="G839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836" i="6"/>
  <c r="G837" i="6"/>
  <c r="G834" i="6"/>
  <c r="G835" i="6"/>
  <c r="G832" i="6"/>
  <c r="G833" i="6"/>
  <c r="G811" i="6"/>
  <c r="G826" i="6"/>
  <c r="G812" i="6"/>
  <c r="G831" i="6"/>
  <c r="G829" i="6"/>
  <c r="G830" i="6"/>
  <c r="G810" i="6"/>
  <c r="G809" i="6"/>
  <c r="G1260" i="6"/>
  <c r="G335" i="6"/>
  <c r="G336" i="6"/>
  <c r="G337" i="6"/>
  <c r="G338" i="6"/>
  <c r="G339" i="6"/>
  <c r="G340" i="6"/>
  <c r="G341" i="6"/>
  <c r="G342" i="6"/>
  <c r="G343" i="6"/>
  <c r="G344" i="6"/>
  <c r="G345" i="6"/>
  <c r="G1535" i="6"/>
  <c r="G1536" i="6"/>
  <c r="G1537" i="6"/>
  <c r="G1538" i="6"/>
  <c r="G1539" i="6"/>
  <c r="G1540" i="6"/>
  <c r="G1541" i="6"/>
  <c r="G1542" i="6"/>
  <c r="G1543" i="6"/>
  <c r="G1632" i="6"/>
  <c r="G1633" i="6"/>
  <c r="G1634" i="6"/>
  <c r="G1635" i="6"/>
  <c r="G1121" i="6"/>
  <c r="G1118" i="6"/>
  <c r="G1117" i="6"/>
  <c r="G1120" i="6"/>
  <c r="G1119" i="6"/>
  <c r="G1116" i="6"/>
  <c r="G1123" i="6"/>
  <c r="G1122" i="6"/>
  <c r="G1115" i="6"/>
  <c r="G1636" i="6"/>
  <c r="G1637" i="6"/>
  <c r="G1475" i="6"/>
  <c r="G1476" i="6"/>
  <c r="G1477" i="6"/>
  <c r="G1478" i="6"/>
  <c r="G1479" i="6"/>
  <c r="G1480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827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329" i="6"/>
  <c r="G330" i="6"/>
  <c r="G331" i="6"/>
  <c r="G332" i="6"/>
  <c r="G333" i="6"/>
  <c r="G334" i="6"/>
  <c r="G346" i="6"/>
  <c r="G347" i="6"/>
  <c r="G348" i="6"/>
  <c r="G1257" i="6"/>
  <c r="G1255" i="6"/>
  <c r="G546" i="6"/>
  <c r="G547" i="6"/>
  <c r="G548" i="6"/>
  <c r="G549" i="6"/>
  <c r="G550" i="6"/>
  <c r="G349" i="6"/>
  <c r="G350" i="6"/>
  <c r="G351" i="6"/>
  <c r="G352" i="6"/>
  <c r="G555" i="6"/>
  <c r="G556" i="6"/>
  <c r="G353" i="6"/>
  <c r="G354" i="6"/>
  <c r="G355" i="6"/>
  <c r="G231" i="6"/>
  <c r="G232" i="6"/>
  <c r="G282" i="6"/>
  <c r="G283" i="6"/>
  <c r="G284" i="6"/>
  <c r="G285" i="6"/>
  <c r="G286" i="6"/>
  <c r="G287" i="6"/>
  <c r="G288" i="6"/>
  <c r="G289" i="6"/>
  <c r="G290" i="6"/>
  <c r="G291" i="6"/>
  <c r="G572" i="6"/>
  <c r="G573" i="6"/>
  <c r="G574" i="6"/>
  <c r="G575" i="6"/>
  <c r="G576" i="6"/>
  <c r="G328" i="6"/>
  <c r="G148" i="6"/>
  <c r="G147" i="6"/>
  <c r="G146" i="6"/>
  <c r="G145" i="6"/>
  <c r="G144" i="6"/>
  <c r="G143" i="6"/>
  <c r="G142" i="6"/>
  <c r="G117" i="6"/>
  <c r="G116" i="6"/>
  <c r="G115" i="6"/>
  <c r="G114" i="6"/>
  <c r="G105" i="6"/>
  <c r="G590" i="6"/>
  <c r="G591" i="6"/>
  <c r="G592" i="6"/>
  <c r="G593" i="6"/>
  <c r="G594" i="6"/>
  <c r="G595" i="6"/>
  <c r="G596" i="6"/>
  <c r="G597" i="6"/>
  <c r="G320" i="6"/>
  <c r="G321" i="6"/>
  <c r="G322" i="6"/>
  <c r="G106" i="6"/>
  <c r="G107" i="6"/>
  <c r="G108" i="6"/>
  <c r="G109" i="6"/>
  <c r="G605" i="6"/>
  <c r="G606" i="6"/>
  <c r="G607" i="6"/>
  <c r="G608" i="6"/>
  <c r="G609" i="6"/>
  <c r="G610" i="6"/>
  <c r="G110" i="6"/>
  <c r="G111" i="6"/>
  <c r="G356" i="6"/>
  <c r="G357" i="6"/>
  <c r="G323" i="6"/>
  <c r="G324" i="6"/>
  <c r="G112" i="6"/>
  <c r="G113" i="6"/>
  <c r="G619" i="6"/>
  <c r="G620" i="6"/>
  <c r="G1272" i="6"/>
  <c r="G103" i="6"/>
  <c r="G102" i="6"/>
  <c r="G101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1288" i="6"/>
  <c r="G1276" i="6"/>
  <c r="G1275" i="6"/>
  <c r="G1274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1142" i="6"/>
  <c r="G1277" i="6"/>
  <c r="G717" i="6"/>
  <c r="G718" i="6"/>
  <c r="G719" i="6"/>
  <c r="G720" i="6"/>
  <c r="G1273" i="6"/>
  <c r="G722" i="6"/>
  <c r="G1270" i="6"/>
  <c r="G1269" i="6"/>
  <c r="G1268" i="6"/>
  <c r="G1267" i="6"/>
  <c r="G1266" i="6"/>
  <c r="G1265" i="6"/>
  <c r="G1264" i="6"/>
  <c r="G1262" i="6"/>
  <c r="G1263" i="6"/>
  <c r="G1261" i="6"/>
  <c r="G1648" i="6"/>
  <c r="G1398" i="6"/>
  <c r="G1397" i="6"/>
  <c r="G1396" i="6"/>
  <c r="G1395" i="6"/>
  <c r="G1394" i="6"/>
  <c r="G1393" i="6"/>
  <c r="G1650" i="6"/>
  <c r="G1639" i="6"/>
  <c r="G1392" i="6"/>
  <c r="G1391" i="6"/>
  <c r="G1374" i="6"/>
  <c r="G1369" i="6"/>
  <c r="G1366" i="6"/>
  <c r="G1271" i="6"/>
  <c r="G1258" i="6"/>
  <c r="G749" i="6"/>
  <c r="G750" i="6"/>
  <c r="G751" i="6"/>
  <c r="G752" i="6"/>
  <c r="G543" i="6"/>
  <c r="G100" i="6"/>
  <c r="G87" i="6"/>
  <c r="G82" i="6"/>
  <c r="G81" i="6"/>
  <c r="G80" i="6"/>
  <c r="G372" i="6"/>
  <c r="G361" i="6"/>
  <c r="G360" i="6"/>
  <c r="G358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13" i="6"/>
  <c r="G804" i="6"/>
  <c r="G805" i="6"/>
  <c r="G806" i="6"/>
  <c r="G156" i="6"/>
  <c r="G157" i="6"/>
  <c r="G230" i="6"/>
  <c r="G325" i="6"/>
  <c r="G326" i="6"/>
  <c r="G327" i="6"/>
  <c r="G80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612" i="6"/>
  <c r="G611" i="6"/>
  <c r="G828" i="6"/>
  <c r="G1647" i="6"/>
  <c r="G1642" i="6"/>
  <c r="G1645" i="6"/>
  <c r="G1413" i="6"/>
  <c r="G1643" i="6"/>
  <c r="G83" i="6"/>
  <c r="G85" i="6"/>
  <c r="G84" i="6"/>
  <c r="G86" i="6"/>
  <c r="G1384" i="6"/>
  <c r="G1385" i="6"/>
  <c r="G1386" i="6"/>
  <c r="G1375" i="6"/>
  <c r="G1376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14" i="6"/>
  <c r="G1015" i="6"/>
  <c r="G1021" i="6"/>
  <c r="G1019" i="6"/>
  <c r="G1003" i="6"/>
  <c r="G1022" i="6"/>
  <c r="G1023" i="6"/>
  <c r="G1016" i="6"/>
  <c r="G1017" i="6"/>
  <c r="G1024" i="6"/>
  <c r="G1025" i="6"/>
  <c r="G1026" i="6"/>
  <c r="G1027" i="6"/>
  <c r="G1011" i="6"/>
  <c r="G1004" i="6"/>
  <c r="G1005" i="6"/>
  <c r="G1006" i="6"/>
  <c r="G1007" i="6"/>
  <c r="G1008" i="6"/>
  <c r="G1009" i="6"/>
  <c r="G1010" i="6"/>
  <c r="G1012" i="6"/>
  <c r="G1018" i="6"/>
  <c r="G1013" i="6"/>
  <c r="G1020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377" i="6"/>
  <c r="G1378" i="6"/>
  <c r="G1379" i="6"/>
  <c r="G1380" i="6"/>
  <c r="G1106" i="6"/>
  <c r="G1107" i="6"/>
  <c r="G1108" i="6"/>
  <c r="G1109" i="6"/>
  <c r="G1110" i="6"/>
  <c r="G1111" i="6"/>
  <c r="G1112" i="6"/>
  <c r="G1113" i="6"/>
  <c r="G1381" i="6"/>
  <c r="G1382" i="6"/>
  <c r="G1383" i="6"/>
  <c r="G362" i="6"/>
  <c r="G363" i="6"/>
  <c r="G364" i="6"/>
  <c r="G365" i="6"/>
  <c r="G368" i="6"/>
  <c r="G369" i="6"/>
  <c r="G370" i="6"/>
  <c r="G371" i="6"/>
  <c r="G579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754" i="6"/>
  <c r="G743" i="6"/>
  <c r="G739" i="6"/>
  <c r="G1145" i="6"/>
  <c r="G1146" i="6"/>
  <c r="G1147" i="6"/>
  <c r="G1148" i="6"/>
  <c r="G1149" i="6"/>
  <c r="G1150" i="6"/>
  <c r="G580" i="6"/>
  <c r="G581" i="6"/>
  <c r="G582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583" i="6"/>
  <c r="G584" i="6"/>
  <c r="G585" i="6"/>
  <c r="G586" i="6"/>
  <c r="G565" i="6"/>
  <c r="G566" i="6"/>
  <c r="G567" i="6"/>
  <c r="G568" i="6"/>
  <c r="G569" i="6"/>
  <c r="G570" i="6"/>
  <c r="G571" i="6"/>
  <c r="G577" i="6"/>
  <c r="G554" i="6"/>
  <c r="G557" i="6"/>
  <c r="G558" i="6"/>
  <c r="G559" i="6"/>
  <c r="G560" i="6"/>
  <c r="G561" i="6"/>
  <c r="G562" i="6"/>
  <c r="G563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98" i="6"/>
  <c r="G1239" i="6"/>
  <c r="G1240" i="6"/>
  <c r="G1241" i="6"/>
  <c r="G1242" i="6"/>
  <c r="G1243" i="6"/>
  <c r="G1244" i="6"/>
  <c r="G1245" i="6"/>
  <c r="G1246" i="6"/>
  <c r="G1247" i="6"/>
  <c r="G1248" i="6"/>
  <c r="G1249" i="6"/>
  <c r="G1373" i="6"/>
  <c r="G1367" i="6"/>
  <c r="G1370" i="6"/>
  <c r="G1368" i="6"/>
  <c r="G1399" i="6"/>
  <c r="G535" i="6"/>
  <c r="G538" i="6"/>
  <c r="G504" i="6"/>
  <c r="G553" i="6"/>
  <c r="G598" i="6"/>
  <c r="G748" i="6"/>
  <c r="G544" i="6"/>
  <c r="G600" i="6"/>
  <c r="G589" i="6"/>
  <c r="G539" i="6"/>
  <c r="G651" i="6"/>
  <c r="G615" i="6"/>
  <c r="G541" i="6"/>
  <c r="G542" i="6"/>
  <c r="G564" i="6"/>
  <c r="G728" i="6"/>
  <c r="G578" i="6"/>
  <c r="G1192" i="6"/>
  <c r="G1193" i="6"/>
  <c r="G1194" i="6"/>
  <c r="G1195" i="6"/>
  <c r="G1196" i="6"/>
  <c r="G1238" i="6"/>
  <c r="G1250" i="6"/>
  <c r="G1251" i="6"/>
  <c r="G1252" i="6"/>
  <c r="G1184" i="6"/>
  <c r="G1185" i="6"/>
  <c r="G1186" i="6"/>
  <c r="G1187" i="6"/>
  <c r="G1188" i="6"/>
  <c r="G1189" i="6"/>
  <c r="G1143" i="6"/>
  <c r="G1144" i="6"/>
  <c r="G1151" i="6"/>
  <c r="G1152" i="6"/>
  <c r="G1153" i="6"/>
  <c r="G373" i="6"/>
  <c r="G1177" i="6"/>
  <c r="G1178" i="6"/>
  <c r="G1179" i="6"/>
  <c r="G1180" i="6"/>
  <c r="G1181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419" i="6"/>
  <c r="G1415" i="6"/>
  <c r="G1414" i="6"/>
  <c r="G1412" i="6"/>
  <c r="G599" i="6"/>
  <c r="G652" i="6"/>
  <c r="G1362" i="6"/>
  <c r="G1363" i="6"/>
  <c r="G1364" i="6"/>
  <c r="G1256" i="6"/>
  <c r="G1254" i="6"/>
  <c r="G1253" i="6"/>
  <c r="G1191" i="6"/>
  <c r="G1190" i="6"/>
  <c r="G1183" i="6"/>
  <c r="G1182" i="6"/>
  <c r="G1125" i="6"/>
  <c r="G1124" i="6"/>
  <c r="G729" i="6"/>
  <c r="G762" i="6"/>
  <c r="G374" i="6"/>
  <c r="G733" i="6"/>
  <c r="G730" i="6"/>
  <c r="G758" i="6"/>
  <c r="G742" i="6"/>
  <c r="G721" i="6"/>
  <c r="G757" i="6"/>
  <c r="G616" i="6"/>
  <c r="G104" i="6"/>
  <c r="G725" i="6"/>
  <c r="G715" i="6"/>
  <c r="G623" i="6"/>
  <c r="G366" i="6"/>
  <c r="G359" i="6"/>
  <c r="G746" i="6"/>
  <c r="G747" i="6"/>
  <c r="G367" i="6"/>
  <c r="G545" i="6"/>
  <c r="G761" i="6"/>
  <c r="G753" i="6"/>
  <c r="G716" i="6"/>
  <c r="G540" i="6"/>
  <c r="G149" i="6"/>
  <c r="G99" i="6"/>
  <c r="G375" i="6"/>
  <c r="G1371" i="6"/>
  <c r="G1372" i="6"/>
  <c r="G1390" i="6"/>
  <c r="G1389" i="6"/>
  <c r="G1387" i="6"/>
  <c r="G1388" i="6"/>
  <c r="G1449" i="6"/>
  <c r="G1450" i="6"/>
  <c r="G1451" i="6"/>
  <c r="G1452" i="6"/>
  <c r="G1453" i="6"/>
  <c r="G1454" i="6"/>
  <c r="G1455" i="6"/>
  <c r="G1456" i="6"/>
  <c r="G1499" i="6"/>
  <c r="G1640" i="6"/>
  <c r="G1644" i="6"/>
  <c r="G1641" i="6"/>
  <c r="G1638" i="6"/>
  <c r="G1420" i="6"/>
  <c r="G1421" i="6"/>
  <c r="G1422" i="6"/>
  <c r="G1423" i="6"/>
  <c r="G1424" i="6"/>
  <c r="G1425" i="6"/>
  <c r="G1500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501" i="6"/>
  <c r="G1457" i="6"/>
  <c r="G1458" i="6"/>
  <c r="G1459" i="6"/>
  <c r="G1481" i="6"/>
  <c r="G1482" i="6"/>
  <c r="G1495" i="6"/>
  <c r="G1416" i="6"/>
  <c r="G1417" i="6"/>
  <c r="G1426" i="6"/>
  <c r="G1447" i="6"/>
  <c r="G1448" i="6"/>
  <c r="G1418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624" i="6"/>
  <c r="G614" i="6"/>
  <c r="G613" i="6"/>
  <c r="G604" i="6"/>
  <c r="G603" i="6"/>
  <c r="G602" i="6"/>
  <c r="G601" i="6"/>
  <c r="G55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551" i="6"/>
  <c r="G1496" i="6"/>
  <c r="G1497" i="6"/>
  <c r="G1498" i="6"/>
  <c r="G1534" i="6"/>
  <c r="G1649" i="6"/>
  <c r="G1646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734" i="6"/>
  <c r="G735" i="6"/>
  <c r="G731" i="6"/>
  <c r="G732" i="6"/>
  <c r="G726" i="6"/>
  <c r="G727" i="6"/>
  <c r="G723" i="6"/>
  <c r="G724" i="6"/>
  <c r="G537" i="6"/>
  <c r="G536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289" i="6"/>
  <c r="G1290" i="6"/>
  <c r="G1291" i="6"/>
  <c r="G1292" i="6"/>
  <c r="G1293" i="6"/>
  <c r="G1294" i="6"/>
  <c r="G1295" i="6"/>
  <c r="G1296" i="6"/>
  <c r="G1297" i="6"/>
  <c r="G1356" i="6"/>
  <c r="G1357" i="6"/>
  <c r="G1358" i="6"/>
  <c r="G1359" i="6"/>
  <c r="G1360" i="6"/>
  <c r="G1361" i="6"/>
  <c r="G1365" i="6"/>
  <c r="G736" i="6"/>
  <c r="G737" i="6"/>
  <c r="G738" i="6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B168" i="3"/>
  <c r="B167" i="3"/>
  <c r="C136" i="3"/>
  <c r="C135" i="3"/>
  <c r="C121" i="3"/>
  <c r="C100" i="3"/>
  <c r="C99" i="3"/>
  <c r="B57" i="3"/>
  <c r="B56" i="3"/>
  <c r="B55" i="3"/>
  <c r="B54" i="3"/>
  <c r="B53" i="3"/>
  <c r="B52" i="3"/>
  <c r="B51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18" i="3"/>
  <c r="C17" i="3"/>
  <c r="C16" i="3"/>
  <c r="C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Cecilia Martin</author>
  </authors>
  <commentList>
    <comment ref="K1121" authorId="0" shapeId="0" xr:uid="{95FA8861-52A1-42D0-B68F-9CE453B06891}">
      <text>
        <r>
          <rPr>
            <b/>
            <sz val="10"/>
            <color rgb="FF000000"/>
            <rFont val="Tahoma"/>
            <family val="2"/>
          </rPr>
          <t>Cecilia Martin: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 yellow, estimated sampling dates</t>
        </r>
      </text>
    </comment>
  </commentList>
</comments>
</file>

<file path=xl/sharedStrings.xml><?xml version="1.0" encoding="utf-8"?>
<sst xmlns="http://schemas.openxmlformats.org/spreadsheetml/2006/main" count="22862" uniqueCount="3535">
  <si>
    <t xml:space="preserve">Reference </t>
  </si>
  <si>
    <t>Continent</t>
  </si>
  <si>
    <t>Habitat_Type</t>
  </si>
  <si>
    <t>Sampling_date</t>
  </si>
  <si>
    <t>Sampling_method</t>
  </si>
  <si>
    <t>Density_separation_method</t>
  </si>
  <si>
    <t>Screening</t>
  </si>
  <si>
    <t>FTIR_Raman</t>
  </si>
  <si>
    <t>Estimated_proportion</t>
  </si>
  <si>
    <t>Asia</t>
  </si>
  <si>
    <t>Beach</t>
  </si>
  <si>
    <t>Manual collection</t>
  </si>
  <si>
    <t>NaCl</t>
  </si>
  <si>
    <t>Visual with microscope</t>
  </si>
  <si>
    <t>YES</t>
  </si>
  <si>
    <t>NaI</t>
  </si>
  <si>
    <t>NO</t>
  </si>
  <si>
    <t>None</t>
  </si>
  <si>
    <t>LMT</t>
  </si>
  <si>
    <t>China</t>
  </si>
  <si>
    <t>Europe</t>
  </si>
  <si>
    <t>YES (only particles)</t>
  </si>
  <si>
    <t>CaCl2</t>
  </si>
  <si>
    <t>ZnCl2</t>
  </si>
  <si>
    <t>Visual with magnifier and microscope</t>
  </si>
  <si>
    <t>Africa</t>
  </si>
  <si>
    <t>KI</t>
  </si>
  <si>
    <t>Visual with magnifier or microscope</t>
  </si>
  <si>
    <t>Not Applicable</t>
  </si>
  <si>
    <t>Oceania</t>
  </si>
  <si>
    <t>Corers</t>
  </si>
  <si>
    <t>Visual without microscope</t>
  </si>
  <si>
    <t>America</t>
  </si>
  <si>
    <t>Not specified</t>
  </si>
  <si>
    <t>North America</t>
  </si>
  <si>
    <t>Na2WO4·2H2O</t>
  </si>
  <si>
    <t>-</t>
  </si>
  <si>
    <t>Saudi Arabia</t>
  </si>
  <si>
    <t>mechanical separation</t>
  </si>
  <si>
    <t>United Kingdom</t>
  </si>
  <si>
    <t>Dredges and grabs</t>
  </si>
  <si>
    <t>Antarctica</t>
  </si>
  <si>
    <t>Australia</t>
  </si>
  <si>
    <t>EEZ</t>
  </si>
  <si>
    <t>High seas</t>
  </si>
  <si>
    <t>Estuary</t>
  </si>
  <si>
    <t>South America</t>
  </si>
  <si>
    <t>Harbour</t>
  </si>
  <si>
    <t>Lagoon</t>
  </si>
  <si>
    <t>Mangrove</t>
  </si>
  <si>
    <t>HCO2K</t>
  </si>
  <si>
    <t>Mudflat</t>
  </si>
  <si>
    <t>Na6H2W12O40</t>
  </si>
  <si>
    <t>Ludox TM-40</t>
  </si>
  <si>
    <t>Reef</t>
  </si>
  <si>
    <t>Caribbean</t>
  </si>
  <si>
    <t>KHCO2</t>
  </si>
  <si>
    <t>Seagrass</t>
  </si>
  <si>
    <t>Distilled water</t>
  </si>
  <si>
    <t>Trench</t>
  </si>
  <si>
    <t>Lander system</t>
  </si>
  <si>
    <t>Number</t>
  </si>
  <si>
    <t>Author</t>
  </si>
  <si>
    <t>Year</t>
  </si>
  <si>
    <t>Title</t>
  </si>
  <si>
    <t>Journal</t>
  </si>
  <si>
    <t>DOI</t>
  </si>
  <si>
    <t>Link</t>
  </si>
  <si>
    <t>Jun Wang, Mingxiao Wang, Shaoguo Ru, Xiaoshou Liu</t>
  </si>
  <si>
    <t>High levels of microplastic pollution in the sediments and benthic organisms of the South Yellow Sea, China</t>
  </si>
  <si>
    <t>SCIENCE OF THE TOTAL ENVIRONMENT</t>
  </si>
  <si>
    <t>10.1016/j.scitotenv.2018.10.007</t>
  </si>
  <si>
    <t>https://www.sciencedirect.com/science/article/pii/S0048969718338786</t>
  </si>
  <si>
    <t>Jingli Mu, Ling Qu Fei Jin, Shoufeng Zhang, Chao Fang, Xindong Ma, Weiwei Zhang, Cheng Huo, Yi Cong, Juying Wang</t>
  </si>
  <si>
    <t>Abundance and distribution of microplastics in the surface sediments from the northern Bering and Chukchi Seas</t>
  </si>
  <si>
    <t>ENVIRONMENTAL POLLUTION</t>
  </si>
  <si>
    <t>10.1016/j.envpol.2018.10.097</t>
  </si>
  <si>
    <t>https://www.sciencedirect.com/science/article/pii/S0269749118330720</t>
  </si>
  <si>
    <t>Li, Ruilong; Zhang, Linlin; Xue, Baoming; Wang, Yinghui</t>
  </si>
  <si>
    <t>Abundance and characteristics of microplastics in the mangrove sediment of the semi-enclosed Maowei Sea of the south China sea: New implications for location, rhizosphere, and sediment compositions</t>
  </si>
  <si>
    <t>10.1016/j.envpol.2018.10.089</t>
  </si>
  <si>
    <t>https://www.sciencedirect.com/science/article/pii/S0269749118337497</t>
  </si>
  <si>
    <t>Cheang, Chi Chiu; Ma, Yue; Fok, Lincoln</t>
  </si>
  <si>
    <t>Occurrence and Composition of Microplastics in the Seabed Sediments of the Coral Communities in Proximity of a Metropolitan Area</t>
  </si>
  <si>
    <t>INTERNATIONAL JOURNAL OF ENVIRONMENTAL RESEARCH AND PUBLIC HEALTH</t>
  </si>
  <si>
    <t>10.3390/ijerph15102270.</t>
  </si>
  <si>
    <t>https://www.ncbi.nlm.nih.gov/pubmed/30332808</t>
  </si>
  <si>
    <t>Li, Jia; Zhang, Hua; Zhang, Kaina; Yang, Ruijuan; Li, Ruize; Li, Yanfang</t>
  </si>
  <si>
    <t>Characterization, source, and retention of microplastic in sandy beaches and mangrove wetlands of the Qinzhou Bay, China</t>
  </si>
  <si>
    <t>MARINE POLLUTION BULLETIN</t>
  </si>
  <si>
    <t>10.1016/j.marpolbul.2018.09.025</t>
  </si>
  <si>
    <t>https://www.sciencedirect.com/science/article/pii/S0025326X18306647</t>
  </si>
  <si>
    <t>Chen, Minglong; Jin, Meng; Tao, Peiran; Wang, Zheng; Xie, Weiping; Yu, Xubiao; Wang, Kan</t>
  </si>
  <si>
    <t>Assessment of microplastics derived from mariculture in Xiangshan Bay, China</t>
  </si>
  <si>
    <t>10.1016/j.envpol.2018.07.133</t>
  </si>
  <si>
    <t>https://www.sciencedirect.com/science/article/pii/S0269749118322474</t>
  </si>
  <si>
    <t>Reed, Sarah; Clark, Marlon; Thompson, Richard; Hughes, Kevin A.</t>
  </si>
  <si>
    <t>Microplastics in marine sediments near Rothera Research Station, Antarctica</t>
  </si>
  <si>
    <t>0.1016/j.marpolbul.2018.05.068</t>
  </si>
  <si>
    <t>https://www.sciencedirect.com/science/article/pii/S0025326X18303977</t>
  </si>
  <si>
    <t>La Daana K.Kanha,Carina Johansson, J.P.G.L. Frias, Katarina Gardfeldt, Richard C. Thompson, Ian O’Connor</t>
  </si>
  <si>
    <t>Deep sea sediments of the Arctic Central Basin: A potential sink for microplastics</t>
  </si>
  <si>
    <t>Deep Sea Research Part I: Oceanographic Research Papers</t>
  </si>
  <si>
    <t>10.1016/j.dsr.2019.03.003</t>
  </si>
  <si>
    <t>https://www.sciencedirect.com/science/article/pii/S0967063718301973</t>
  </si>
  <si>
    <t>Michele Mistri, Vanessa Infantini, Marco Scoponi, Tommaso Granata, Letizia Moruzzi, Francesca Massara, Miriam De Donati, Cristina Munari</t>
  </si>
  <si>
    <t>Small plastic debris in sediments from the Central Adriatic Sea: Types, occurrence and distribution</t>
  </si>
  <si>
    <t xml:space="preserve">MARINE POLLUTION BULLETIN </t>
  </si>
  <si>
    <t>10.1016/j.marpolbul.2017.07.063</t>
  </si>
  <si>
    <t>https://www.sciencedirect.com/science/article/pii/S0025326X17306586</t>
  </si>
  <si>
    <t>Melanie Bergmann, Vanessa Wirzberger, Thomas Krumpen, Claudia Lorenz, Sebastian Primpke, Mine B. Tekman,Gunnar Gerdts.</t>
  </si>
  <si>
    <t>High Quantities of Microplastic in Arctic Deep-Sea Sediments from the HAUSGARTEN Observatory</t>
  </si>
  <si>
    <t xml:space="preserve">ENVIRONMENTAL SCIENCE AND TECHNOLOGY </t>
  </si>
  <si>
    <t>10.1021/acs.est.7b03331</t>
  </si>
  <si>
    <t>https://pubs.acs.org/doi/full/10.1021/acs.est.7b03331</t>
  </si>
  <si>
    <t>Martin, Jake; Lusher, Amy; Thompson, Richard C.; Morley, Audrey</t>
  </si>
  <si>
    <t>The Deposition and Accumulation of Microplastics in Marine Sediments and Bottom Water from the Irish Continental Shelf</t>
  </si>
  <si>
    <t>SCIENTIFIC REPORTS</t>
  </si>
  <si>
    <t>10.1038/s41598-017-11079-2</t>
  </si>
  <si>
    <t>https://www.nature.com/articles/s41598-017-11079-2</t>
  </si>
  <si>
    <t>Abidli, Sami; Toumi, Hela; Lahbib, Youssef; El Menif, Najoua Trigui</t>
  </si>
  <si>
    <t>The First Evaluation of Microplastics in Sediments from the Complex Lagoon-Channel of Bizerte (Northern Tunisia)</t>
  </si>
  <si>
    <t>WATER AIR AND SOIL POLLUTION</t>
  </si>
  <si>
    <t>10.1007/s11270-017-3439-9</t>
  </si>
  <si>
    <t>https://link.springer.com/article/10.1007/s11270-017-3439-9</t>
  </si>
  <si>
    <t>Peng, Guyu; Zhu, Bangshang; Yang, Dongqi; Su, Lei; Shi, Huahong; Li, Daoji</t>
  </si>
  <si>
    <t>Microplastics in sediments of the Changjiang Estuary, China</t>
  </si>
  <si>
    <t>10.1016/j.envpol.2016.12.064.</t>
  </si>
  <si>
    <t>https://www.sciencedirect.com/science/article/pii/S0269749116308338</t>
  </si>
  <si>
    <t>Blaskovic, Andrea; Fastelli, Paolo; Cizmek, Hrvoje; Guerranti, Cristiana; Renzi, Monia</t>
  </si>
  <si>
    <t>Plastic litter in sediments from the Croatian marine protected area of the natural park of Telascica bay (Adriatic Sea)</t>
  </si>
  <si>
    <t>10.1016/j.marpolbul.2016.09.018</t>
  </si>
  <si>
    <t>https://www.sciencedirect.com/science/article/pii/S0025326X16307561</t>
  </si>
  <si>
    <t>Matsuguma Y., Takada H., Kumata H., Kanke H., Sakurai S., Suzuki T., Itoh M., Okazaki Y., Boonyatumanond R., Zakaria MP., Weerts S-, Newman B.</t>
  </si>
  <si>
    <t>Microplastics in Sediment Cores from Asia and Africa as Indicators of Temporal Trends in Plastic Pollution</t>
  </si>
  <si>
    <t>Archives of Environmental Contamination and Toxicology</t>
  </si>
  <si>
    <t>10.1007/s00244-017-0414-9</t>
  </si>
  <si>
    <t>https://link.springer.com/article/10.1007/s00244-017-0414-9</t>
  </si>
  <si>
    <t>Nur Hazimah Mohamed Nor, Jeffrey Philip Obbard</t>
  </si>
  <si>
    <t>Microplastics in Singapore’s coastal mangrove ecosystems</t>
  </si>
  <si>
    <t>10.1016/j.marpolbul.2013.11.025</t>
  </si>
  <si>
    <t>https://www.sciencedirect.com/science/article/pii/S0025326X13007261</t>
  </si>
  <si>
    <t>Sami Abidli,Joana C. Antunes, Joana L. Ferreira, Youssef Lahbib, Paula Sobral, Najoua Trigui El Menif</t>
  </si>
  <si>
    <t>Microplastics in sediments from the littoral zone of the north Tunisian coast (Mediterranean Sea)</t>
  </si>
  <si>
    <t xml:space="preserve">ESTUARINE COASTAL AND SHELF SCIENCE </t>
  </si>
  <si>
    <t>10.1016/j.ecss.2018.03.006</t>
  </si>
  <si>
    <t>https://www.sciencedirect.com/science/article/pii/S0272771417310806</t>
  </si>
  <si>
    <t>Michiel Claessens, Steven De Meester, Lieve Van Landuyt, Karen De Clerck, Colin R. Janssen,</t>
  </si>
  <si>
    <t>Occurrence and distribution of microplastics in marine sediments along the Belgian coast</t>
  </si>
  <si>
    <t>10.1016/j.marpolbul.2011.06.030</t>
  </si>
  <si>
    <t>https://www.ncbi.nlm.nih.gov/pubmed/21802098</t>
  </si>
  <si>
    <t>Lisbeth Van Cauwenberghe, Ann Vanreusel, Jan Mees, Colin R. Janssen</t>
  </si>
  <si>
    <t>Microplastic pollution in deep-sea sediments</t>
  </si>
  <si>
    <t>10.1016/j.envpol.2013.08.013</t>
  </si>
  <si>
    <t>https://www.sciencedirect.com/science/article/pii/S0269749113004387</t>
  </si>
  <si>
    <t>Francesco Saliu, Simone Montano, Maria Grazia Garavaglia, Marina Lasagni, Davide Seveso, Paolo Galli</t>
  </si>
  <si>
    <t>Microplastic and charred microplastic in the Faafu Atoll, Maldives</t>
  </si>
  <si>
    <t>10.1016/j.marpolbul.2018.09.023</t>
  </si>
  <si>
    <t>https://www.sciencedirect.com/science/article/pii/S0025326X18306623</t>
  </si>
  <si>
    <t>Willis, Kathryn A.; Eriksen, Ruth; Wilcox, Chris; Hardesty, Britta D.</t>
  </si>
  <si>
    <t>Microplastic Distribution at Different Sediment Depths in an Urban Estuary</t>
  </si>
  <si>
    <t>FRONTIERS IN MARINE SCIENCE</t>
  </si>
  <si>
    <t>https://doi.org/10.3389/fmars.2017.00419</t>
  </si>
  <si>
    <t>https://www.frontiersin.org/articles/10.3389/fmars.2017.00419/full</t>
  </si>
  <si>
    <t>Fastelli, Paolo; Blaskovic, Andrea; Bernardi, Giulia; Romeo, Teresa; Cizmek, Hrvoje; Andaloro, Franco; Russo, Giovanni F.; Guerranti, Cristiana; Renzi, Monia</t>
  </si>
  <si>
    <t>Plastic litter in sediments from a marine area likely to become protected (Aeolian Archipelago's islands, Tyrrhenian sea)</t>
  </si>
  <si>
    <t>10.1016/j.marpolbul.2016.08.054</t>
  </si>
  <si>
    <t>https://www.sciencedirect.com/science/article/pii/S0025326X16306828</t>
  </si>
  <si>
    <t>Renzi, Monia; Blaskovic, Andrea; Fastelli, Paolo; Marcelli, Massimiliano; Guerranti, Cristiana; Cannas, Susanna; Barone, Lorenzo; Massara, Francesca</t>
  </si>
  <si>
    <t>Is the microplastic selective according to the habitat? Records in amphioxus sands, Maerl bed habitats and Cymodocea nodosa habitats</t>
  </si>
  <si>
    <t>10.1016/j.marpolbul.2018.03.019</t>
  </si>
  <si>
    <t>https://www.sciencedirect.com/science/article/pii/S0025326X18301644?via%3Dihub</t>
  </si>
  <si>
    <t>Peng, X.; Chen, M.; Chen, S.; Dasgupta, S.; Xu, H.; Ta, K.; Du, M.; Li, J.; Guo, Z.; Bai, S.</t>
  </si>
  <si>
    <t>Microplastics contaminate the deepest part of the world's ocean</t>
  </si>
  <si>
    <t>GEOCHEMICAL PERSPECTIVES</t>
  </si>
  <si>
    <t>10.7185/geochemlet.1829</t>
  </si>
  <si>
    <t>https://www.geochemicalperspectivesletters.org/article1829</t>
  </si>
  <si>
    <t>Vianello, A.; Boldrin, A.; Guerriero, P.; Moschino, V.; Rella, R.; Sturaro, A.; Da Ros, L.</t>
  </si>
  <si>
    <t>Microplastic particles in sediments of Lagoon of Venice, Italy: First observations on occurrence, spatial patterns and identification</t>
  </si>
  <si>
    <t>Estuarine, Coastal and Shelf Science</t>
  </si>
  <si>
    <t>https://doi.org/10.1016/j.ecss.2013.03.022</t>
  </si>
  <si>
    <t>https://www.sciencedirect.com/science/article/pii/S0272771413001480</t>
  </si>
  <si>
    <t>Alomar, Carme; Estarellas, Fernando; Deudero, Salud</t>
  </si>
  <si>
    <t>Microplastics in the Mediterranean Sea: Deposition in coastal shallow sediments, spatial variation and preferential grain size</t>
  </si>
  <si>
    <t xml:space="preserve">Marine Environmental Research </t>
  </si>
  <si>
    <t>https://doi.org/10.1016/j.marenvres.2016.01.005</t>
  </si>
  <si>
    <t>https://www.sciencedirect.com/science/article/pii/S0141113616300058</t>
  </si>
  <si>
    <t>Frias, J. P. G. L.; Gago, J.; Otero, V.; Sobral, P.</t>
  </si>
  <si>
    <t>Microplastics in coastal sediments from Southern Portuguese shelf waters</t>
  </si>
  <si>
    <t>MARINE ENVIRONMENTAL RESEARCH</t>
  </si>
  <si>
    <t>https://doi.org/10.1016/j.marenvres.2015.12.006</t>
  </si>
  <si>
    <t>https://www.sciencedirect.com/science/article/pii/S0141113615300866#sec2</t>
  </si>
  <si>
    <t>Karthik, R.; Robin, R. S.; Purvaja, R.; Ganguly, D.; Anandavelu, I.; Raghuraman, R.; Hariharan, G.; Ramakrishna, A.; Ramesh, R.</t>
  </si>
  <si>
    <t>Microplastics along the beaches of southeast coast of India</t>
  </si>
  <si>
    <t>https://doi.org/10.1016/j.scitotenv.2018.07.242</t>
  </si>
  <si>
    <t>https://www.sciencedirect.com/science/article/pii/S0048969718326986#ec0005</t>
  </si>
  <si>
    <t>Van Cauwenberghe, Lisbeth; Claessens, Michiel; Vandegehuchte, Michiel B.; Mees, Jan; Janssen, Colin R.</t>
  </si>
  <si>
    <t>Assessment of marine debris on the Belgian Continental Shelf</t>
  </si>
  <si>
    <t>https://doi.org/10.1016/j.marpolbul.2013.05.026</t>
  </si>
  <si>
    <t>https://www.sciencedirect.com/science/article/pii/S0025326X13002737</t>
  </si>
  <si>
    <t>Zhao, Jianmin; Ran, Wen; Teng, Jia; Liu, Yongliang; Liu, Hui; Yin, Xiaonan; Cao, Ruiwen; Wang, Qing</t>
  </si>
  <si>
    <t>Microplastic pollution in sediments from the Bohai Sea and the Yellow Sea, China</t>
  </si>
  <si>
    <t>https://doi.org/10.1016/j.scitotenv.2018.05.346</t>
  </si>
  <si>
    <t>https://www.sciencedirect.com/science/article/pii/S0048969718319995#f0005</t>
  </si>
  <si>
    <t>Bosker, Thijs; Guaita, Lucia; Behrens, Paul</t>
  </si>
  <si>
    <t>Microplastic pollution on Caribbean beaches in the Lesser Antilles</t>
  </si>
  <si>
    <t>https://doi.org/10.1016/j.marpolbul.2018.05.060</t>
  </si>
  <si>
    <t>https://www.sciencedirect.com/science/article/pii/S0025326X18303898#t0005</t>
  </si>
  <si>
    <t>Eo, Soeun; Hong, Sang Hee; Song, Young Kyoung; Lee, Jongsu; Lee, Jongmyoung; Shim, Won Joon</t>
  </si>
  <si>
    <t>Abundance, composition, and distribution of microplastics larger than 20 mu m in sand beaches of South Korea</t>
  </si>
  <si>
    <t>https://doi.org/10.1016/j.envpol.2018.03.096</t>
  </si>
  <si>
    <t>https://www.sciencedirect.com/science/article/pii/S0269749117346092#appsec1</t>
  </si>
  <si>
    <t>Chubarenko, I. P.; Esiukova, E. E.; Bagaev, A. V.; Bagaeva, M. A.; Grave, A. N.</t>
  </si>
  <si>
    <t>Three-dimensional distribution of anthropogenic microparticles in the body of sandy beaches</t>
  </si>
  <si>
    <t>https://doi.org/10.1016/j.scitotenv.2018.02.167</t>
  </si>
  <si>
    <t>https://www.sciencedirect.com/science/article/pii/S0048969718305606#f0005</t>
  </si>
  <si>
    <t>Abayomi, Oyebamiji Abib; Range, Pedro; Al-Ghouti, Mohammad A.; Obbard, Jeffrey Philip; Almeer, Saeed Hashim; Ben-Hamadou, Radhouane</t>
  </si>
  <si>
    <t>Microplastics in coastal environments of the Arabian Gulf</t>
  </si>
  <si>
    <t>https://doi.org/10.1016/j.marpolbul.2017.07.011</t>
  </si>
  <si>
    <t>https://www.sciencedirect.com/science/article/pii/S0025326X17305921#s0070</t>
  </si>
  <si>
    <t>Lots, Froukje A. E.; Behrens, Paul; Vijver, Martina G.; Horton, Alice A.; Bosker, Thijs</t>
  </si>
  <si>
    <t>A large-scale investigation of microplastic contamination: Abundance and characteristics of microplastics in European beach sediment</t>
  </si>
  <si>
    <t>https://doi.org/10.1016/j.marpolbul.2017.08.057</t>
  </si>
  <si>
    <t>https://www.sciencedirect.com/science/article/pii/S0025326X17307312</t>
  </si>
  <si>
    <t>Munari, Cristina; Scoponi, Marco; Mistri, Michele</t>
  </si>
  <si>
    <t>Plastic debris in the Mediterranean Sea: Types, occurrence and distribution along Adriatic shorelines</t>
  </si>
  <si>
    <t>WASTE MANAGEMENT</t>
  </si>
  <si>
    <t>https://doi.org/10.1016/j.wasman.2017.05.020</t>
  </si>
  <si>
    <t>https://www.sciencedirect.com/science/article/pii/S0956053X17303410#s0050</t>
  </si>
  <si>
    <t>Naji, Abolfazl; Esmaili, Zinat; Mason, Sherri A.; Vethaak, A. Dick</t>
  </si>
  <si>
    <t>The occurrence of microplastic contamination in littoral sediments of the Persian Gulf, Iran</t>
  </si>
  <si>
    <t>ENVIRONMENTAL SCIENCE AND POLLUTION RESEARCH</t>
  </si>
  <si>
    <t>10.1007/s11356-017-9587-z</t>
  </si>
  <si>
    <t>https://link.springer.com/article/10.1007/s11356-017-9587-z</t>
  </si>
  <si>
    <t>Imhof, Hannes K.; Sigl, Robert; Brauer, Emilia; Feyl, Sabine; Giesemann, Philipp; Klink, Saskia; Leupolz, Kathrin; Loeder, Martin G. J.; Loeschel, Lena A.; Missun, Jan; Muszynski, Sarah; Ramsperger, Anja F. R. M.; Schrank, Isabella; Speck, Susan; Steibl, Sebastian; Trotter, Benjamin; Winter, Isabel; Laforsch, Christian</t>
  </si>
  <si>
    <t>Spatial and temporal variation of macro-, meso- and microplastic abundance on a remote coral island of the Maldives, Indian Ocean</t>
  </si>
  <si>
    <t>https://doi.org/10.1016/j.marpolbul.2017.01.010</t>
  </si>
  <si>
    <t>https://www.sciencedirect.com/science/article/pii/S0025326X17300103#f0005</t>
  </si>
  <si>
    <t>Graca, Bozena; Szewc, Karolina; Zakrzewska, Danuta; Dolega, Anna; Szczerbowska-Boruchowska, Magdalena</t>
  </si>
  <si>
    <t>Sources and fate of microplastics in marine and beach sediments of the Southern Baltic Sea-a preliminary study</t>
  </si>
  <si>
    <t>10.1007/s11356-017-8419-5.</t>
  </si>
  <si>
    <t>https://link.springer.com/article/10.1007/s11356-017-8419-5</t>
  </si>
  <si>
    <t>Nel, Holly Astrid; Hean, Jeffrey William; Noundou, Xavier Siwe; Froneman, Pierre William</t>
  </si>
  <si>
    <t>Do microplastic loads reflect the population demographics along the southern African coastline?</t>
  </si>
  <si>
    <t>https://doi.org/10.1016/j.marpolbul.2016.11.056</t>
  </si>
  <si>
    <t>https://www.sciencedirect.com/science/article/pii/S0025326X16309766#f0005</t>
  </si>
  <si>
    <t>Naji, Abolfazi; Esmaili, Zinat; Khan, Farhan R.</t>
  </si>
  <si>
    <t>Plastic debris and microplastics along the beaches of the Strait of Hormuz, Persian Gulf</t>
  </si>
  <si>
    <t>https://doi.org/10.1016/j.marpolbul.2016.11.032</t>
  </si>
  <si>
    <t>https://www.sciencedirect.com/science/article/pii/S0025326X16309523</t>
  </si>
  <si>
    <t>Esiukova, Elena</t>
  </si>
  <si>
    <t>Plastic pollution on the Baltic beaches of Kaliningrad region, Russia</t>
  </si>
  <si>
    <t>https://doi.org/10.1016/j.marpolbul.2016.10.001</t>
  </si>
  <si>
    <t>https://www.sciencedirect.com/science/article/pii/S0025326X16308177</t>
  </si>
  <si>
    <t>Kunz, Alexander; Walther, Bruno A.; Lowemark, Ludvig; Lee, Yao-Chang</t>
  </si>
  <si>
    <t>Distribution and quantity of microplastic on sandy beaches along the northern coast of Taiwan</t>
  </si>
  <si>
    <t>https://doi.org/10.1016/j.marpolbul.2016.07.022</t>
  </si>
  <si>
    <t>https://www.sciencedirect.com/science/article/pii/S0025326X16305689</t>
  </si>
  <si>
    <t>Wessel, Caitlin C.; Lockridge, Grant R.; Battiste, David; Cebrian, Just</t>
  </si>
  <si>
    <t>Abundance and characteristics of microplastics in beach sediments: Insights into microplastic accumulation in northern Gulf of Mexico estuaries</t>
  </si>
  <si>
    <t>https://doi.org/10.1016/j.marpolbul.2016.06.002</t>
  </si>
  <si>
    <t>https://www.sciencedirect.com/science/article/pii/S0025326X16304064#f0015</t>
  </si>
  <si>
    <t>Yu, Xubiao; Peng, Jinping; Wang, Jundong; Wang, Kan; Bao, Shaowu</t>
  </si>
  <si>
    <t>Occurrence of microplastics in the beach sand of the Chinese inner sea: the Bohai Sea</t>
  </si>
  <si>
    <t>https://doi.org/10.1016/j.envpol.2016.04.080</t>
  </si>
  <si>
    <t>https://www.sciencedirect.com/science/article/pii/S0269749116303463#fig1</t>
  </si>
  <si>
    <t>Clunies-Ross, P. J.; Smith, G. P. S.; Gordon, K. C.; Gaw, S.</t>
  </si>
  <si>
    <t>Synthetic shorelines in New Zealand? Quantification and characterisation of microplastic pollution on Canterbury's coastlines</t>
  </si>
  <si>
    <t>NEW ZEALAND JOURNAL OF MARINE AND FRESHWATER RESEARCH</t>
  </si>
  <si>
    <t>https://doi.org/10.1080/00288330.2015.1132747</t>
  </si>
  <si>
    <t>https://www.tandfonline.com/doi/full/10.1080/00288330.2015.1132747</t>
  </si>
  <si>
    <t>Nel, H. A.; Froneman, P. W.</t>
  </si>
  <si>
    <t>A quantitative analysis of microplastic pollution along the south-eastern coastline of South Africa</t>
  </si>
  <si>
    <t>https://doi.org/10.1016/j.marpolbul.2015.09.043</t>
  </si>
  <si>
    <t>https://www.sciencedirect.com/science/article/pii/S0025326X15300588#f0010</t>
  </si>
  <si>
    <t>Qiu, Qiongxuan; Peng, Jinping; Yu, Xubiao; Chen, Fangchaizi; Wang, Jundong; Dong, Fenqiang</t>
  </si>
  <si>
    <t>Occurrence of microplastics in the coastal marine environment: First observation on sediment of China</t>
  </si>
  <si>
    <t>https://doi.org/10.1016/j.marpolbul.2015.07.028</t>
  </si>
  <si>
    <t>https://www.sciencedirect.com/science/article/pii/S0025326X15004488#f0010</t>
  </si>
  <si>
    <t>Dekiff, Jens H.; Remy, Dominique; Klasmeier, Joerg; Fries, Elke</t>
  </si>
  <si>
    <t>Occurrence and spatial distribution of microplastics in sediments from Norderney</t>
  </si>
  <si>
    <t>https://doi.org/10.1016/j.envpol.2013.11.019</t>
  </si>
  <si>
    <t>https://www.sciencedirect.com/science/article/pii/S0269749113006088</t>
  </si>
  <si>
    <t>Cannas, Susanna; Fastelli, Paolo; Guerranti, Cristiana; Renzi, Monia</t>
  </si>
  <si>
    <t>Plastic litter in sediments from the coasts of south Tuscany (Tyrrhenian Sea)</t>
  </si>
  <si>
    <t>https://doi.org/10.1016/j.marpolbul.2017.04.008</t>
  </si>
  <si>
    <t>https://www.sciencedirect.com/science/article/pii/S0025326X17303028</t>
  </si>
  <si>
    <t>Bin Zhang, Di Wu,Xin Yang, Jia Teng, Yongliang Liu, Chen Zhang, Jianmin Zhao, Xiaonan Yin, Liping You, Yanfang Liu, Qing Wang</t>
  </si>
  <si>
    <t>Microplastic pollution in the surface sediments collected from Sishili Bay, North Yellow Sea, China</t>
  </si>
  <si>
    <t>https://doi.org/10.1016/j.marpolbul.2019.02.021</t>
  </si>
  <si>
    <t>https://www.sciencedirect.com/science/article/pii/S0025326X19301109#s0005</t>
  </si>
  <si>
    <t>Lo HS., Xu X., Wong CY., Cheung SG..</t>
  </si>
  <si>
    <t>Comparisons of microplastic pollution between mudflats and sandy beaches in Hong Kong</t>
  </si>
  <si>
    <t>https://doi.org/10.1016/j.envpol.2018.01.031</t>
  </si>
  <si>
    <t>https://www.sciencedirect.com/science/article/pii/S0269749117345451</t>
  </si>
  <si>
    <t>Woodall, Lucy C.; Sanchez-Vidal, Anna; Canals, Miquel; Paterson, Gordon L. J.; Coppock, Rachel; Sleight, Victoria; Calafat, Antonio; Rogers, Alex D.; Narayanaswamy, Bhavani E.; Thompson, Richard C.</t>
  </si>
  <si>
    <t>The deep sea is a major sink for microplastic debris</t>
  </si>
  <si>
    <t>ROYAL SOCIETY OPEN SCIENCE</t>
  </si>
  <si>
    <t>https://doi.org/10.1098/rsos.140317</t>
  </si>
  <si>
    <t>https://royalsocietypublishing.org/doi/full/10.1098/rsos.140317</t>
  </si>
  <si>
    <t>Viola Fischera, Nikolaus O.Elsner, Nils Brenke,Enrico Schwabe, Angelika Brandt</t>
  </si>
  <si>
    <t>Plastic pollution of the Kuril–Kamchatka Trench area (NW pacific)</t>
  </si>
  <si>
    <t>Deep Sea Research Part II: Topical Studies in Oceanography</t>
  </si>
  <si>
    <t>https://doi.org/10.1016/j.dsr2.2014.08.012</t>
  </si>
  <si>
    <t>https://www.sciencedirect.com/science/article/pii/S0967064514002173#f0005</t>
  </si>
  <si>
    <t>S.D. Ling, M. Sinclair, C.J. Levi, S.E. Reeves, G.J. Edgar</t>
  </si>
  <si>
    <t>Ubiquity of microplastics in coastal seafloor sediments</t>
  </si>
  <si>
    <t>Marine Pollution Bulletin</t>
  </si>
  <si>
    <t>https://doi.org/10.1016/j.marpolbul.2017.05.038</t>
  </si>
  <si>
    <t>https://www.sciencedirect.com/science/article/pii/S0025326X17304265#s1085</t>
  </si>
  <si>
    <t>M Zobkov, E Esiukova</t>
  </si>
  <si>
    <t>Microplastics in Baltic bottom sediments: Quantification procedures and first results</t>
  </si>
  <si>
    <t>https://doi.org/10.1016/j.marpolbul.2016.10.060</t>
  </si>
  <si>
    <t>https://www.sciencedirect.com/science/article/pii/S0025326X16308761#f0020</t>
  </si>
  <si>
    <t>Cristina Munaria, Vanessa Infantini, Marco Scoponi</t>
  </si>
  <si>
    <t>Microplastics in the sediments of Terra Nova Bay (Ross Sea, Antarctica)</t>
  </si>
  <si>
    <t>https://doi.org/10.1016/j.marpolbul.2017.06.039</t>
  </si>
  <si>
    <t>https://www.sciencedirect.com/science/article/pii/S0025326X17305192</t>
  </si>
  <si>
    <t>Leslie, H. A.; Brandsma, S. H.; van Velzen, M. J. M.; Vethaak, A. D.</t>
  </si>
  <si>
    <t xml:space="preserve">Microplastics en route: Field measurements in the Dutch river delta and Amsterdam canals, wastewater treatment plants, North Sea sediments and biota Environ. </t>
  </si>
  <si>
    <t>Environment International</t>
  </si>
  <si>
    <t>https://doi.org/10.1016/j.envint.2017.01.018</t>
  </si>
  <si>
    <t>https://www.sciencedirect.com/science/article/pii/S0160412017301654?via%3Dihub#f0010</t>
  </si>
  <si>
    <t>Khawla Chouchene, João Pinto da Costa, Ahmed Wali, Ana V. Girão, Olfa Hentati, Armando C. Duarte, Teresa Rocha-Santos, Mohamed Ksibi</t>
  </si>
  <si>
    <t>Microplastic pollution in the sediments of Sidi Mansour Harbor in Southeast Tunisia</t>
  </si>
  <si>
    <t>https://doi.org/10.1016/j.marpolbul.2019.06.004</t>
  </si>
  <si>
    <t>https://www.sciencedirect.com/science/article/pii/S0025326X19304497</t>
  </si>
  <si>
    <t>Ana Virginia Filgueiras, Jesús Gago, Juan Antonio Campillo, Víctor Manuel León</t>
  </si>
  <si>
    <t>Microplastic distribution in surface sediments along the Spanish Mediterranean continental shelf</t>
  </si>
  <si>
    <t>Environmental Science and Pollution Research</t>
  </si>
  <si>
    <t>https://link.springer.com/article/10.1007/s11356-019-05341-5</t>
  </si>
  <si>
    <t>Fok and Cheung</t>
  </si>
  <si>
    <t>Hong Kong at the Pearl River Estuary: a hotspot of microplastic pollution</t>
  </si>
  <si>
    <t>https://doi.org/10.1016/j.marpolbul.2015.07.050</t>
  </si>
  <si>
    <t>https://www.sciencedirect.com/science/article/pii/S0025326X15004701#t0005</t>
  </si>
  <si>
    <t>Haibo Zhang, Qian Zhou, Zhiyong Xie, Yang Zhou, Chen Tu, Chuancheng Fu, Wenying Mi, Ralf Ebinghaus, Peter Christie, Yongming Luo</t>
  </si>
  <si>
    <t>Occurrences of organophosphorus esters and phthalates in the microplastics from the coastal beaches in north China</t>
  </si>
  <si>
    <t>https://doi.org/10.1016/j.scitotenv.2017.10.163</t>
  </si>
  <si>
    <t>https://www.sciencedirect.com/science/article/pii/S0048969717328735</t>
  </si>
  <si>
    <t>Jongmyoung Lee, Sunwook Hong, Young Kyung Song, Sang Hee Hong, Yong Chang Jang, Mi Jang, Nak Won Heo, Gi Myung Han, Mi Jeong Lee, Daeseok Kang, Won Joon Shim</t>
  </si>
  <si>
    <t>Relationships among the abundances of plastic debris in different size classes on beaches in South Korea</t>
  </si>
  <si>
    <t>https://doi.org/10.1016/j.marpolbul.2013.08.013</t>
  </si>
  <si>
    <t>https://www.sciencedirect.com/science/article/pii/S0025326X13004657#f0005</t>
  </si>
  <si>
    <t>Shiye Zhao, Lixin Zhu, Daoji Li</t>
  </si>
  <si>
    <t>Characterization of small plastic debris on tourism beaches around the South China Sea</t>
  </si>
  <si>
    <t>Regional Studies in Marine Science</t>
  </si>
  <si>
    <t>https://doi.org/10.1016/j.rsma.2015.04.001</t>
  </si>
  <si>
    <t>https://www.sciencedirect.com/science/article/pii/S2352485515000109#f000005</t>
  </si>
  <si>
    <t>Cecilia Martin, F. Baalkhuyur, L. Valluzzi, V. Saderne, M. Cusack, H. Almahasheer, P.K. Krishnakumar L., Rabaoui, M.A. Qurban, Ariane Arias-Ortiz, Pere Masqué and Carlos M. Duarte</t>
  </si>
  <si>
    <t>Li, Ruili; Yu, Lingyun; Chai, Minwei; Wu, Hailun; Zhu, Xiaoshan</t>
  </si>
  <si>
    <t>The distribution, characteristics and ecological risks of microplastics in the mangroves of Southern China</t>
  </si>
  <si>
    <t>https://doi.org/10.1016/j.scitotenv.2019.135025</t>
  </si>
  <si>
    <t>https://www.sciencedirect.com/science/article/pii/S004896971935017X</t>
  </si>
  <si>
    <t>Falahudin, Dede; Cordova, Muhammad Reza; Sun, Xiaoxia; Yogaswara, Deny; Wulandari, Ita; Hindarti, Dwi; Arifin, Zainal</t>
  </si>
  <si>
    <t>The first occurrence, spatial distribution and characteristics of microplastic particles in sediments from Banten Bay, Indonesia</t>
  </si>
  <si>
    <t>https://doi.org/10.1016/j.scitotenv.2019.135304</t>
  </si>
  <si>
    <t>https://www-sciencedirect-com.ezproxy.uniroma1.it/science/article/pii/S0048969719352969?via%3Dihub</t>
  </si>
  <si>
    <t>Saeed, Talat; Al-Jandal, Noura; Al-Mutairi, Ahmad; Taqi, Hameeda</t>
  </si>
  <si>
    <t>Microplastics in Kuwait marine environment: Results of first survey.</t>
  </si>
  <si>
    <t>Marine pollution bulletin</t>
  </si>
  <si>
    <t>https://doi.org/10.1016/j.marpolbul.2019.110880</t>
  </si>
  <si>
    <t>https://www-sciencedirect-com.ezproxy.uniroma1.it/science/article/pii/S0025326X19310367?via%3Dihub</t>
  </si>
  <si>
    <t>Zheng, Yifan; Li, Jingxi; Cao, Wei; Liu, Xuehai; Jiang, Fenghua; Ding, Jinfeng; Yin, Xiaofei; Sun, Chengjun</t>
  </si>
  <si>
    <t>Distribution characteristics of microplastics in the seawater and sediment: A case study in Jiaozhou Bay, China</t>
  </si>
  <si>
    <t>https://doi.org/10.1016/j.scitotenv.2019.04.008</t>
  </si>
  <si>
    <t>https://www-sciencedirect-com.ezproxy.uniroma1.it/science/article/pii/S0048969719315219?via%3Dihub</t>
  </si>
  <si>
    <t>McEachern, Kinsley; Alegria, Henry; Kalagher, Amelia L.; Hansen, Cypress; Morrison, Samantha; Hastings, David</t>
  </si>
  <si>
    <t>Microplastics in Tampa Bay, Florida: Abundance and variability in estuarine waters and sediments</t>
  </si>
  <si>
    <t>https://doi.org/10.1016/j.marpolbul.2019.07.068</t>
  </si>
  <si>
    <t>https://www-sciencedirect-com.ezproxy.uniroma1.it/science/article/pii/S0025326X19306083?via%3Dihub</t>
  </si>
  <si>
    <t>Naji, Abolfazl; Nuri, Marzieh; Amiri, Parisa; Niyogi, Som</t>
  </si>
  <si>
    <t>Small microplastic particles (S-MPPs) in sediments of mangrove ecosystem on the northern coast of the Persian Gulf</t>
  </si>
  <si>
    <t>https://doi.org/10.1016/j.marpolbul.2019.06.033</t>
  </si>
  <si>
    <t>https://www-sciencedirect-com.ezproxy.uniroma1.it/science/article/pii/S0025326X19304795?via%3Dihub#f0015</t>
  </si>
  <si>
    <t>Haave, Marte; Lorenz, Claudia; Primpke, Sebastian; Gerdts, Gunnar</t>
  </si>
  <si>
    <t>Different stories told by small and large microplastics in sediment - first report of microplastic concentrations in an urban recipient in Norway</t>
  </si>
  <si>
    <t>https://doi.org/10.1016/j.marpolbul.2019.02.015</t>
  </si>
  <si>
    <t>https://www-sciencedirect-com.ezproxy.uniroma1.it/science/article/pii/S0025326X19301043?via%3Dihub</t>
  </si>
  <si>
    <t>Asadi, M. A.; Hertika, A. M. S.; Iranawati, F.; Yuwandita, A. Y.</t>
  </si>
  <si>
    <t>Microplastics in the sediment of intertidal areas of Lamongan, Indonesia.</t>
  </si>
  <si>
    <t>AACL Bioflux</t>
  </si>
  <si>
    <t>https://search-proquest-com.ezproxy.uniroma1.it/docview/2277978173/fulltext/6567840D0D234ED1PQ/1?accountid=13698</t>
  </si>
  <si>
    <t>Ramirez-Alvarez, Nancy; Mendoza, Lorena Margarita Rios; Vinicio Macias-Zamora, Jose; Oregel-Vazquez, Lucero; Alvarez-Aguilar, Arturo; Augusto Hernandez-Guzman, Felix; Luis Sanchez-Osorio, Jose; Moore, Charles James; Silva-Jimenez, Hortencia; Felipe Navarro-Olache, Luis</t>
  </si>
  <si>
    <t>Microplastics: Sources and distribution in surface waters and sediments of Todos Santos Bay, Mexico</t>
  </si>
  <si>
    <t>https://doi.org/10.1016/j.scitotenv.2019.134838</t>
  </si>
  <si>
    <t>Zhang, Dongdong; Cui, Yaozong; Zhou, Hanghai; Jin, Cheng; Yu, Xinwei; Xu, Yongjiu; Li, Yanhong; Zhang, Chunfang</t>
  </si>
  <si>
    <t>Microplastic pollution in water, sediment, and fish from artificial reefs around the Ma'an Archipelago, Shengsi, China</t>
  </si>
  <si>
    <t>https://doi.org/10.1016/j.scitotenv.2019.134768</t>
  </si>
  <si>
    <t>Huang, Yuzhou; Xiao, Xi; Xu, Caicai; Perianen, Yuvna Devi; Hu, Jing; Holmer, Marianne</t>
  </si>
  <si>
    <t>Seagrass beds acting as a trap of microplastics - Emerging hotspot in the coastal region?</t>
  </si>
  <si>
    <t>Environmental pollution (Barking, Essex : 1987)</t>
  </si>
  <si>
    <t>https://doi.org/10.1016/j.envpol.2019.113450</t>
  </si>
  <si>
    <t>Doyen, Perine; Hermabessiere, Ludovic; Dehaut, Alexandre; Himber, Charlotte; Decodts, Marion; Degraeve, Thiefaine; Delord, Lena; Gaboriaud, Marie; Mone, Pauline; Sacco, Jade; Tavernier, Eric; Grard, Thierry; Duflos, Guillaume</t>
  </si>
  <si>
    <t>Occurrence and identification of microplastics in beach sediments from the Hauts-de-France region</t>
  </si>
  <si>
    <t>https://doi-org.ezproxy.uniroma1.it/10.1007/s11356-019-06027-8</t>
  </si>
  <si>
    <t>https://link-springer-com.ezproxy.uniroma1.it/article/10.1007/s11356-019-06027-8</t>
  </si>
  <si>
    <t>Firdaus, Muhammad; Trihadiningrum, Yulinah; Lestari, Prieskarinda</t>
  </si>
  <si>
    <t>Microplastic pollution in the sediment of Jagir Estuary, Surabaya City, Indonesia</t>
  </si>
  <si>
    <t>https://doi.org/10.1016/j.marpolbul.2019.110790</t>
  </si>
  <si>
    <t>Yao, Weimin; Di, Di; Wang, Zhenfeng; Liao, Zhonglu; Huang, Hong; Mei, Kun; Dahlgren, Randy A.; Zhang, Minghua; Shang, Xu</t>
  </si>
  <si>
    <t>Micro- and macroplastic accumulation in a newly formed Spartina alterniflora colonized estuarine saltmarsh in southeast China</t>
  </si>
  <si>
    <t>https://doi.org/10.1016/j.marpolbul.2019.110636</t>
  </si>
  <si>
    <t>Baptista Neto, Jose Antonio; de Carvalho, Diego Gomes; Medeiros, Kidian; Drabinski, Thiago L.; de Melo, Gustavo Vaz; Silva, Rafael Cuellar O.; Porto Silva, Diogo Ceddia; Batista, Leandro de Sousa; Macedo Dias, Gilberto Tavares; da Fonseca, Estefan Monteiro; dos Santos Filho, Joao Regis</t>
  </si>
  <si>
    <t>The impact of sediment dumping sites on the concentrations of microplastic in the inner continental shelf of Rio de Janeiro/Brazil</t>
  </si>
  <si>
    <t>https://doi.org/10.1016/j.marpolbul.2019.110558</t>
  </si>
  <si>
    <t>https://www-sciencedirect-com.ezproxy.uniroma1.it/science/article/pii/S0025326X19307027?via%3Dihub</t>
  </si>
  <si>
    <t>Zhang, Linlin; Zhang, Shuaipeng; Wang, Yinghui; Yu, Kefu; Li, Ruilong</t>
  </si>
  <si>
    <t>The spatial distribution of microplastic in the sands of a coral reef island in the South China Sea: Comparisons of the fringing reef and atoll</t>
  </si>
  <si>
    <t>https://doi.org/10.1016/j.scitotenv.2019.06.178</t>
  </si>
  <si>
    <t>Foshtomi, Maryam Yazdani; Oryan, Shahrbanoo; Taheri, Mehrshad; Bastami, Kazem Darvish; Zahed, Mohammad Ali</t>
  </si>
  <si>
    <t>Composition and abundance of microplastics in surface sediments and their interaction with sedimentary heavy metals, PAHs and TPH (total petroleum hydrocarbons)</t>
  </si>
  <si>
    <t>https://doi.org/10.1016/j.marpolbul.2019.110655</t>
  </si>
  <si>
    <t>https://www-sciencedirect-com.ezproxy.uniroma1.it/science/article/pii/S0025326X19308033?via%3Dihub</t>
  </si>
  <si>
    <t>Brandon, Jennifer A.; Jones, William; Ohman, Mark D.</t>
  </si>
  <si>
    <t>Multidecadal increase in plastic particles in coastal ocean sediments</t>
  </si>
  <si>
    <t>SCIENCE ADVANCES</t>
  </si>
  <si>
    <t>10.1126/sciadv.aax0587</t>
  </si>
  <si>
    <t>Alves, Vivianne E. N.; Figueiredo, Gisela M.</t>
  </si>
  <si>
    <t>Microplastic in the sediments of a highly eutrophic tropical estuary</t>
  </si>
  <si>
    <t>https://doi.org/10.1016/j.marpolbul.2019.06.042</t>
  </si>
  <si>
    <t>https://www-sciencedirect-com.ezproxy.uniroma1.it/science/article/pii/S0025326X19304886?via%3Dihub</t>
  </si>
  <si>
    <t>Wu, Fengrun; Pennings, Steven C.; Tong, Chunfu; Xu, Yutian</t>
  </si>
  <si>
    <t>Variation in microplastics composition at small spatial and temporal scales in a tidal flat of the Yangtze Estuary, China</t>
  </si>
  <si>
    <t>https://doi.org/10.1016/j.scitotenv.2019.134252</t>
  </si>
  <si>
    <t>https://www-sciencedirect-com.ezproxy.uniroma1.it/science/article/pii/S0048969719342354?via%3Dihub</t>
  </si>
  <si>
    <t>Jones, Katherine L; Hartl, Mark G J; Bell, Michael C; Capper, Angela</t>
  </si>
  <si>
    <t>Microplastic accumulation in a Zostera marina L. bed at Deerness Sound, Orkney, Scotland.</t>
  </si>
  <si>
    <t>https://doi.org/10.1016/j.marpolbul.2020.110883</t>
  </si>
  <si>
    <t>https://www-sciencedirect-com.ezproxy.uniroma1.it/science/article/pii/S0025326X20300011?via%3Dihub</t>
  </si>
  <si>
    <t>Lorenz, Claudia; Roscher, Lisa; Meyer, Melanie S.; Hildebrandt, Lars; Prume, Julia; Loeder, Martin G. J.; Primpke, Sebastian; Gerdts, Gunnar</t>
  </si>
  <si>
    <t>Spatial distribution of microplastics in sediments and surface waters of the southern North Sea</t>
  </si>
  <si>
    <t>https://doi.org/10.1016/j.envpol.2019.06.093</t>
  </si>
  <si>
    <t>Piehl, Sarah; Mitterwallner, Veronika; Atwood, Elizabeth C.; Bochow, Mathias; Laforsch, Christian</t>
  </si>
  <si>
    <t>Abundance and distribution of large microplastics (1-5 mm) within beach sediments at the Po River Delta, northeast Italy</t>
  </si>
  <si>
    <t>https://doi.org/10.1016/j.marpolbul.2019.110515</t>
  </si>
  <si>
    <t>Wu, Nan; Zhang, Ying; Zhang, Xiaohan; Zhao, Ze; He, Jiahui; Li, Wenpeng; Ma, Yongzheng; Niu, Zhiguang</t>
  </si>
  <si>
    <t>Occurrence and distribution of microplastics in the surface water and sediment of two typical estuaries in Bohai Bay, China</t>
  </si>
  <si>
    <t>ENVIRONMENTAL SCIENCE-PROCESSES &amp; IMPACTS</t>
  </si>
  <si>
    <t>https://doi.org/10.1039/C9EM00148D</t>
  </si>
  <si>
    <t>Sathish, Narmatha; Jeyasanta, K. Immaculate; Patterson, Jamila</t>
  </si>
  <si>
    <t>Abundance, characteristics and surface degradation features of microplastics in beach sediments of five coastal areas in Tamil Nadu, India</t>
  </si>
  <si>
    <t>https://doi.org/10.1016/j.marpolbul.2019.03.037</t>
  </si>
  <si>
    <t>Mohsen, Mohamed; Wang, Qing; Zhang, Libin; Sun, Lina; Lin, Chenggang; Yang, Hongsheng</t>
  </si>
  <si>
    <t>Microplastic ingestion by the farmed sea cucumber Apostichopus japonicus in China</t>
  </si>
  <si>
    <t>https://doi.org/10.1016/j.envpol.2018.11.083</t>
  </si>
  <si>
    <t>Robin, R. S.; Karthik, R.; Purvaja, R.; Ganguly, D.; Anandavelu, I.; Mugilarasan, M.; Ramesh, R.</t>
  </si>
  <si>
    <t>Holistic assessment of microplastics in various coastal environmental matrices, southwest coast of India</t>
  </si>
  <si>
    <t>https://doi.org/10.1016/j.scitotenv.2019.134947</t>
  </si>
  <si>
    <t>Dowarah, Kaushik; Devipriya, Suja P.</t>
  </si>
  <si>
    <t>Microplastic prevalence in the beaches of Puducherry, India and its correlation with fishing and tourism/recreational activities</t>
  </si>
  <si>
    <t>https://doi.org/10.1016/j.marpolbul.2019.07.066</t>
  </si>
  <si>
    <t>https://www-sciencedirect-com.ezproxy.uniroma1.it/science/article/pii/S0025326X1930606X?via%3Dihub</t>
  </si>
  <si>
    <t>Velez, Nadja; Zardi, Gerardo, I; Lo Savio, Roberto; McQuaid, Christopher D.; Valbusa, Ugo; Sabour, Brahim; Nicastro, Katy R.</t>
  </si>
  <si>
    <t>A baseline assessment of beach macrolitter and microplastics along northeastern Atlantic shores</t>
  </si>
  <si>
    <t>https://doi.org/10.1016/j.marpolbul.2019.110649</t>
  </si>
  <si>
    <t>Constant, Mel; Kerherve, Philippe; Mino-Vercellio-Verollet, Morgan; Dumontier, Marc; Vidal, Anna Sanchez; Canals, Miguel; Heussner, Serge</t>
  </si>
  <si>
    <t>Beached microplastics in the Northwestern Mediterranean Sea</t>
  </si>
  <si>
    <t>https://doi.org/10.1016/j.marpolbul.2019.03.032</t>
  </si>
  <si>
    <t>Curren, Emily; Leong, Sandric Chee Yew</t>
  </si>
  <si>
    <t>Profiles of bacterial assemblages from microplastics of tropical coastal environments</t>
  </si>
  <si>
    <t>https://doi.org/10.1016/j.scitotenv.2018.11.250</t>
  </si>
  <si>
    <t>Atwood, Elizabeth C.; Falcieri, Francesco M.; Piehl, Sarah; Bochow, Mathias; Matthies, Michael; Franke, Jonas; Carniel, Sandro; Sclavo, Mauro; Laforsch, Christian; Siegert, Florian</t>
  </si>
  <si>
    <t>Coastal accumulation of microplastic particles emitted from the Po River, Northern Italy: Comparing remote sensing and hydrodynamic modelling with in situ sample collections</t>
  </si>
  <si>
    <t>https://doi.org/10.1016/j.marpolbul.2018.11.045</t>
  </si>
  <si>
    <t>Green, Benjamin C; Johnson, Charlotte L E</t>
  </si>
  <si>
    <t>Characterisation of microplastic contamination in sediment of England's inshore waters.</t>
  </si>
  <si>
    <t>https://doi.org/10.1016/j.marpolbul.2019.110788</t>
  </si>
  <si>
    <t>Peng, Guyu; Bellerby, Richard; Zhang, Feng; Sun, Xuerong; Li, Daoji</t>
  </si>
  <si>
    <t>The ocean's ultimate trashcan: Hadal trenches as major depositories for plastic pollution</t>
  </si>
  <si>
    <t>WATER RESEARCH</t>
  </si>
  <si>
    <t>https://doi.org/10.1016/j.watres.2019.115121</t>
  </si>
  <si>
    <t>Jahan, Sayka; Strezov, Vladimir; Weldekidan, Haftom; Kumar, Ravinder; Kan, Tao; Sarkodie, Samuel Asumadu; He, Jing; Dastjerdi, Behnam; Wilson, Scott P.</t>
  </si>
  <si>
    <t>Interrelationship of microplastic pollution in sediments and oysters in a seaport environment of the eastern coast of Australia</t>
  </si>
  <si>
    <t>https://doi.org/10.1016/j.scitotenv.2019.133924</t>
  </si>
  <si>
    <t>Yabanli, Murat; Yozukmaz, Aykut; Sener, Idris; Olmez, Ozge Tokul</t>
  </si>
  <si>
    <t>Microplastic pollution at the intersection of the Aegean and Mediterranean Seas: A study of the Datca Peninsula (Turkey)</t>
  </si>
  <si>
    <t>https://doi.org/10.1016/j.marpolbul.2019.05.003</t>
  </si>
  <si>
    <t>Wang, Jun; Lu, Lin; Wang, Mingxiao; Jiang, Tao; Liu, Xiaoshou; Ru, Shaoguo</t>
  </si>
  <si>
    <t>Typhoons increase the abundance of microplastics in the marine environment and cultured organisms: A case study in Sanggou Bay, China</t>
  </si>
  <si>
    <t>https://doi.org/10.1016/j.scitotenv.2019.02.367</t>
  </si>
  <si>
    <t>Bancin, Lamtiur Junita; Walther, Bruno A.; Lee, Yao-Chang; Kunz, Alexander</t>
  </si>
  <si>
    <t>Two-dimensional distribution and abundance of micro- and mesoplastic pollution in the surface sediment of Xialiao Beach, New Taipei City, Taiwan</t>
  </si>
  <si>
    <t>Covernton, Garth A.; Collicutt, Brenna; Gurney-Smith, Helen J.; Pearce, Christopher M.; Dower, John F.; Ross, Peter S.; Dudas, Sarah E.</t>
  </si>
  <si>
    <t>Microplastics in bivalves and their habitat in relation to shellfish aquaculture proximity in coastal British Columbia, Canada</t>
  </si>
  <si>
    <t>AQUACULTURE ENVIRONMENT INTERACTIONS</t>
  </si>
  <si>
    <t>Baptista Neto, Jose Antonio; Gaylarde, Christine; Beech, Iwona; Bastos, Alex Cardoso; Quaresma, Valeria da Silva; de Carvalho, Diego Gomes</t>
  </si>
  <si>
    <t>Microplastics and attached microorganisms in sediments of the Vitoria bay estuarine system in SE Brazil</t>
  </si>
  <si>
    <t>OCEAN &amp; COASTAL MANAGEMENT</t>
  </si>
  <si>
    <t>https://doi.org/10.1016/j.ocecoaman.2018.12.030</t>
  </si>
  <si>
    <t>Korez, Spela; Gutow, Lars; Saborowski, Reinhard</t>
  </si>
  <si>
    <t>Microplastics at the strandlines of Slovenian beaches</t>
  </si>
  <si>
    <t>https://doi.org/10.1016/j.marpolbul.2019.05.054</t>
  </si>
  <si>
    <t>Misic, Cristina; Harriague, Anabella Covazzi; Ferrari, Marco</t>
  </si>
  <si>
    <t>Hydrodynamic forcing and sand permeability influence the distribution of anthropogenic microparticles in beach sediment</t>
  </si>
  <si>
    <t>ESTUARINE COASTAL AND SHELF SCIENCE</t>
  </si>
  <si>
    <t>https://doi.org/10.1016/j.ecss.2019.106429</t>
  </si>
  <si>
    <t>Wu, Fangzhu; Wang, Youji; Leung, Jonathan Y. S.; Huang, Wei; Zeng, Jiangning; Tang, Yanbin; Chen, Jianfang; Shi, Aiqin; Yu, Xiang; Xu, Xiaoqun; Zhang, Huaguo; Cao, Liang</t>
  </si>
  <si>
    <t>Accumulation of microplastics in typical commercial aquatic species: A case study at a productive aquaculture site in China</t>
  </si>
  <si>
    <t>https://doi.org/10.1016/j.scitotenv.2019.135432</t>
  </si>
  <si>
    <t>Zhang, Lishan; Liu, Junyong; Xie, Yuanshan; Zhong, Shan; Yang, Bin; Lu, Dongliang; Zhong, Qiuping</t>
  </si>
  <si>
    <t>Distribution of microplastics in surface water and sediments of Qin river in Beibu Gulf, China</t>
  </si>
  <si>
    <t>https://doi.org/10.1016/j.scitotenv.2019.135176</t>
  </si>
  <si>
    <t>Al-Lihaibi, Sultan; Al-Mehmadi, Asmaa; Alarif, Walied M.; Bawakid, Nahed O.; Kallenborn, Roland; Ali, Aasim M.</t>
  </si>
  <si>
    <t>Microplastics in sediments and fish from the Red Sea coast at Jeddah (Saudi Arabia)</t>
  </si>
  <si>
    <t>ENVIRONMENTAL CHEMISTRY</t>
  </si>
  <si>
    <t xml:space="preserve">No link </t>
  </si>
  <si>
    <t>Sandre, Fidji; Dromard, Charlotte R.; Le Menach, Karyn; Bouchon-Navaro, Yolande; Cordonnier, Sebastien; Tapie, Nathalie; Budzinski, Helene; Bouchon, Claude</t>
  </si>
  <si>
    <t>MICROPLASTIC DISTRIBUTION AND DETECTION OF CHLORDECONE ON MICROPLASTICS IN MARINE SEDIMENTS IN GUADELOUPE: A PRELIMINARY STUDY</t>
  </si>
  <si>
    <t>GULF AND CARIBBEAN RESEARCH</t>
  </si>
  <si>
    <t>https://hal.archives-ouvertes.fr/hal-02545089/document</t>
  </si>
  <si>
    <t>Kruger, Lotte; Casado-Coy, Nuria; Valle, Carlos; Ramos, Marina; Sanchez-Jerez, Pablo; Gago, Jesus; Carretero, Olga; Beltran-Sanahuja, Ana; Sanz-Lazaro, Carlos</t>
  </si>
  <si>
    <t>Plastic debris accumulation in the seabed derived from coastal fish farming.</t>
  </si>
  <si>
    <t>Ian A. Kane*, Michael A. Clare, Elda Miramontes, Roy Wogelius, James J. Rothwell, Pierre Garreau, Florian Pohl</t>
  </si>
  <si>
    <t>Seafloor microplastic hotspots controlled by deep-sea circulation</t>
  </si>
  <si>
    <t xml:space="preserve">SCIENCE  </t>
  </si>
  <si>
    <t>https://science.sciencemag.org/content/sci/suppl/2020/04/29/science.aba5899.DC1/aba5899_Kane_SM.pdf</t>
  </si>
  <si>
    <t>Exponential increase of plastic burial in mangrove sediments as a major plastic sink</t>
  </si>
  <si>
    <t>Science Advances</t>
  </si>
  <si>
    <t>(+/-)</t>
  </si>
  <si>
    <t>SD</t>
  </si>
  <si>
    <t>n 10 ml-1</t>
  </si>
  <si>
    <t>n m-2</t>
  </si>
  <si>
    <t xml:space="preserve">n m-2 </t>
  </si>
  <si>
    <t>n 25 cm-2</t>
  </si>
  <si>
    <t>n g-1</t>
  </si>
  <si>
    <t>SE</t>
  </si>
  <si>
    <t>n 0.0125 m-3</t>
  </si>
  <si>
    <t>n 50 g-1</t>
  </si>
  <si>
    <t>n 50 ml-1</t>
  </si>
  <si>
    <t>n 0.25 m-2</t>
  </si>
  <si>
    <t>n 70 ml-1</t>
  </si>
  <si>
    <t>n kg-1</t>
  </si>
  <si>
    <t xml:space="preserve">n kg-1 </t>
  </si>
  <si>
    <t>n 0.09 m-2</t>
  </si>
  <si>
    <t>n 10 g-1</t>
  </si>
  <si>
    <t> 50 </t>
  </si>
  <si>
    <t>60 </t>
  </si>
  <si>
    <t> 60 </t>
  </si>
  <si>
    <t> 70 </t>
  </si>
  <si>
    <t> 80</t>
  </si>
  <si>
    <t> 80 </t>
  </si>
  <si>
    <t>90 </t>
  </si>
  <si>
    <t> 110 </t>
  </si>
  <si>
    <t> 120 </t>
  </si>
  <si>
    <t> 170 </t>
  </si>
  <si>
    <t> 220 </t>
  </si>
  <si>
    <t> 280 </t>
  </si>
  <si>
    <t> 360 </t>
  </si>
  <si>
    <t> 530 </t>
  </si>
  <si>
    <t>610 </t>
  </si>
  <si>
    <t>126 </t>
  </si>
  <si>
    <t> 130</t>
  </si>
  <si>
    <t>n 500 cm-3</t>
  </si>
  <si>
    <t>n 0.1 m-2</t>
  </si>
  <si>
    <t>n 300 g-1</t>
  </si>
  <si>
    <t>2.2 - 22</t>
  </si>
  <si>
    <t>95% CI</t>
  </si>
  <si>
    <t>0.2 - 7.2</t>
  </si>
  <si>
    <t>0 - 9.1</t>
  </si>
  <si>
    <t>1.3 - 12.2</t>
  </si>
  <si>
    <t>3.2 - 11.1</t>
  </si>
  <si>
    <t>5.9 - 11.2</t>
  </si>
  <si>
    <t>4.2 - 22.1</t>
  </si>
  <si>
    <t>5.1 - 34</t>
  </si>
  <si>
    <t>8 - 23</t>
  </si>
  <si>
    <t>5.3 - 31.1</t>
  </si>
  <si>
    <t>7.3 - 52.1</t>
  </si>
  <si>
    <t>13.4 - 24</t>
  </si>
  <si>
    <t xml:space="preserve">n 100 g-1 </t>
  </si>
  <si>
    <t>n 5 g-1</t>
  </si>
  <si>
    <t>Reference</t>
  </si>
  <si>
    <t>Central size (mm)</t>
  </si>
  <si>
    <t>Weight (mg)</t>
  </si>
  <si>
    <t>https://doi.org/10.1126/sciadv.aaz5593</t>
  </si>
  <si>
    <t>Unsworth, R. K., Higgs, A., Walter, B., Cullen-Unsworth, L. C., Inman, I., &amp; Jones, B. L</t>
  </si>
  <si>
    <t>Canopy Accumulation: Are Seagrass Meadows a Sink of Microplastics?</t>
  </si>
  <si>
    <t>Oceans</t>
  </si>
  <si>
    <t>https://doi.org/10.3390/oceans2010010</t>
  </si>
  <si>
    <t>Recovery_density_separation (%)</t>
  </si>
  <si>
    <t>Water_Depth (m)</t>
  </si>
  <si>
    <t>Distance_land (miles)</t>
  </si>
  <si>
    <t>Latitude (N)</t>
  </si>
  <si>
    <t>Longitude €</t>
  </si>
  <si>
    <t>Depth_min (cm)</t>
  </si>
  <si>
    <t>Depth_max (cm)</t>
  </si>
  <si>
    <t>Central_depth (cm)</t>
  </si>
  <si>
    <t>Thickness (cm)</t>
  </si>
  <si>
    <t>Abundance_fibers (n kg-1)</t>
  </si>
  <si>
    <t>Abundance_Non-fibrous (n kg-1)</t>
  </si>
  <si>
    <t>Estimated_Fibers (n kg-1)</t>
  </si>
  <si>
    <t>Corrected_Fibers (n kg-1)</t>
  </si>
  <si>
    <t>Corrected_Non-Fibrous (n kg-1)</t>
  </si>
  <si>
    <t>A temporal record of microplastic pollution in Mediterranean seagrass soils</t>
  </si>
  <si>
    <t xml:space="preserve">Dahl, M., Bergman, S., Björk, M., Diaz-Almela, E., Granberg, M., Gullström, M., ... &amp; Mateo, M. Á. </t>
  </si>
  <si>
    <t>Environmental Pollution</t>
  </si>
  <si>
    <t>https://doi.org/10.1016/j.envpol.2021.116451</t>
  </si>
  <si>
    <t>Systematic identification of microplastics in abyssal and hadal sediments of the Kuril Kamchatka trench.</t>
  </si>
  <si>
    <t xml:space="preserve">Abel, S. M., Primpke, S., Int-Veen, I., Brandt, A., &amp; Gerdts, G. </t>
  </si>
  <si>
    <t>https://doi.org/10.1016/j.envpol.2020.116095</t>
  </si>
  <si>
    <t>Microplastic accumulation in deep-sea sediments from the Rockall Trough</t>
  </si>
  <si>
    <t xml:space="preserve">Courtene-Jones, W., Quinn, B., Ewins, C., Gary, S. F., &amp; Narayanaswamy, B. E. </t>
  </si>
  <si>
    <t>https://doi.org/10.1016/j.marpolbul.2020.111092</t>
  </si>
  <si>
    <t>Canola oil</t>
  </si>
  <si>
    <t>High abundances of microplastic pollution in deep-sea sediments: evidence from Antarctica and the Southern Ocean.</t>
  </si>
  <si>
    <t xml:space="preserve">Cunningham, E. M., Ehlers, S. M., Dick, J. T., Sigwart, J. D., Linse, K., Dick, J. J., &amp; Kiriakoulakis, K. </t>
  </si>
  <si>
    <t>Environmental Science &amp; Technology</t>
  </si>
  <si>
    <t>https://doi.org/10.1021/acs.est.0c03441</t>
  </si>
  <si>
    <t>Microplastic Pollution in Deep-Sea Sediments From the Great Australian Bight</t>
  </si>
  <si>
    <t xml:space="preserve">Barrett, J., Chase, Z., Zhang, J., Holl, M. M. B., Willis, K., Williams, A., ... &amp; Wilcox, C. </t>
  </si>
  <si>
    <t>Frontiers in Marine Science</t>
  </si>
  <si>
    <t>https://doi.org/10.3389/fmars.2020.576170</t>
  </si>
  <si>
    <t>Slope</t>
  </si>
  <si>
    <t>Ridge</t>
  </si>
  <si>
    <t>Abyss</t>
  </si>
  <si>
    <t>Continental_shelf</t>
  </si>
  <si>
    <t xml:space="preserve">n g-1 </t>
  </si>
  <si>
    <t>Estimated_Non-fibrous (n kg-1)</t>
  </si>
  <si>
    <t>OriginalSource_DBD</t>
  </si>
  <si>
    <t>ID</t>
  </si>
  <si>
    <t>Poirier_2006_https://doi.org/10.1594/PANGAEA.707809_Pangaea</t>
  </si>
  <si>
    <t>Cartapanis_et_al_2016_Nat_Comm</t>
  </si>
  <si>
    <t>Kennedy_et_al_2004_Estuar_Coastal_Shelf_Sci</t>
  </si>
  <si>
    <t xml:space="preserve">Setier_et_al_2004_https://doi.org/10.1594/PANGAEA.199835_Pangaea </t>
  </si>
  <si>
    <t>Baumgart_et_al_2010_https://doi.org/10.1594/PANGAEA.737980_Pangaea</t>
  </si>
  <si>
    <t>unpublished (Grobe, 2000)</t>
  </si>
  <si>
    <t>Setier_et_al_2004_https://doi.org/10.1594/PANGAEA.199835_Pangaea; Cartapanis_et_al_2016_Nat_Comm</t>
  </si>
  <si>
    <t>Akhmet'yeva_et_al_1982_https://doi.org/10.1594/PANGAEA.755474,_Pangaea</t>
  </si>
  <si>
    <t>Bouillon_Boschker_2006_biogeosci</t>
  </si>
  <si>
    <t>Holmer_2004_Aq_Micro_Ecol</t>
  </si>
  <si>
    <t>Alt_Epping_et_al_2008_https://doi.org/10.1594/PANGAEA.707264_Pangaea; Mil_Homens_et_al_2006_https://doi.org/10.1594/PANGAEA.354681_Pangaea</t>
  </si>
  <si>
    <t>Nemirovskaya_2007_https://doi.org/10.1594/PANGAEA.745925_Pangaea</t>
  </si>
  <si>
    <t>Hartmann_et_al_1971_https://doi.org/10.1594/PANGAEA.472312_Pangaea</t>
  </si>
  <si>
    <t>Karageorgis_et_al_2002_https://doi.org/10.1594/PANGAEA.711561_Pangaea</t>
  </si>
  <si>
    <t>Alt_Epping_et_al_2008_https://doi.org/10.1594/PANGAEA.707260_Pangaea, Mil_Homens_et_al_2006_https://doi.org/10.1594/PANGAEA.354681_Pangaea</t>
  </si>
  <si>
    <t>Bakker &amp; Helder (1993)</t>
  </si>
  <si>
    <t>anonymous (1995): ODER-Project</t>
  </si>
  <si>
    <t>Inthorn_et_al_2006_https://doi.org/10.1130/G22153.1_Pangaea</t>
  </si>
  <si>
    <t>Fulthorpe_et_al_2012_https://doi.org/10.1594/PANGAEA.778002_Pangaea</t>
  </si>
  <si>
    <t>Fulthorpe_et_al_2012_https://doi.org/10.1594/PANGAEA.778792_Pangaea</t>
  </si>
  <si>
    <t>Fulthorpe_et_al_2012_https://doi.org/10.1594/PANGAEA.778649_Pangaea</t>
  </si>
  <si>
    <t>Schulz_et_al_1997_https://doi.org/10.1594/PANGAEA.721833_Pangaea</t>
  </si>
  <si>
    <t>Peterse_et_al_2009_https://doi.org/10.1594/PANGAEA.882408_Pangaea</t>
  </si>
  <si>
    <t>Shadsky_et_al_1982_https://doi.org/10.1594/PANGAEA.755482_Pangaea</t>
  </si>
  <si>
    <t>Shadsky_et_al_1982_https://doi.org/10.1594/PANGAEA.755481_Pangaea</t>
  </si>
  <si>
    <t>Frieling_et_al_2018_https://doi.org/10.1594/PANGAEA.885997_Pangaea</t>
  </si>
  <si>
    <t>Frieling_et_al_2018_https://doi.org/10.1594/PANGAEA.885995_Pangaea</t>
  </si>
  <si>
    <t>Salvado_et_al_ DOI: 10.1002/2015GL066058_Geo_Phys_Res</t>
  </si>
  <si>
    <t>Serrano_et_al. 2018_Sci_Report</t>
  </si>
  <si>
    <t>Gao_2018_Pol_J_Env_Stud</t>
  </si>
  <si>
    <t>Gao_et_al_2018_Sci_Rep</t>
  </si>
  <si>
    <t>Hartmann_et_al_1971_https://doi.org/10.1594/PANGAEA.472312_Pangaea; Marchig_1974_https://doi.org/10.1594/PANGAEA.509878_Pangaea</t>
  </si>
  <si>
    <t>Liu_et_al_2017_Sci_Total_Environ</t>
  </si>
  <si>
    <t>Alt_Epping_et_al_2008_https://doi.org/10.1594/PANGAEA.707264_Pangaea, Mil_Homens_et_al_2006_https://doi.org/10.1594/PANGAEA.354681_Pangaea</t>
  </si>
  <si>
    <t>Green_et_al_2018_Plos_One</t>
  </si>
  <si>
    <t>Lopes dos Santos_&amp;_Vane_2016_Organic_Geochem</t>
  </si>
  <si>
    <t>Alvarez-Rogel_et_al_2007_Estuar_Coast_Shelf_Sci</t>
  </si>
  <si>
    <t>Shadsky_et_al_1982_https://doi.org/10.1594/PANGAEA.755482_Pangaea, Korzhikova_et_al_1979_https://doi.org/10.1594/PANGAEA.755006_Pangaea</t>
  </si>
  <si>
    <t>Brehme (1992)</t>
  </si>
  <si>
    <t>Feary_et_al_2005_https://doi.org/10.1594/PANGAEA.252404_Pangaea</t>
  </si>
  <si>
    <t>Wirachwong_&amp;_Holmer_2010_Aquatic_Bot</t>
  </si>
  <si>
    <t>Schile_et_al_2016_ https://doi.org/10.15146/R3K59Z</t>
  </si>
  <si>
    <t>Alongi_2008_Aq_Micro_Ecol</t>
  </si>
  <si>
    <t>Olsen_et_al_2011_Soil_Biol_Biochem</t>
  </si>
  <si>
    <t>Lein_et_al_2007_https://doi.org/10.1594/PANGAEA.785886_Pangaea</t>
  </si>
  <si>
    <t>Stein_et_al_2017_https://doi.org/10.1594/PANGAEA.868789_Pangaea</t>
  </si>
  <si>
    <t>Udalov_et_al_2006_https://doi.org/10.1594/PANGAEA.726466_Pangaea</t>
  </si>
  <si>
    <t>Vazquez_et_al_2017_https://doi.org/10.1594/PANGAEA.879748_Pangaea</t>
  </si>
  <si>
    <t>n 34 cm-2</t>
  </si>
  <si>
    <t>n 63.6 g-1</t>
  </si>
  <si>
    <t>n 52.36 g-1</t>
  </si>
  <si>
    <t>Proportion_fibers</t>
  </si>
  <si>
    <t>NA</t>
  </si>
  <si>
    <t>n 7 cm-2</t>
  </si>
  <si>
    <t>Corrected_Fibers (n cm-3)</t>
  </si>
  <si>
    <t>Corrected_Non-Fibrous (n cm-3)</t>
  </si>
  <si>
    <t>Mean Population in 110 km radius (no. people km-2)</t>
  </si>
  <si>
    <t>https://digitalcommons.uri.edu/cgi/viewcontent.cgi?article=1815&amp;context=theses</t>
  </si>
  <si>
    <t>https://www.sciencedirect.com/science/article/abs/pii/S0967064597000520</t>
  </si>
  <si>
    <t>https://www.science.org/doi/10.1126/sciadv.aaz5593</t>
  </si>
  <si>
    <t>https://www.researchgate.net/publication/222728783_Skagerrak_northeastern_North_Sea_oxygen_microprofiles_and_porewater_chemistry_in_sediments</t>
  </si>
  <si>
    <t>https://epic.awi.de/id/eprint/26287/1/BerPolarforsch1992110.pdf</t>
  </si>
  <si>
    <t>https://www.sciencedirect.com/science/article/abs/pii/001670379390032R</t>
  </si>
  <si>
    <t>https://www.sciencedirect.com/science/article/abs/pii/0016703787903206</t>
  </si>
  <si>
    <t>https://pubs.geoscienceworld.org/cushmanfoundation/jfr/article-abstract/29/2/93/76789/BENTHIC-FORAMINIFERAL-DISTRIBUTION-IN-THE</t>
  </si>
  <si>
    <t>https://d1wqtxts1xzle7.cloudfront.net/45718427/Benthic_fluxes_nitrogen_cycling_in_sedim20160517-13895-1eostec.pdf?1463508491=&amp;response-content-disposition=inline%3B+filename%3DBenthic_fluxes_and_nitrogen_cycling_in_s.pdf&amp;Expires=1633870186&amp;Signature=QCNHMZ2q1c0ilM7VbHV9SAN44qo5cIIefu6Lgzy~Ayj6Lxc6fHqUM-ppqUAPAArHKWAW6zc2OAQHvseFfk8Syizfoie4b~45twkLeCHQ3rklmkUQaeHHFTGVryyEoY0JqWDZ--3r8Cq5WndgiCFFcrPVyJgRATM2SSfLHU3vWRQw0GOJuocDt9o8kYnwK1wQPOP1W-vPSIx572EkRJpUWK-Tx0Mb8WL9qEHqBH9VexcbY-nODrkhXMIgKBNctOdqDwX-3CGwctU2VcjhAZB1knkWb5EsAb~zztcEgrXmGiPaQ-uJ7E8pV0RNztuQ6IlyUXW75EphaqjXc1V8xhE0Qg__&amp;Key-Pair-Id=APKAJLOHF5GGSLRBV4ZA</t>
  </si>
  <si>
    <t>https://www.sciencedirect.com/science/article/pii/S0025322798000620?casa_token=BiG3Q93oZGgAAAAA:jW_4SLBzYSfhr4UGgsY7630I2wG0gfZBIXR1xmofnhbVdMvJoDzZQKlKzzNcldBfp9LQevGPfQ</t>
  </si>
  <si>
    <t>https://www.sciencedirect.com/science/article/pii/S0924796302000672?casa_token=C5rfPFNQXMwAAAAA:sFUK2aP7LujtoeK9KwbVbZK-uI4kwOWwQKUHHXjVRua542Z8u5a5ufyXxTAKU5EGjcMPgnY1ZQ</t>
  </si>
  <si>
    <t>https://www.sciencedirect.com/science/article/pii/0967063793900293</t>
  </si>
  <si>
    <t>https://www.sciencedirect.com/science/article/pii/S0967064502000838?casa_token=K8f0fusfNjcAAAAA:VD-WWjlH0DDtZwGth3GC_55KehjiWEK3d8nc_zqN3LBTr6k0aWeHEZiFxV4EUCWP0nh_RFGiPg</t>
  </si>
  <si>
    <t>https://archimer.ifremer.fr/doc/00093/20403/18070.pdf</t>
  </si>
  <si>
    <t>https://epic.awi.de/id/eprint/28998/1/Loc2000a.pdf</t>
  </si>
  <si>
    <t>https://core.ac.uk/download/pdf/11749054.pdf</t>
  </si>
  <si>
    <t>https://www.sciencedirect.com/science/article/pii/S0967064502001030?casa_token=LEoJrMpzNHgAAAAA:1mSGpccshw8Z9TW9QmB8ASpIxmy2qK0LIB9hX8nJh-LnBrnt6NBNIDEbzL6X4TRVTh1gIorQpg</t>
  </si>
  <si>
    <t>https://agupubs.onlinelibrary.wiley.com/doi/full/10.1029/2001GB001488</t>
  </si>
  <si>
    <t>https://www.bodc.ac.uk/resources/products/data/bodc_products/omex_1/</t>
  </si>
  <si>
    <t>https://link.springer.com/content/pdf/10.1007/s003670050107.pdf</t>
  </si>
  <si>
    <t>https://www.sciencedirect.com/science/article/pii/S0025322701002869?casa_token=TSOLYf1mIBIAAAAA:y4xlQOoPI4PZjWvdggEH5ztyysfzZTPhpSRQVPP2p8Yjt2Tzu3JRJwr1tsYvXCj2L9B0Q66owQ</t>
  </si>
  <si>
    <t>https://link.springer.com/chapter/10.1007/978-3-642-58646-0_12</t>
  </si>
  <si>
    <t>https://agupubs.onlinelibrary.wiley.com/doi/abs/10.1029/95PA00310?casa_token=q670kYtrxyUAAAAA:W-Zxw6Dr9jffAB4-N1r4E_ElO0Doll3IW0dpdubwPpuyp5QptMjlugCSOQ4xeUZsAdT5BGtTczOy1ZU</t>
  </si>
  <si>
    <t>https://www.sciencedirect.com/science/article/abs/pii/0016703773900082</t>
  </si>
  <si>
    <t>https://epic.awi.de/id/eprint/28809/1/Sok1986a.pdf</t>
  </si>
  <si>
    <t>https://www.sciencedirect.com/science/article/abs/pii/0025322794901856</t>
  </si>
  <si>
    <t>https://epic.awi.de/id/eprint/26431/1/BerPolarforsch1997251.pdf</t>
  </si>
  <si>
    <t>https://doi.pangaea.de/10.1594/PANGAEA.755474</t>
  </si>
  <si>
    <t>https://www.sciencedirect.com/science/article/pii/S0967063704001384?via%3Dihub</t>
  </si>
  <si>
    <t>https://www.int-res.com/articles/ame2008/51/a051p141.pdf</t>
  </si>
  <si>
    <t>Alt-Epping, Ulrich; Mil-Homens, Mário; Hebbeln, Dierk; Abrantes, Fatima F; Schneider, Ralph R (2008): Distribution of surface sediment properties in the Douro region. PANGAEA</t>
  </si>
  <si>
    <t>https://doi.pangaea.de/10.1594/PANGAEA.707260</t>
  </si>
  <si>
    <t>https://www.sciencedirect.com/science/article/abs/pii/S0025322707001247?via%3Dihub</t>
  </si>
  <si>
    <t>https://doi.pangaea.de/10.1594/PANGAEA.199835</t>
  </si>
  <si>
    <t>https://doi.pangaea.de/10.1594/PANGAEA.354681</t>
  </si>
  <si>
    <t>https://www.sciencedirect.com/science/article/abs/pii/S0278434306001257?via%3Dihub</t>
  </si>
  <si>
    <t>Akhmet'yeva et al. 1982</t>
  </si>
  <si>
    <t>Alongi et al. 2008</t>
  </si>
  <si>
    <t>Alt-Epping et al. 2008, Mil-Homens et al. 2006</t>
  </si>
  <si>
    <t>https://www.sciencedirect.com/science/article/pii/S0272771407000583?casa_token=2pPedeeEOZMAAAAA:nkIqGfTplDPVtmQ5m6shG3zKG6zTiU5txhzGSFbWD8nC9Kez79HObAgsK3nwsDC5TL2pCGtbNw</t>
  </si>
  <si>
    <t>Alvarez-Rogel et al. 2007</t>
  </si>
  <si>
    <t>https://doi.pangaea.de/10.1594/PANGAEA.737980</t>
  </si>
  <si>
    <t>https://www.sciencedirect.com/science/article/pii/S0967063709002428?via%3Dihub</t>
  </si>
  <si>
    <t>Baumgart et al. 2010</t>
  </si>
  <si>
    <t>https://bg.copernicus.org/articles/3/175/2006/</t>
  </si>
  <si>
    <t>https://www.int-res.com/abstracts/ame/v36/n3/p227-237/</t>
  </si>
  <si>
    <t>Holmer et al. 2004</t>
  </si>
  <si>
    <t>Lower_size_limit (um)</t>
  </si>
  <si>
    <t>Correction_factor_size</t>
  </si>
  <si>
    <t>Upper_size_limit (mm)</t>
  </si>
  <si>
    <t>Mitigation_against_contamination</t>
  </si>
  <si>
    <t>Dry_bulk_density_DBD (g cm-3)</t>
  </si>
  <si>
    <t>DataSource_DBD</t>
  </si>
  <si>
    <t>Number_of_samples</t>
  </si>
  <si>
    <t>Error_type</t>
  </si>
  <si>
    <t>Unit</t>
  </si>
  <si>
    <t>Plastic_abundance_converted (n kg-1)</t>
  </si>
  <si>
    <t>Plastic_abundance</t>
  </si>
  <si>
    <t>Sediment_accretion (cm y-1)</t>
  </si>
  <si>
    <t>Yancheva et al. 2007</t>
  </si>
  <si>
    <t>https://doi.pangaea.de/10.1594/PANGAEA.587835</t>
  </si>
  <si>
    <t>https://www.nature.com/articles/nature05431</t>
  </si>
  <si>
    <t>https://www.nature.com/articles/ncomms10796?origin=ppub</t>
  </si>
  <si>
    <t>https://doi.pangaea.de/10.1594/PANGAEA.115756</t>
  </si>
  <si>
    <t>https://www.sciencedirect.com/science/article/abs/pii/S0025322798001777?via%3Dihub</t>
  </si>
  <si>
    <t>Jian et al. 2003</t>
  </si>
  <si>
    <t>https://doi.pangaea.de/10.1594/PANGAEA.785503</t>
  </si>
  <si>
    <t>https://onlinelibrary.wiley.com/doi/10.1111/j.1502-3885.2008.00035.x</t>
  </si>
  <si>
    <t>Knudsen et al. 2008</t>
  </si>
  <si>
    <t>https://doi.pangaea.de/10.1594/PANGAEA.712694</t>
  </si>
  <si>
    <t>https://www.tib.eu/en/suchen/id/awi:doi~10.2312%252FBzP_0344_1999/</t>
  </si>
  <si>
    <t>Winkler, 1999</t>
  </si>
  <si>
    <t>https://doi.pangaea.de/10.1594/PANGAEA.736780</t>
  </si>
  <si>
    <t>https://www.sciencedirect.com/science/article/abs/pii/S0025322704003159?via%3Dihub</t>
  </si>
  <si>
    <t>Schimanski &amp; Stattegger 2005</t>
  </si>
  <si>
    <t>https://doi.pangaea.de/10.1594/PANGAEA.51719</t>
  </si>
  <si>
    <t>Grobe 1996</t>
  </si>
  <si>
    <t>https://doi.pangaea.de/10.1594/PANGAEA.771053</t>
  </si>
  <si>
    <t>Lein &amp; Ivanov 2009</t>
  </si>
  <si>
    <t>https://www.sciencedirect.com/science/article/pii/S0031018207005184?casa_token=mwWGp88BpJAAAAAA:6x3NAwpNYkBv_ydt8T-XBYX8n1-Icj06_tKMirGIzQYPYzRBUQNMulaIZssB-17z0iaSoSjKUA</t>
  </si>
  <si>
    <t>https://doi.pangaea.de/10.1594/PANGAEA.760952</t>
  </si>
  <si>
    <t>Wagner et al. 2011</t>
  </si>
  <si>
    <t>Wagner et al. 2008</t>
  </si>
  <si>
    <t>https://doi.pangaea.de/10.1594/PANGAEA.779625</t>
  </si>
  <si>
    <t>https://www.sciencedirect.com/science/article/abs/pii/S0277379112001710?via%3Dihub</t>
  </si>
  <si>
    <t>Müller et al. 2012</t>
  </si>
  <si>
    <t>Schimanski et al. 2005</t>
  </si>
  <si>
    <t>https://doi.pangaea.de/10.1594/PANGAEA.738572</t>
  </si>
  <si>
    <t>Lisitzina et al. 1979</t>
  </si>
  <si>
    <t>https://doi.pangaea.de/10.1594/PANGAEA.55728</t>
  </si>
  <si>
    <t>Leng et al. 1999</t>
  </si>
  <si>
    <t>https://www.researchgate.net/profile/Ulysses-Ninnemann/publication/228811614_Paleo-Export_Production_Terrigenous_Flux_and_Sea_Surface_Temperatures_Around_Tasmania_Implications_for_GlacialInterglacial_Changes_in_the_Subtropical_Convergence_Zone/links/0f317539833284c71f000000/Paleo-Export-Production-Terrigenous-Flux-and-Sea-Surface-Temperatures-Around-Tasmania-Implications-for-Glacial-Interglacial-Changes-in-the-Subtropical-Convergence-Zone.pdf</t>
  </si>
  <si>
    <t>Nürnberg et al., 2004</t>
  </si>
  <si>
    <t>https://doi.pangaea.de/10.1594/PANGAEA.252404</t>
  </si>
  <si>
    <t>Feary et al. 2005</t>
  </si>
  <si>
    <t>https://doi.pangaea.de/10.1594/PANGAEA.885995</t>
  </si>
  <si>
    <t>https://jm.copernicus.org/articles/37/317/2018/</t>
  </si>
  <si>
    <t>Frieling et al. 2018</t>
  </si>
  <si>
    <t>https://doi.pangaea.de/10.1594/PANGAEA.778631</t>
  </si>
  <si>
    <t>Fulthorpe et al. 2012</t>
  </si>
  <si>
    <t>Inthorn et al. 2006</t>
  </si>
  <si>
    <t>http://www.pjoes.com/Carbon-Stocks-of-Coastal-Wetland-Ecosystems-non-Hainan-Island-China,76501,0,2.html</t>
  </si>
  <si>
    <t>https://www.nature.com/articles/s41598-018-27625-5</t>
  </si>
  <si>
    <t>Gao et al. 2018a</t>
  </si>
  <si>
    <t>Gao et al. 2018b</t>
  </si>
  <si>
    <t>Green et al. 2018</t>
  </si>
  <si>
    <t>https://doi.pangaea.de/10.1594/PANGAEA.548404</t>
  </si>
  <si>
    <t>https://journals.plos.org/plosone/article?id=10.1371/journal.pone.0204431</t>
  </si>
  <si>
    <t>Hartmann et al. 1971</t>
  </si>
  <si>
    <t>Karageorgis et al. 2002</t>
  </si>
  <si>
    <t>https://doi.pangaea.de/10.1594/PANGAEA.509878</t>
  </si>
  <si>
    <t>Hartmann et al. 1971, Marchig 1974</t>
  </si>
  <si>
    <t>https://doi.pangaea.de/10.1594/PANGAEA.351146</t>
  </si>
  <si>
    <t>https://pubs.geoscienceworld.org/gsa/geology/article-abstract/34/3/205/129545/Lateral-transport-controls-distribution-quality?redirectedFrom=fulltext</t>
  </si>
  <si>
    <t>Karageorgis, Aristomenis P; Sioulas, Andreas I; Anagnostou, Christos L (2002): Sedimentology and geochemistry of surface sediments from the Pagassitikos Gulf. PANGAEA</t>
  </si>
  <si>
    <t>https://doi.pangaea.de/10.1594/PANGAEA.711561</t>
  </si>
  <si>
    <t>https://link.springer.com/article/10.1007%2Fs00367-001-0086-2</t>
  </si>
  <si>
    <t>https://www.sciencedirect.com/science/article/pii/S0272771403003470?casa_token=Nz_NAovNk2oAAAAA:r09fUVJ2pTPyLGJksB9xQoulKyXhvYwFFvzy0Sq_Ezg3lfSq2To-xarDWegtIcercWlCdzwGBA</t>
  </si>
  <si>
    <t>Kennedy et al. 2004</t>
  </si>
  <si>
    <t>https://doi.pangaea.de/10.1594/PANGAEA.785894</t>
  </si>
  <si>
    <t>https://link.springer.com/article/10.1134%2FS0024490207030029</t>
  </si>
  <si>
    <t>Lein et al. 2007</t>
  </si>
  <si>
    <t>https://www.sciencedirect.com/science/article/pii/S0048969717312299?casa_token=zwy-1WVFMvoAAAAA:Q9NYQuAfnpVKl_ML0DvrAHc_klBcXVC9WJM8R7eObulbg21vs1z20A3YM9tl0kR0iLvzANCFQQ</t>
  </si>
  <si>
    <t>Liu et al. 2017</t>
  </si>
  <si>
    <t>https://www.sciencedirect.com/science/article/pii/S0146638016000048</t>
  </si>
  <si>
    <t>Lopes dos Santos &amp; Vane 2016</t>
  </si>
  <si>
    <t>https://doi.pangaea.de/10.1594/PANGAEA.745927</t>
  </si>
  <si>
    <t>https://link.springer.com/article/10.1134%2FS0016702907070026</t>
  </si>
  <si>
    <t>Nemirovskaya 2007</t>
  </si>
  <si>
    <t>https://www.sciencedirect.com/science/article/pii/S0038071710004396?casa_token=r1NZzOvEIRcAAAAA:FZo2WGhzO3wiPeKUSY3hGBcEWsbAnRGzs4zdiYM8L9je1bgL7M-C7mZ8JgCg-v77wz6Rqcxl2g</t>
  </si>
  <si>
    <t>Olsen et al. 2011</t>
  </si>
  <si>
    <t>https://doi.pangaea.de/10.1594/PANGAEA.882408</t>
  </si>
  <si>
    <t>https://www.sciencedirect.com/science/article/abs/pii/S0146638009000679?via%3Dihub</t>
  </si>
  <si>
    <t>Peterse et al. 2009</t>
  </si>
  <si>
    <t>https://doi.pangaea.de/10.1594/PANGAEA.707809</t>
  </si>
  <si>
    <t>https://www.sciencedirect.com/science/article/abs/pii/S0012821X06004912?via%3Dihub</t>
  </si>
  <si>
    <t>Poirier 2006</t>
  </si>
  <si>
    <t>https://agupubs.onlinelibrary.wiley.com/doi/full/10.1002/2015GL066058</t>
  </si>
  <si>
    <t>Salvado et al. 2015</t>
  </si>
  <si>
    <t>https://datadryad.org/stash/dataset/doi:10.15146/R3K59Z</t>
  </si>
  <si>
    <t>Schile et al. 2016</t>
  </si>
  <si>
    <t>https://doi.pangaea.de/10.1594/PANGAEA.721833</t>
  </si>
  <si>
    <t>https://www.sciencedirect.com/science/article/abs/pii/S0012821X97000137?via%3Dihub</t>
  </si>
  <si>
    <t>Schulz et al. 1997</t>
  </si>
  <si>
    <t>https://www.nature.com/articles/s41598-018-33182-8</t>
  </si>
  <si>
    <t>Serrano et al. 2018</t>
  </si>
  <si>
    <t>https://doi.pangaea.de/10.1594/PANGAEA.755481</t>
  </si>
  <si>
    <t>Shadsky et al. 1982</t>
  </si>
  <si>
    <t>https://doi.pangaea.de/10.1594/PANGAEA.755006</t>
  </si>
  <si>
    <t>Shadsky et al. 1982; Korzhikova et al. 1979</t>
  </si>
  <si>
    <t>https://doi.pangaea.de/10.1594/PANGAEA.868789</t>
  </si>
  <si>
    <t>https://onlinelibrary.wiley.com/doi/10.1002/jqs.2929</t>
  </si>
  <si>
    <t>Stein et al. 2017</t>
  </si>
  <si>
    <t>https://doi.pangaea.de/10.1594/PANGAEA.726466</t>
  </si>
  <si>
    <t>https://link.springer.com/article/10.1134%2FS0001437006040059</t>
  </si>
  <si>
    <t>Udalov et al. 2006</t>
  </si>
  <si>
    <t>https://doi.pangaea.de/10.1594/PANGAEA.879748</t>
  </si>
  <si>
    <t>https://www.sciencedirect.com/science/article/abs/pii/S0048969717315334?via%3Dihub</t>
  </si>
  <si>
    <t>Vazquez et al. 2017</t>
  </si>
  <si>
    <t>https://www.sciencedirect.com/science/article/pii/S030437701000080X?casa_token=shHQR8Oy0sIAAAAA:RVBCONqhyIBNH0fsd2VNVYFW9aBAOvOF_-VoY83FnEzzGoKChS1oYJ5xb--SCMwycCYx4O3IqQ</t>
  </si>
  <si>
    <t>Wirachwong &amp; Holmer 2010</t>
  </si>
  <si>
    <t>De Rijk et al. 1999</t>
  </si>
  <si>
    <t>Atwood, T. B., Connolly, R. M., Almahasheer, H., Carnell, P. E., Duarte, C. M., Lewis, C. J. E., ... &amp; Lovelock, C. E.</t>
  </si>
  <si>
    <t>2018a</t>
  </si>
  <si>
    <t>Global patterns in mangrove soil carbon stocks and losses</t>
  </si>
  <si>
    <t>Nature Climate Change</t>
  </si>
  <si>
    <t>https://www.nature.com/articles/nclimate3326</t>
  </si>
  <si>
    <t>Abrantes, F., Baas, J., Haflidason, H., Rasmussen, T., Klitgaard, D., Loncaric, N., &amp; Gaspar, L.</t>
  </si>
  <si>
    <t>Sediment fluxes along the northeastern European Margin: inferring hydrological changes between 20 and 8 kyr</t>
  </si>
  <si>
    <t>Marine Geology</t>
  </si>
  <si>
    <t>Akhmet'yeva, E A; Smirnov, B A; Bordovsky, Oleg K</t>
  </si>
  <si>
    <t>PANGAEA</t>
  </si>
  <si>
    <t>Journal/Database</t>
  </si>
  <si>
    <t>Some characteristics of the composition of organic matter in the intestinal tract contents of bottom detritus eaters-holothurians</t>
  </si>
  <si>
    <t>Oceanology</t>
  </si>
  <si>
    <t>Alongi, D. M., Trott, L. A., Undu, M. C., &amp; Tirendi, F.</t>
  </si>
  <si>
    <t>Benthic microbial metabolism in seagrass meadows along a carbonate gradient in Sulawesi, Indonesia</t>
  </si>
  <si>
    <t>Aquatic Microbial Ecology</t>
  </si>
  <si>
    <t>Provenance of organic matter and nutrient conditions on a river- and upwelling influenced shelf: A case study from the Portuguese Margin</t>
  </si>
  <si>
    <t>Distribution of surface sediment properties in the Douro region</t>
  </si>
  <si>
    <t xml:space="preserve">Álvarez-Rogel, J., Jiménez-Cárceles, F. J., Roca, M. J., &amp; Ortiz, R. </t>
  </si>
  <si>
    <t>Changes in soils and vegetation in a Mediterranean coastal salt marsh impacted by human activities</t>
  </si>
  <si>
    <t>Bakker, J. F., &amp; Helder, W.</t>
  </si>
  <si>
    <t>Skagerrak (northeastern North Sea) oxygen microprofiles and porewater chemistry in sediments</t>
  </si>
  <si>
    <t>Baumgart, Anne; Jennerjahn, Tim C; Hebbeln, Dierk; Mohtadi, Mahyar</t>
  </si>
  <si>
    <t>Distribution of organic carbon in surface sediments covered during SONNE cruise SO184</t>
  </si>
  <si>
    <t>Baumgart, Anne; Jennerjahn, Tim C; Mohtadi, Mahyar; Hebbeln, Dierk</t>
  </si>
  <si>
    <t>Distribution and burial of organic carbon in sediments from the Indian Ocean upwelling region off Java and Sumatra, Indonesia</t>
  </si>
  <si>
    <t>Berelson, W M; Hammond, D E; Johnson, K S</t>
  </si>
  <si>
    <t>Benthic fluxes and the cycling of biogenic silica and carbon in two southern California borderland basins</t>
  </si>
  <si>
    <t>Geochim. Cosmochim. Acta</t>
  </si>
  <si>
    <t>Bouillon, S., &amp; Boschker, H. T. S.</t>
  </si>
  <si>
    <t>Bacterial carbon sources in coastal sediments: a cross-system analysis based on stable isotope data of biomarkers</t>
  </si>
  <si>
    <t>Biogeosciences</t>
  </si>
  <si>
    <t xml:space="preserve">Brehme, I </t>
  </si>
  <si>
    <t xml:space="preserve">Sedimentfazies und Bodenwasserstrom am Kontinentalhang des nordwestlichen Weddelmeeres (Sediment facies and bottomwater current on the continental slope in the northwestern Weddell Sea). </t>
  </si>
  <si>
    <t>Reports on Polar Research, Alfred Wegener Institute for Polar and Marine Research, Bremerhaven</t>
  </si>
  <si>
    <t xml:space="preserve">Cartapanis, O., Bianchi, D., Jaccard, S. L., &amp; Galbraith, E. D. </t>
  </si>
  <si>
    <t>Nature communications</t>
  </si>
  <si>
    <t xml:space="preserve">Clough, L M; Ambrose jr, W G; Cochran, J K; Barnes, C; Renaud, P E &amp; Aller, R C </t>
  </si>
  <si>
    <t>Infaunal density, biomass and bioturbation in the sediments of the Arctic Ocean</t>
  </si>
  <si>
    <t>Deep-Sea Research II</t>
  </si>
  <si>
    <t>Cough, M A; Fauzi, R; Mantoura, C; Preston, M</t>
  </si>
  <si>
    <t>Terrestrial plant biopolymers in marine sediments</t>
  </si>
  <si>
    <t xml:space="preserve">Geochim.Cosmochim.Acta </t>
  </si>
  <si>
    <t>Cwienk, Douglas S.</t>
  </si>
  <si>
    <t>Recent and Glacial Age Organic Carbon and Biogenic Silica Accumulation in Marine Sediments</t>
  </si>
  <si>
    <t>Open Access Master's Theses</t>
  </si>
  <si>
    <t xml:space="preserve">De Rijk, S; Troelstra, S R &amp; Rohling, E J </t>
  </si>
  <si>
    <t>Benthic foraminiferal distribution in the Mediterranean Sea</t>
  </si>
  <si>
    <t>Journal of Foraminiferal Research</t>
  </si>
  <si>
    <t xml:space="preserve">Devol, A H and Christensen, J P </t>
  </si>
  <si>
    <t>Benthic fluxes and nitrogen cycling in sediments of the continental margin of the eastern North Pacific</t>
  </si>
  <si>
    <t>J. Mar. Res.</t>
  </si>
  <si>
    <t>dos Santos, R. A. L., &amp; Vane, C. H.</t>
  </si>
  <si>
    <t>Signatures of tetraether lipids reveal anthropogenic overprinting of natural organic matter in sediments of the Thames Estuary, UK</t>
  </si>
  <si>
    <t>Organic Geochemistry</t>
  </si>
  <si>
    <t xml:space="preserve">Emelyanov, E. M. and Romankevich, E A </t>
  </si>
  <si>
    <t>Geochemistry of the Atlantic Ocean: Organic carbon and Phosphorous (in Russian)</t>
  </si>
  <si>
    <t>Nauka, Moscow</t>
  </si>
  <si>
    <t xml:space="preserve">Feary, David A; Hine, Albert C; Malone, Mitchell J; Shipboard Scientific Party </t>
  </si>
  <si>
    <t>Carbonates and bulk sediment geochemistry of ODP Hole 182-1133B</t>
  </si>
  <si>
    <t>Frieling, Joost; Huurdeman, Emiel P; Rem, Charlotte C M; Donders, Timme H; Pross, Jörg; Bohaty, Steven M; Holdgate, Guy R; Gallagher, Stephen John; McGowran, Brian; Bijl, Peter K</t>
  </si>
  <si>
    <t>Identification of the Paleocene?Eocene boundary in coastal strata in the Otway Basin, Victoria, Australia</t>
  </si>
  <si>
    <t>Journal of Micropalaeontology</t>
  </si>
  <si>
    <t>Carbon and carbon isotope ratios of sediment core Latrobe-1</t>
  </si>
  <si>
    <t>Fulthorpe, Craig S; Hoyanagi, Koichi; Blum, Peter; Expedition 317 Scientists</t>
  </si>
  <si>
    <t xml:space="preserve">Gao, G. F., Li, P. F., Shen, Z. J., Qin, Y. Y., Zhang, X. M., Ghoto, K., ... &amp; Zheng, H. L. </t>
  </si>
  <si>
    <t>2018b</t>
  </si>
  <si>
    <t>Exotic Spartina alterniflora invasion increases CH 4 while reduces CO 2 emissions from mangrove wetland soils in southeastern China</t>
  </si>
  <si>
    <t xml:space="preserve">Gao, T., Ding, D., Guan, W., &amp; Liao, B. </t>
  </si>
  <si>
    <t>Carbon stocks of coastal wetland ecosystems on Hainan Island, China</t>
  </si>
  <si>
    <t>Polish Journal of Environmental Studies</t>
  </si>
  <si>
    <t>Gingele, F X &amp; Leipe, T</t>
  </si>
  <si>
    <t>Distribution and enrichment of redox-sensitive metals in Baltic Sea sediments</t>
  </si>
  <si>
    <t>Baltica</t>
  </si>
  <si>
    <t>Giordani, P; Helder, W; Koning, E; Miserocchi, S; Danovaro, R; Malaguti, A.</t>
  </si>
  <si>
    <t>Gradients of benthic-pelagic coupling and carbon budgets in the Adriatic and Northern Ionian Sea</t>
  </si>
  <si>
    <t>Journal of Marine Systems</t>
  </si>
  <si>
    <t xml:space="preserve">Green, A., Chadwick, M. A., &amp; Jones, P. J. </t>
  </si>
  <si>
    <t>Variability of UK seagrass sediment carbon: Implications for blue carbon estimates and marine conservation management</t>
  </si>
  <si>
    <t>PLoS One</t>
  </si>
  <si>
    <t>Grobe, Hannes</t>
  </si>
  <si>
    <t>Sedimentology of core PS1786-1. Alfred Wegener Institute, Helmholtz Centre for Polar and Marine Research, Bremerhaven</t>
  </si>
  <si>
    <t>Hartmann, Martin; Lange, Heinz; Seibold, Eugen; Walger, Eckart</t>
  </si>
  <si>
    <t>Geologic-hydrologic setting and surface sedimentology in the Persian Gulf</t>
  </si>
  <si>
    <t>Hebbeln, D &amp; Berner, H</t>
  </si>
  <si>
    <t>Surface sediment distribution in the Fram Strait</t>
  </si>
  <si>
    <t>Deep-Sea Research</t>
  </si>
  <si>
    <t>Holmer, M., Duarte, C. M., Boschker, H. T. S., and Barron, C.</t>
  </si>
  <si>
    <t>Carbon cycling and bacterial carbon sources in pristine and impacted Mediterranean seagrass sediments</t>
  </si>
  <si>
    <t>Aquat. Microb. Ecol.</t>
  </si>
  <si>
    <t>Inthorn, Maik; Wagner, Thomas; Scheeder, Georg; Zabel, Matthias</t>
  </si>
  <si>
    <t>Lateral transport controls distribution, quality and burial of organic matter along continental slopes in high-productivity areas</t>
  </si>
  <si>
    <t>Geology</t>
  </si>
  <si>
    <t>Compilation of organic carbon distribution and sedimentology in the surface sediments on the continental margin offshore southwestern Africa</t>
  </si>
  <si>
    <t>Isla, E; Masque, P; Palanques, A; Sanchez-Cabeza, J A; Bruach, J M; Guillen, J; Puig, P</t>
  </si>
  <si>
    <t>Sediment accumulation rates and carbon burial in bottom sediment in a high-productivity area: Gerlache Strait (Antarctica)</t>
  </si>
  <si>
    <t>Deep Sea Res. II</t>
  </si>
  <si>
    <t>Jennerjahn, T C and Ittekkot, V</t>
  </si>
  <si>
    <t>Organic matter in sediments in the mangrove areas and adjacent continental marginns of Brasil: I. Amino acids and hexosamins</t>
  </si>
  <si>
    <t>Oceanologica Acta</t>
  </si>
  <si>
    <t xml:space="preserve">Jian, Zhimin; Wang, Luejiang; Kienast, Markus; Sarnthein, Michael; Kuhnt, Wolfgang; Lin, Hui-Ling; Wang, Pinxian </t>
  </si>
  <si>
    <t>Benthic foraminiferal paleoceanography of the South China Sea over the last 40,000 years</t>
  </si>
  <si>
    <t>Jian, Zhimin; Wang, Liping; Kienast, Markus; Sarnthein, Michael; Kuhnt, Wolfgang; Lin, Hui-Ling; Wang, Pinxian</t>
  </si>
  <si>
    <t>Carbon analysis on sediment core GIK17940-2</t>
  </si>
  <si>
    <t>Use of surface sediments in Pagassitikos Gulf, Greece, to detect anthropogenic influence</t>
  </si>
  <si>
    <t>Sedimentology and geochemistry of surface sediments from the Pagassitikos Gulf</t>
  </si>
  <si>
    <t>Kennedy, H., Gacia, E., Kennedy, D. P., Papadimitriou, S., &amp; Duarte, C. M.</t>
  </si>
  <si>
    <t>Organic carbon sources to SE Asian coastal sediments</t>
  </si>
  <si>
    <t>Knudsen, Karen Luise; Stabell, Bjorg; Seidenkrantz, Marit-Solveig; Eiriksson, Jón; Blake, Weston Jr</t>
  </si>
  <si>
    <t>Deglacial and Holocene conditions in northernmost Baffin Bay: sediments, foraminifera, diatoms and stable isotopes</t>
  </si>
  <si>
    <t xml:space="preserve">Korzhikova, L I; Smirnov, B A; Bordovsky, Oleg K </t>
  </si>
  <si>
    <t>Characteristics of the chemical composition of organic matter in ocean sediments in regions of its large-scale accumulation</t>
  </si>
  <si>
    <t>Boreas</t>
  </si>
  <si>
    <t>Lein, Alla Yu; Ivanov, Mikhail V</t>
  </si>
  <si>
    <t>Lein, Alla Yu; Savvichev, Alexander S; Rusanov, Igor I; Pavlova, Galina A; Belyaev, Nikolay A; Crane, Kathleen; Pimenov, Nikolay V; Ivanov, Mikhail V</t>
  </si>
  <si>
    <t>Biogeochemical parameters and processes in waters and bottom sediments of the Chukchi Sea</t>
  </si>
  <si>
    <t>Biogeochemical processes in the Chukchi Sea. Translated from Litologiya i Poleznye Iskopaemye</t>
  </si>
  <si>
    <t>Lithology and Mineral Resources</t>
  </si>
  <si>
    <t>Biogeokhimicheskii Tsikl Metana v Okeane (Biogeochemical Cycle of Methane in the Ocean)</t>
  </si>
  <si>
    <t>Nauka Publ. (Moscow); Lisitzin, A.P. (Ed.)</t>
  </si>
  <si>
    <t>Geo-Marine Letters</t>
  </si>
  <si>
    <t>Scientific reports</t>
  </si>
  <si>
    <t>Leng, C; Kuhn, Gerhard</t>
  </si>
  <si>
    <t>Sedimentology of core PS2513-3</t>
  </si>
  <si>
    <t>Lisitzin, A P; Emelyanov, E M; Ilyin, A V; Koshelev, B A; Litvin, V M; Likoshevitchus, L S; Senin, Y M; Svirenko, Y P; Soldatov, A V &amp; Shurko, Y.I.</t>
  </si>
  <si>
    <t>Distribution of bottom sediments in the Atlantic Ocean</t>
  </si>
  <si>
    <t>Lisitzin, A (ed.), Sedimentation in the Atlantic Ocean (in Russian), Kaliningradskaya Pravda, Kaliningrad and supplement</t>
  </si>
  <si>
    <t>Lisitzina, Nadezhda A; Butuzova, Galina Yu; Volkov, Igor I; et al.</t>
  </si>
  <si>
    <t>Lithology and Geochemistry of Pacific Sediments (Transpacific Profile)</t>
  </si>
  <si>
    <t>Geological Institute of the Russian Academy of Sciences, Transactions, vol. 334. Moscow, Nauka Publ. (V.N. Kholodov, Ed.)</t>
  </si>
  <si>
    <t>Moisture and density (MAD) measured on IODP Hole 317-U1353B</t>
  </si>
  <si>
    <t>Global pulses of organic carbon burial in deep-sea sediments during glacial maxima</t>
  </si>
  <si>
    <t>Composition of organic matter in bottom sediments and in digestive tract contents of holothurians</t>
  </si>
  <si>
    <t>Carbon analysis of HUD91/039 from the northernmost Baffin Bay</t>
  </si>
  <si>
    <t>Organic matter in bottom sediments of the Atlantic and Pacific oceans</t>
  </si>
  <si>
    <t>Sulfur and carbon speciations in the zone of stabilization of diagenetic processes in marine Holocene sediments of the Baltic Sea</t>
  </si>
  <si>
    <t>Chemical composition of bottom sediments at the Transpacific profile</t>
  </si>
  <si>
    <t>Liu, S., Jiang, Z., Zhang, J., Wu, Y., Huang, X., &amp; Macreadie, P. I.</t>
  </si>
  <si>
    <t>Sediment microbes mediate the impact of nutrient loading on blue carbon sequestration by mixed seagrass meadows</t>
  </si>
  <si>
    <t>Science of the total environment</t>
  </si>
  <si>
    <t>Lochte, K; Boetius, A; Gebruk, A; Helder, W; Jahnke, R; Pfannkuche, O; Rabouille, C; Schlüter, M; Shimmield, G; Sibuet, M; Soltwedel, T; Vetrov, A &amp; Zabel, M</t>
  </si>
  <si>
    <t xml:space="preserve">Atlantic data base for exchange processes at the deep sea floor (ADEPD). Data collected and published through EU-project ADEPD (MAS3-CT97-0126- ADEPD) 1998/99. </t>
  </si>
  <si>
    <t>Institute for Baltic Sea Research, Warnemünde, Germany</t>
  </si>
  <si>
    <t xml:space="preserve">Mackensen, A </t>
  </si>
  <si>
    <t>Verbreitung und Umwelt benthischer Foraminiferen in der Norwegischen See</t>
  </si>
  <si>
    <t>Thesis, Christian-Albrechts-Universität, Kiel</t>
  </si>
  <si>
    <t>Marchig, V</t>
  </si>
  <si>
    <t>Zur Geochemie rezenter Sedimente des Indischen Ozeans II. Arabisches Meer, afrikanischer Kontinentalrand und Vergleich mit dem indisch-pakistanischen Kontinentalrand. </t>
  </si>
  <si>
    <t>Meteor Forschungsergebnisse, Deutsche Forschungsgemeinschaft, Reihe C Geologie und Geophysik, Gebrüder Bornträger, Berlin, Stuttgart</t>
  </si>
  <si>
    <t>Total organic carbon, nitrogen and phosphorus oxygen content of sediment core GIK01154, Arabian Sea, African continental margin</t>
  </si>
  <si>
    <t xml:space="preserve">Meggers, H; Freudenthal, T; Nave, SO; Targarona, J; Abrantes, F; Helmke, P </t>
  </si>
  <si>
    <t>Assessment of geochemical and micropaleontological sedimentary parameters as proxies of surface .water properties in the Canary Islands region</t>
  </si>
  <si>
    <t>Mil-Homens, Mário; Stevens, R L; Abrantes, Fatima F; Cato, I</t>
  </si>
  <si>
    <t>Heavy metal assessment for surface sediments from three areas of the Portuguese continental shelf</t>
  </si>
  <si>
    <t>Continental Shelf Research</t>
  </si>
  <si>
    <t>Mil-Homens, Mário; Stevens, R L; Cato, I</t>
  </si>
  <si>
    <t>Geochemical analysis of surface sediments along the Portuguese Margin</t>
  </si>
  <si>
    <t>Mollenhauer, G; Schneider, R R; Müller, P J; Spieß, V; Wefer, G</t>
  </si>
  <si>
    <t>Glacial/Interglacial Variability in the Benguela Upwelling System: Spatial Distribution and Budgets of Organic Carbon Accumulation</t>
  </si>
  <si>
    <t>Global Biogeochemical Cycles</t>
  </si>
  <si>
    <t>Müller, Juliane; Werner, Kirstin; Stein, Ruediger; Fahl, Kirsten; Moros, Matthias; Jansen, Eystein</t>
  </si>
  <si>
    <t>Holocene cooling culminates in sea ice oscillations in Fram Strait</t>
  </si>
  <si>
    <t>Quaternary Science Reviews</t>
  </si>
  <si>
    <t>Biomarker analyses and accumulation rates of sediment core MSM05/5_712-2</t>
  </si>
  <si>
    <t>Nemirovskaya, IA</t>
  </si>
  <si>
    <t>Hydrocarbons in water and bottom sediments of a region with continuous petroleum contamination</t>
  </si>
  <si>
    <t>Geochemistry International</t>
  </si>
  <si>
    <t>Nemirovskaya, Inna A</t>
  </si>
  <si>
    <t>Contents of hydrocarbons in waters and bottom sediments of the southwestern Amur Bay (Sea of Japan) in April 2005</t>
  </si>
  <si>
    <t xml:space="preserve">Nürnberg, D., Brughmans, N., Schönfeld, J., Ninnemann, U., &amp; Dullo, C. </t>
  </si>
  <si>
    <t>Paleo-export production, terrigenous flux and sea surface temperatures around Tasmania-implications for Glacial/Interglacial changes in the Subtropical Convergence Zone. The Cenozoic Southern Ocean: Tectonics, Sedimentation, and Climate Change Between Australia and Antarctica</t>
  </si>
  <si>
    <t>Geophys. Monogr. Ser</t>
  </si>
  <si>
    <t>Olsen, Y. S., Dausse, A., Garbutt, A., Ford, H., Thomas, D. N., &amp; Jones, D. L.</t>
  </si>
  <si>
    <t>Cattle grazing drives nitrogen and carbon cycling in a temperate salt marsh</t>
  </si>
  <si>
    <t>Soil Biology and Biochemistry</t>
  </si>
  <si>
    <t>OMEX-I</t>
  </si>
  <si>
    <t>Ocean Margin Exchange, OMEX-I project data set, Natural Environmental Research Council</t>
  </si>
  <si>
    <t>British Oceanographic Data Center, Bidston Observatory, Birkenhead, Merseyside</t>
  </si>
  <si>
    <t xml:space="preserve">Ovalle, A.R.C., C.E. Rezende, C.E.V. Carvalho, T.C. Jennerjahn &amp; V. Ittekkot </t>
  </si>
  <si>
    <t>Biogeochemical characteristics of coastal waters adjacent to small river-mangrove systems, East Brazil.- In Sedimentation process at the East and Northeast Brazil Shelf, (eds. B. Knoppers &amp; W. Ekau)</t>
  </si>
  <si>
    <t xml:space="preserve">Geo-Mar. Lett. </t>
  </si>
  <si>
    <t>Peterse, Francien; Kim, Jung-Hyun; Schouten, Stefan; Klitgaard-Kristensen, Dorthe; Koç, Nalân; Sinninghe Damsté, Jaap S</t>
  </si>
  <si>
    <t>Constraints on the application of the MBT/CBT palaeothermometer at high latitude environments (Svalbard, Norway)</t>
  </si>
  <si>
    <t>General properties, branched GDGT concentrations and proxy values for marine surface sediments in Kongsfjorden and Krossfjorden</t>
  </si>
  <si>
    <t>Poirier, A</t>
  </si>
  <si>
    <t>Re-Os and Pb isotope systematics in reduced fjord sediments from Saanich Inlet (Western Canada)</t>
  </si>
  <si>
    <t>Earth and Planetary Science Letters</t>
  </si>
  <si>
    <t>Element concentrations of Re, Os, organic and inorganic C, and isotopic composition of Os and Pb of sediment core SI_1034A</t>
  </si>
  <si>
    <t>Prakasch Babu, C; Brumsack, H-J; Schnetger, B; Böttcher, M E</t>
  </si>
  <si>
    <t>Barium as a productivity proxy in continental margin sediments:a study from the eastern Arabian Sea</t>
  </si>
  <si>
    <t>Marine Geol</t>
  </si>
  <si>
    <t xml:space="preserve">Rosenthal, Y; Boyle, E A, Labeyrie, L; Oppo, D </t>
  </si>
  <si>
    <t>Glacial enrichments of authigenic Cd and U in subantarctic sediments: a climatic control on the elements oceanic budget</t>
  </si>
  <si>
    <t>Paleoceanography</t>
  </si>
  <si>
    <t>Rühlemann, C; Müller, P J; Schneider, R R</t>
  </si>
  <si>
    <t>Springer Verlag Berlin Heidelberg New York</t>
  </si>
  <si>
    <t>Organic Carbon and Carbonate as Paleoproductivity Proxies: Examples from High and Low Productivity Areas of the Tropical Atlantic In: G. Fischer and G. Wefer (eds.), Use of Proxies in Paleoceanography: examples from the South Atlantic</t>
  </si>
  <si>
    <t>Salvadó, J. A., Tesi, T., Andersson, A., Ingri, J., Dudarev, O. V., Semiletov, I. P., &amp; Gustafsson, Ö.</t>
  </si>
  <si>
    <t>Organic carbon remobilized from thawing permafrost is resequestered by reactive iron on the Eurasian Arctic Shelf</t>
  </si>
  <si>
    <t>Geophysical Research Letters</t>
  </si>
  <si>
    <t>Schile, Lisa; Kauffman, J. Boone; Megonigal, J. Patrick; Fourqurean, James; Crooks, Stephen</t>
  </si>
  <si>
    <t>Abu Dhabi Blue Carbon project</t>
  </si>
  <si>
    <t>Dryad</t>
  </si>
  <si>
    <t>Schimanski, A; Stattegger, K</t>
  </si>
  <si>
    <t>Deglacial and Holocene evolution of the Vietnam shelf: stratigraphy, sediments and sea-level change</t>
  </si>
  <si>
    <t>Schimanski, Alexander; Stattegger, Karl</t>
  </si>
  <si>
    <t>Sedimentology of the Vietnam shelf</t>
  </si>
  <si>
    <t>Schulz, Hans-Martin; Emeis, Kay-Christian; Volkmann, N</t>
  </si>
  <si>
    <t>Organic geochemical character of samples of mud breccia from ODP Site 160-971</t>
  </si>
  <si>
    <t xml:space="preserve"> Organic carbon provenance and maturity in the mud breccia from the Napoli mud volcano: Indicators of origin and burial depth</t>
  </si>
  <si>
    <t xml:space="preserve">Seiter, Katherina; Hensen, Christian; Schröter, Jürgen; Zabel, Matthias </t>
  </si>
  <si>
    <t>Organic carbon content in surface sediments-defining regional provinces</t>
  </si>
  <si>
    <t>Total organic carbon content in surface sediments, a compilation from different sources</t>
  </si>
  <si>
    <t>Serrano, O., Almahasheer, H., Duarte, C. M., &amp; Irigoien, X.</t>
  </si>
  <si>
    <t>Carbon stocks and accumulation rates in Red Sea seagrass meadows</t>
  </si>
  <si>
    <t xml:space="preserve">Shadsky, I P; Romankevich, Evgeny A; Grinchenko, YuI </t>
  </si>
  <si>
    <t>Isotopic composition of carbon in organic matter of particulate matter from the Northwest Pacific</t>
  </si>
  <si>
    <t>Sholkovitz, E</t>
  </si>
  <si>
    <t>Interstitial water chemistry of the Santa Barbara Basin sediments</t>
  </si>
  <si>
    <t>Isotopic composition of carbon in lipids from suspended matter and bottom sediments east of the Kuril Islands</t>
  </si>
  <si>
    <t>Geochim. et Cosmochim. Acta</t>
  </si>
  <si>
    <t>Sokolowski, B F</t>
  </si>
  <si>
    <t>Vergleichende sedimentologisch-geochemische Untersuchungen an marinen Oberflächensedimenten der Deutschen Bucht (Nordsee), der Lübecker-Mecklenburger Bucht (Ostsee) und des Weddell-Meeres (Antarktis).</t>
  </si>
  <si>
    <t>Beiträge zur Meerestechnik, Arbeitsgruppe Meerestechnik und Marine Mineralstoffe, Technische Universität Clausthal</t>
  </si>
  <si>
    <t>Stein, R., Fahl, K., Schade, I., Manerung, A., Wassmuth, S., Niessen, F., &amp; Nam, S. I.</t>
  </si>
  <si>
    <t>Holocene variability in sea ice cover, primary production, and Pacific‐Water inflow and climate change in the Chukchi and East Siberian Seas (Arctic Ocean)</t>
  </si>
  <si>
    <t>Journal of Quaternary Science</t>
  </si>
  <si>
    <t>Stein, R; Grobe, H &amp; Wahsner, M</t>
  </si>
  <si>
    <t>Organic carbon, carbonate, and clay mineral distributions in eastern central Arctic Ocean surface sediments</t>
  </si>
  <si>
    <t>Bulk sediment parameter of sediment core ARA2B-1A</t>
  </si>
  <si>
    <t xml:space="preserve">Udalov, S S; Britaev, T A; Than, N T H </t>
  </si>
  <si>
    <t>Properties of grab sampled sediments from the Nha Trang Bay</t>
  </si>
  <si>
    <t>Features of the soft-bottom subtidal macrobenthos in Nha Trang Bay (Vietnam, South China Sea)</t>
  </si>
  <si>
    <t>Vázquez, Susana; Monien, Patrick; Pepino Minetti, Roberto; Jürgens, Jutta; Curtosi, Antonio; Villalba Primitz, Julia; Frickenhaus, Stephan; Abele, Doris; Mac Cormack, Walter; Helmke, Elisabeth</t>
  </si>
  <si>
    <t>Bacterial communities and chemical parameters in soils and coastal sediments in response to diesel spills at Carlini Station, Antarctica.</t>
  </si>
  <si>
    <t>Science of the Total Environment</t>
  </si>
  <si>
    <t>Carbon, nitrogen and hydrocarbons contents in soils and sediments after a diesel spill at Carlini Base, King George Island (Isla 25 de Mayo)</t>
  </si>
  <si>
    <t xml:space="preserve">Vetrov, A A; Romankevitch, E A; Benenson, M A </t>
  </si>
  <si>
    <t>Computer compilation of organic carbon distribution maps for bottom sediments</t>
  </si>
  <si>
    <t>Vogt, C</t>
  </si>
  <si>
    <t xml:space="preserve"> Zeitliche und räumliche Verteilung von Mineralvergesellschaftungen in spätquartären Sedimenten des Arktische Ozeans und ihre Nützlichkeit als Klimaindikatoren während der Glazial/Interglazial-Wechsel (Regional and temporal variations of mineral assemblages in Arctic Ocean sediments as climatic indicators during glacial/interglacial changes)</t>
  </si>
  <si>
    <t>Reports on Polar Research, Bremerhaven</t>
  </si>
  <si>
    <t xml:space="preserve">Wagner, B., Reicherter, K., Daut, G., Wessels, M., Matzinger, A., Schwalb, A., ... &amp; Sanxhaku, M. </t>
  </si>
  <si>
    <t>The potential of Lake Ohrid for long-term palaeoenvironmental reconstructions</t>
  </si>
  <si>
    <t>Palaeogeography, Palaeoclimatology, Palaeoecology</t>
  </si>
  <si>
    <t xml:space="preserve">Wagner, Bernd; Reicherter, Klaus; Daut, Gerhard; Wessels, Martin; Matzinger, Andreas; Schwalb, Antje; Spirkovski, Zoran; Sanxhaku, Mitat </t>
  </si>
  <si>
    <t>Sedimentology of core Lz1084 from the central lake basin</t>
  </si>
  <si>
    <t>Winkler, A</t>
  </si>
  <si>
    <t>Die Klimageschichte der hohen nördlichen Breiten seit dem mittleren Miozän: Hinweise aus sedimentologischen-tonmineralogischen Analysen (ODP Leg 151, zentrale Framstraße) (The climate history of the high northern latitudes since the Middle Miocene: indications from sedimentological and clay mineralogical analyses (ODP Leg 151, central Fram Strait))</t>
  </si>
  <si>
    <t>Berichte zur Polarforschung = Reports on Polar Research</t>
  </si>
  <si>
    <t>Sedimentological and clay mineralogical analysis of ODP sites in the central Fram Strait</t>
  </si>
  <si>
    <t>Wirachwong, P., &amp; Holmer, M.</t>
  </si>
  <si>
    <t>Nutrient dynamics in 3 morphological different tropical seagrasses and their sediments</t>
  </si>
  <si>
    <t>Aquatic Botany</t>
  </si>
  <si>
    <t>Yancheva, G., Nowaczyk, N. R., Mingram, J., Dulski, P., Schettler, G., Negendank, J. F., ... &amp; Haug, G. H.</t>
  </si>
  <si>
    <t>Influence of the intertropical convergence zone on the East Asian monsoon</t>
  </si>
  <si>
    <t>Nature</t>
  </si>
  <si>
    <t>Geochemistry of sediment core HUG-C of Lake Huguang Maar, Southeast China</t>
  </si>
  <si>
    <t>Isla et al. (2002)</t>
  </si>
  <si>
    <t>Clough et al. (1997)</t>
  </si>
  <si>
    <t>Vogt (1997)</t>
  </si>
  <si>
    <t>Stein et al. (1994)</t>
  </si>
  <si>
    <t>Giordani et al. (2002)</t>
  </si>
  <si>
    <t>Hebbeln &amp; Berner (1993)</t>
  </si>
  <si>
    <t>Cough et al. (1993)</t>
  </si>
  <si>
    <t>De Rijk et al. (1999)</t>
  </si>
  <si>
    <t>Sokolowski (1986)</t>
  </si>
  <si>
    <t>Rühlemannn et al. (1999)</t>
  </si>
  <si>
    <t>OMEX-1 (1997)</t>
  </si>
  <si>
    <t>Mollenhauer et al. (2002)</t>
  </si>
  <si>
    <t>Rosenthal et al. (1995)</t>
  </si>
  <si>
    <t>Prakash Babu et al. (2002 )</t>
  </si>
  <si>
    <t>Cwienk (1986); Heath, unpub</t>
  </si>
  <si>
    <t>Vetrov et al. (1997)</t>
  </si>
  <si>
    <t>Lochte et al. (2000); Lisitzin et al. (1975)</t>
  </si>
  <si>
    <t>Meggers et al. (2002)</t>
  </si>
  <si>
    <t>Lochte et al. (2000)</t>
  </si>
  <si>
    <t>Lochte et al. (2000); Avilov (1965)</t>
  </si>
  <si>
    <t>Lochte et al. (2000); Gorshkova (1962)</t>
  </si>
  <si>
    <t>Stein et al. (1999)</t>
  </si>
  <si>
    <t>Gingele &amp; Leipe (1997)</t>
  </si>
  <si>
    <t>Gordon et al. (2001)</t>
  </si>
  <si>
    <t>Abrantes et al. (1998)</t>
  </si>
  <si>
    <t>Hathaway (1971)</t>
  </si>
  <si>
    <t>Mackensen (1985)</t>
  </si>
  <si>
    <t>Berelson et al. (2002)</t>
  </si>
  <si>
    <t>Jennerjahn &amp; Ittekkot (1997)</t>
  </si>
  <si>
    <t>Sholkovitz (1973)</t>
  </si>
  <si>
    <t>Lochte et al. (2000); Lisitzin et al. (1975); Emelyanov &amp; Romankevich (1979)</t>
  </si>
  <si>
    <t>Devol &amp; Christensen (1993)</t>
  </si>
  <si>
    <t>Ovalle et al. (1999)</t>
  </si>
  <si>
    <t/>
  </si>
  <si>
    <t xml:space="preserve"> </t>
  </si>
  <si>
    <t>0.91</t>
  </si>
  <si>
    <t>509.6</t>
  </si>
  <si>
    <t>0.96</t>
  </si>
  <si>
    <t>2841.6</t>
  </si>
  <si>
    <t>3513.6</t>
  </si>
  <si>
    <t>0.81</t>
  </si>
  <si>
    <t>1534.95</t>
  </si>
  <si>
    <t>1731.73</t>
  </si>
  <si>
    <t>0.67</t>
  </si>
  <si>
    <t>1569.14</t>
  </si>
  <si>
    <t>0.834</t>
  </si>
  <si>
    <t>250.2</t>
  </si>
  <si>
    <t>677.8</t>
  </si>
  <si>
    <t>565.2852</t>
  </si>
  <si>
    <t>1022.2</t>
  </si>
  <si>
    <t>852.5148</t>
  </si>
  <si>
    <t>1177.8</t>
  </si>
  <si>
    <t>982.2852</t>
  </si>
  <si>
    <t>0.84</t>
  </si>
  <si>
    <t>2475.48</t>
  </si>
  <si>
    <t>0.85</t>
  </si>
  <si>
    <t>1588.65</t>
  </si>
  <si>
    <t>0.74</t>
  </si>
  <si>
    <t>1616.9</t>
  </si>
  <si>
    <t>0.86</t>
  </si>
  <si>
    <t>2039.06</t>
  </si>
  <si>
    <t>411.1</t>
  </si>
  <si>
    <t>342.8574</t>
  </si>
  <si>
    <t>655.6</t>
  </si>
  <si>
    <t>546.7704</t>
  </si>
  <si>
    <t>1055.6</t>
  </si>
  <si>
    <t>880.3704</t>
  </si>
  <si>
    <t>1344.4</t>
  </si>
  <si>
    <t>1121.2296</t>
  </si>
  <si>
    <t>0.82</t>
  </si>
  <si>
    <t>1983.58</t>
  </si>
  <si>
    <t>2817.35</t>
  </si>
  <si>
    <t>471.4</t>
  </si>
  <si>
    <t>393.1476</t>
  </si>
  <si>
    <t>1128.6</t>
  </si>
  <si>
    <t>941.2524</t>
  </si>
  <si>
    <t>1514.3</t>
  </si>
  <si>
    <t>1262.9262</t>
  </si>
  <si>
    <t>2142.9</t>
  </si>
  <si>
    <t>1787.1786</t>
  </si>
  <si>
    <t>0.88</t>
  </si>
  <si>
    <t>1810.16</t>
  </si>
  <si>
    <t>734.8</t>
  </si>
  <si>
    <t>39.27</t>
  </si>
  <si>
    <t>0.646</t>
  </si>
  <si>
    <t>25.36842</t>
  </si>
  <si>
    <t>68.78</t>
  </si>
  <si>
    <t>44.43188</t>
  </si>
  <si>
    <t>20.78</t>
  </si>
  <si>
    <t>13.42388</t>
  </si>
  <si>
    <t>17.69</t>
  </si>
  <si>
    <t>11.42774</t>
  </si>
  <si>
    <t>5.3</t>
  </si>
  <si>
    <t>3.4238</t>
  </si>
  <si>
    <t>8.33</t>
  </si>
  <si>
    <t>5.38118</t>
  </si>
  <si>
    <t>198.5</t>
  </si>
  <si>
    <t>0.485</t>
  </si>
  <si>
    <t>96.2725</t>
  </si>
  <si>
    <t>108.155</t>
  </si>
  <si>
    <t>171.7</t>
  </si>
  <si>
    <t>83.2745</t>
  </si>
  <si>
    <t>89.725</t>
  </si>
  <si>
    <t>0.005</t>
  </si>
  <si>
    <t>0.38</t>
  </si>
  <si>
    <t>0.1</t>
  </si>
  <si>
    <t>64.26</t>
  </si>
  <si>
    <t>0.58</t>
  </si>
  <si>
    <t>0.35</t>
  </si>
  <si>
    <t>6.49</t>
  </si>
  <si>
    <t>0.4</t>
  </si>
  <si>
    <t>30.84</t>
  </si>
  <si>
    <t>0.175</t>
  </si>
  <si>
    <t>0.3</t>
  </si>
  <si>
    <t>2.99</t>
  </si>
  <si>
    <t>7.215</t>
  </si>
  <si>
    <t>1.53</t>
  </si>
  <si>
    <t>0.075</t>
  </si>
  <si>
    <t>16.17</t>
  </si>
  <si>
    <t>129.356452039174</t>
  </si>
  <si>
    <t>258.712904078349</t>
  </si>
  <si>
    <t>388.069356117523</t>
  </si>
  <si>
    <t>1293.56452039174</t>
  </si>
  <si>
    <t>0.556</t>
  </si>
  <si>
    <t>111.2</t>
  </si>
  <si>
    <t>55.6</t>
  </si>
  <si>
    <t>3855.99</t>
  </si>
  <si>
    <t>5390.67</t>
  </si>
  <si>
    <t>41.76</t>
  </si>
  <si>
    <t>4520.22</t>
  </si>
  <si>
    <t>4049.87</t>
  </si>
  <si>
    <t>6348.27</t>
  </si>
  <si>
    <t>6594.56</t>
  </si>
  <si>
    <t>5568.02</t>
  </si>
  <si>
    <t>2834.03</t>
  </si>
  <si>
    <t>37.3400226311044</t>
  </si>
  <si>
    <t>31.7390192364387</t>
  </si>
  <si>
    <t>74.6800452622088</t>
  </si>
  <si>
    <t>63.4780384728775</t>
  </si>
  <si>
    <t>112.020067893313</t>
  </si>
  <si>
    <t>95.2170577093162</t>
  </si>
  <si>
    <t>261.380158417731</t>
  </si>
  <si>
    <t>222.173134655071</t>
  </si>
  <si>
    <t>186.700113155522</t>
  </si>
  <si>
    <t>158.695096182194</t>
  </si>
  <si>
    <t>3296.02</t>
  </si>
  <si>
    <t>0.8235</t>
  </si>
  <si>
    <t>2799.9</t>
  </si>
  <si>
    <t>0.888</t>
  </si>
  <si>
    <t>0.2105</t>
  </si>
  <si>
    <t>642.025</t>
  </si>
  <si>
    <t>0.93</t>
  </si>
  <si>
    <t>76.26</t>
  </si>
  <si>
    <t>157.17</t>
  </si>
  <si>
    <t>109.74</t>
  </si>
  <si>
    <t>82.77</t>
  </si>
  <si>
    <t>137.7</t>
  </si>
  <si>
    <t>0.9007</t>
  </si>
  <si>
    <t>124.02639</t>
  </si>
  <si>
    <t>42.6</t>
  </si>
  <si>
    <t>38.36982</t>
  </si>
  <si>
    <t>296.5</t>
  </si>
  <si>
    <t>267.05755</t>
  </si>
  <si>
    <t>279.2</t>
  </si>
  <si>
    <t>251.47544</t>
  </si>
  <si>
    <t>377.8</t>
  </si>
  <si>
    <t>340.28446</t>
  </si>
  <si>
    <t>170.3</t>
  </si>
  <si>
    <t>153.38921</t>
  </si>
  <si>
    <t>84.4</t>
  </si>
  <si>
    <t>76.01908</t>
  </si>
  <si>
    <t>177.4</t>
  </si>
  <si>
    <t>159.78418</t>
  </si>
  <si>
    <t>177.9</t>
  </si>
  <si>
    <t>160.23453</t>
  </si>
  <si>
    <t>32.3</t>
  </si>
  <si>
    <t>29.09261</t>
  </si>
  <si>
    <t>0.15</t>
  </si>
  <si>
    <t>24.75</t>
  </si>
  <si>
    <t>37.2</t>
  </si>
  <si>
    <t>12.3</t>
  </si>
  <si>
    <t>49.2</t>
  </si>
  <si>
    <t>12.45</t>
  </si>
  <si>
    <t>0.6777</t>
  </si>
  <si>
    <t>259.5591</t>
  </si>
  <si>
    <t>0.9875</t>
  </si>
  <si>
    <t>335.75</t>
  </si>
  <si>
    <t>0.8733</t>
  </si>
  <si>
    <t>217.4517</t>
  </si>
  <si>
    <t>0.7101</t>
  </si>
  <si>
    <t>96.5736</t>
  </si>
  <si>
    <t>0.116</t>
  </si>
  <si>
    <t>53.476</t>
  </si>
  <si>
    <t>126.1</t>
  </si>
  <si>
    <t>0.59</t>
  </si>
  <si>
    <t>74.399</t>
  </si>
  <si>
    <t>172.2</t>
  </si>
  <si>
    <t>101.598</t>
  </si>
  <si>
    <t>213.4</t>
  </si>
  <si>
    <t>125.906</t>
  </si>
  <si>
    <t>65.7299500792614</t>
  </si>
  <si>
    <t>32.8649750396307</t>
  </si>
  <si>
    <t>40.5236840843857</t>
  </si>
  <si>
    <t>35.0622206212403</t>
  </si>
  <si>
    <t>267.295597484277</t>
  </si>
  <si>
    <t>0.87</t>
  </si>
  <si>
    <t>232.547169811321</t>
  </si>
  <si>
    <t>283.018867924528</t>
  </si>
  <si>
    <t>246.22641509434</t>
  </si>
  <si>
    <t>377.358490566038</t>
  </si>
  <si>
    <t>328.301886792453</t>
  </si>
  <si>
    <t>518.867924528302</t>
  </si>
  <si>
    <t>451.415094339623</t>
  </si>
  <si>
    <t>581.761006289308</t>
  </si>
  <si>
    <t>506.132075471698</t>
  </si>
  <si>
    <t>770.440251572327</t>
  </si>
  <si>
    <t>670.283018867924</t>
  </si>
  <si>
    <t>76.3941940412529</t>
  </si>
  <si>
    <t>66.46294881589</t>
  </si>
  <si>
    <t>229.182582123759</t>
  </si>
  <si>
    <t>199.38884644767</t>
  </si>
  <si>
    <t>248.281130634072</t>
  </si>
  <si>
    <t>216.004583651642</t>
  </si>
  <si>
    <t>286.478227654698</t>
  </si>
  <si>
    <t>249.236058059588</t>
  </si>
  <si>
    <t>649.350649350649</t>
  </si>
  <si>
    <t>564.935064935065</t>
  </si>
  <si>
    <t>1489.68678380443</t>
  </si>
  <si>
    <t>1296.02750190985</t>
  </si>
  <si>
    <t>1814.36210847976</t>
  </si>
  <si>
    <t>1578.49503437739</t>
  </si>
  <si>
    <t>534.8</t>
  </si>
  <si>
    <t>0.62</t>
  </si>
  <si>
    <t>331.576</t>
  </si>
  <si>
    <t>678.7</t>
  </si>
  <si>
    <t>0.89</t>
  </si>
  <si>
    <t>604.043</t>
  </si>
  <si>
    <t>347.9</t>
  </si>
  <si>
    <t>299.194</t>
  </si>
  <si>
    <t>186.2</t>
  </si>
  <si>
    <t>0.94</t>
  </si>
  <si>
    <t>175.028</t>
  </si>
  <si>
    <t>219.1</t>
  </si>
  <si>
    <t>194.999</t>
  </si>
  <si>
    <t>484.2</t>
  </si>
  <si>
    <t>300.204</t>
  </si>
  <si>
    <t>0.75</t>
  </si>
  <si>
    <t>113.25</t>
  </si>
  <si>
    <t>0.8821</t>
  </si>
  <si>
    <t>149.957</t>
  </si>
  <si>
    <t>0.11</t>
  </si>
  <si>
    <t>204.16</t>
  </si>
  <si>
    <t>148.83</t>
  </si>
  <si>
    <t>209.88</t>
  </si>
  <si>
    <t>162.36</t>
  </si>
  <si>
    <t>136.07</t>
  </si>
  <si>
    <t>165.11</t>
  </si>
  <si>
    <t>153.34</t>
  </si>
  <si>
    <t>73.92</t>
  </si>
  <si>
    <t>96.8</t>
  </si>
  <si>
    <t>100.78</t>
  </si>
  <si>
    <t>244.01</t>
  </si>
  <si>
    <t>897.35</t>
  </si>
  <si>
    <t>122.8</t>
  </si>
  <si>
    <t>163.68</t>
  </si>
  <si>
    <t>63.5</t>
  </si>
  <si>
    <t>51.435</t>
  </si>
  <si>
    <t>262.8</t>
  </si>
  <si>
    <t>212.868</t>
  </si>
  <si>
    <t>118.4</t>
  </si>
  <si>
    <t>95.904</t>
  </si>
  <si>
    <t>15.2</t>
  </si>
  <si>
    <t>12.312</t>
  </si>
  <si>
    <t>20.5</t>
  </si>
  <si>
    <t>16.605</t>
  </si>
  <si>
    <t>5.5</t>
  </si>
  <si>
    <t>4.455</t>
  </si>
  <si>
    <t>27.2</t>
  </si>
  <si>
    <t>22.032</t>
  </si>
  <si>
    <t>17.9</t>
  </si>
  <si>
    <t>14.499</t>
  </si>
  <si>
    <t>0.0832149941911482</t>
  </si>
  <si>
    <t>0.255</t>
  </si>
  <si>
    <t>0.0212198235187428</t>
  </si>
  <si>
    <t>0.11276238754322</t>
  </si>
  <si>
    <t>0.028754408823521</t>
  </si>
  <si>
    <t>0.0736726114516216</t>
  </si>
  <si>
    <t>0.0187865159201635</t>
  </si>
  <si>
    <t>0.0377440416759729</t>
  </si>
  <si>
    <t>0.0096247306273731</t>
  </si>
  <si>
    <t>0.0374901295220814</t>
  </si>
  <si>
    <t>0.00955998302813076</t>
  </si>
  <si>
    <t>0.0861396982076947</t>
  </si>
  <si>
    <t>0.0219656230429622</t>
  </si>
  <si>
    <t>0.022191922250118</t>
  </si>
  <si>
    <t>0.00565894017378008</t>
  </si>
  <si>
    <t>0.0220522705654776</t>
  </si>
  <si>
    <t>0.0056233289941968</t>
  </si>
  <si>
    <t>0.0988733927253539</t>
  </si>
  <si>
    <t>0.0252127151449653</t>
  </si>
  <si>
    <t>0.102684480794952</t>
  </si>
  <si>
    <t>0.0261845426027127</t>
  </si>
  <si>
    <t>0.0373210144142739</t>
  </si>
  <si>
    <t>0.00951685867563984</t>
  </si>
  <si>
    <t>0.0369591763243848</t>
  </si>
  <si>
    <t>0.00942458996271813</t>
  </si>
  <si>
    <t>0.229250275522583</t>
  </si>
  <si>
    <t>0.0584588202582586</t>
  </si>
  <si>
    <t>0.114547601027744</t>
  </si>
  <si>
    <t>0.0292096382620746</t>
  </si>
  <si>
    <t>0.114263299671402</t>
  </si>
  <si>
    <t>0.0291371414162076</t>
  </si>
  <si>
    <t>0.0642004153774629</t>
  </si>
  <si>
    <t>0.016371105921253</t>
  </si>
  <si>
    <t>0.114134071782156</t>
  </si>
  <si>
    <t>0.0291041883044498</t>
  </si>
  <si>
    <t>0.178502483415639</t>
  </si>
  <si>
    <t>0.0455181332709879</t>
  </si>
  <si>
    <t>0.0502954944945824</t>
  </si>
  <si>
    <t>0.0128253510961185</t>
  </si>
  <si>
    <t>0.100771908034109</t>
  </si>
  <si>
    <t>0.0256968365486979</t>
  </si>
  <si>
    <t>0.372887074419624</t>
  </si>
  <si>
    <t>0.095086203977004</t>
  </si>
  <si>
    <t>1.08172468872944</t>
  </si>
  <si>
    <t>0.275839795626007</t>
  </si>
  <si>
    <t>0.845130667476909</t>
  </si>
  <si>
    <t>0.215508320206612</t>
  </si>
  <si>
    <t>0.369611649393007</t>
  </si>
  <si>
    <t>0.0942509705952169</t>
  </si>
  <si>
    <t>7.2</t>
  </si>
  <si>
    <t>0.929</t>
  </si>
  <si>
    <t>6.6888</t>
  </si>
  <si>
    <t>20.4</t>
  </si>
  <si>
    <t>18.9516</t>
  </si>
  <si>
    <t>10.5</t>
  </si>
  <si>
    <t>9.7545</t>
  </si>
  <si>
    <t>15.5</t>
  </si>
  <si>
    <t>14.3995</t>
  </si>
  <si>
    <t>14.864</t>
  </si>
  <si>
    <t>11.148</t>
  </si>
  <si>
    <t>18.2</t>
  </si>
  <si>
    <t>16.9078</t>
  </si>
  <si>
    <t>156.4</t>
  </si>
  <si>
    <t>87.8</t>
  </si>
  <si>
    <t>124.8</t>
  </si>
  <si>
    <t>108.4</t>
  </si>
  <si>
    <t>220.6</t>
  </si>
  <si>
    <t>66.6</t>
  </si>
  <si>
    <t>91.4</t>
  </si>
  <si>
    <t>102.6</t>
  </si>
  <si>
    <t>0.97</t>
  </si>
  <si>
    <t>131.92</t>
  </si>
  <si>
    <t>120.28</t>
  </si>
  <si>
    <t>201.76</t>
  </si>
  <si>
    <t>275.48</t>
  </si>
  <si>
    <t>287.12</t>
  </si>
  <si>
    <t>170.72</t>
  </si>
  <si>
    <t>225.04</t>
  </si>
  <si>
    <t>267.72</t>
  </si>
  <si>
    <t>306.52</t>
  </si>
  <si>
    <t>294.88</t>
  </si>
  <si>
    <t>65.96</t>
  </si>
  <si>
    <t>601.4</t>
  </si>
  <si>
    <t>384.12</t>
  </si>
  <si>
    <t>314.28</t>
  </si>
  <si>
    <t>349.2</t>
  </si>
  <si>
    <t>174.6</t>
  </si>
  <si>
    <t>298.76</t>
  </si>
  <si>
    <t>5778.71822605513</t>
  </si>
  <si>
    <t>0.0308</t>
  </si>
  <si>
    <t>177.984521362498</t>
  </si>
  <si>
    <t>5224.39779202815</t>
  </si>
  <si>
    <t>160.911451994467</t>
  </si>
  <si>
    <t>3966.9189179814</t>
  </si>
  <si>
    <t>122.181102673827</t>
  </si>
  <si>
    <t>0.8462</t>
  </si>
  <si>
    <t>11.0006</t>
  </si>
  <si>
    <t>0.7273</t>
  </si>
  <si>
    <t>16.0006</t>
  </si>
  <si>
    <t>0.8378</t>
  </si>
  <si>
    <t>30.9986</t>
  </si>
  <si>
    <t>0.8537</t>
  </si>
  <si>
    <t>35.0017</t>
  </si>
  <si>
    <t>0.6977</t>
  </si>
  <si>
    <t>30.0011</t>
  </si>
  <si>
    <t>0.8298</t>
  </si>
  <si>
    <t>39.8304</t>
  </si>
  <si>
    <t>0.633</t>
  </si>
  <si>
    <t>37.98</t>
  </si>
  <si>
    <t>0.8683</t>
  </si>
  <si>
    <t>57.3078</t>
  </si>
  <si>
    <t>0.6667</t>
  </si>
  <si>
    <t>48.0024</t>
  </si>
  <si>
    <t>0.859</t>
  </si>
  <si>
    <t>67.002</t>
  </si>
  <si>
    <t>0.8681</t>
  </si>
  <si>
    <t>78.9971</t>
  </si>
  <si>
    <t>0.6598</t>
  </si>
  <si>
    <t>64.0006</t>
  </si>
  <si>
    <t>0.6327</t>
  </si>
  <si>
    <t>62.0046</t>
  </si>
  <si>
    <t>0.8783</t>
  </si>
  <si>
    <t>101.0045</t>
  </si>
  <si>
    <t>0.9893</t>
  </si>
  <si>
    <t>278.9826</t>
  </si>
  <si>
    <t>0.9693</t>
  </si>
  <si>
    <t>315.9918</t>
  </si>
  <si>
    <t>0.923</t>
  </si>
  <si>
    <t>11.999</t>
  </si>
  <si>
    <t>0.8571</t>
  </si>
  <si>
    <t>11.9994</t>
  </si>
  <si>
    <t>0.7368</t>
  </si>
  <si>
    <t>13.9992</t>
  </si>
  <si>
    <t>0.8846</t>
  </si>
  <si>
    <t>22.9996</t>
  </si>
  <si>
    <t>0.7692</t>
  </si>
  <si>
    <t>19.9992</t>
  </si>
  <si>
    <t>0.6552</t>
  </si>
  <si>
    <t>18.3456</t>
  </si>
  <si>
    <t>0.7838</t>
  </si>
  <si>
    <t>29.0006</t>
  </si>
  <si>
    <t>0.7</t>
  </si>
  <si>
    <t>0.8409</t>
  </si>
  <si>
    <t>37.8405</t>
  </si>
  <si>
    <t>0.7468</t>
  </si>
  <si>
    <t>59.744</t>
  </si>
  <si>
    <t>0.9296</t>
  </si>
  <si>
    <t>132.0032</t>
  </si>
  <si>
    <t>0.625</t>
  </si>
  <si>
    <t>0.8889</t>
  </si>
  <si>
    <t>8.0001</t>
  </si>
  <si>
    <t>0.9375</t>
  </si>
  <si>
    <t>0.9129</t>
  </si>
  <si>
    <t>324.0795</t>
  </si>
  <si>
    <t>0.8187</t>
  </si>
  <si>
    <t>307.0125</t>
  </si>
  <si>
    <t>0.2642</t>
  </si>
  <si>
    <t>14.0026</t>
  </si>
  <si>
    <t>0.0134</t>
  </si>
  <si>
    <t>4.9982</t>
  </si>
  <si>
    <t>0.5273</t>
  </si>
  <si>
    <t>240.4488</t>
  </si>
  <si>
    <t>0.5857</t>
  </si>
  <si>
    <t>335.0204</t>
  </si>
  <si>
    <t>0.987</t>
  </si>
  <si>
    <t>165.816</t>
  </si>
  <si>
    <t>90.804</t>
  </si>
  <si>
    <t>157.92</t>
  </si>
  <si>
    <t>153.972</t>
  </si>
  <si>
    <t>280.308</t>
  </si>
  <si>
    <t>228.984</t>
  </si>
  <si>
    <t>138.18</t>
  </si>
  <si>
    <t>146.076</t>
  </si>
  <si>
    <t>75.012</t>
  </si>
  <si>
    <t>122.388</t>
  </si>
  <si>
    <t>82.908</t>
  </si>
  <si>
    <t>1492.344</t>
  </si>
  <si>
    <t>141.141</t>
  </si>
  <si>
    <t>126.336</t>
  </si>
  <si>
    <t>161.868</t>
  </si>
  <si>
    <t>86.856</t>
  </si>
  <si>
    <t>690.9</t>
  </si>
  <si>
    <t>98.7</t>
  </si>
  <si>
    <t>781.704</t>
  </si>
  <si>
    <t>71.064</t>
  </si>
  <si>
    <t>0.73</t>
  </si>
  <si>
    <t>14.6</t>
  </si>
  <si>
    <t>19.71</t>
  </si>
  <si>
    <t>18.25</t>
  </si>
  <si>
    <t>10.95</t>
  </si>
  <si>
    <t>2.19</t>
  </si>
  <si>
    <t>2.49020688712149</t>
  </si>
  <si>
    <t>0.99</t>
  </si>
  <si>
    <t>2.46530481825028</t>
  </si>
  <si>
    <t>1.79252586266649</t>
  </si>
  <si>
    <t>1.46987120738652</t>
  </si>
  <si>
    <t>3.35030183618637</t>
  </si>
  <si>
    <t>0.95</t>
  </si>
  <si>
    <t>3.18278674437705</t>
  </si>
  <si>
    <t>10.8256889400919</t>
  </si>
  <si>
    <t>8.87706493087534</t>
  </si>
  <si>
    <t>4.17955101747042</t>
  </si>
  <si>
    <t>0.98</t>
  </si>
  <si>
    <t>4.09595999712102</t>
  </si>
  <si>
    <t>18.8880583938695</t>
  </si>
  <si>
    <t>18.5102972259922</t>
  </si>
  <si>
    <t>2.33651557330447</t>
  </si>
  <si>
    <t>2.21968979463925</t>
  </si>
  <si>
    <t>15.5192932197508</t>
  </si>
  <si>
    <t>15.3641002875533</t>
  </si>
  <si>
    <t>7.02119769092937</t>
  </si>
  <si>
    <t>6.95098571402008</t>
  </si>
  <si>
    <t>19.3236750334387</t>
  </si>
  <si>
    <t>5.47258250840546</t>
  </si>
  <si>
    <t>0.48</t>
  </si>
  <si>
    <t>2.62683960403462</t>
  </si>
  <si>
    <t>6.26355089553152</t>
  </si>
  <si>
    <t>0.9</t>
  </si>
  <si>
    <t>5.63719580597837</t>
  </si>
  <si>
    <t>5.18543395223226</t>
  </si>
  <si>
    <t>4.822453575576</t>
  </si>
  <si>
    <t>2.89603097933316</t>
  </si>
  <si>
    <t>2.63538819119318</t>
  </si>
  <si>
    <t>1.56596198219697</t>
  </si>
  <si>
    <t>1.42502540379925</t>
  </si>
  <si>
    <t>0.778</t>
  </si>
  <si>
    <t>10.892</t>
  </si>
  <si>
    <t>0.813</t>
  </si>
  <si>
    <t>21.138</t>
  </si>
  <si>
    <t>0.998</t>
  </si>
  <si>
    <t>1255.484</t>
  </si>
  <si>
    <t>0.524268375740504</t>
  </si>
  <si>
    <t>2.09707350296202</t>
  </si>
  <si>
    <t>0.1875</t>
  </si>
  <si>
    <t>0.393201281805378</t>
  </si>
  <si>
    <t>63.436473464601</t>
  </si>
  <si>
    <t>0.1384</t>
  </si>
  <si>
    <t>8.77960792750077</t>
  </si>
  <si>
    <t>69.727693973487</t>
  </si>
  <si>
    <t>0.0902</t>
  </si>
  <si>
    <t>6.28943799640853</t>
  </si>
  <si>
    <t>2.62134187870252</t>
  </si>
  <si>
    <t>2.35920769083227</t>
  </si>
  <si>
    <t>2.75240897263765</t>
  </si>
  <si>
    <t>0.0476</t>
  </si>
  <si>
    <t>0.131014667097552</t>
  </si>
  <si>
    <t>1.04853675148101</t>
  </si>
  <si>
    <t>0.375</t>
  </si>
  <si>
    <t>1.57280512722151</t>
  </si>
  <si>
    <t>0.833</t>
  </si>
  <si>
    <t>1.31014667097552</t>
  </si>
  <si>
    <t>1.47328525097762</t>
  </si>
  <si>
    <t>2.51004153870261</t>
  </si>
  <si>
    <t>0.509429300115816</t>
  </si>
  <si>
    <t>1.13181886426101</t>
  </si>
  <si>
    <t>0.321117421198837</t>
  </si>
  <si>
    <t>0.218197323324275</t>
  </si>
  <si>
    <t>0.696028642330805</t>
  </si>
  <si>
    <t>79.972</t>
  </si>
  <si>
    <t>117.668</t>
  </si>
  <si>
    <t>135.478</t>
  </si>
  <si>
    <t>163.351</t>
  </si>
  <si>
    <t>72.65</t>
  </si>
  <si>
    <t>103.128</t>
  </si>
  <si>
    <t>36.6</t>
  </si>
  <si>
    <t>29.4</t>
  </si>
  <si>
    <t>33.1</t>
  </si>
  <si>
    <t>3.3</t>
  </si>
  <si>
    <t>6.7</t>
  </si>
  <si>
    <t>3.4</t>
  </si>
  <si>
    <t>27.3630773846366</t>
  </si>
  <si>
    <t>26.2685542892512</t>
  </si>
  <si>
    <t>13.4337271522043</t>
  </si>
  <si>
    <t>13.7119972014015</t>
  </si>
  <si>
    <t>13.3006372853595</t>
  </si>
  <si>
    <t>38.086875882547</t>
  </si>
  <si>
    <t>37.3251383648961</t>
  </si>
  <si>
    <t>14.7100034611126</t>
  </si>
  <si>
    <t>13.8274032534458</t>
  </si>
  <si>
    <t>24.9110316066316</t>
  </si>
  <si>
    <t>24.412810974499</t>
  </si>
  <si>
    <t>17.0032915096314</t>
  </si>
  <si>
    <t>16.6632256794387</t>
  </si>
  <si>
    <t>16.4340821582011</t>
  </si>
  <si>
    <t>15.9410596934551</t>
  </si>
  <si>
    <t>9.05791214137003</t>
  </si>
  <si>
    <t>8.87675389854263</t>
  </si>
  <si>
    <t>16.5326979488494</t>
  </si>
  <si>
    <t>16.036717010384</t>
  </si>
  <si>
    <t>34.3843697169867</t>
  </si>
  <si>
    <t>33.696682322647</t>
  </si>
  <si>
    <t>27.4577133087578</t>
  </si>
  <si>
    <t>26.9085590425827</t>
  </si>
  <si>
    <t>15.1031331483194</t>
  </si>
  <si>
    <t>14.4990078223866</t>
  </si>
  <si>
    <t>40.1690720313394</t>
  </si>
  <si>
    <t>20.8536707867786</t>
  </si>
  <si>
    <t>20.4365973710431</t>
  </si>
  <si>
    <t>17.3278800470948</t>
  </si>
  <si>
    <t>16.9813224461529</t>
  </si>
  <si>
    <t>13.1675481614546</t>
  </si>
  <si>
    <t>12.9041971982255</t>
  </si>
  <si>
    <t>27.1619912029149</t>
  </si>
  <si>
    <t>26.6187513788566</t>
  </si>
  <si>
    <t>20.0586623077922</t>
  </si>
  <si>
    <t>19.6574890616364</t>
  </si>
  <si>
    <t>19.7105588841898</t>
  </si>
  <si>
    <t>19.1192421176641</t>
  </si>
  <si>
    <t>13.9549727329373</t>
  </si>
  <si>
    <t>6875.32</t>
  </si>
  <si>
    <t>8689.86</t>
  </si>
  <si>
    <t>7954.26</t>
  </si>
  <si>
    <t>6054.36</t>
  </si>
  <si>
    <t>1.663</t>
  </si>
  <si>
    <t>1.252</t>
  </si>
  <si>
    <t>659.958</t>
  </si>
  <si>
    <t>0.87887</t>
  </si>
  <si>
    <t>1163.471</t>
  </si>
  <si>
    <t>0.91545</t>
  </si>
  <si>
    <t>991.786</t>
  </si>
  <si>
    <t>0.92565</t>
  </si>
  <si>
    <t>366.204</t>
  </si>
  <si>
    <t>0.74513</t>
  </si>
  <si>
    <t>390.523</t>
  </si>
  <si>
    <t>0.93127</t>
  </si>
  <si>
    <t>752.076</t>
  </si>
  <si>
    <t>0.96273</t>
  </si>
  <si>
    <t>518.838</t>
  </si>
  <si>
    <t>0.8951</t>
  </si>
  <si>
    <t>1873.83</t>
  </si>
  <si>
    <t>0.52589</t>
  </si>
  <si>
    <t>317.96</t>
  </si>
  <si>
    <t>0.89518</t>
  </si>
  <si>
    <t>245.789</t>
  </si>
  <si>
    <t>0.9443</t>
  </si>
  <si>
    <t>230.296</t>
  </si>
  <si>
    <t>589.132</t>
  </si>
  <si>
    <t>0.94286</t>
  </si>
  <si>
    <t>321.63</t>
  </si>
  <si>
    <t>0.91679</t>
  </si>
  <si>
    <t>580.055</t>
  </si>
  <si>
    <t>282.155</t>
  </si>
  <si>
    <t>0.90242</t>
  </si>
  <si>
    <t>137.253</t>
  </si>
  <si>
    <t>0.95103</t>
  </si>
  <si>
    <t>236.432</t>
  </si>
  <si>
    <t>0.91577</t>
  </si>
  <si>
    <t>833.744</t>
  </si>
  <si>
    <t>0.91011</t>
  </si>
  <si>
    <t>210.824</t>
  </si>
  <si>
    <t>0.96753</t>
  </si>
  <si>
    <t>731.232</t>
  </si>
  <si>
    <t>0.94499</t>
  </si>
  <si>
    <t>344.491</t>
  </si>
  <si>
    <t>0.80206</t>
  </si>
  <si>
    <t>627.851</t>
  </si>
  <si>
    <t>0.93504</t>
  </si>
  <si>
    <t>163.729</t>
  </si>
  <si>
    <t>0.87546</t>
  </si>
  <si>
    <t>191.073</t>
  </si>
  <si>
    <t>0.99967</t>
  </si>
  <si>
    <t>444.735</t>
  </si>
  <si>
    <t>0.86361</t>
  </si>
  <si>
    <t>206.846</t>
  </si>
  <si>
    <t>0.90318</t>
  </si>
  <si>
    <t>353.261</t>
  </si>
  <si>
    <t>0.95936</t>
  </si>
  <si>
    <t>228.671</t>
  </si>
  <si>
    <t>0.9416</t>
  </si>
  <si>
    <t>0.78312</t>
  </si>
  <si>
    <t>729.86784</t>
  </si>
  <si>
    <t>45.2</t>
  </si>
  <si>
    <t>0.71303</t>
  </si>
  <si>
    <t>32.228956</t>
  </si>
  <si>
    <t>26.1</t>
  </si>
  <si>
    <t>0.21265</t>
  </si>
  <si>
    <t>5.550165</t>
  </si>
  <si>
    <t>44.8</t>
  </si>
  <si>
    <t>0.45048</t>
  </si>
  <si>
    <t>20.181504</t>
  </si>
  <si>
    <t>24.2</t>
  </si>
  <si>
    <t>0.59887</t>
  </si>
  <si>
    <t>14.492654</t>
  </si>
  <si>
    <t>1.42</t>
  </si>
  <si>
    <t>0.45142</t>
  </si>
  <si>
    <t>0.6410164</t>
  </si>
  <si>
    <t>0.9777</t>
  </si>
  <si>
    <t>20.04285</t>
  </si>
  <si>
    <t>0.99555</t>
  </si>
  <si>
    <t>1264.3485</t>
  </si>
  <si>
    <t>60.4</t>
  </si>
  <si>
    <t>0.48318</t>
  </si>
  <si>
    <t>29.184072</t>
  </si>
  <si>
    <t>49.6</t>
  </si>
  <si>
    <t>0.80369</t>
  </si>
  <si>
    <t>39.863024</t>
  </si>
  <si>
    <t>4.27</t>
  </si>
  <si>
    <t>0.63211</t>
  </si>
  <si>
    <t>2.6991097</t>
  </si>
  <si>
    <t>33.3</t>
  </si>
  <si>
    <t>0.56386</t>
  </si>
  <si>
    <t>18.776538</t>
  </si>
  <si>
    <t>2.88</t>
  </si>
  <si>
    <t>0.56134</t>
  </si>
  <si>
    <t>1.6166592</t>
  </si>
  <si>
    <t>4.16</t>
  </si>
  <si>
    <t>0.45833</t>
  </si>
  <si>
    <t>1.9066528</t>
  </si>
  <si>
    <t>47.2</t>
  </si>
  <si>
    <t>0.24476</t>
  </si>
  <si>
    <t>11.552672</t>
  </si>
  <si>
    <t>9.43</t>
  </si>
  <si>
    <t>0.50569</t>
  </si>
  <si>
    <t>4.7686567</t>
  </si>
  <si>
    <t>0.39752</t>
  </si>
  <si>
    <t>6.36032</t>
  </si>
  <si>
    <t>7.06</t>
  </si>
  <si>
    <t>0.6103</t>
  </si>
  <si>
    <t>4.308718</t>
  </si>
  <si>
    <t>4.55</t>
  </si>
  <si>
    <t>0.59518</t>
  </si>
  <si>
    <t>2.708069</t>
  </si>
  <si>
    <t>5.19</t>
  </si>
  <si>
    <t>0.77517</t>
  </si>
  <si>
    <t>4.0231323</t>
  </si>
  <si>
    <t>18.4017516516987</t>
  </si>
  <si>
    <t>81.6242336286129</t>
  </si>
  <si>
    <t>52.5764332905676</t>
  </si>
  <si>
    <t>68.7269726734323</t>
  </si>
  <si>
    <t>352.965715892918</t>
  </si>
  <si>
    <t>209.284296980315</t>
  </si>
  <si>
    <t>284.184542784588</t>
  </si>
  <si>
    <t>482.179820014617</t>
  </si>
  <si>
    <t>210.364566916844</t>
  </si>
  <si>
    <t>312.314640285008</t>
  </si>
  <si>
    <t>137.765662861319</t>
  </si>
  <si>
    <t>675.645095316712</t>
  </si>
  <si>
    <t>2.62095255152397</t>
  </si>
  <si>
    <t>1.96571441364298</t>
  </si>
  <si>
    <t>14.3005723592527</t>
  </si>
  <si>
    <t>10.7254292694395</t>
  </si>
  <si>
    <t>1.86742869296083</t>
  </si>
  <si>
    <t>1.40057151972062</t>
  </si>
  <si>
    <t>2.9130019657992</t>
  </si>
  <si>
    <t>2.1847514743494</t>
  </si>
  <si>
    <t>42.7909943941537</t>
  </si>
  <si>
    <t>32.0932457956153</t>
  </si>
  <si>
    <t>8.37069530402068</t>
  </si>
  <si>
    <t>6.27802147801551</t>
  </si>
  <si>
    <t>0.480647940449874</t>
  </si>
  <si>
    <t>0.360485955337405</t>
  </si>
  <si>
    <t>19.1572536265021</t>
  </si>
  <si>
    <t>14.3679402198766</t>
  </si>
  <si>
    <t>48.9740173731525</t>
  </si>
  <si>
    <t>36.7305130298644</t>
  </si>
  <si>
    <t>21.9094288248314</t>
  </si>
  <si>
    <t>16.4320716186235</t>
  </si>
  <si>
    <t>118.42153344522</t>
  </si>
  <si>
    <t>88.8161500839153</t>
  </si>
  <si>
    <t>4.71492741584162</t>
  </si>
  <si>
    <t>3.53619556188121</t>
  </si>
  <si>
    <t>16.6853499327599</t>
  </si>
  <si>
    <t>12.5140124495699</t>
  </si>
  <si>
    <t>1.37327982985678</t>
  </si>
  <si>
    <t>1.02995987239259</t>
  </si>
  <si>
    <t>10.5055906984044</t>
  </si>
  <si>
    <t>7.87919302380328</t>
  </si>
  <si>
    <t>2.89437596108463</t>
  </si>
  <si>
    <t>2.17078197081347</t>
  </si>
  <si>
    <t>19.4398385445982</t>
  </si>
  <si>
    <t>14.5798789084487</t>
  </si>
  <si>
    <t>1.31758905691166</t>
  </si>
  <si>
    <t>0.988191792683743</t>
  </si>
  <si>
    <t>3.11037416713572</t>
  </si>
  <si>
    <t>2.33278062535179</t>
  </si>
  <si>
    <t>5.76777528539848</t>
  </si>
  <si>
    <t>4.32583146404886</t>
  </si>
  <si>
    <t>0.617975923435552</t>
  </si>
  <si>
    <t>0.463481942576664</t>
  </si>
  <si>
    <t>13.3894783411036</t>
  </si>
  <si>
    <t>10.0421087558277</t>
  </si>
  <si>
    <t>1.93318489630865</t>
  </si>
  <si>
    <t>1.44988867223149</t>
  </si>
  <si>
    <t>63.1507066127492</t>
  </si>
  <si>
    <t>47.3630299595619</t>
  </si>
  <si>
    <t>5.87115412952997</t>
  </si>
  <si>
    <t>4.40336559714748</t>
  </si>
  <si>
    <t>51.5515972348973</t>
  </si>
  <si>
    <t>38.663697926173</t>
  </si>
  <si>
    <t>2.7400059613529</t>
  </si>
  <si>
    <t>2.05500447101468</t>
  </si>
  <si>
    <t>38.849916926892</t>
  </si>
  <si>
    <t>29.137437695169</t>
  </si>
  <si>
    <t>0.114439985821398</t>
  </si>
  <si>
    <t>0.0858299893660488</t>
  </si>
  <si>
    <t>2.05991974478517</t>
  </si>
  <si>
    <t>1.54493980858888</t>
  </si>
  <si>
    <t>3.95096818349776</t>
  </si>
  <si>
    <t>2.96322613762332</t>
  </si>
  <si>
    <t>49.4205850749381</t>
  </si>
  <si>
    <t>37.0654388062036</t>
  </si>
  <si>
    <t>3.44872646525652</t>
  </si>
  <si>
    <t>2.58654484894239</t>
  </si>
  <si>
    <t>55.7488307247777</t>
  </si>
  <si>
    <t>41.8116230435833</t>
  </si>
  <si>
    <t>0.9178</t>
  </si>
  <si>
    <t>3699.25707221329</t>
  </si>
  <si>
    <t>0.8502</t>
  </si>
  <si>
    <t>2333.37382549058</t>
  </si>
  <si>
    <t>0.5143</t>
  </si>
  <si>
    <t>1562.39691423335</t>
  </si>
  <si>
    <t>0.8079</t>
  </si>
  <si>
    <t>1895.93633728495</t>
  </si>
  <si>
    <t>0.7826</t>
  </si>
  <si>
    <t>715.94854380496</t>
  </si>
  <si>
    <t>0.018641205</t>
  </si>
  <si>
    <t>137.854320249391</t>
  </si>
  <si>
    <t>0.8591</t>
  </si>
  <si>
    <t>3314.58822966564</t>
  </si>
  <si>
    <t>0.9403</t>
  </si>
  <si>
    <t>1670.56781573747</t>
  </si>
  <si>
    <t>0.8781</t>
  </si>
  <si>
    <t>3725.5194172684</t>
  </si>
  <si>
    <t>0.6276</t>
  </si>
  <si>
    <t>1988.72032200332</t>
  </si>
  <si>
    <t>0.1911</t>
  </si>
  <si>
    <t>795.578816624521</t>
  </si>
  <si>
    <t>0.7015</t>
  </si>
  <si>
    <t>623.153952323637</t>
  </si>
  <si>
    <t>1073.93474831575</t>
  </si>
  <si>
    <t>0.8301</t>
  </si>
  <si>
    <t>1683.89388753416</t>
  </si>
  <si>
    <t>0.9533</t>
  </si>
  <si>
    <t>1895.89258438779</t>
  </si>
  <si>
    <t>0.9933</t>
  </si>
  <si>
    <t>3950.88661297051</t>
  </si>
  <si>
    <t>0.9337</t>
  </si>
  <si>
    <t>2426.36596793178</t>
  </si>
  <si>
    <t>0.9481</t>
  </si>
  <si>
    <t>967.916175131097</t>
  </si>
  <si>
    <t>0.9206</t>
  </si>
  <si>
    <t>768.961145010709</t>
  </si>
  <si>
    <t>0.8657</t>
  </si>
  <si>
    <t>2479.21416431186</t>
  </si>
  <si>
    <t>0.9364</t>
  </si>
  <si>
    <t>3836.27920374648</t>
  </si>
  <si>
    <t>0.775</t>
  </si>
  <si>
    <t>411.012064170227</t>
  </si>
  <si>
    <t>0.8829</t>
  </si>
  <si>
    <t>1299.35365198723</t>
  </si>
  <si>
    <t>0.9641</t>
  </si>
  <si>
    <t>7835.65729496046</t>
  </si>
  <si>
    <t>0.9286</t>
  </si>
  <si>
    <t>1723.6520125931</t>
  </si>
  <si>
    <t>0.9103</t>
  </si>
  <si>
    <t>941.395290229171</t>
  </si>
  <si>
    <t>3301.35496704473</t>
  </si>
  <si>
    <t>0.8261</t>
  </si>
  <si>
    <t>503.82919502281</t>
  </si>
  <si>
    <t>0.9382</t>
  </si>
  <si>
    <t>2214.15646166459</t>
  </si>
  <si>
    <t>0.9213</t>
  </si>
  <si>
    <t>2031.14810354784</t>
  </si>
  <si>
    <t>0.8805</t>
  </si>
  <si>
    <t>1856.17688638063</t>
  </si>
  <si>
    <t>0.5518</t>
  </si>
  <si>
    <t>3419.68979047031</t>
  </si>
  <si>
    <t>0.9646</t>
  </si>
  <si>
    <t>2890.33759949303</t>
  </si>
  <si>
    <t>0.8139</t>
  </si>
  <si>
    <t>2956.74919399072</t>
  </si>
  <si>
    <t>0.7884</t>
  </si>
  <si>
    <t>1975.61036300166</t>
  </si>
  <si>
    <t>0.7064</t>
  </si>
  <si>
    <t>4009.91570156518</t>
  </si>
  <si>
    <t>0.8785</t>
  </si>
  <si>
    <t>1211.34536228544</t>
  </si>
  <si>
    <t>0.9311</t>
  </si>
  <si>
    <t>4123.21203886878</t>
  </si>
  <si>
    <t>0.9554</t>
  </si>
  <si>
    <t>1418.71818464911</t>
  </si>
  <si>
    <t>0.9665</t>
  </si>
  <si>
    <t>10597.4223657088</t>
  </si>
  <si>
    <t>0.9214</t>
  </si>
  <si>
    <t>2797.54168216633</t>
  </si>
  <si>
    <t>0.6576</t>
  </si>
  <si>
    <t>3208.50336421257</t>
  </si>
  <si>
    <t>48.4</t>
  </si>
  <si>
    <t>0.9318</t>
  </si>
  <si>
    <t>45.09912</t>
  </si>
  <si>
    <t>40.4</t>
  </si>
  <si>
    <t>0.5297</t>
  </si>
  <si>
    <t>21.39988</t>
  </si>
  <si>
    <t>34.7</t>
  </si>
  <si>
    <t>0.9078</t>
  </si>
  <si>
    <t>31.50066</t>
  </si>
  <si>
    <t>29.9</t>
  </si>
  <si>
    <t>25.8</t>
  </si>
  <si>
    <t>0.155</t>
  </si>
  <si>
    <t>3.999</t>
  </si>
  <si>
    <t>46.9</t>
  </si>
  <si>
    <t>0.2985</t>
  </si>
  <si>
    <t>13.99965</t>
  </si>
  <si>
    <t>0.731052644713568</t>
  </si>
  <si>
    <t>0.31081</t>
  </si>
  <si>
    <t>0.227218472503424</t>
  </si>
  <si>
    <t>0.719920540066247</t>
  </si>
  <si>
    <t>0.16701</t>
  </si>
  <si>
    <t>0.120233929396464</t>
  </si>
  <si>
    <t>0.00446617372078135</t>
  </si>
  <si>
    <t>0.85666</t>
  </si>
  <si>
    <t>0.00382599237964455</t>
  </si>
  <si>
    <t>0.759916125625483</t>
  </si>
  <si>
    <t>0.19524</t>
  </si>
  <si>
    <t>0.148366024367119</t>
  </si>
  <si>
    <t>0.233307582428876</t>
  </si>
  <si>
    <t>0.7281</t>
  </si>
  <si>
    <t>0.169871250766465</t>
  </si>
  <si>
    <t>0.0155316190588366</t>
  </si>
  <si>
    <t>0.74987</t>
  </si>
  <si>
    <t>0.0116466951836498</t>
  </si>
  <si>
    <t>0.0688590664711512</t>
  </si>
  <si>
    <t>0.86191</t>
  </si>
  <si>
    <t>0.05935031798215</t>
  </si>
  <si>
    <t>0.251105618002736</t>
  </si>
  <si>
    <t>0.55803</t>
  </si>
  <si>
    <t>0.140124468014067</t>
  </si>
  <si>
    <t>0.168848030369241</t>
  </si>
  <si>
    <t>0.60269</t>
  </si>
  <si>
    <t>0.101763019423238</t>
  </si>
  <si>
    <t>0.11778699947195</t>
  </si>
  <si>
    <t>0.85258</t>
  </si>
  <si>
    <t>0.100422840009795</t>
  </si>
  <si>
    <t>0.124452930398489</t>
  </si>
  <si>
    <t>0.89288</t>
  </si>
  <si>
    <t>0.111121532494203</t>
  </si>
  <si>
    <t>0.13466</t>
  </si>
  <si>
    <t>55.2106</t>
  </si>
  <si>
    <t>70.0232</t>
  </si>
  <si>
    <t>44.4378</t>
  </si>
  <si>
    <t>67.33</t>
  </si>
  <si>
    <t>75.4096</t>
  </si>
  <si>
    <t>59.2504</t>
  </si>
  <si>
    <t>32.3184</t>
  </si>
  <si>
    <t>96.9552</t>
  </si>
  <si>
    <t>103.6882</t>
  </si>
  <si>
    <t>13.466</t>
  </si>
  <si>
    <t>63.2902</t>
  </si>
  <si>
    <t>405.3266</t>
  </si>
  <si>
    <t>484.776</t>
  </si>
  <si>
    <t>20.3599554945873</t>
  </si>
  <si>
    <t>2.74167160690112</t>
  </si>
  <si>
    <t>44.2844135831824</t>
  </si>
  <si>
    <t>5.96333913311134</t>
  </si>
  <si>
    <t>39.0368616118208</t>
  </si>
  <si>
    <t>5.25670378464779</t>
  </si>
  <si>
    <t>35.4375900136968</t>
  </si>
  <si>
    <t>4.77202587124441</t>
  </si>
  <si>
    <t>30.8036913300129</t>
  </si>
  <si>
    <t>4.14802507449954</t>
  </si>
  <si>
    <t>45.9</t>
  </si>
  <si>
    <t>0.777777778</t>
  </si>
  <si>
    <t>35.7000000102</t>
  </si>
  <si>
    <t>74.5</t>
  </si>
  <si>
    <t>0.750335571</t>
  </si>
  <si>
    <t>55.9000000395</t>
  </si>
  <si>
    <t>111.3</t>
  </si>
  <si>
    <t>0.857142857</t>
  </si>
  <si>
    <t>95.3999999841</t>
  </si>
  <si>
    <t>94.8</t>
  </si>
  <si>
    <t>0.937763713</t>
  </si>
  <si>
    <t>88.8999999924</t>
  </si>
  <si>
    <t>81.4</t>
  </si>
  <si>
    <t>0.733415233</t>
  </si>
  <si>
    <t>59.6999999662</t>
  </si>
  <si>
    <t>280.3</t>
  </si>
  <si>
    <t>0.91865858</t>
  </si>
  <si>
    <t>257.499999974</t>
  </si>
  <si>
    <t>132.7</t>
  </si>
  <si>
    <t>0.359457423</t>
  </si>
  <si>
    <t>47.7000000321</t>
  </si>
  <si>
    <t>138.9</t>
  </si>
  <si>
    <t>133.4</t>
  </si>
  <si>
    <t>0.874812594</t>
  </si>
  <si>
    <t>116.7000000396</t>
  </si>
  <si>
    <t>81.8</t>
  </si>
  <si>
    <t>0.927872861</t>
  </si>
  <si>
    <t>75.9000000298</t>
  </si>
  <si>
    <t>601.664276575894</t>
  </si>
  <si>
    <t>208.845662159782</t>
  </si>
  <si>
    <t>15.4729144033919</t>
  </si>
  <si>
    <t>90.8646898339189</t>
  </si>
  <si>
    <t>70.9433125395519</t>
  </si>
  <si>
    <t>4.10032231689885</t>
  </si>
  <si>
    <t>14.7766332552393</t>
  </si>
  <si>
    <t>47.84689</t>
  </si>
  <si>
    <t>117.647059</t>
  </si>
  <si>
    <t>60.240964</t>
  </si>
  <si>
    <t>16666.66667</t>
  </si>
  <si>
    <t>23.255814</t>
  </si>
  <si>
    <t>24.509804</t>
  </si>
  <si>
    <t>26.954178</t>
  </si>
  <si>
    <t>33.333333</t>
  </si>
  <si>
    <t>81.081081</t>
  </si>
  <si>
    <t>192.307692</t>
  </si>
  <si>
    <t>437.15847</t>
  </si>
  <si>
    <t>20.11748612</t>
  </si>
  <si>
    <t>25.38071066</t>
  </si>
  <si>
    <t>116.2790698</t>
  </si>
  <si>
    <t>193.0501931</t>
  </si>
  <si>
    <t>216.4923903</t>
  </si>
  <si>
    <t>17.65817309</t>
  </si>
  <si>
    <t>21.69197397</t>
  </si>
  <si>
    <t>37.03703704</t>
  </si>
  <si>
    <t>38.02281369</t>
  </si>
  <si>
    <t>38.43936191</t>
  </si>
  <si>
    <t>397.1119134</t>
  </si>
  <si>
    <t>22.10921954</t>
  </si>
  <si>
    <t>26.76086491</t>
  </si>
  <si>
    <t>41.61031936</t>
  </si>
  <si>
    <t>51.41388175</t>
  </si>
  <si>
    <t>58.82352941</t>
  </si>
  <si>
    <t>17.12534037</t>
  </si>
  <si>
    <t>68.18181818</t>
  </si>
  <si>
    <t>80.30999659</t>
  </si>
  <si>
    <t>97.51340809</t>
  </si>
  <si>
    <t>262.5475868</t>
  </si>
  <si>
    <t>62.9703095</t>
  </si>
  <si>
    <t>83.59806052</t>
  </si>
  <si>
    <t>93.46449517</t>
  </si>
  <si>
    <t>116.9385488</t>
  </si>
  <si>
    <t>119.3388627</t>
  </si>
  <si>
    <t>188.1821603</t>
  </si>
  <si>
    <t>119.047619</t>
  </si>
  <si>
    <t>0.377834462147369</t>
  </si>
  <si>
    <t>0.364819232588752</t>
  </si>
  <si>
    <t>0.547228848883128</t>
  </si>
  <si>
    <t>0.182409616294376</t>
  </si>
  <si>
    <t>0.729638465177503</t>
  </si>
  <si>
    <t>0.5</t>
  </si>
  <si>
    <t>0.912048081471879</t>
  </si>
  <si>
    <t>0.56</t>
  </si>
  <si>
    <t>212.8</t>
  </si>
  <si>
    <t>100.8</t>
  </si>
  <si>
    <t>16.8</t>
  </si>
  <si>
    <t>22.4</t>
  </si>
  <si>
    <t>61.6</t>
  </si>
  <si>
    <t>33.6</t>
  </si>
  <si>
    <t>442.4</t>
  </si>
  <si>
    <t>403.2</t>
  </si>
  <si>
    <t>26.5</t>
  </si>
  <si>
    <t>14.84</t>
  </si>
  <si>
    <t>34.5</t>
  </si>
  <si>
    <t>19.32</t>
  </si>
  <si>
    <t>21.5</t>
  </si>
  <si>
    <t>12.04</t>
  </si>
  <si>
    <t>19.5</t>
  </si>
  <si>
    <t>10.92</t>
  </si>
  <si>
    <t>19.04</t>
  </si>
  <si>
    <t>332.12</t>
  </si>
  <si>
    <t>0.8705</t>
  </si>
  <si>
    <t>289.11046</t>
  </si>
  <si>
    <t>579.15</t>
  </si>
  <si>
    <t>502.760115</t>
  </si>
  <si>
    <t>43.97</t>
  </si>
  <si>
    <t>38.170357</t>
  </si>
  <si>
    <t>89.58</t>
  </si>
  <si>
    <t>77.97939</t>
  </si>
  <si>
    <t>250.42</t>
  </si>
  <si>
    <t>217.389602</t>
  </si>
  <si>
    <t>270.97</t>
  </si>
  <si>
    <t>235.879385</t>
  </si>
  <si>
    <t>42.46</t>
  </si>
  <si>
    <t>36.859526</t>
  </si>
  <si>
    <t>107.26</t>
  </si>
  <si>
    <t>93.36983</t>
  </si>
  <si>
    <t>0.44</t>
  </si>
  <si>
    <t>66.106535479981</t>
  </si>
  <si>
    <t>0.33</t>
  </si>
  <si>
    <t>96.6274964173109</t>
  </si>
  <si>
    <t>0.09</t>
  </si>
  <si>
    <t>3.63489014735966</t>
  </si>
  <si>
    <t>0.2</t>
  </si>
  <si>
    <t>9.77381572956708</t>
  </si>
  <si>
    <t>0.19</t>
  </si>
  <si>
    <t>6.52260843109539</t>
  </si>
  <si>
    <t>0.18</t>
  </si>
  <si>
    <t>19.0468243721646</t>
  </si>
  <si>
    <t>50.7915316591056</t>
  </si>
  <si>
    <t>20.71887383995</t>
  </si>
  <si>
    <t>0.63</t>
  </si>
  <si>
    <t>177.091847979363</t>
  </si>
  <si>
    <t>29.4668427945956</t>
  </si>
  <si>
    <t>0.077</t>
  </si>
  <si>
    <t>77.5596704576282</t>
  </si>
  <si>
    <t>0.05</t>
  </si>
  <si>
    <t>4.50322501589558</t>
  </si>
  <si>
    <t>0.92</t>
  </si>
  <si>
    <t>93.3</t>
  </si>
  <si>
    <t>0.68</t>
  </si>
  <si>
    <t>63.444</t>
  </si>
  <si>
    <t>149.576</t>
  </si>
  <si>
    <t>0.715</t>
  </si>
  <si>
    <t>140.6405</t>
  </si>
  <si>
    <t>0.39</t>
  </si>
  <si>
    <t>304.278</t>
  </si>
  <si>
    <t>0.55</t>
  </si>
  <si>
    <t>266.2</t>
  </si>
  <si>
    <t>0.53</t>
  </si>
  <si>
    <t>312.7</t>
  </si>
  <si>
    <t>0.79</t>
  </si>
  <si>
    <t>115.34</t>
  </si>
  <si>
    <t>0.83</t>
  </si>
  <si>
    <t>76.36</t>
  </si>
  <si>
    <t>3061.64539584745</t>
  </si>
  <si>
    <t>0.28</t>
  </si>
  <si>
    <t>857.260710837285</t>
  </si>
  <si>
    <t>0.478</t>
  </si>
  <si>
    <t>286.8</t>
  </si>
  <si>
    <t>10372.6</t>
  </si>
  <si>
    <t>174.5</t>
  </si>
  <si>
    <t>0.9357</t>
  </si>
  <si>
    <t>163.27965</t>
  </si>
  <si>
    <t>365.6</t>
  </si>
  <si>
    <t>0.9183</t>
  </si>
  <si>
    <t>335.73048</t>
  </si>
  <si>
    <t>36.1</t>
  </si>
  <si>
    <t>0.1074</t>
  </si>
  <si>
    <t>3.87714</t>
  </si>
  <si>
    <t>80.2656588604647</t>
  </si>
  <si>
    <t>0.517853133</t>
  </si>
  <si>
    <t>41.5658229132008</t>
  </si>
  <si>
    <t>201.185683990276</t>
  </si>
  <si>
    <t>0.88966725</t>
  </si>
  <si>
    <t>178.988314214998</t>
  </si>
  <si>
    <t>258.724035959304</t>
  </si>
  <si>
    <t>0.892483991</t>
  </si>
  <si>
    <t>230.907060180587</t>
  </si>
  <si>
    <t>295.644967076997</t>
  </si>
  <si>
    <t>0.900948258</t>
  </si>
  <si>
    <t>266.360818074487</t>
  </si>
  <si>
    <t>336.884570120225</t>
  </si>
  <si>
    <t>0.37816564</t>
  </si>
  <si>
    <t>127.39816906564</t>
  </si>
  <si>
    <t>429.561071263263</t>
  </si>
  <si>
    <t>0.487854251</t>
  </si>
  <si>
    <t>209.563194679897</t>
  </si>
  <si>
    <t>441.830297673774</t>
  </si>
  <si>
    <t>0.228882295</t>
  </si>
  <si>
    <t>101.127132532107</t>
  </si>
  <si>
    <t>450.860044006078</t>
  </si>
  <si>
    <t>0.761748034</t>
  </si>
  <si>
    <t>343.441752130783</t>
  </si>
  <si>
    <t>456.928508587136</t>
  </si>
  <si>
    <t>0.520644512</t>
  </si>
  <si>
    <t>237.897320372237</t>
  </si>
  <si>
    <t>521.975426598939</t>
  </si>
  <si>
    <t>0.816874313</t>
  </si>
  <si>
    <t>426.38831800589</t>
  </si>
  <si>
    <t>675.150949289893</t>
  </si>
  <si>
    <t>0.835333237</t>
  </si>
  <si>
    <t>563.976027933949</t>
  </si>
  <si>
    <t>681.620046669436</t>
  </si>
  <si>
    <t>0.52855932</t>
  </si>
  <si>
    <t>360.276628365965</t>
  </si>
  <si>
    <t>699.832990538352</t>
  </si>
  <si>
    <t>0.975598527</t>
  </si>
  <si>
    <t>682.756034715222</t>
  </si>
  <si>
    <t>748.018097093651</t>
  </si>
  <si>
    <t>0.563823835</t>
  </si>
  <si>
    <t>421.750432152745</t>
  </si>
  <si>
    <t>867.623039960999</t>
  </si>
  <si>
    <t>0.543599776</t>
  </si>
  <si>
    <t>471.639690175238</t>
  </si>
  <si>
    <t>942.07204113684</t>
  </si>
  <si>
    <t>0.715555556</t>
  </si>
  <si>
    <t>674.104883187726</t>
  </si>
  <si>
    <t>1042.23513813693</t>
  </si>
  <si>
    <t>0.632104897</t>
  </si>
  <si>
    <t>658.801934641825</t>
  </si>
  <si>
    <t>1052.18552367594</t>
  </si>
  <si>
    <t>0.735935706</t>
  </si>
  <si>
    <t>774.340896209432</t>
  </si>
  <si>
    <t>1084.04569393236</t>
  </si>
  <si>
    <t>0.883290583</t>
  </si>
  <si>
    <t>957.527352992157</t>
  </si>
  <si>
    <t>1092.82737442153</t>
  </si>
  <si>
    <t>0.828960208</t>
  </si>
  <si>
    <t>905.910407608566</t>
  </si>
  <si>
    <t>1148.04844995952</t>
  </si>
  <si>
    <t>0.345409541</t>
  </si>
  <si>
    <t>396.546888146281</t>
  </si>
  <si>
    <t>1207.30707427261</t>
  </si>
  <si>
    <t>0.676862024</t>
  </si>
  <si>
    <t>817.180309881675</t>
  </si>
  <si>
    <t>1286.87131964954</t>
  </si>
  <si>
    <t>0.8286005</t>
  </si>
  <si>
    <t>1066.30221889727</t>
  </si>
  <si>
    <t>1356.20283199231</t>
  </si>
  <si>
    <t>0.845049769</t>
  </si>
  <si>
    <t>1146.05888989225</t>
  </si>
  <si>
    <t>1356.23541316556</t>
  </si>
  <si>
    <t>0.720915814</t>
  </si>
  <si>
    <t>977.73155685788</t>
  </si>
  <si>
    <t>1382.48597603254</t>
  </si>
  <si>
    <t>0.485259891</t>
  </si>
  <si>
    <t>670.864994038579</t>
  </si>
  <si>
    <t>1460.93178251211</t>
  </si>
  <si>
    <t>0.862636989</t>
  </si>
  <si>
    <t>1260.25379400065</t>
  </si>
  <si>
    <t>1512.69952576164</t>
  </si>
  <si>
    <t>0.668292526</t>
  </si>
  <si>
    <t>1010.92578715025</t>
  </si>
  <si>
    <t>1564.31463403666</t>
  </si>
  <si>
    <t>0.818682372</t>
  </si>
  <si>
    <t>1280.67681514745</t>
  </si>
  <si>
    <t>1568.81464501836</t>
  </si>
  <si>
    <t>0.459415474</t>
  </si>
  <si>
    <t>720.73772375925</t>
  </si>
  <si>
    <t>1728.60156115242</t>
  </si>
  <si>
    <t>0.407698733</t>
  </si>
  <si>
    <t>704.748666343665</t>
  </si>
  <si>
    <t>2570.27216618461</t>
  </si>
  <si>
    <t>0.767539818</t>
  </si>
  <si>
    <t>1972.7862306438</t>
  </si>
  <si>
    <t>2865.77279662351</t>
  </si>
  <si>
    <t>0.470425843</t>
  </si>
  <si>
    <t>1348.13358369808</t>
  </si>
  <si>
    <t>662.337</t>
  </si>
  <si>
    <t>564.084</t>
  </si>
  <si>
    <t>742.041</t>
  </si>
  <si>
    <t>518.643</t>
  </si>
  <si>
    <t>94.3</t>
  </si>
  <si>
    <t>88.642</t>
  </si>
  <si>
    <t>106.6</t>
  </si>
  <si>
    <t>100.204</t>
  </si>
  <si>
    <t>106.8</t>
  </si>
  <si>
    <t>100.392</t>
  </si>
  <si>
    <t>127.7</t>
  </si>
  <si>
    <t>120.038</t>
  </si>
  <si>
    <t>127.8</t>
  </si>
  <si>
    <t>120.132</t>
  </si>
  <si>
    <t>136.3</t>
  </si>
  <si>
    <t>128.122</t>
  </si>
  <si>
    <t>139.6</t>
  </si>
  <si>
    <t>131.224</t>
  </si>
  <si>
    <t>142.4</t>
  </si>
  <si>
    <t>133.856</t>
  </si>
  <si>
    <t>142.6</t>
  </si>
  <si>
    <t>134.044</t>
  </si>
  <si>
    <t>142.9</t>
  </si>
  <si>
    <t>134.326</t>
  </si>
  <si>
    <t>143.2</t>
  </si>
  <si>
    <t>134.608</t>
  </si>
  <si>
    <t>145.5</t>
  </si>
  <si>
    <t>136.77</t>
  </si>
  <si>
    <t>149.4</t>
  </si>
  <si>
    <t>140.436</t>
  </si>
  <si>
    <t>144.76</t>
  </si>
  <si>
    <t>154.2</t>
  </si>
  <si>
    <t>144.948</t>
  </si>
  <si>
    <t>155.3</t>
  </si>
  <si>
    <t>145.982</t>
  </si>
  <si>
    <t>155.8</t>
  </si>
  <si>
    <t>146.452</t>
  </si>
  <si>
    <t>158.9</t>
  </si>
  <si>
    <t>149.366</t>
  </si>
  <si>
    <t>163.1</t>
  </si>
  <si>
    <t>153.314</t>
  </si>
  <si>
    <t>164.2</t>
  </si>
  <si>
    <t>154.348</t>
  </si>
  <si>
    <t>166.8</t>
  </si>
  <si>
    <t>156.792</t>
  </si>
  <si>
    <t>168.1</t>
  </si>
  <si>
    <t>158.014</t>
  </si>
  <si>
    <t>172.02</t>
  </si>
  <si>
    <t>183.8</t>
  </si>
  <si>
    <t>172.772</t>
  </si>
  <si>
    <t>56.1327200016096</t>
  </si>
  <si>
    <t>142.816326530612</t>
  </si>
  <si>
    <t>0.424</t>
  </si>
  <si>
    <t>60.5541224489796</t>
  </si>
  <si>
    <t>143.428571428571</t>
  </si>
  <si>
    <t>0.553</t>
  </si>
  <si>
    <t>79.316</t>
  </si>
  <si>
    <t>163.959183673469</t>
  </si>
  <si>
    <t>0.241</t>
  </si>
  <si>
    <t>39.5141632653061</t>
  </si>
  <si>
    <t>165.020408163265</t>
  </si>
  <si>
    <t>0.479</t>
  </si>
  <si>
    <t>79.0447755102041</t>
  </si>
  <si>
    <t>223.591836734694</t>
  </si>
  <si>
    <t>0.547</t>
  </si>
  <si>
    <t>122.304734693878</t>
  </si>
  <si>
    <t>223.918367346939</t>
  </si>
  <si>
    <t>0.447</t>
  </si>
  <si>
    <t>100.091510204082</t>
  </si>
  <si>
    <t>243.551020408163</t>
  </si>
  <si>
    <t>0.405</t>
  </si>
  <si>
    <t>98.6381632653061</t>
  </si>
  <si>
    <t>265.387755102041</t>
  </si>
  <si>
    <t>0.535</t>
  </si>
  <si>
    <t>141.982448979592</t>
  </si>
  <si>
    <t>266.489795918367</t>
  </si>
  <si>
    <t>39.9734693877551</t>
  </si>
  <si>
    <t>469.673469387755</t>
  </si>
  <si>
    <t>0.385</t>
  </si>
  <si>
    <t>180.824285714286</t>
  </si>
  <si>
    <t>309.6</t>
  </si>
  <si>
    <t>119.2</t>
  </si>
  <si>
    <t>288.9</t>
  </si>
  <si>
    <t>38.7</t>
  </si>
  <si>
    <t>255.4</t>
  </si>
  <si>
    <t>88.7</t>
  </si>
  <si>
    <t>120.5</t>
  </si>
  <si>
    <t>140.5</t>
  </si>
  <si>
    <t>2.8</t>
  </si>
  <si>
    <t>217.3</t>
  </si>
  <si>
    <t>77.1</t>
  </si>
  <si>
    <t>318.4</t>
  </si>
  <si>
    <t>98.5</t>
  </si>
  <si>
    <t>539.4</t>
  </si>
  <si>
    <t>22.2</t>
  </si>
  <si>
    <t>137.3</t>
  </si>
  <si>
    <t>628.9</t>
  </si>
  <si>
    <t>149.6</t>
  </si>
  <si>
    <t>106.5</t>
  </si>
  <si>
    <t>1188.8</t>
  </si>
  <si>
    <t>239.9</t>
  </si>
  <si>
    <t>271.4</t>
  </si>
  <si>
    <t>0.0265</t>
  </si>
  <si>
    <t>256.5</t>
  </si>
  <si>
    <t>0.891</t>
  </si>
  <si>
    <t>228.5415</t>
  </si>
  <si>
    <t>331.7</t>
  </si>
  <si>
    <t>0.247</t>
  </si>
  <si>
    <t>81.9299</t>
  </si>
  <si>
    <t>205.8</t>
  </si>
  <si>
    <t>0.767</t>
  </si>
  <si>
    <t>157.8486</t>
  </si>
  <si>
    <t>124.5</t>
  </si>
  <si>
    <t>0.61</t>
  </si>
  <si>
    <t>75.945</t>
  </si>
  <si>
    <t>97.2</t>
  </si>
  <si>
    <t>56.376</t>
  </si>
  <si>
    <t>280.4</t>
  </si>
  <si>
    <t>0.374</t>
  </si>
  <si>
    <t>104.8696</t>
  </si>
  <si>
    <t>113.3</t>
  </si>
  <si>
    <t>0.644</t>
  </si>
  <si>
    <t>72.9652</t>
  </si>
  <si>
    <t>56.4</t>
  </si>
  <si>
    <t>0.29</t>
  </si>
  <si>
    <t>16.356</t>
  </si>
  <si>
    <t>141.62</t>
  </si>
  <si>
    <t>81.48</t>
  </si>
  <si>
    <t>0.603681576984157</t>
  </si>
  <si>
    <t>0.265</t>
  </si>
  <si>
    <t>0.159975617900802</t>
  </si>
  <si>
    <t>1.24361936229978</t>
  </si>
  <si>
    <t>0.331</t>
  </si>
  <si>
    <t>0.411638008921227</t>
  </si>
  <si>
    <t>0.783019708768715</t>
  </si>
  <si>
    <t>0.36</t>
  </si>
  <si>
    <t>0.281887095156737</t>
  </si>
  <si>
    <t>0.1586</t>
  </si>
  <si>
    <t>45.994</t>
  </si>
  <si>
    <t>47.58</t>
  </si>
  <si>
    <t>53.924</t>
  </si>
  <si>
    <t>74.542</t>
  </si>
  <si>
    <t>117.364</t>
  </si>
  <si>
    <t>118.95</t>
  </si>
  <si>
    <t>101.504</t>
  </si>
  <si>
    <t>109.434</t>
  </si>
  <si>
    <t>134.81</t>
  </si>
  <si>
    <t>174.46</t>
  </si>
  <si>
    <t>244.244</t>
  </si>
  <si>
    <t>249.002</t>
  </si>
  <si>
    <t>155.428</t>
  </si>
  <si>
    <t>168.116</t>
  </si>
  <si>
    <t>214.11</t>
  </si>
  <si>
    <t>233.142</t>
  </si>
  <si>
    <t>241.072</t>
  </si>
  <si>
    <t>279.136</t>
  </si>
  <si>
    <t>23.79</t>
  </si>
  <si>
    <t>31.72</t>
  </si>
  <si>
    <t>38.064</t>
  </si>
  <si>
    <t>42.822</t>
  </si>
  <si>
    <t>49.166</t>
  </si>
  <si>
    <t>19.032</t>
  </si>
  <si>
    <t>36.478</t>
  </si>
  <si>
    <t>50.752</t>
  </si>
  <si>
    <t>128.466</t>
  </si>
  <si>
    <t>149.084</t>
  </si>
  <si>
    <t>180.804</t>
  </si>
  <si>
    <t>28.6</t>
  </si>
  <si>
    <t>0.77</t>
  </si>
  <si>
    <t>22.022</t>
  </si>
  <si>
    <t>81.9</t>
  </si>
  <si>
    <t>48.321</t>
  </si>
  <si>
    <t>53.3</t>
  </si>
  <si>
    <t>26.7</t>
  </si>
  <si>
    <t>133.3</t>
  </si>
  <si>
    <t>53.32</t>
  </si>
  <si>
    <t>66.7</t>
  </si>
  <si>
    <t>33.35</t>
  </si>
  <si>
    <t>0.119</t>
  </si>
  <si>
    <t>41.65</t>
  </si>
  <si>
    <t>11.543</t>
  </si>
  <si>
    <t>0.239</t>
  </si>
  <si>
    <t>48.995</t>
  </si>
  <si>
    <t>67.159</t>
  </si>
  <si>
    <t>0.23</t>
  </si>
  <si>
    <t>37.95</t>
  </si>
  <si>
    <t>35.65</t>
  </si>
  <si>
    <t>0.501</t>
  </si>
  <si>
    <t>48.096</t>
  </si>
  <si>
    <t>30.06</t>
  </si>
  <si>
    <t>0.396</t>
  </si>
  <si>
    <t>23.364</t>
  </si>
  <si>
    <t>32.868</t>
  </si>
  <si>
    <t>0.105</t>
  </si>
  <si>
    <t>23.52</t>
  </si>
  <si>
    <t>30.765</t>
  </si>
  <si>
    <t>0.909</t>
  </si>
  <si>
    <t>1979.802</t>
  </si>
  <si>
    <t>0.749</t>
  </si>
  <si>
    <t>2273.215</t>
  </si>
  <si>
    <t>0.002</t>
  </si>
  <si>
    <t>0.04</t>
  </si>
  <si>
    <t>38.6</t>
  </si>
  <si>
    <t>7.334</t>
  </si>
  <si>
    <t>64.1</t>
  </si>
  <si>
    <t>12.179</t>
  </si>
  <si>
    <t>5.6</t>
  </si>
  <si>
    <t>1.064</t>
  </si>
  <si>
    <t>0.057</t>
  </si>
  <si>
    <t>0.57</t>
  </si>
  <si>
    <t>1.4</t>
  </si>
  <si>
    <t>0.266</t>
  </si>
  <si>
    <t>0.038</t>
  </si>
  <si>
    <t>2.2</t>
  </si>
  <si>
    <t>0.418</t>
  </si>
  <si>
    <t>1.6</t>
  </si>
  <si>
    <t>0.304</t>
  </si>
  <si>
    <t>4.2</t>
  </si>
  <si>
    <t>0.798</t>
  </si>
  <si>
    <t>0.6</t>
  </si>
  <si>
    <t>0.114</t>
  </si>
  <si>
    <t>1.5</t>
  </si>
  <si>
    <t>0.285</t>
  </si>
  <si>
    <t>1.8</t>
  </si>
  <si>
    <t>0.342</t>
  </si>
  <si>
    <t>374.4</t>
  </si>
  <si>
    <t>0.9466</t>
  </si>
  <si>
    <t>48.2766</t>
  </si>
  <si>
    <t>73.7</t>
  </si>
  <si>
    <t>69.76442</t>
  </si>
  <si>
    <t>77.6</t>
  </si>
  <si>
    <t>73.45616</t>
  </si>
  <si>
    <t>88.2</t>
  </si>
  <si>
    <t>83.49012</t>
  </si>
  <si>
    <t>0.25</t>
  </si>
  <si>
    <t>6.625</t>
  </si>
  <si>
    <t>66.4</t>
  </si>
  <si>
    <t>0.028</t>
  </si>
  <si>
    <t>1.8592</t>
  </si>
  <si>
    <t>96.9</t>
  </si>
  <si>
    <t>0.137</t>
  </si>
  <si>
    <t>13.2753</t>
  </si>
  <si>
    <t>0.063</t>
  </si>
  <si>
    <t>1.89</t>
  </si>
  <si>
    <t>0.34</t>
  </si>
  <si>
    <t>1.7</t>
  </si>
  <si>
    <t>13.3</t>
  </si>
  <si>
    <t>3.2</t>
  </si>
  <si>
    <t>4.9</t>
  </si>
  <si>
    <t>0.51</t>
  </si>
  <si>
    <t>2.499</t>
  </si>
  <si>
    <t>2.3</t>
  </si>
  <si>
    <t>27.5</t>
  </si>
  <si>
    <t>0.367</t>
  </si>
  <si>
    <t>10.0925</t>
  </si>
  <si>
    <t>0.314</t>
  </si>
  <si>
    <t>10.99</t>
  </si>
  <si>
    <t>42.4</t>
  </si>
  <si>
    <t>0.153</t>
  </si>
  <si>
    <t>6.4872</t>
  </si>
  <si>
    <t>48.8</t>
  </si>
  <si>
    <t>26.84</t>
  </si>
  <si>
    <t>51.8</t>
  </si>
  <si>
    <t>28.49</t>
  </si>
  <si>
    <t>45.56</t>
  </si>
  <si>
    <t>86.6</t>
  </si>
  <si>
    <t>53.692</t>
  </si>
  <si>
    <t>11.1</t>
  </si>
  <si>
    <t>6.105</t>
  </si>
  <si>
    <t>12.5</t>
  </si>
  <si>
    <t>6.875</t>
  </si>
  <si>
    <t>16.1</t>
  </si>
  <si>
    <t>10.948</t>
  </si>
  <si>
    <t>29.6</t>
  </si>
  <si>
    <t>18.352</t>
  </si>
  <si>
    <t>7.9</t>
  </si>
  <si>
    <t>5.372</t>
  </si>
  <si>
    <t>13.4</t>
  </si>
  <si>
    <t>7.37</t>
  </si>
  <si>
    <t>13.5</t>
  </si>
  <si>
    <t>8.37</t>
  </si>
  <si>
    <t>20.3</t>
  </si>
  <si>
    <t>11.165</t>
  </si>
  <si>
    <t>821.4285719</t>
  </si>
  <si>
    <t>0.934782608</t>
  </si>
  <si>
    <t>767.857142726397</t>
  </si>
  <si>
    <t>186.4406784</t>
  </si>
  <si>
    <t>0.909090907</t>
  </si>
  <si>
    <t>169.491525428351</t>
  </si>
  <si>
    <t>0.909090909</t>
  </si>
  <si>
    <t>499.99999995</t>
  </si>
  <si>
    <t>1095.238092</t>
  </si>
  <si>
    <t>0.695652176</t>
  </si>
  <si>
    <t>761.904761937888</t>
  </si>
  <si>
    <t>1743.235882</t>
  </si>
  <si>
    <t>1721.445433475</t>
  </si>
  <si>
    <t>1127.659574</t>
  </si>
  <si>
    <t>0.962264151</t>
  </si>
  <si>
    <t>1085.10638259213</t>
  </si>
  <si>
    <t>562.5</t>
  </si>
  <si>
    <t>957.8344614</t>
  </si>
  <si>
    <t>0.934782609</t>
  </si>
  <si>
    <t>895.366996817602</t>
  </si>
  <si>
    <t>3808.584116</t>
  </si>
  <si>
    <t>0.953367875</t>
  </si>
  <si>
    <t>3630.98174542967</t>
  </si>
  <si>
    <t>1833.476398</t>
  </si>
  <si>
    <t>0.910112358</t>
  </si>
  <si>
    <t>1668.66952792113</t>
  </si>
  <si>
    <t>1324.263039</t>
  </si>
  <si>
    <t>0.931506849</t>
  </si>
  <si>
    <t>1233.56009070605</t>
  </si>
  <si>
    <t>1034.807151</t>
  </si>
  <si>
    <t>0.872727271</t>
  </si>
  <si>
    <t>903.104420903515</t>
  </si>
  <si>
    <t>1870.709382</t>
  </si>
  <si>
    <t>0.935779816</t>
  </si>
  <si>
    <t>1750.57208127743</t>
  </si>
  <si>
    <t>299.6535256</t>
  </si>
  <si>
    <t>1006.204927</t>
  </si>
  <si>
    <t>0.900000003</t>
  </si>
  <si>
    <t>905.584437318615</t>
  </si>
  <si>
    <t>558.4178163</t>
  </si>
  <si>
    <t>0.928571428</t>
  </si>
  <si>
    <t>518.530829102333</t>
  </si>
  <si>
    <t>0.918</t>
  </si>
  <si>
    <t>159.732</t>
  </si>
  <si>
    <t>131.274</t>
  </si>
  <si>
    <t>337.824</t>
  </si>
  <si>
    <t>103.734</t>
  </si>
  <si>
    <t>121.176</t>
  </si>
  <si>
    <t>245.106</t>
  </si>
  <si>
    <t>94.554</t>
  </si>
  <si>
    <t>113.832</t>
  </si>
  <si>
    <t>138.618</t>
  </si>
  <si>
    <t>84.456</t>
  </si>
  <si>
    <t>196.452</t>
  </si>
  <si>
    <t>125.766</t>
  </si>
  <si>
    <t>201.96</t>
  </si>
  <si>
    <t>150.552</t>
  </si>
  <si>
    <t>190.8</t>
  </si>
  <si>
    <t>151.4</t>
  </si>
  <si>
    <t>43.5</t>
  </si>
  <si>
    <t>14.1</t>
  </si>
  <si>
    <t>6.2</t>
  </si>
  <si>
    <t>4.4</t>
  </si>
  <si>
    <t>3.8</t>
  </si>
  <si>
    <t>20.6</t>
  </si>
  <si>
    <t>7.8</t>
  </si>
  <si>
    <t>3.5</t>
  </si>
  <si>
    <t>381.9</t>
  </si>
  <si>
    <t>339.8</t>
  </si>
  <si>
    <t>41.9</t>
  </si>
  <si>
    <t>34.1</t>
  </si>
  <si>
    <t>45.1</t>
  </si>
  <si>
    <t>6.8</t>
  </si>
  <si>
    <t>17.4</t>
  </si>
  <si>
    <t>36.2</t>
  </si>
  <si>
    <t>47.7</t>
  </si>
  <si>
    <t>14.5</t>
  </si>
  <si>
    <t>97.9</t>
  </si>
  <si>
    <t>62.3</t>
  </si>
  <si>
    <t>53.4</t>
  </si>
  <si>
    <t>44.5</t>
  </si>
  <si>
    <t>35.6</t>
  </si>
  <si>
    <t>17.8</t>
  </si>
  <si>
    <t>591.247176</t>
  </si>
  <si>
    <t>230.58639864</t>
  </si>
  <si>
    <t>312.236217</t>
  </si>
  <si>
    <t>121.77212463</t>
  </si>
  <si>
    <t>930.811</t>
  </si>
  <si>
    <t>363.01629</t>
  </si>
  <si>
    <t>666.666667</t>
  </si>
  <si>
    <t>260.00000013</t>
  </si>
  <si>
    <t>1187.16761</t>
  </si>
  <si>
    <t>462.9953679</t>
  </si>
  <si>
    <t>486.618005</t>
  </si>
  <si>
    <t>189.78102195</t>
  </si>
  <si>
    <t>3016.323186</t>
  </si>
  <si>
    <t>1176.36604254</t>
  </si>
  <si>
    <t>1568.627451</t>
  </si>
  <si>
    <t>611.76470589</t>
  </si>
  <si>
    <t>647.386491</t>
  </si>
  <si>
    <t>252.48073149</t>
  </si>
  <si>
    <t>1250.395695</t>
  </si>
  <si>
    <t>487.65432105</t>
  </si>
  <si>
    <t>1390.778534</t>
  </si>
  <si>
    <t>542.40362826</t>
  </si>
  <si>
    <t>925.925926</t>
  </si>
  <si>
    <t>361.11111114</t>
  </si>
  <si>
    <t>95.648015</t>
  </si>
  <si>
    <t>37.30272585</t>
  </si>
  <si>
    <t>922.313705</t>
  </si>
  <si>
    <t>359.70234495</t>
  </si>
  <si>
    <t>225.742878</t>
  </si>
  <si>
    <t>88.03972242</t>
  </si>
  <si>
    <t>4841.269841</t>
  </si>
  <si>
    <t>1888.09523799</t>
  </si>
  <si>
    <t>446.108551</t>
  </si>
  <si>
    <t>173.98233489</t>
  </si>
  <si>
    <t>3654.486626</t>
  </si>
  <si>
    <t>1425.24978414</t>
  </si>
  <si>
    <t>358.933552</t>
  </si>
  <si>
    <t>139.98408528</t>
  </si>
  <si>
    <t>520.833333</t>
  </si>
  <si>
    <t>203.12499987</t>
  </si>
  <si>
    <t>858.755767</t>
  </si>
  <si>
    <t>334.91474913</t>
  </si>
  <si>
    <t>85.034014</t>
  </si>
  <si>
    <t>33.16326546</t>
  </si>
  <si>
    <t>1923.477849</t>
  </si>
  <si>
    <t>750.15636111</t>
  </si>
  <si>
    <t>1060.376768</t>
  </si>
  <si>
    <t>413.54693952</t>
  </si>
  <si>
    <t>3467.420097</t>
  </si>
  <si>
    <t>1352.29383783</t>
  </si>
  <si>
    <t>1690.560819</t>
  </si>
  <si>
    <t>659.31871941</t>
  </si>
  <si>
    <t>106.157113</t>
  </si>
  <si>
    <t>41.40127407</t>
  </si>
  <si>
    <t>1058.201058</t>
  </si>
  <si>
    <t>412.69841262</t>
  </si>
  <si>
    <t>0.833333333</t>
  </si>
  <si>
    <t>83.3333333</t>
  </si>
  <si>
    <t>0.111111111</t>
  </si>
  <si>
    <t>88.8888888</t>
  </si>
  <si>
    <t>0.125</t>
  </si>
  <si>
    <t>0.03125</t>
  </si>
  <si>
    <t>193.75</t>
  </si>
  <si>
    <t>0.333333333</t>
  </si>
  <si>
    <t>66.6666666</t>
  </si>
  <si>
    <t>0.470588235</t>
  </si>
  <si>
    <t>423.5294115</t>
  </si>
  <si>
    <t>75.62</t>
  </si>
  <si>
    <t>19.9</t>
  </si>
  <si>
    <t>12787.74</t>
  </si>
  <si>
    <t>115.42</t>
  </si>
  <si>
    <t>69.65</t>
  </si>
  <si>
    <t>1291.51</t>
  </si>
  <si>
    <t>79.6</t>
  </si>
  <si>
    <t>6137.16</t>
  </si>
  <si>
    <t>34.825</t>
  </si>
  <si>
    <t>59.7</t>
  </si>
  <si>
    <t>595.01</t>
  </si>
  <si>
    <t>1435.785</t>
  </si>
  <si>
    <t>304.47</t>
  </si>
  <si>
    <t>14.925</t>
  </si>
  <si>
    <t>3217.83</t>
  </si>
  <si>
    <t>88.8</t>
  </si>
  <si>
    <t>44.4</t>
  </si>
  <si>
    <t>5.60100339466566</t>
  </si>
  <si>
    <t>11.2020067893313</t>
  </si>
  <si>
    <t>16.803010183997</t>
  </si>
  <si>
    <t>39.2070237626596</t>
  </si>
  <si>
    <t>28.0050169733283</t>
  </si>
  <si>
    <t>325.98</t>
  </si>
  <si>
    <t>600.1</t>
  </si>
  <si>
    <t>2407.975</t>
  </si>
  <si>
    <t>5.73999999999999</t>
  </si>
  <si>
    <t>11.83</t>
  </si>
  <si>
    <t>8.25999999999999</t>
  </si>
  <si>
    <t>6.22999999999999</t>
  </si>
  <si>
    <t>13.67361</t>
  </si>
  <si>
    <t>4.23018</t>
  </si>
  <si>
    <t>29.44245</t>
  </si>
  <si>
    <t>27.72456</t>
  </si>
  <si>
    <t>37.51554</t>
  </si>
  <si>
    <t>16.91079</t>
  </si>
  <si>
    <t>8.38092</t>
  </si>
  <si>
    <t>17.61582</t>
  </si>
  <si>
    <t>17.66547</t>
  </si>
  <si>
    <t>3.20739</t>
  </si>
  <si>
    <t>140.25</t>
  </si>
  <si>
    <t>210.8</t>
  </si>
  <si>
    <t>69.7</t>
  </si>
  <si>
    <t>278.8</t>
  </si>
  <si>
    <t>70.55</t>
  </si>
  <si>
    <t>123.4409</t>
  </si>
  <si>
    <t>4.25</t>
  </si>
  <si>
    <t>31.5483</t>
  </si>
  <si>
    <t>39.4264</t>
  </si>
  <si>
    <t>407.524</t>
  </si>
  <si>
    <t>51.701</t>
  </si>
  <si>
    <t>70.602</t>
  </si>
  <si>
    <t>87.494</t>
  </si>
  <si>
    <t>34.748427672956</t>
  </si>
  <si>
    <t>36.7924528301887</t>
  </si>
  <si>
    <t>49.0566037735849</t>
  </si>
  <si>
    <t>67.4528301886792</t>
  </si>
  <si>
    <t>75.6289308176101</t>
  </si>
  <si>
    <t>100.157232704403</t>
  </si>
  <si>
    <t>9.93124522536287</t>
  </si>
  <si>
    <t>29.7937356760886</t>
  </si>
  <si>
    <t>32.2765469824293</t>
  </si>
  <si>
    <t>37.2421695951108</t>
  </si>
  <si>
    <t>84.4155844155844</t>
  </si>
  <si>
    <t>193.659281894576</t>
  </si>
  <si>
    <t>235.867074102368</t>
  </si>
  <si>
    <t>203.224</t>
  </si>
  <si>
    <t>74.657</t>
  </si>
  <si>
    <t>48.706</t>
  </si>
  <si>
    <t>11.172</t>
  </si>
  <si>
    <t>24.101</t>
  </si>
  <si>
    <t>183.996</t>
  </si>
  <si>
    <t>37.75</t>
  </si>
  <si>
    <t>20.043</t>
  </si>
  <si>
    <t>1651.84</t>
  </si>
  <si>
    <t>1204.17</t>
  </si>
  <si>
    <t>1698.12</t>
  </si>
  <si>
    <t>1313.64</t>
  </si>
  <si>
    <t>1100.93</t>
  </si>
  <si>
    <t>1335.89</t>
  </si>
  <si>
    <t>1240.66</t>
  </si>
  <si>
    <t>598.08</t>
  </si>
  <si>
    <t>783.2</t>
  </si>
  <si>
    <t>12.065</t>
  </si>
  <si>
    <t>49.932</t>
  </si>
  <si>
    <t>22.496</t>
  </si>
  <si>
    <t>2.888</t>
  </si>
  <si>
    <t>3.895</t>
  </si>
  <si>
    <t>1.045</t>
  </si>
  <si>
    <t>5.168</t>
  </si>
  <si>
    <t>3.401</t>
  </si>
  <si>
    <t>0.0619951706724054</t>
  </si>
  <si>
    <t>0.0840079787196985</t>
  </si>
  <si>
    <t>0.0548860955314581</t>
  </si>
  <si>
    <t>0.0281193110485998</t>
  </si>
  <si>
    <t>0.0279301464939507</t>
  </si>
  <si>
    <t>0.0641740751647326</t>
  </si>
  <si>
    <t>0.0165329820763379</t>
  </si>
  <si>
    <t>0.0164289415712808</t>
  </si>
  <si>
    <t>0.0736606775803887</t>
  </si>
  <si>
    <t>0.076499938192239</t>
  </si>
  <si>
    <t>0.0278041557386341</t>
  </si>
  <si>
    <t>0.0275345863616667</t>
  </si>
  <si>
    <t>0.170791455264324</t>
  </si>
  <si>
    <t>0.0853379627656691</t>
  </si>
  <si>
    <t>0.0851261582551947</t>
  </si>
  <si>
    <t>0.0478293094562098</t>
  </si>
  <si>
    <t>0.0850298834777064</t>
  </si>
  <si>
    <t>0.132984350144651</t>
  </si>
  <si>
    <t>0.0374701433984639</t>
  </si>
  <si>
    <t>0.0750750714854115</t>
  </si>
  <si>
    <t>0.27780087044262</t>
  </si>
  <si>
    <t>0.805884893103432</t>
  </si>
  <si>
    <t>0.629622347270297</t>
  </si>
  <si>
    <t>0.27536067879779</t>
  </si>
  <si>
    <t>0.5112</t>
  </si>
  <si>
    <t>1.4484</t>
  </si>
  <si>
    <t>0.7455</t>
  </si>
  <si>
    <t>1.1005</t>
  </si>
  <si>
    <t>1.136</t>
  </si>
  <si>
    <t>0.852</t>
  </si>
  <si>
    <t>1.2922</t>
  </si>
  <si>
    <t>9.57168000000001</t>
  </si>
  <si>
    <t>14.0148</t>
  </si>
  <si>
    <t>5.37336000000001</t>
  </si>
  <si>
    <t>11.9952</t>
  </si>
  <si>
    <t>7.63776</t>
  </si>
  <si>
    <t>3.4884</t>
  </si>
  <si>
    <t>5.50800000000001</t>
  </si>
  <si>
    <t>6.63408</t>
  </si>
  <si>
    <t>4.22280000000001</t>
  </si>
  <si>
    <t>13.50072</t>
  </si>
  <si>
    <t>4.07592</t>
  </si>
  <si>
    <t>5.59368000000001</t>
  </si>
  <si>
    <t>6.27912000000001</t>
  </si>
  <si>
    <t>4.08000000000001</t>
  </si>
  <si>
    <t>3.72</t>
  </si>
  <si>
    <t>6.24000000000001</t>
  </si>
  <si>
    <t>8.51999999999998</t>
  </si>
  <si>
    <t>8.88</t>
  </si>
  <si>
    <t>5.28</t>
  </si>
  <si>
    <t>6.96000000000001</t>
  </si>
  <si>
    <t>8.28000000000003</t>
  </si>
  <si>
    <t>9.48000000000002</t>
  </si>
  <si>
    <t>9.12</t>
  </si>
  <si>
    <t>2.04000000000001</t>
  </si>
  <si>
    <t>18.6</t>
  </si>
  <si>
    <t>11.88</t>
  </si>
  <si>
    <t>9.72000000000003</t>
  </si>
  <si>
    <t>10.8</t>
  </si>
  <si>
    <t>5.40000000000001</t>
  </si>
  <si>
    <t>9.24000000000001</t>
  </si>
  <si>
    <t>5600.73370469263</t>
  </si>
  <si>
    <t>5063.48634003369</t>
  </si>
  <si>
    <t>3844.73781530758</t>
  </si>
  <si>
    <t>1.9994</t>
  </si>
  <si>
    <t>5.9994</t>
  </si>
  <si>
    <t>6.0014</t>
  </si>
  <si>
    <t>5.9983</t>
  </si>
  <si>
    <t>12.9989</t>
  </si>
  <si>
    <t>8.1696</t>
  </si>
  <si>
    <t>22.02</t>
  </si>
  <si>
    <t>8.6922</t>
  </si>
  <si>
    <t>23.9976</t>
  </si>
  <si>
    <t>10.998</t>
  </si>
  <si>
    <t>12.0029</t>
  </si>
  <si>
    <t>32.9994</t>
  </si>
  <si>
    <t>35.9954</t>
  </si>
  <si>
    <t>13.9955</t>
  </si>
  <si>
    <t>3.01740000000001</t>
  </si>
  <si>
    <t>10.0082</t>
  </si>
  <si>
    <t>1.001</t>
  </si>
  <si>
    <t>2.0006</t>
  </si>
  <si>
    <t>5.0008</t>
  </si>
  <si>
    <t>3.0004</t>
  </si>
  <si>
    <t>6.0008</t>
  </si>
  <si>
    <t>9.6544</t>
  </si>
  <si>
    <t>7.9994</t>
  </si>
  <si>
    <t>7.1595</t>
  </si>
  <si>
    <t>20.256</t>
  </si>
  <si>
    <t>9.99680000000001</t>
  </si>
  <si>
    <t>0.9999</t>
  </si>
  <si>
    <t>30.9205</t>
  </si>
  <si>
    <t>67.9875</t>
  </si>
  <si>
    <t>38.9974</t>
  </si>
  <si>
    <t>368.0018</t>
  </si>
  <si>
    <t>215.5512</t>
  </si>
  <si>
    <t>236.9796</t>
  </si>
  <si>
    <t>2.184</t>
  </si>
  <si>
    <t>1.196</t>
  </si>
  <si>
    <t>2.08000000000001</t>
  </si>
  <si>
    <t>2.02799999999999</t>
  </si>
  <si>
    <t>3.69200000000001</t>
  </si>
  <si>
    <t>3.01599999999999</t>
  </si>
  <si>
    <t>1.81999999999999</t>
  </si>
  <si>
    <t>1.92400000000001</t>
  </si>
  <si>
    <t>0.988</t>
  </si>
  <si>
    <t>1.61199999999999</t>
  </si>
  <si>
    <t>1.092</t>
  </si>
  <si>
    <t>19.6559999999999</t>
  </si>
  <si>
    <t>1.85900000000001</t>
  </si>
  <si>
    <t>1.664</t>
  </si>
  <si>
    <t>2.13200000000001</t>
  </si>
  <si>
    <t>1.14400000000001</t>
  </si>
  <si>
    <t>9.10000000000002</t>
  </si>
  <si>
    <t>1.3</t>
  </si>
  <si>
    <t>10.296</t>
  </si>
  <si>
    <t>0.936000000000007</t>
  </si>
  <si>
    <t>5.4</t>
  </si>
  <si>
    <t>7.29</t>
  </si>
  <si>
    <t>6.75</t>
  </si>
  <si>
    <t>4.05</t>
  </si>
  <si>
    <t>0.0249020688712149</t>
  </si>
  <si>
    <t>0.322654655279967</t>
  </si>
  <si>
    <t>0.167515091809319</t>
  </si>
  <si>
    <t>1.94862400921654</t>
  </si>
  <si>
    <t>0.0835910203494086</t>
  </si>
  <si>
    <t>0.377761167877392</t>
  </si>
  <si>
    <t>0.116825778665224</t>
  </si>
  <si>
    <t>0.155192932197508</t>
  </si>
  <si>
    <t>0.0702119769092935</t>
  </si>
  <si>
    <t>2.84574290437084</t>
  </si>
  <si>
    <t>0.626355089553152</t>
  </si>
  <si>
    <t>0.362980376656258</t>
  </si>
  <si>
    <t>0.260642788139985</t>
  </si>
  <si>
    <t>0.140936578397728</t>
  </si>
  <si>
    <t>3.108</t>
  </si>
  <si>
    <t>4.862</t>
  </si>
  <si>
    <t>2.51600000000008</t>
  </si>
  <si>
    <t>1.70387222115664</t>
  </si>
  <si>
    <t>54.6568655371002</t>
  </si>
  <si>
    <t>63.4382559770785</t>
  </si>
  <si>
    <t>0.262134187870252</t>
  </si>
  <si>
    <t>2.62139430554009</t>
  </si>
  <si>
    <t>0.65533546967563</t>
  </si>
  <si>
    <t>0.262658456245993</t>
  </si>
  <si>
    <t>1.09452309538547</t>
  </si>
  <si>
    <t>0.411359916042047</t>
  </si>
  <si>
    <t>0.761737517650943</t>
  </si>
  <si>
    <t>0.882600207666755</t>
  </si>
  <si>
    <t>0.498220632132632</t>
  </si>
  <si>
    <t>0.340065830192628</t>
  </si>
  <si>
    <t>0.493022464746035</t>
  </si>
  <si>
    <t>0.181158242827401</t>
  </si>
  <si>
    <t>0.495980938465483</t>
  </si>
  <si>
    <t>0.687687394339733</t>
  </si>
  <si>
    <t>0.549154266175158</t>
  </si>
  <si>
    <t>0.604125325932776</t>
  </si>
  <si>
    <t>0.417073415735572</t>
  </si>
  <si>
    <t>0.346557600941896</t>
  </si>
  <si>
    <t>0.263350963229092</t>
  </si>
  <si>
    <t>0.543239824058297</t>
  </si>
  <si>
    <t>0.401173246155846</t>
  </si>
  <si>
    <t>0.591316766525694</t>
  </si>
  <si>
    <t>79.9407125399999</t>
  </si>
  <si>
    <t>98.3714730500001</t>
  </si>
  <si>
    <t>73.7392891000001</t>
  </si>
  <si>
    <t>93.33441348</t>
  </si>
  <si>
    <t>26.84064579</t>
  </si>
  <si>
    <t>28.02987252</t>
  </si>
  <si>
    <t>54.4261062</t>
  </si>
  <si>
    <t>888.4015413</t>
  </si>
  <si>
    <t>33.3285672</t>
  </si>
  <si>
    <t>13.6904473</t>
  </si>
  <si>
    <t>12.8274872</t>
  </si>
  <si>
    <t>33.6630024799999</t>
  </si>
  <si>
    <t>26.7628323</t>
  </si>
  <si>
    <t>48.26637655</t>
  </si>
  <si>
    <t>27.5326849</t>
  </si>
  <si>
    <t>6.72127940999999</t>
  </si>
  <si>
    <t>19.91466736</t>
  </si>
  <si>
    <t>74.94524816</t>
  </si>
  <si>
    <t>6.84545528000001</t>
  </si>
  <si>
    <t>40.22507232</t>
  </si>
  <si>
    <t>68.18854854</t>
  </si>
  <si>
    <t>40.78520096</t>
  </si>
  <si>
    <t>20.39080966</t>
  </si>
  <si>
    <t>0.0630540900000085</t>
  </si>
  <si>
    <t>60.65740665</t>
  </si>
  <si>
    <t>20.02682972</t>
  </si>
  <si>
    <t>14.35652704</t>
  </si>
  <si>
    <t>13.3543864</t>
  </si>
  <si>
    <t>202.13216</t>
  </si>
  <si>
    <t>12.971044</t>
  </si>
  <si>
    <t>20.549835</t>
  </si>
  <si>
    <t>24.618496</t>
  </si>
  <si>
    <t>9.707346</t>
  </si>
  <si>
    <t>0.7789836</t>
  </si>
  <si>
    <t>0.457149999999999</t>
  </si>
  <si>
    <t>5.65149999999994</t>
  </si>
  <si>
    <t>31.215928</t>
  </si>
  <si>
    <t>9.736976</t>
  </si>
  <si>
    <t>1.5708903</t>
  </si>
  <si>
    <t>14.523462</t>
  </si>
  <si>
    <t>1.2633408</t>
  </si>
  <si>
    <t>2.2533472</t>
  </si>
  <si>
    <t>35.647328</t>
  </si>
  <si>
    <t>4.6613433</t>
  </si>
  <si>
    <t>9.63968</t>
  </si>
  <si>
    <t>2.751282</t>
  </si>
  <si>
    <t>1.841931</t>
  </si>
  <si>
    <t>1.1668677</t>
  </si>
  <si>
    <t>0.655238137880993</t>
  </si>
  <si>
    <t>3.57514308981317</t>
  </si>
  <si>
    <t>0.466857173240208</t>
  </si>
  <si>
    <t>0.728250491449799</t>
  </si>
  <si>
    <t>10.6977485985384</t>
  </si>
  <si>
    <t>2.09267382600517</t>
  </si>
  <si>
    <t>0.120161985112468</t>
  </si>
  <si>
    <t>4.78931340662552</t>
  </si>
  <si>
    <t>12.2435043432881</t>
  </si>
  <si>
    <t>5.47735720620784</t>
  </si>
  <si>
    <t>29.6053833613051</t>
  </si>
  <si>
    <t>1.1787318539604</t>
  </si>
  <si>
    <t>4.17133748318997</t>
  </si>
  <si>
    <t>0.343319957464195</t>
  </si>
  <si>
    <t>2.62639767460109</t>
  </si>
  <si>
    <t>0.723593990271156</t>
  </si>
  <si>
    <t>4.85995963614956</t>
  </si>
  <si>
    <t>0.329397264227914</t>
  </si>
  <si>
    <t>0.777593541783929</t>
  </si>
  <si>
    <t>1.44194382134962</t>
  </si>
  <si>
    <t>0.154493980858888</t>
  </si>
  <si>
    <t>3.3473695852759</t>
  </si>
  <si>
    <t>0.483296224077163</t>
  </si>
  <si>
    <t>15.7876766531873</t>
  </si>
  <si>
    <t>1.46778853238249</t>
  </si>
  <si>
    <t>12.8878993087243</t>
  </si>
  <si>
    <t>0.685001490338226</t>
  </si>
  <si>
    <t>9.712479231723</t>
  </si>
  <si>
    <t>0.0286099964553496</t>
  </si>
  <si>
    <t>0.514979936196293</t>
  </si>
  <si>
    <t>0.987742045874441</t>
  </si>
  <si>
    <t>12.3551462687345</t>
  </si>
  <si>
    <t>0.86218161631413</t>
  </si>
  <si>
    <t>13.9372076811944</t>
  </si>
  <si>
    <t>331.312847391515</t>
  </si>
  <si>
    <t>411.1260868719</t>
  </si>
  <si>
    <t>1475.51269928667</t>
  </si>
  <si>
    <t>450.80996459022</t>
  </si>
  <si>
    <t>198.884760315868</t>
  </si>
  <si>
    <t>7257.28565323363</t>
  </si>
  <si>
    <t>543.62179206133</t>
  </si>
  <si>
    <t>106.064977772548</t>
  </si>
  <si>
    <t>517.185761262975</t>
  </si>
  <si>
    <t>1180.0501082123</t>
  </si>
  <si>
    <t>3367.57563980939</t>
  </si>
  <si>
    <t>265.16244443137</t>
  </si>
  <si>
    <t>119.326083146195</t>
  </si>
  <si>
    <t>344.649525951155</t>
  </si>
  <si>
    <t>92.8754680487882</t>
  </si>
  <si>
    <t>26.6494919026504</t>
  </si>
  <si>
    <t>172.290953918686</t>
  </si>
  <si>
    <t>52.9847584530154</t>
  </si>
  <si>
    <t>66.3214370126551</t>
  </si>
  <si>
    <t>384.611831196815</t>
  </si>
  <si>
    <t>260.558903629086</t>
  </si>
  <si>
    <t>172.33470681584</t>
  </si>
  <si>
    <t>291.774812663708</t>
  </si>
  <si>
    <t>132.531503014374</t>
  </si>
  <si>
    <t>92.7640970378519</t>
  </si>
  <si>
    <t>1100.45165568158</t>
  </si>
  <si>
    <t>106.059674391075</t>
  </si>
  <si>
    <t>145.848293893489</t>
  </si>
  <si>
    <t>173.506301692407</t>
  </si>
  <si>
    <t>251.917249202142</t>
  </si>
  <si>
    <t>2777.64582111053</t>
  </si>
  <si>
    <t>106.072932844757</t>
  </si>
  <si>
    <t>676.067115126765</t>
  </si>
  <si>
    <t>530.237383068432</t>
  </si>
  <si>
    <t>1666.6354048408</t>
  </si>
  <si>
    <t>167.533820737258</t>
  </si>
  <si>
    <t>305.111491223347</t>
  </si>
  <si>
    <t>66.2286278368747</t>
  </si>
  <si>
    <t>367.318830058195</t>
  </si>
  <si>
    <t>238.64421122018</t>
  </si>
  <si>
    <t>1670.60759109851</t>
  </si>
  <si>
    <t>3.30088</t>
  </si>
  <si>
    <t>19.00012</t>
  </si>
  <si>
    <t>3.19934</t>
  </si>
  <si>
    <t>21.801</t>
  </si>
  <si>
    <t>32.90035</t>
  </si>
  <si>
    <t>0.503834172210144</t>
  </si>
  <si>
    <t>0.599686610669783</t>
  </si>
  <si>
    <t>0.000640181341136799</t>
  </si>
  <si>
    <t>0.611550101258364</t>
  </si>
  <si>
    <t>0.0634363316624115</t>
  </si>
  <si>
    <t>0.00388492387518681</t>
  </si>
  <si>
    <t>0.00950874848900127</t>
  </si>
  <si>
    <t>0.110981149988669</t>
  </si>
  <si>
    <t>0.0670850109460032</t>
  </si>
  <si>
    <t>0.0173641594621549</t>
  </si>
  <si>
    <t>0.0133313979042862</t>
  </si>
  <si>
    <t>354.7894</t>
  </si>
  <si>
    <t>449.9768</t>
  </si>
  <si>
    <t>285.5622</t>
  </si>
  <si>
    <t>432.67</t>
  </si>
  <si>
    <t>484.5904</t>
  </si>
  <si>
    <t>380.7496</t>
  </si>
  <si>
    <t>207.6816</t>
  </si>
  <si>
    <t>623.0448</t>
  </si>
  <si>
    <t>666.3118</t>
  </si>
  <si>
    <t>86.534</t>
  </si>
  <si>
    <t>406.7098</t>
  </si>
  <si>
    <t>2604.6734</t>
  </si>
  <si>
    <t>3115.224</t>
  </si>
  <si>
    <t>17.6182838876861</t>
  </si>
  <si>
    <t>38.321074450071</t>
  </si>
  <si>
    <t>33.780157827173</t>
  </si>
  <si>
    <t>30.6655641424524</t>
  </si>
  <si>
    <t>26.6556662555134</t>
  </si>
  <si>
    <t>10.1999999898</t>
  </si>
  <si>
    <t>18.5999999605</t>
  </si>
  <si>
    <t>15.9000000159</t>
  </si>
  <si>
    <t>5.9000000076</t>
  </si>
  <si>
    <t>21.7000000338</t>
  </si>
  <si>
    <t>22.800000026</t>
  </si>
  <si>
    <t>84.9999999679</t>
  </si>
  <si>
    <t>16.6999999604</t>
  </si>
  <si>
    <t>5.8999999702</t>
  </si>
  <si>
    <t>0.826799999999999</t>
  </si>
  <si>
    <t>1.2402</t>
  </si>
  <si>
    <t>0.4823</t>
  </si>
  <si>
    <t>1.1713</t>
  </si>
  <si>
    <t>0.5512</t>
  </si>
  <si>
    <t>1.7225</t>
  </si>
  <si>
    <t>1.5847</t>
  </si>
  <si>
    <t>2.9627</t>
  </si>
  <si>
    <t>1.5158</t>
  </si>
  <si>
    <t>1.378</t>
  </si>
  <si>
    <t>0.8957</t>
  </si>
  <si>
    <t>167.2</t>
  </si>
  <si>
    <t>79.2</t>
  </si>
  <si>
    <t>13.2</t>
  </si>
  <si>
    <t>17.6</t>
  </si>
  <si>
    <t>26.4</t>
  </si>
  <si>
    <t>347.6</t>
  </si>
  <si>
    <t>316.8</t>
  </si>
  <si>
    <t>11.66</t>
  </si>
  <si>
    <t>15.18</t>
  </si>
  <si>
    <t>9.46</t>
  </si>
  <si>
    <t>8.58</t>
  </si>
  <si>
    <t>14.96</t>
  </si>
  <si>
    <t>43.00954</t>
  </si>
  <si>
    <t>76.389885</t>
  </si>
  <si>
    <t>5.799643</t>
  </si>
  <si>
    <t>11.60061</t>
  </si>
  <si>
    <t>33.030398</t>
  </si>
  <si>
    <t>35.090615</t>
  </si>
  <si>
    <t>5.600474</t>
  </si>
  <si>
    <t>13.89017</t>
  </si>
  <si>
    <t>84.1355906108849</t>
  </si>
  <si>
    <t>196.183098786662</t>
  </si>
  <si>
    <t>36.7527781566365</t>
  </si>
  <si>
    <t>39.0952629182683</t>
  </si>
  <si>
    <t>27.8069096273014</t>
  </si>
  <si>
    <t>86.7688665843054</t>
  </si>
  <si>
    <t>55.0241592973644</t>
  </si>
  <si>
    <t>33.8044783704448</t>
  </si>
  <si>
    <t>104.006323416451</t>
  </si>
  <si>
    <t>48.0774803490771</t>
  </si>
  <si>
    <t>929.708777044037</t>
  </si>
  <si>
    <t>85.561275302016</t>
  </si>
  <si>
    <t>5.59999999999999</t>
  </si>
  <si>
    <t>6.39999999999999</t>
  </si>
  <si>
    <t>4.8</t>
  </si>
  <si>
    <t>2.4</t>
  </si>
  <si>
    <t>29.856</t>
  </si>
  <si>
    <t>117.524</t>
  </si>
  <si>
    <t>56.0595</t>
  </si>
  <si>
    <t>475.922</t>
  </si>
  <si>
    <t>217.8</t>
  </si>
  <si>
    <t>277.3</t>
  </si>
  <si>
    <t>30.66</t>
  </si>
  <si>
    <t>15.64</t>
  </si>
  <si>
    <t>2204.38468501016</t>
  </si>
  <si>
    <t>313.2</t>
  </si>
  <si>
    <t>11327.4</t>
  </si>
  <si>
    <t>11.22035</t>
  </si>
  <si>
    <t>29.86952</t>
  </si>
  <si>
    <t>32.22286</t>
  </si>
  <si>
    <t>38.6998359472638</t>
  </si>
  <si>
    <t>22.1973697752781</t>
  </si>
  <si>
    <t>27.8169757787168</t>
  </si>
  <si>
    <t>29.2841490025091</t>
  </si>
  <si>
    <t>209.486401054585</t>
  </si>
  <si>
    <t>219.997876583366</t>
  </si>
  <si>
    <t>340.703165141668</t>
  </si>
  <si>
    <t>107.418291875295</t>
  </si>
  <si>
    <t>219.031188214899</t>
  </si>
  <si>
    <t>95.5871085930488</t>
  </si>
  <si>
    <t>111.174921355944</t>
  </si>
  <si>
    <t>321.34341830347</t>
  </si>
  <si>
    <t>17.0769558231308</t>
  </si>
  <si>
    <t>326.267664940906</t>
  </si>
  <si>
    <t>395.983349785761</t>
  </si>
  <si>
    <t>267.967157949113</t>
  </si>
  <si>
    <t>383.433203495105</t>
  </si>
  <si>
    <t>277.844627466507</t>
  </si>
  <si>
    <t>126.518340940207</t>
  </si>
  <si>
    <t>186.916966812965</t>
  </si>
  <si>
    <t>751.501561813244</t>
  </si>
  <si>
    <t>390.126764390932</t>
  </si>
  <si>
    <t>220.569100752272</t>
  </si>
  <si>
    <t>210.143942100063</t>
  </si>
  <si>
    <t>378.503856307685</t>
  </si>
  <si>
    <t>711.620981993961</t>
  </si>
  <si>
    <t>200.677988511461</t>
  </si>
  <si>
    <t>501.773738611391</t>
  </si>
  <si>
    <t>283.637818889216</t>
  </si>
  <si>
    <t>848.076921259106</t>
  </si>
  <si>
    <t>1023.85289480876</t>
  </si>
  <si>
    <t>597.485935540808</t>
  </si>
  <si>
    <t>1517.63921292543</t>
  </si>
  <si>
    <t>155.363</t>
  </si>
  <si>
    <t>132.316</t>
  </si>
  <si>
    <t>174.059</t>
  </si>
  <si>
    <t>121.657</t>
  </si>
  <si>
    <t>5.658</t>
  </si>
  <si>
    <t>6.396</t>
  </si>
  <si>
    <t>6.408</t>
  </si>
  <si>
    <t>7.66200000000001</t>
  </si>
  <si>
    <t>7.66800000000001</t>
  </si>
  <si>
    <t>8.178</t>
  </si>
  <si>
    <t>8.376</t>
  </si>
  <si>
    <t>8.54400000000001</t>
  </si>
  <si>
    <t>8.55600000000001</t>
  </si>
  <si>
    <t>8.57400000000001</t>
  </si>
  <si>
    <t>8.59200000000001</t>
  </si>
  <si>
    <t>8.73000000000002</t>
  </si>
  <si>
    <t>8.964</t>
  </si>
  <si>
    <t>9.25200000000001</t>
  </si>
  <si>
    <t>9.31800000000001</t>
  </si>
  <si>
    <t>9.34800000000001</t>
  </si>
  <si>
    <t>9.53400000000002</t>
  </si>
  <si>
    <t>9.786</t>
  </si>
  <si>
    <t>9.852</t>
  </si>
  <si>
    <t>10.008</t>
  </si>
  <si>
    <t>10.086</t>
  </si>
  <si>
    <t>10.98</t>
  </si>
  <si>
    <t>11.028</t>
  </si>
  <si>
    <t>82.2622040816326</t>
  </si>
  <si>
    <t>64.1125714285714</t>
  </si>
  <si>
    <t>124.445020408163</t>
  </si>
  <si>
    <t>85.9756326530612</t>
  </si>
  <si>
    <t>101.287102040816</t>
  </si>
  <si>
    <t>123.826857142857</t>
  </si>
  <si>
    <t>144.912857142857</t>
  </si>
  <si>
    <t>123.405306122449</t>
  </si>
  <si>
    <t>226.516326530612</t>
  </si>
  <si>
    <t>288.849183673469</t>
  </si>
  <si>
    <t>5.2735</t>
  </si>
  <si>
    <t>27.9585</t>
  </si>
  <si>
    <t>249.7701</t>
  </si>
  <si>
    <t>47.9514</t>
  </si>
  <si>
    <t>48.555</t>
  </si>
  <si>
    <t>40.824</t>
  </si>
  <si>
    <t>175.5304</t>
  </si>
  <si>
    <t>40.3348</t>
  </si>
  <si>
    <t>40.044</t>
  </si>
  <si>
    <t>4.38</t>
  </si>
  <si>
    <t>2.52</t>
  </si>
  <si>
    <t>0.443705959083355</t>
  </si>
  <si>
    <t>0.831981353378552</t>
  </si>
  <si>
    <t>0.501132613611977</t>
  </si>
  <si>
    <t>244.006</t>
  </si>
  <si>
    <t>252.42</t>
  </si>
  <si>
    <t>286.076</t>
  </si>
  <si>
    <t>395.458</t>
  </si>
  <si>
    <t>622.636</t>
  </si>
  <si>
    <t>631.05</t>
  </si>
  <si>
    <t>538.496</t>
  </si>
  <si>
    <t>580.566</t>
  </si>
  <si>
    <t>715.19</t>
  </si>
  <si>
    <t>925.54</t>
  </si>
  <si>
    <t>1295.756</t>
  </si>
  <si>
    <t>1320.998</t>
  </si>
  <si>
    <t>824.572</t>
  </si>
  <si>
    <t>891.884</t>
  </si>
  <si>
    <t>1135.89</t>
  </si>
  <si>
    <t>1236.858</t>
  </si>
  <si>
    <t>1278.928</t>
  </si>
  <si>
    <t>1480.864</t>
  </si>
  <si>
    <t>126.21</t>
  </si>
  <si>
    <t>168.28</t>
  </si>
  <si>
    <t>201.936</t>
  </si>
  <si>
    <t>227.178</t>
  </si>
  <si>
    <t>260.834</t>
  </si>
  <si>
    <t>100.968</t>
  </si>
  <si>
    <t>193.522</t>
  </si>
  <si>
    <t>269.248</t>
  </si>
  <si>
    <t>681.534</t>
  </si>
  <si>
    <t>790.916</t>
  </si>
  <si>
    <t>959.196</t>
  </si>
  <si>
    <t>6.578</t>
  </si>
  <si>
    <t>33.579</t>
  </si>
  <si>
    <t>79.98</t>
  </si>
  <si>
    <t>308.35</t>
  </si>
  <si>
    <t>85.457</t>
  </si>
  <si>
    <t>156.005</t>
  </si>
  <si>
    <t>213.841</t>
  </si>
  <si>
    <t>127.05</t>
  </si>
  <si>
    <t>119.35</t>
  </si>
  <si>
    <t>47.904</t>
  </si>
  <si>
    <t>29.94</t>
  </si>
  <si>
    <t>35.636</t>
  </si>
  <si>
    <t>50.132</t>
  </si>
  <si>
    <t>200.48</t>
  </si>
  <si>
    <t>262.235</t>
  </si>
  <si>
    <t>198.198</t>
  </si>
  <si>
    <t>761.785</t>
  </si>
  <si>
    <t>19.96</t>
  </si>
  <si>
    <t>31.266</t>
  </si>
  <si>
    <t>51.921</t>
  </si>
  <si>
    <t>4.536</t>
  </si>
  <si>
    <t>0.243</t>
  </si>
  <si>
    <t>2.43</t>
  </si>
  <si>
    <t>1.134</t>
  </si>
  <si>
    <t>0.162</t>
  </si>
  <si>
    <t>1.782</t>
  </si>
  <si>
    <t>1.296</t>
  </si>
  <si>
    <t>3.402</t>
  </si>
  <si>
    <t>0.486</t>
  </si>
  <si>
    <t>1.215</t>
  </si>
  <si>
    <t>1.458</t>
  </si>
  <si>
    <t>1.62</t>
  </si>
  <si>
    <t>41.6</t>
  </si>
  <si>
    <t>2.7234</t>
  </si>
  <si>
    <t>3.93558</t>
  </si>
  <si>
    <t>4.14384</t>
  </si>
  <si>
    <t>4.70988</t>
  </si>
  <si>
    <t>19.875</t>
  </si>
  <si>
    <t>64.5408</t>
  </si>
  <si>
    <t>83.6247</t>
  </si>
  <si>
    <t>28.11</t>
  </si>
  <si>
    <t>2.401</t>
  </si>
  <si>
    <t>17.4075</t>
  </si>
  <si>
    <t>24.01</t>
  </si>
  <si>
    <t>35.9128</t>
  </si>
  <si>
    <t>21.96</t>
  </si>
  <si>
    <t>23.31</t>
  </si>
  <si>
    <t>21.44</t>
  </si>
  <si>
    <t>32.908</t>
  </si>
  <si>
    <t>4.995</t>
  </si>
  <si>
    <t>5.625</t>
  </si>
  <si>
    <t>5.152</t>
  </si>
  <si>
    <t>11.248</t>
  </si>
  <si>
    <t>2.528</t>
  </si>
  <si>
    <t>6.03</t>
  </si>
  <si>
    <t>5.13</t>
  </si>
  <si>
    <t>9.135</t>
  </si>
  <si>
    <t>53.5714291736025</t>
  </si>
  <si>
    <t>16.9491529716487</t>
  </si>
  <si>
    <t>50.00000005</t>
  </si>
  <si>
    <t>333.333330062112</t>
  </si>
  <si>
    <t>21.7904485249999</t>
  </si>
  <si>
    <t>42.5531914078683</t>
  </si>
  <si>
    <t>62.4674645823982</t>
  </si>
  <si>
    <t>177.602370570326</t>
  </si>
  <si>
    <t>164.806870078874</t>
  </si>
  <si>
    <t>90.7029482939458</t>
  </si>
  <si>
    <t>131.702730096485</t>
  </si>
  <si>
    <t>120.137300722566</t>
  </si>
  <si>
    <t>100.620489681385</t>
  </si>
  <si>
    <t>39.8869871976673</t>
  </si>
  <si>
    <t>14.268</t>
  </si>
  <si>
    <t>11.726</t>
  </si>
  <si>
    <t>30.176</t>
  </si>
  <si>
    <t>9.26599999999999</t>
  </si>
  <si>
    <t>10.824</t>
  </si>
  <si>
    <t>21.894</t>
  </si>
  <si>
    <t>8.446</t>
  </si>
  <si>
    <t>10.168</t>
  </si>
  <si>
    <t>12.382</t>
  </si>
  <si>
    <t>7.544</t>
  </si>
  <si>
    <t>17.548</t>
  </si>
  <si>
    <t>11.234</t>
  </si>
  <si>
    <t>18.04</t>
  </si>
  <si>
    <t>13.448</t>
  </si>
  <si>
    <t>1955.7</t>
  </si>
  <si>
    <t>1717.2</t>
  </si>
  <si>
    <t>1362.6</t>
  </si>
  <si>
    <t>391.5</t>
  </si>
  <si>
    <t>126.9</t>
  </si>
  <si>
    <t>55.8</t>
  </si>
  <si>
    <t>39.6</t>
  </si>
  <si>
    <t>34.2</t>
  </si>
  <si>
    <t>185.4</t>
  </si>
  <si>
    <t>70.2</t>
  </si>
  <si>
    <t>31.5</t>
  </si>
  <si>
    <t>3437.1</t>
  </si>
  <si>
    <t>3058.2</t>
  </si>
  <si>
    <t>377.1</t>
  </si>
  <si>
    <t>306.9</t>
  </si>
  <si>
    <t>405.9</t>
  </si>
  <si>
    <t>61.2</t>
  </si>
  <si>
    <t>156.6</t>
  </si>
  <si>
    <t>325.8</t>
  </si>
  <si>
    <t>429.3</t>
  </si>
  <si>
    <t>130.5</t>
  </si>
  <si>
    <t>12.1</t>
  </si>
  <si>
    <t>7.7</t>
  </si>
  <si>
    <t>6.6</t>
  </si>
  <si>
    <t>360.66077736</t>
  </si>
  <si>
    <t>190.46409237</t>
  </si>
  <si>
    <t>567.79471</t>
  </si>
  <si>
    <t>406.66666687</t>
  </si>
  <si>
    <t>724.1722421</t>
  </si>
  <si>
    <t>296.83698305</t>
  </si>
  <si>
    <t>1839.95714346</t>
  </si>
  <si>
    <t>956.86274511</t>
  </si>
  <si>
    <t>394.90575951</t>
  </si>
  <si>
    <t>762.74137395</t>
  </si>
  <si>
    <t>848.37490574</t>
  </si>
  <si>
    <t>564.81481486</t>
  </si>
  <si>
    <t>58.34528915</t>
  </si>
  <si>
    <t>562.61136005</t>
  </si>
  <si>
    <t>137.70315558</t>
  </si>
  <si>
    <t>2953.17460301</t>
  </si>
  <si>
    <t>272.12621611</t>
  </si>
  <si>
    <t>2229.23684186</t>
  </si>
  <si>
    <t>218.94946672</t>
  </si>
  <si>
    <t>317.70833313</t>
  </si>
  <si>
    <t>523.84101787</t>
  </si>
  <si>
    <t>51.87074854</t>
  </si>
  <si>
    <t>1173.32148789</t>
  </si>
  <si>
    <t>646.82982848</t>
  </si>
  <si>
    <t>2115.12625917</t>
  </si>
  <si>
    <t>1031.24209959</t>
  </si>
  <si>
    <t>64.75583893</t>
  </si>
  <si>
    <t>645.50264538</t>
  </si>
  <si>
    <t>16.6666667</t>
  </si>
  <si>
    <t>711.1111112</t>
  </si>
  <si>
    <t>6006.25</t>
  </si>
  <si>
    <t>133.3333334</t>
  </si>
  <si>
    <t>476.4705885</t>
  </si>
  <si>
    <t>s</t>
  </si>
  <si>
    <t>1 MP per sample</t>
  </si>
  <si>
    <t>The broad-scale microplastic distribution in surface water and sediments along Northeastern Mediterranean shoreline - ScienceDirect</t>
  </si>
  <si>
    <t>Marine litter in the Croatian part of the middle Adriatic Sea: Simultaneous assessment of floating and seabed macro and micro litter abundance and composition - ScienceDirect</t>
  </si>
  <si>
    <t>Microlitter pollution in coastal sediments of the northern Tyrrhenian Sea, Italy: microplastics and fly-ash occurrence and distribution - ScienceDirect</t>
  </si>
  <si>
    <t>Microlitter pollution in coastal sediments of the northern Tyrrhenian Sea, Italy: microplastics and fly-ash occurrence and distribution</t>
  </si>
  <si>
    <t xml:space="preserve">Marine litter in the Croatian part of the middle Adriatic Sea: Simultaneous assessment of floating and seabed macro and micro litter abundance and composition </t>
  </si>
  <si>
    <t>The broad-scale microplastic distribution in surface water and sediments along Northeastern Mediterranean shoreline</t>
  </si>
  <si>
    <t>Distance_land (m)</t>
  </si>
  <si>
    <t>Bakir et al</t>
  </si>
  <si>
    <t>A spatial and temporal assessment of microplastics in seafloor sediments: A case study for the UK</t>
  </si>
  <si>
    <t>https://doi.org/10.3389/fmars.2022.1093815</t>
  </si>
  <si>
    <t>Nela</t>
  </si>
  <si>
    <t>Distribution and controlling factors of microplastics in surface sediments of typical deep-sea geomorphological units in the northern South China Sea</t>
  </si>
  <si>
    <t>Zhang et al</t>
  </si>
  <si>
    <t>https://doi.org/10.3389/fmars.2022.1047078</t>
  </si>
  <si>
    <t>Fate of microplastics in deep-sea sediments and its influencing factors: Evidence from the Eastern Indian Ocean</t>
  </si>
  <si>
    <t>Qi et al</t>
  </si>
  <si>
    <t>https://doi.org/10.1016/j.scitotenv.2022.154266</t>
  </si>
  <si>
    <t>Diving into the Depths: Uncovering Microplastics in Norwegian Coastal Sediment Cores</t>
  </si>
  <si>
    <t>Wu et al</t>
  </si>
  <si>
    <t>https://doi.org/10.1021/acs.est.4c04360</t>
  </si>
  <si>
    <t>does not report form of MP</t>
  </si>
  <si>
    <t>Distribution and characterization of microplastics in marine sediments from the Montenegrin coast</t>
  </si>
  <si>
    <t>Boskovic et al</t>
  </si>
  <si>
    <t>I dont like the bins</t>
  </si>
  <si>
    <t>https://doi.org/10.1007/s11368-022-03166-3</t>
  </si>
  <si>
    <t>Are seafloor habitats influencing the distribution of microplastics in coastal sediments of a Marine Protected Area?</t>
  </si>
  <si>
    <t>I dont like the PSD</t>
  </si>
  <si>
    <t>https://doi.org/10.1007/s11356-023-25536-1</t>
  </si>
  <si>
    <t xml:space="preserve">Rios-Fuster et al </t>
  </si>
  <si>
    <t>Distribution patterns of microplastics in subtidal sediments from the Sado river estuary and the Arrábida marine park, Portugal</t>
  </si>
  <si>
    <t>https://doi.org/10.3389/fenvs.2022.998513</t>
  </si>
  <si>
    <t>The distribution of sediment microplastics assemblages is driven by location and hydrodynamics, not sediment characteristics, in the Gulf of Maine, USA</t>
  </si>
  <si>
    <t>Langknecht et al</t>
  </si>
  <si>
    <t>10.1016/j.marpolbul.2024.116393</t>
  </si>
  <si>
    <t>I dont understand the SI</t>
  </si>
  <si>
    <t>Distribution of microplastics in seafloor sediments and their differential assimilation in nearshore benthic molluscs along the south-west coast of India</t>
  </si>
  <si>
    <t>mostly fibers</t>
  </si>
  <si>
    <t>Nikhil et al</t>
  </si>
  <si>
    <t>https://doi-org.sid2nomade-2.grenet.fr/10.1016/j.envpol.2024.123350</t>
  </si>
  <si>
    <t>mostly fibers, mostly &gt;500</t>
  </si>
  <si>
    <t>Microplastics particles in seafloor sediments along the Arabian Sea and the Andaman Sea continental shelves: First insight on the occurrence, identification, and characterization</t>
  </si>
  <si>
    <t>Goswami</t>
  </si>
  <si>
    <t>https://doi-org.sid2nomade-1.grenet.fr/10.1016/j.marpolbul.2021.112311</t>
  </si>
  <si>
    <t>Arctic threads: Microplastic fibres in Chukchi and Beaufort sea sediments</t>
  </si>
  <si>
    <t>Mostly fibers</t>
  </si>
  <si>
    <t>https://doi-org.sid2nomade-2.grenet.fr/10.1016/j.marpolbul.2024.116954</t>
  </si>
  <si>
    <t>Dhineka et al</t>
  </si>
  <si>
    <t>Distribution and abundance of microplastics in coastal sediments depends on grain size and distance from sources</t>
  </si>
  <si>
    <t>https://doi-org.sid2nomade-2.grenet.fr/10.1016/j.marpolbul.2021.112802</t>
  </si>
  <si>
    <t>mostly fibers, no PSD</t>
  </si>
  <si>
    <t>Marques Mendes et al</t>
  </si>
  <si>
    <t>Microplastic Distribution and Transport Mechanisms in the South Sea and East China Sea of Korea</t>
  </si>
  <si>
    <t>in MP/kgww</t>
  </si>
  <si>
    <t>10.3390/toxics13121070</t>
  </si>
  <si>
    <t>Microplastic Distribution and Transport Mechanisms in the South Sea and East China Sea of Korea - PMC</t>
  </si>
  <si>
    <t>Min et al</t>
  </si>
  <si>
    <t>Kim et al.,</t>
  </si>
  <si>
    <t>Arctic Ocean sediments as important current and future sinks for marine microplastics missing in the global microplastic budget</t>
  </si>
  <si>
    <t>10.1126/sciadv.add2348</t>
  </si>
  <si>
    <t>Rodrigues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</si>
</sst>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6" formatCode="0.000"/>
    <numFmt numFmtId="167" formatCode="0.0"/>
  </numFmts>
  <fonts count="1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2E2E2E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6" fontId="0" fillId="0" borderId="0" xfId="0" applyNumberFormat="1" applyAlignment="1">
      <alignment horizontal="right"/>
    </xf>
    <xf numFmtId="0" fontId="0" fillId="3" borderId="0" xfId="0" applyFill="1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11" fillId="0" borderId="0" xfId="1" applyFont="1"/>
    <xf numFmtId="0" fontId="0" fillId="0" borderId="0" xfId="0" applyAlignment="1">
      <alignment horizontal="center"/>
    </xf>
    <xf numFmtId="0" fontId="13" fillId="0" borderId="0" xfId="0" applyFont="1" applyAlignment="1">
      <alignment vertical="top"/>
    </xf>
    <xf numFmtId="167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" fontId="0" fillId="0" borderId="0" xfId="0" applyNumberFormat="1" applyAlignment="1">
      <alignment horizontal="right"/>
    </xf>
    <xf numFmtId="167" fontId="0" fillId="4" borderId="0" xfId="0" applyNumberFormat="1" applyFill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164" fontId="1" fillId="4" borderId="1" xfId="0" applyNumberFormat="1" applyFont="1" applyFill="1" applyBorder="1" applyAlignment="1">
      <alignment horizontal="right" vertical="top"/>
    </xf>
    <xf numFmtId="167" fontId="0" fillId="4" borderId="1" xfId="0" applyNumberFormat="1" applyFill="1" applyBorder="1"/>
    <xf numFmtId="164" fontId="1" fillId="4" borderId="1" xfId="0" applyNumberFormat="1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right"/>
    </xf>
    <xf numFmtId="164" fontId="0" fillId="4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horizontal="right" vertical="top"/>
    </xf>
    <xf numFmtId="164" fontId="1" fillId="4" borderId="1" xfId="0" applyNumberFormat="1" applyFont="1" applyFill="1" applyBorder="1"/>
    <xf numFmtId="164" fontId="3" fillId="4" borderId="1" xfId="0" applyNumberFormat="1" applyFont="1" applyFill="1" applyBorder="1"/>
    <xf numFmtId="164" fontId="1" fillId="4" borderId="1" xfId="0" applyNumberFormat="1" applyFont="1" applyFill="1" applyBorder="1" applyAlignment="1">
      <alignment horizontal="right"/>
    </xf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165" fontId="1" fillId="4" borderId="1" xfId="0" applyNumberFormat="1" applyFont="1" applyFill="1" applyBorder="1" applyAlignment="1">
      <alignment horizontal="right" vertical="top"/>
    </xf>
    <xf numFmtId="164" fontId="12" fillId="4" borderId="1" xfId="0" applyNumberFormat="1" applyFont="1" applyFill="1" applyBorder="1" applyAlignment="1">
      <alignment vertical="top"/>
    </xf>
    <xf numFmtId="164" fontId="1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vertical="top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0" fillId="6" borderId="0" xfId="0" applyFill="1" applyAlignment="1">
      <alignment vertical="top"/>
    </xf>
    <xf numFmtId="0" fontId="0" fillId="6" borderId="0" xfId="0" applyFill="1"/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vertical="center" wrapText="1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wrapText="1"/>
    </xf>
    <xf numFmtId="0" fontId="1" fillId="6" borderId="0" xfId="0" applyFont="1" applyFill="1" applyAlignment="1">
      <alignment vertical="center" wrapText="1"/>
    </xf>
    <xf numFmtId="0" fontId="8" fillId="6" borderId="0" xfId="0" applyFont="1" applyFill="1" applyAlignment="1">
      <alignment vertical="center"/>
    </xf>
    <xf numFmtId="0" fontId="0" fillId="5" borderId="0" xfId="0" applyFill="1" applyAlignment="1">
      <alignment horizontal="center" vertical="top"/>
    </xf>
    <xf numFmtId="0" fontId="1" fillId="5" borderId="0" xfId="0" applyFont="1" applyFill="1" applyAlignment="1">
      <alignment vertical="top"/>
    </xf>
    <xf numFmtId="0" fontId="11" fillId="5" borderId="0" xfId="1" applyFont="1" applyFill="1" applyAlignment="1">
      <alignment vertical="top"/>
    </xf>
    <xf numFmtId="0" fontId="0" fillId="8" borderId="0" xfId="0" applyFill="1" applyAlignment="1">
      <alignment horizontal="center" vertical="top"/>
    </xf>
    <xf numFmtId="0" fontId="1" fillId="8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11" fillId="8" borderId="0" xfId="1" applyFont="1" applyFill="1" applyAlignment="1">
      <alignment vertical="top"/>
    </xf>
    <xf numFmtId="0" fontId="0" fillId="8" borderId="0" xfId="0" applyFill="1"/>
    <xf numFmtId="0" fontId="11" fillId="6" borderId="0" xfId="1" applyFont="1" applyFill="1"/>
    <xf numFmtId="0" fontId="0" fillId="6" borderId="0" xfId="0" applyFill="1" applyAlignment="1">
      <alignment horizontal="center" vertical="top"/>
    </xf>
    <xf numFmtId="0" fontId="1" fillId="6" borderId="0" xfId="0" applyFont="1" applyFill="1" applyAlignment="1">
      <alignment vertical="top"/>
    </xf>
    <xf numFmtId="1" fontId="0" fillId="9" borderId="0" xfId="0" applyNumberFormat="1" applyFill="1"/>
    <xf numFmtId="0" fontId="0" fillId="9" borderId="1" xfId="0" applyFill="1" applyBorder="1"/>
    <xf numFmtId="0" fontId="0" fillId="9" borderId="0" xfId="0" applyFill="1"/>
    <xf numFmtId="167" fontId="0" fillId="9" borderId="0" xfId="0" applyNumberFormat="1" applyFill="1"/>
    <xf numFmtId="0" fontId="0" fillId="5" borderId="0" xfId="0" applyFill="1" applyAlignment="1">
      <alignment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10" fillId="5" borderId="0" xfId="1" applyFont="1" applyFill="1" applyAlignment="1">
      <alignment vertical="center"/>
    </xf>
    <xf numFmtId="0" fontId="1" fillId="7" borderId="0" xfId="0" applyFont="1" applyFill="1" applyAlignment="1">
      <alignment horizontal="center" vertical="top"/>
    </xf>
    <xf numFmtId="0" fontId="1" fillId="7" borderId="0" xfId="0" applyFont="1" applyFill="1"/>
    <xf numFmtId="0" fontId="8" fillId="7" borderId="0" xfId="0" applyFont="1" applyFill="1"/>
    <xf numFmtId="0" fontId="0" fillId="7" borderId="0" xfId="0" applyFill="1" applyAlignment="1">
      <alignment vertical="top"/>
    </xf>
    <xf numFmtId="0" fontId="0" fillId="7" borderId="0" xfId="0" applyFill="1"/>
    <xf numFmtId="0" fontId="0" fillId="7" borderId="0" xfId="0" applyFill="1" applyAlignment="1">
      <alignment vertical="center"/>
    </xf>
    <xf numFmtId="0" fontId="8" fillId="7" borderId="0" xfId="0" applyFont="1" applyFill="1" applyAlignment="1">
      <alignment vertical="center"/>
    </xf>
    <xf numFmtId="0" fontId="1" fillId="7" borderId="0" xfId="0" applyFont="1" applyFill="1" applyAlignment="1">
      <alignment vertical="top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/>
    <xf numFmtId="0" fontId="8" fillId="6" borderId="0" xfId="0" applyFont="1" applyFill="1"/>
    <xf numFmtId="0" fontId="1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top"/>
    </xf>
    <xf numFmtId="0" fontId="9" fillId="5" borderId="0" xfId="0" applyFont="1" applyFill="1" applyAlignment="1">
      <alignment vertical="top"/>
    </xf>
    <xf numFmtId="0" fontId="9" fillId="5" borderId="0" xfId="0" applyFont="1" applyFill="1" applyAlignment="1">
      <alignment vertical="top" wrapText="1"/>
    </xf>
    <xf numFmtId="0" fontId="10" fillId="5" borderId="0" xfId="0" applyFont="1" applyFill="1"/>
    <xf numFmtId="0" fontId="10" fillId="5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8" fillId="5" borderId="0" xfId="0" applyFont="1" applyFill="1" applyAlignment="1">
      <alignment vertical="top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8" fillId="6" borderId="0" xfId="0" applyFont="1" applyFill="1" applyAlignment="1">
      <alignment vertical="top"/>
    </xf>
    <xf numFmtId="0" fontId="1" fillId="7" borderId="0" xfId="0" applyFont="1" applyFill="1" applyAlignment="1">
      <alignment horizontal="center"/>
    </xf>
    <xf numFmtId="0" fontId="6" fillId="7" borderId="0" xfId="1" applyFill="1" applyAlignment="1">
      <alignment vertical="top"/>
    </xf>
    <xf numFmtId="0" fontId="11" fillId="5" borderId="0" xfId="0" applyFont="1" applyFill="1" applyAlignment="1">
      <alignment vertical="center"/>
    </xf>
    <xf numFmtId="0" fontId="11" fillId="6" borderId="0" xfId="1" applyFont="1" applyFill="1" applyAlignment="1">
      <alignment vertical="center"/>
    </xf>
    <xf numFmtId="0" fontId="11" fillId="5" borderId="0" xfId="1" applyFont="1" applyFill="1" applyAlignment="1">
      <alignment vertical="center"/>
    </xf>
    <xf numFmtId="0" fontId="0" fillId="7" borderId="0" xfId="0" applyFill="1" applyAlignment="1">
      <alignment horizontal="center" vertical="top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vertical="top" wrapText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1" fillId="10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/>
    </xf>
    <xf numFmtId="0" fontId="8" fillId="10" borderId="0" xfId="0" applyFont="1" applyFill="1" applyAlignment="1">
      <alignment vertical="center"/>
    </xf>
    <xf numFmtId="0" fontId="0" fillId="10" borderId="0" xfId="0" applyFill="1" applyAlignment="1">
      <alignment vertical="top"/>
    </xf>
    <xf numFmtId="0" fontId="0" fillId="10" borderId="0" xfId="0" applyFill="1"/>
    <xf numFmtId="0" fontId="1" fillId="10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7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center"/>
    </xf>
    <xf numFmtId="0" fontId="0" fillId="4" borderId="0" xfId="0" applyFill="1" applyAlignment="1">
      <alignment vertical="top"/>
    </xf>
    <xf numFmtId="0" fontId="1" fillId="6" borderId="0" xfId="0" applyFont="1" applyFill="1" applyAlignment="1">
      <alignment vertical="top" wrapText="1"/>
    </xf>
    <xf numFmtId="0" fontId="9" fillId="10" borderId="0" xfId="0" applyFont="1" applyFill="1" applyAlignment="1">
      <alignment vertical="top"/>
    </xf>
    <xf numFmtId="0" fontId="9" fillId="10" borderId="0" xfId="0" applyFont="1" applyFill="1"/>
    <xf numFmtId="0" fontId="0" fillId="10" borderId="0" xfId="0" applyFill="1" applyAlignment="1">
      <alignment vertical="center" wrapText="1"/>
    </xf>
    <xf numFmtId="0" fontId="9" fillId="10" borderId="0" xfId="0" applyFont="1" applyFill="1" applyAlignment="1">
      <alignment vertical="top" wrapText="1"/>
    </xf>
    <xf numFmtId="0" fontId="0" fillId="10" borderId="0" xfId="0" applyFill="1" applyAlignment="1">
      <alignment wrapText="1"/>
    </xf>
    <xf numFmtId="0" fontId="1" fillId="4" borderId="0" xfId="0" applyFont="1" applyFill="1" applyAlignment="1">
      <alignment horizontal="center" vertical="top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top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/>
    </xf>
    <xf numFmtId="0" fontId="0" fillId="11" borderId="0" xfId="0" applyFill="1" applyAlignment="1">
      <alignment vertical="top"/>
    </xf>
    <xf numFmtId="0" fontId="0" fillId="11" borderId="0" xfId="0" applyFill="1"/>
    <xf numFmtId="0" fontId="0" fillId="12" borderId="0" xfId="0" applyFill="1" applyAlignment="1">
      <alignment vertical="top"/>
    </xf>
    <xf numFmtId="0" fontId="1" fillId="10" borderId="0" xfId="0" applyFont="1" applyFill="1"/>
    <xf numFmtId="0" fontId="1" fillId="10" borderId="0" xfId="0" applyFont="1" applyFill="1" applyAlignment="1">
      <alignment horizontal="left"/>
    </xf>
    <xf numFmtId="0" fontId="0" fillId="11" borderId="0" xfId="0" applyFill="1" applyAlignment="1">
      <alignment vertical="center"/>
    </xf>
    <xf numFmtId="0" fontId="1" fillId="10" borderId="0" xfId="0" applyFont="1" applyFill="1" applyAlignment="1">
      <alignment horizontal="center" vertical="top"/>
    </xf>
    <xf numFmtId="0" fontId="1" fillId="10" borderId="0" xfId="0" applyFont="1" applyFill="1" applyAlignment="1">
      <alignment vertical="top"/>
    </xf>
    <xf numFmtId="0" fontId="0" fillId="10" borderId="0" xfId="0" applyFill="1" applyAlignment="1">
      <alignment horizontal="center" vertical="top"/>
    </xf>
    <xf numFmtId="0" fontId="8" fillId="10" borderId="0" xfId="0" applyFont="1" applyFill="1" applyAlignment="1">
      <alignment vertical="top"/>
    </xf>
    <xf numFmtId="0" fontId="1" fillId="10" borderId="0" xfId="0" applyFont="1" applyFill="1" applyAlignment="1">
      <alignment horizontal="center"/>
    </xf>
    <xf numFmtId="0" fontId="8" fillId="10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/>
    </xf>
    <xf numFmtId="0" fontId="1" fillId="10" borderId="0" xfId="0" applyFont="1" applyFill="1" applyAlignment="1">
      <alignment vertical="top" wrapText="1"/>
    </xf>
    <xf numFmtId="0" fontId="1" fillId="11" borderId="0" xfId="0" applyFont="1" applyFill="1" applyAlignment="1">
      <alignment horizontal="center" vertical="top"/>
    </xf>
    <xf numFmtId="0" fontId="1" fillId="11" borderId="0" xfId="0" applyFont="1" applyFill="1" applyAlignment="1">
      <alignment vertical="top"/>
    </xf>
    <xf numFmtId="0" fontId="8" fillId="11" borderId="0" xfId="0" applyFont="1" applyFill="1" applyAlignment="1">
      <alignment vertical="top"/>
    </xf>
    <xf numFmtId="0" fontId="0" fillId="11" borderId="0" xfId="0" applyFill="1" applyAlignment="1">
      <alignment horizontal="center" vertical="top"/>
    </xf>
    <xf numFmtId="0" fontId="1" fillId="11" borderId="0" xfId="0" applyFont="1" applyFill="1"/>
    <xf numFmtId="0" fontId="11" fillId="11" borderId="0" xfId="1" applyFont="1" applyFill="1"/>
    <xf numFmtId="0" fontId="1" fillId="11" borderId="0" xfId="0" applyFont="1" applyFill="1" applyAlignment="1">
      <alignment wrapText="1"/>
    </xf>
    <xf numFmtId="0" fontId="0" fillId="11" borderId="0" xfId="0" applyFill="1" applyAlignment="1">
      <alignment vertical="top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 wrapText="1"/>
    </xf>
    <xf numFmtId="0" fontId="0" fillId="12" borderId="0" xfId="0" applyFill="1"/>
    <xf numFmtId="0" fontId="8" fillId="7" borderId="0" xfId="0" applyFont="1" applyFill="1" applyAlignment="1">
      <alignment vertical="top"/>
    </xf>
    <xf numFmtId="0" fontId="7" fillId="5" borderId="0" xfId="0" applyFont="1" applyFill="1" applyAlignment="1">
      <alignment horizontal="center" vertical="top"/>
    </xf>
    <xf numFmtId="0" fontId="7" fillId="5" borderId="0" xfId="0" applyFont="1" applyFill="1" applyAlignment="1">
      <alignment vertical="top"/>
    </xf>
    <xf numFmtId="0" fontId="6" fillId="5" borderId="0" xfId="1" applyFill="1"/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left"/>
    </xf>
    <xf numFmtId="0" fontId="6" fillId="6" borderId="0" xfId="1" applyFill="1" applyAlignment="1">
      <alignment vertical="center"/>
    </xf>
    <xf numFmtId="0" fontId="1" fillId="13" borderId="0" xfId="0" applyFont="1" applyFill="1" applyAlignment="1">
      <alignment horizontal="center" vertical="top"/>
    </xf>
    <xf numFmtId="0" fontId="1" fillId="13" borderId="0" xfId="0" applyFont="1" applyFill="1" applyAlignment="1">
      <alignment vertical="top"/>
    </xf>
    <xf numFmtId="0" fontId="0" fillId="13" borderId="0" xfId="0" applyFill="1" applyAlignment="1">
      <alignment horizontal="center" vertical="top"/>
    </xf>
    <xf numFmtId="0" fontId="0" fillId="13" borderId="0" xfId="0" applyFill="1" applyAlignment="1">
      <alignment vertical="top"/>
    </xf>
    <xf numFmtId="0" fontId="8" fillId="13" borderId="0" xfId="0" applyFont="1" applyFill="1" applyAlignment="1">
      <alignment vertical="top"/>
    </xf>
    <xf numFmtId="0" fontId="0" fillId="13" borderId="0" xfId="0" applyFill="1"/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wrapText="1"/>
    </xf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vertical="center" wrapText="1"/>
    </xf>
    <xf numFmtId="0" fontId="8" fillId="13" borderId="0" xfId="0" applyFont="1" applyFill="1" applyAlignment="1">
      <alignment vertical="center"/>
    </xf>
    <xf numFmtId="0" fontId="0" fillId="13" borderId="0" xfId="0" applyFill="1" applyAlignment="1">
      <alignment vertical="top" wrapText="1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vertical="center" wrapText="1"/>
    </xf>
    <xf numFmtId="0" fontId="0" fillId="13" borderId="0" xfId="0" applyFill="1" applyAlignment="1">
      <alignment wrapText="1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wrapText="1"/>
    </xf>
    <xf numFmtId="0" fontId="9" fillId="6" borderId="0" xfId="0" applyFont="1" applyFill="1" applyAlignment="1">
      <alignment vertical="center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/>
    </xf>
    <xf numFmtId="0" fontId="9" fillId="6" borderId="0" xfId="0" applyFont="1" applyFill="1" applyAlignment="1">
      <alignment vertical="top"/>
    </xf>
    <xf numFmtId="0" fontId="9" fillId="6" borderId="0" xfId="0" applyFont="1" applyFill="1"/>
    <xf numFmtId="0" fontId="0" fillId="6" borderId="0" xfId="0" applyFill="1" applyAlignment="1">
      <alignment wrapText="1"/>
    </xf>
    <xf numFmtId="2" fontId="0" fillId="0" borderId="1" xfId="0" applyNumberFormat="1" applyBorder="1"/>
    <xf numFmtId="0" fontId="1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top"/>
    </xf>
    <xf numFmtId="0" fontId="9" fillId="14" borderId="0" xfId="0" applyFont="1" applyFill="1" applyAlignment="1">
      <alignment horizontal="center" vertical="center"/>
    </xf>
    <xf numFmtId="0" fontId="0" fillId="15" borderId="1" xfId="0" applyFill="1" applyBorder="1"/>
    <xf numFmtId="0" fontId="0" fillId="15" borderId="0" xfId="0" applyFill="1"/>
    <xf numFmtId="164" fontId="1" fillId="4" borderId="0" xfId="0" applyNumberFormat="1" applyFont="1" applyFill="1" applyAlignment="1">
      <alignment vertical="top"/>
    </xf>
    <xf numFmtId="164" fontId="1" fillId="4" borderId="0" xfId="0" applyNumberFormat="1" applyFont="1" applyFill="1" applyAlignment="1">
      <alignment horizontal="right" vertical="top"/>
    </xf>
    <xf numFmtId="164" fontId="1" fillId="4" borderId="0" xfId="0" applyNumberFormat="1" applyFont="1" applyFill="1"/>
    <xf numFmtId="164" fontId="0" fillId="4" borderId="0" xfId="0" applyNumberFormat="1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164" fontId="2" fillId="4" borderId="0" xfId="0" applyNumberFormat="1" applyFont="1" applyFill="1" applyAlignment="1">
      <alignment vertical="top"/>
    </xf>
    <xf numFmtId="164" fontId="2" fillId="4" borderId="0" xfId="0" applyNumberFormat="1" applyFont="1" applyFill="1" applyAlignment="1">
      <alignment horizontal="right" vertical="top"/>
    </xf>
    <xf numFmtId="164" fontId="12" fillId="4" borderId="0" xfId="0" applyNumberFormat="1" applyFont="1" applyFill="1" applyAlignment="1">
      <alignment vertical="top"/>
    </xf>
    <xf numFmtId="164" fontId="12" fillId="4" borderId="0" xfId="0" applyNumberFormat="1" applyFont="1" applyFill="1" applyAlignment="1">
      <alignment horizontal="right" vertical="top"/>
    </xf>
    <xf numFmtId="164" fontId="0" fillId="4" borderId="0" xfId="0" applyNumberFormat="1" applyFill="1"/>
    <xf numFmtId="164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7" fontId="0" fillId="0" borderId="1" xfId="0" applyNumberFormat="1" applyBorder="1"/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right" vertical="top"/>
    </xf>
    <xf numFmtId="0" fontId="0" fillId="16" borderId="1" xfId="0" applyFill="1" applyBorder="1"/>
    <xf numFmtId="0" fontId="0" fillId="16" borderId="0" xfId="0" applyFill="1"/>
    <xf numFmtId="0" fontId="0" fillId="6" borderId="0" xfId="0" applyFill="1" applyAlignment="1">
      <alignment horizontal="center"/>
    </xf>
    <xf numFmtId="0" fontId="6" fillId="6" borderId="0" xfId="1" applyFill="1" applyAlignment="1">
      <alignment vertical="center" wrapText="1"/>
    </xf>
    <xf numFmtId="0" fontId="6" fillId="11" borderId="0" xfId="1" applyFill="1"/>
    <xf numFmtId="0" fontId="13" fillId="7" borderId="0" xfId="0" applyFont="1" applyFill="1" applyAlignment="1">
      <alignment vertical="top"/>
    </xf>
    <xf numFmtId="0" fontId="6" fillId="7" borderId="0" xfId="1" applyFill="1"/>
    <xf numFmtId="0" fontId="6" fillId="13" borderId="0" xfId="1" applyFill="1"/>
    <xf numFmtId="0" fontId="9" fillId="6" borderId="0" xfId="0" applyFont="1" applyFill="1" applyAlignment="1">
      <alignment horizontal="center" vertical="top"/>
    </xf>
    <xf numFmtId="0" fontId="10" fillId="6" borderId="0" xfId="1" applyFont="1" applyFill="1"/>
    <xf numFmtId="0" fontId="9" fillId="6" borderId="0" xfId="1" applyFont="1" applyFill="1"/>
    <xf numFmtId="0" fontId="6" fillId="6" borderId="0" xfId="1" applyFill="1"/>
    <xf numFmtId="16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0" fontId="1" fillId="13" borderId="0" xfId="0" applyFont="1" applyFill="1" applyAlignment="1">
      <alignment horizontal="left"/>
    </xf>
    <xf numFmtId="0" fontId="1" fillId="13" borderId="0" xfId="0" applyFont="1" applyFill="1" applyAlignment="1">
      <alignment horizontal="center"/>
    </xf>
    <xf numFmtId="0" fontId="8" fillId="13" borderId="0" xfId="0" applyFont="1" applyFill="1" applyAlignment="1">
      <alignment horizontal="left" vertical="top"/>
    </xf>
    <xf numFmtId="0" fontId="1" fillId="13" borderId="0" xfId="0" applyFont="1" applyFill="1" applyAlignment="1">
      <alignment horizontal="left" vertical="top"/>
    </xf>
    <xf numFmtId="0" fontId="1" fillId="13" borderId="0" xfId="0" applyFont="1" applyFill="1"/>
    <xf numFmtId="0" fontId="0" fillId="17" borderId="0" xfId="0" applyFill="1" applyAlignment="1">
      <alignment horizontal="center" vertical="top"/>
    </xf>
    <xf numFmtId="0" fontId="9" fillId="17" borderId="0" xfId="0" applyFont="1" applyFill="1" applyAlignment="1">
      <alignment horizontal="center" vertical="top"/>
    </xf>
    <xf numFmtId="0" fontId="0" fillId="18" borderId="0" xfId="0" applyFill="1" applyAlignment="1">
      <alignment horizontal="center"/>
    </xf>
    <xf numFmtId="0" fontId="1" fillId="18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top"/>
    </xf>
    <xf numFmtId="0" fontId="0" fillId="0" borderId="0" xfId="0" applyBorder="1"/>
    <xf numFmtId="0" fontId="0" fillId="15" borderId="0" xfId="0" applyFill="1" applyBorder="1"/>
    <xf numFmtId="164" fontId="0" fillId="4" borderId="0" xfId="0" applyNumberFormat="1" applyFill="1" applyBorder="1" applyAlignment="1">
      <alignment vertical="top"/>
    </xf>
    <xf numFmtId="164" fontId="0" fillId="4" borderId="0" xfId="0" applyNumberFormat="1" applyFill="1" applyBorder="1" applyAlignment="1">
      <alignment horizontal="right" vertical="top"/>
    </xf>
    <xf numFmtId="0" fontId="0" fillId="4" borderId="0" xfId="0" applyFill="1" applyBorder="1"/>
    <xf numFmtId="167" fontId="0" fillId="4" borderId="0" xfId="0" applyNumberFormat="1" applyFill="1" applyBorder="1"/>
    <xf numFmtId="0" fontId="7" fillId="14" borderId="0" xfId="0" applyFont="1" applyFill="1" applyAlignment="1">
      <alignment horizontal="center" vertical="top"/>
    </xf>
    <xf numFmtId="0" fontId="7" fillId="17" borderId="0" xfId="0" applyFont="1" applyFill="1" applyAlignment="1">
      <alignment horizontal="center" vertical="top"/>
    </xf>
    <xf numFmtId="0" fontId="0" fillId="14" borderId="0" xfId="0" applyFill="1" applyAlignment="1">
      <alignment horizontal="center" vertical="top"/>
    </xf>
  </cellXfs>
  <cellStyles count="2">
    <cellStyle name="Lien hypertexte" xfId="1" builtinId="8"/>
    <cellStyle name="Normal" xfId="0" builtinId="0"/>
  </cellStyles>
  <dxfs count="81"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9D0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marpolbul.2019.110790" TargetMode="External"/><Relationship Id="rId21" Type="http://schemas.openxmlformats.org/officeDocument/2006/relationships/hyperlink" Target="https://www.frontiersin.org/articles/10.3389/fmars.2017.00419/full" TargetMode="External"/><Relationship Id="rId42" Type="http://schemas.openxmlformats.org/officeDocument/2006/relationships/hyperlink" Target="https://www.sciencedirect.com/science/article/pii/S0048969718305606" TargetMode="External"/><Relationship Id="rId63" Type="http://schemas.openxmlformats.org/officeDocument/2006/relationships/hyperlink" Target="https://doi.org/10.1016/j.envpol.2016.04.080" TargetMode="External"/><Relationship Id="rId84" Type="http://schemas.openxmlformats.org/officeDocument/2006/relationships/hyperlink" Target="https://www.sciencedirect.com/science/article/pii/S0025326X16308761" TargetMode="External"/><Relationship Id="rId138" Type="http://schemas.openxmlformats.org/officeDocument/2006/relationships/hyperlink" Target="https://doi.org/10.1016/j.marpolbul.2019.110649" TargetMode="External"/><Relationship Id="rId159" Type="http://schemas.openxmlformats.org/officeDocument/2006/relationships/hyperlink" Target="https://doi.org/10.1021/acs.est.0c03441" TargetMode="External"/><Relationship Id="rId170" Type="http://schemas.openxmlformats.org/officeDocument/2006/relationships/hyperlink" Target="https://doi.org/10.3389/fenvs.2022.998513" TargetMode="External"/><Relationship Id="rId107" Type="http://schemas.openxmlformats.org/officeDocument/2006/relationships/hyperlink" Target="https://doi.org/10.1016/j.marpolbul.2019.06.033" TargetMode="External"/><Relationship Id="rId11" Type="http://schemas.openxmlformats.org/officeDocument/2006/relationships/hyperlink" Target="https://link.springer.com/article/10.1007/s11270-017-3439-9" TargetMode="External"/><Relationship Id="rId32" Type="http://schemas.openxmlformats.org/officeDocument/2006/relationships/hyperlink" Target="https://www.sciencedirect.com/science/article/pii/S0048969718326986" TargetMode="External"/><Relationship Id="rId53" Type="http://schemas.openxmlformats.org/officeDocument/2006/relationships/hyperlink" Target="https://doi.org/10.1016/j.marpolbul.2016.11.056" TargetMode="External"/><Relationship Id="rId74" Type="http://schemas.openxmlformats.org/officeDocument/2006/relationships/hyperlink" Target="https://www.sciencedirect.com/science/article/pii/S0025326X17303028" TargetMode="External"/><Relationship Id="rId128" Type="http://schemas.openxmlformats.org/officeDocument/2006/relationships/hyperlink" Target="https://doi.org/10.1016/j.marpolbul.2020.110883" TargetMode="External"/><Relationship Id="rId149" Type="http://schemas.openxmlformats.org/officeDocument/2006/relationships/hyperlink" Target="https://doi.org/10.1016/j.ecss.2019.106429" TargetMode="External"/><Relationship Id="rId5" Type="http://schemas.openxmlformats.org/officeDocument/2006/relationships/hyperlink" Target="https://www.sciencedirect.com/science/article/pii/S0967063718301973" TargetMode="External"/><Relationship Id="rId95" Type="http://schemas.openxmlformats.org/officeDocument/2006/relationships/hyperlink" Target="https://doi.org/10.1016/j.rsma.2015.04.001" TargetMode="External"/><Relationship Id="rId160" Type="http://schemas.openxmlformats.org/officeDocument/2006/relationships/hyperlink" Target="https://doi.org/10.3389/fmars.2020.576170" TargetMode="External"/><Relationship Id="rId22" Type="http://schemas.openxmlformats.org/officeDocument/2006/relationships/hyperlink" Target="https://www.sciencedirect.com/science/article/pii/S0025326X16306828" TargetMode="External"/><Relationship Id="rId43" Type="http://schemas.openxmlformats.org/officeDocument/2006/relationships/hyperlink" Target="https://doi.org/10.1016/j.marpolbul.2017.07.011" TargetMode="External"/><Relationship Id="rId64" Type="http://schemas.openxmlformats.org/officeDocument/2006/relationships/hyperlink" Target="https://www.sciencedirect.com/science/article/pii/S0269749116303463" TargetMode="External"/><Relationship Id="rId118" Type="http://schemas.openxmlformats.org/officeDocument/2006/relationships/hyperlink" Target="https://doi.org/10.1016/j.marpolbul.2019.110636" TargetMode="External"/><Relationship Id="rId139" Type="http://schemas.openxmlformats.org/officeDocument/2006/relationships/hyperlink" Target="https://doi.org/10.1016/j.marpolbul.2019.03.032" TargetMode="External"/><Relationship Id="rId85" Type="http://schemas.openxmlformats.org/officeDocument/2006/relationships/hyperlink" Target="https://doi.org/10.1016/j.marpolbul.2017.06.039" TargetMode="External"/><Relationship Id="rId150" Type="http://schemas.openxmlformats.org/officeDocument/2006/relationships/hyperlink" Target="https://doi.org/10.1016/j.scitotenv.2019.135432" TargetMode="External"/><Relationship Id="rId171" Type="http://schemas.openxmlformats.org/officeDocument/2006/relationships/hyperlink" Target="https://doi.org/10.1016/j.marpolbul.2024.116393" TargetMode="External"/><Relationship Id="rId12" Type="http://schemas.openxmlformats.org/officeDocument/2006/relationships/hyperlink" Target="https://www.sciencedirect.com/science/article/pii/S0269749116308338" TargetMode="External"/><Relationship Id="rId33" Type="http://schemas.openxmlformats.org/officeDocument/2006/relationships/hyperlink" Target="https://doi.org/10.1016/j.marpolbul.2013.05.026" TargetMode="External"/><Relationship Id="rId108" Type="http://schemas.openxmlformats.org/officeDocument/2006/relationships/hyperlink" Target="https://www-sciencedirect-com.ezproxy.uniroma1.it/science/article/pii/S0025326X19304795?via%3Dihub" TargetMode="External"/><Relationship Id="rId129" Type="http://schemas.openxmlformats.org/officeDocument/2006/relationships/hyperlink" Target="https://www-sciencedirect-com.ezproxy.uniroma1.it/science/article/pii/S0025326X20300011?via%3Dihub" TargetMode="External"/><Relationship Id="rId54" Type="http://schemas.openxmlformats.org/officeDocument/2006/relationships/hyperlink" Target="https://www.sciencedirect.com/science/article/pii/S0025326X16309766" TargetMode="External"/><Relationship Id="rId75" Type="http://schemas.openxmlformats.org/officeDocument/2006/relationships/hyperlink" Target="https://doi.org/10.1016/j.marpolbul.2019.02.021" TargetMode="External"/><Relationship Id="rId96" Type="http://schemas.openxmlformats.org/officeDocument/2006/relationships/hyperlink" Target="https://www.sciencedirect.com/science/article/pii/S2352485515000109" TargetMode="External"/><Relationship Id="rId140" Type="http://schemas.openxmlformats.org/officeDocument/2006/relationships/hyperlink" Target="https://doi.org/10.1016/j.scitotenv.2018.11.250" TargetMode="External"/><Relationship Id="rId161" Type="http://schemas.openxmlformats.org/officeDocument/2006/relationships/hyperlink" Target="https://www.science.org/doi/10.1126/sciadv.aaz5593" TargetMode="External"/><Relationship Id="rId6" Type="http://schemas.openxmlformats.org/officeDocument/2006/relationships/hyperlink" Target="https://www.sciencedirect.com/science/article/pii/S0025326X17306586" TargetMode="External"/><Relationship Id="rId23" Type="http://schemas.openxmlformats.org/officeDocument/2006/relationships/hyperlink" Target="https://www.sciencedirect.com/science/article/pii/S0025326X18301644?via%3Dihub" TargetMode="External"/><Relationship Id="rId28" Type="http://schemas.openxmlformats.org/officeDocument/2006/relationships/hyperlink" Target="https://www.sciencedirect.com/science/article/pii/S0141113616300058" TargetMode="External"/><Relationship Id="rId49" Type="http://schemas.openxmlformats.org/officeDocument/2006/relationships/hyperlink" Target="https://link.springer.com/article/10.1007/s11356-017-9587-z" TargetMode="External"/><Relationship Id="rId114" Type="http://schemas.openxmlformats.org/officeDocument/2006/relationships/hyperlink" Target="https://doi.org/10.1016/j.envpol.2019.113450" TargetMode="External"/><Relationship Id="rId119" Type="http://schemas.openxmlformats.org/officeDocument/2006/relationships/hyperlink" Target="https://doi.org/10.1016/j.marpolbul.2019.110558" TargetMode="External"/><Relationship Id="rId44" Type="http://schemas.openxmlformats.org/officeDocument/2006/relationships/hyperlink" Target="https://www.sciencedirect.com/science/article/pii/S0025326X17305921" TargetMode="External"/><Relationship Id="rId60" Type="http://schemas.openxmlformats.org/officeDocument/2006/relationships/hyperlink" Target="https://www.sciencedirect.com/science/article/pii/S0025326X16305689" TargetMode="External"/><Relationship Id="rId65" Type="http://schemas.openxmlformats.org/officeDocument/2006/relationships/hyperlink" Target="https://doi.org/10.1080/00288330.2015.1132747" TargetMode="External"/><Relationship Id="rId81" Type="http://schemas.openxmlformats.org/officeDocument/2006/relationships/hyperlink" Target="https://doi.org/10.1016/j.marpolbul.2017.05.038" TargetMode="External"/><Relationship Id="rId86" Type="http://schemas.openxmlformats.org/officeDocument/2006/relationships/hyperlink" Target="https://www.sciencedirect.com/science/article/pii/S0025326X17305192" TargetMode="External"/><Relationship Id="rId130" Type="http://schemas.openxmlformats.org/officeDocument/2006/relationships/hyperlink" Target="https://doi.org/10.1016/j.envpol.2019.06.093" TargetMode="External"/><Relationship Id="rId135" Type="http://schemas.openxmlformats.org/officeDocument/2006/relationships/hyperlink" Target="https://doi.org/10.1016/j.scitotenv.2019.134947" TargetMode="External"/><Relationship Id="rId151" Type="http://schemas.openxmlformats.org/officeDocument/2006/relationships/hyperlink" Target="https://doi.org/10.1016/j.scitotenv.2019.135176" TargetMode="External"/><Relationship Id="rId156" Type="http://schemas.openxmlformats.org/officeDocument/2006/relationships/hyperlink" Target="https://doi.org/10.1016/j.envpol.2021.116451" TargetMode="External"/><Relationship Id="rId177" Type="http://schemas.openxmlformats.org/officeDocument/2006/relationships/hyperlink" Target="https://doi.org/10.1126/sciadv.add2348" TargetMode="External"/><Relationship Id="rId172" Type="http://schemas.openxmlformats.org/officeDocument/2006/relationships/hyperlink" Target="https://doi-org.sid2nomade-2.grenet.fr/10.1016/j.envpol.2024.123350" TargetMode="External"/><Relationship Id="rId13" Type="http://schemas.openxmlformats.org/officeDocument/2006/relationships/hyperlink" Target="https://www.sciencedirect.com/science/article/pii/S0025326X16307561" TargetMode="External"/><Relationship Id="rId18" Type="http://schemas.openxmlformats.org/officeDocument/2006/relationships/hyperlink" Target="https://www.sciencedirect.com/science/article/pii/S0269749113004387" TargetMode="External"/><Relationship Id="rId39" Type="http://schemas.openxmlformats.org/officeDocument/2006/relationships/hyperlink" Target="https://doi.org/10.1016/j.envpol.2018.03.096" TargetMode="External"/><Relationship Id="rId109" Type="http://schemas.openxmlformats.org/officeDocument/2006/relationships/hyperlink" Target="https://doi.org/10.1016/j.marpolbul.2019.02.015" TargetMode="External"/><Relationship Id="rId34" Type="http://schemas.openxmlformats.org/officeDocument/2006/relationships/hyperlink" Target="https://www.sciencedirect.com/science/article/pii/S0025326X13002737" TargetMode="External"/><Relationship Id="rId50" Type="http://schemas.openxmlformats.org/officeDocument/2006/relationships/hyperlink" Target="https://doi.org/10.1016/j.marpolbul.2017.01.010" TargetMode="External"/><Relationship Id="rId55" Type="http://schemas.openxmlformats.org/officeDocument/2006/relationships/hyperlink" Target="https://doi.org/10.1016/j.marpolbul.2016.11.032" TargetMode="External"/><Relationship Id="rId76" Type="http://schemas.openxmlformats.org/officeDocument/2006/relationships/hyperlink" Target="https://www.sciencedirect.com/science/article/pii/S0025326X19301109" TargetMode="External"/><Relationship Id="rId97" Type="http://schemas.openxmlformats.org/officeDocument/2006/relationships/hyperlink" Target="https://doi.org/10.1016/j.scitotenv.2019.135025" TargetMode="External"/><Relationship Id="rId104" Type="http://schemas.openxmlformats.org/officeDocument/2006/relationships/hyperlink" Target="https://www-sciencedirect-com.ezproxy.uniroma1.it/science/article/pii/S0048969719315219?via%3Dihub" TargetMode="External"/><Relationship Id="rId120" Type="http://schemas.openxmlformats.org/officeDocument/2006/relationships/hyperlink" Target="https://www-sciencedirect-com.ezproxy.uniroma1.it/science/article/pii/S0025326X19307027?via%3Dihub" TargetMode="External"/><Relationship Id="rId125" Type="http://schemas.openxmlformats.org/officeDocument/2006/relationships/hyperlink" Target="https://www-sciencedirect-com.ezproxy.uniroma1.it/science/article/pii/S0025326X19304886?via%3Dihub" TargetMode="External"/><Relationship Id="rId141" Type="http://schemas.openxmlformats.org/officeDocument/2006/relationships/hyperlink" Target="https://doi.org/10.1016/j.marpolbul.2018.11.045" TargetMode="External"/><Relationship Id="rId146" Type="http://schemas.openxmlformats.org/officeDocument/2006/relationships/hyperlink" Target="https://doi.org/10.1016/j.scitotenv.2019.02.367" TargetMode="External"/><Relationship Id="rId167" Type="http://schemas.openxmlformats.org/officeDocument/2006/relationships/hyperlink" Target="https://doi.org/10.3389/fmars.2022.1047078" TargetMode="External"/><Relationship Id="rId7" Type="http://schemas.openxmlformats.org/officeDocument/2006/relationships/hyperlink" Target="https://pubs.acs.org/doi/full/10.1021/acs.est.7b03331" TargetMode="External"/><Relationship Id="rId71" Type="http://schemas.openxmlformats.org/officeDocument/2006/relationships/hyperlink" Target="https://doi.org/10.1016/j.envpol.2013.11.019" TargetMode="External"/><Relationship Id="rId92" Type="http://schemas.openxmlformats.org/officeDocument/2006/relationships/hyperlink" Target="https://www.sciencedirect.com/science/article/pii/S0048969717328735" TargetMode="External"/><Relationship Id="rId162" Type="http://schemas.openxmlformats.org/officeDocument/2006/relationships/hyperlink" Target="https://www-sciencedirect-com.sid2nomade-2.grenet.fr/science/article/pii/S0048969722041353" TargetMode="External"/><Relationship Id="rId2" Type="http://schemas.openxmlformats.org/officeDocument/2006/relationships/hyperlink" Target="https://www.sciencedirect.com/science/article/pii/S0025326X18306647" TargetMode="External"/><Relationship Id="rId29" Type="http://schemas.openxmlformats.org/officeDocument/2006/relationships/hyperlink" Target="https://doi.org/10.1016/j.marenvres.2015.12.006" TargetMode="External"/><Relationship Id="rId24" Type="http://schemas.openxmlformats.org/officeDocument/2006/relationships/hyperlink" Target="https://www.geochemicalperspectivesletters.org/article1829" TargetMode="External"/><Relationship Id="rId40" Type="http://schemas.openxmlformats.org/officeDocument/2006/relationships/hyperlink" Target="https://www.sciencedirect.com/science/article/pii/S0269749117346092" TargetMode="External"/><Relationship Id="rId45" Type="http://schemas.openxmlformats.org/officeDocument/2006/relationships/hyperlink" Target="https://doi.org/10.1016/j.marpolbul.2017.08.057" TargetMode="External"/><Relationship Id="rId66" Type="http://schemas.openxmlformats.org/officeDocument/2006/relationships/hyperlink" Target="https://www.tandfonline.com/doi/full/10.1080/00288330.2015.1132747" TargetMode="External"/><Relationship Id="rId87" Type="http://schemas.openxmlformats.org/officeDocument/2006/relationships/hyperlink" Target="https://doi.org/10.1016/j.marpolbul.2019.06.004" TargetMode="External"/><Relationship Id="rId110" Type="http://schemas.openxmlformats.org/officeDocument/2006/relationships/hyperlink" Target="https://www-sciencedirect-com.ezproxy.uniroma1.it/science/article/pii/S0025326X19301043?via%3Dihub" TargetMode="External"/><Relationship Id="rId115" Type="http://schemas.openxmlformats.org/officeDocument/2006/relationships/hyperlink" Target="https://doi-org.ezproxy.uniroma1.it/10.1007/s11356-019-06027-8" TargetMode="External"/><Relationship Id="rId131" Type="http://schemas.openxmlformats.org/officeDocument/2006/relationships/hyperlink" Target="https://doi.org/10.1016/j.marpolbul.2019.110515" TargetMode="External"/><Relationship Id="rId136" Type="http://schemas.openxmlformats.org/officeDocument/2006/relationships/hyperlink" Target="https://doi.org/10.1016/j.marpolbul.2019.07.066" TargetMode="External"/><Relationship Id="rId157" Type="http://schemas.openxmlformats.org/officeDocument/2006/relationships/hyperlink" Target="https://doi.org/10.1016/j.envpol.2020.116095" TargetMode="External"/><Relationship Id="rId178" Type="http://schemas.openxmlformats.org/officeDocument/2006/relationships/printerSettings" Target="../printerSettings/printerSettings2.bin"/><Relationship Id="rId61" Type="http://schemas.openxmlformats.org/officeDocument/2006/relationships/hyperlink" Target="https://doi.org/10.1016/j.marpolbul.2016.06.002" TargetMode="External"/><Relationship Id="rId82" Type="http://schemas.openxmlformats.org/officeDocument/2006/relationships/hyperlink" Target="https://www.sciencedirect.com/science/article/pii/S0025326X17304265" TargetMode="External"/><Relationship Id="rId152" Type="http://schemas.openxmlformats.org/officeDocument/2006/relationships/hyperlink" Target="https://hal.archives-ouvertes.fr/hal-02545089/document" TargetMode="External"/><Relationship Id="rId173" Type="http://schemas.openxmlformats.org/officeDocument/2006/relationships/hyperlink" Target="https://doi-org.sid2nomade-1.grenet.fr/10.1016/j.marpolbul.2021.112311" TargetMode="External"/><Relationship Id="rId19" Type="http://schemas.openxmlformats.org/officeDocument/2006/relationships/hyperlink" Target="https://www.sciencedirect.com/science/article/pii/S0025326X18306623" TargetMode="External"/><Relationship Id="rId14" Type="http://schemas.openxmlformats.org/officeDocument/2006/relationships/hyperlink" Target="https://link.springer.com/article/10.1007/s00244-017-0414-9" TargetMode="External"/><Relationship Id="rId30" Type="http://schemas.openxmlformats.org/officeDocument/2006/relationships/hyperlink" Target="https://www.sciencedirect.com/science/article/pii/S0141113615300866" TargetMode="External"/><Relationship Id="rId35" Type="http://schemas.openxmlformats.org/officeDocument/2006/relationships/hyperlink" Target="https://doi.org/10.1016/j.scitotenv.2018.05.346" TargetMode="External"/><Relationship Id="rId56" Type="http://schemas.openxmlformats.org/officeDocument/2006/relationships/hyperlink" Target="https://www.sciencedirect.com/science/article/pii/S0025326X16309523" TargetMode="External"/><Relationship Id="rId77" Type="http://schemas.openxmlformats.org/officeDocument/2006/relationships/hyperlink" Target="https://doi.org/10.1016/j.envpol.2018.01.031" TargetMode="External"/><Relationship Id="rId100" Type="http://schemas.openxmlformats.org/officeDocument/2006/relationships/hyperlink" Target="https://www-sciencedirect-com.ezproxy.uniroma1.it/science/article/pii/S0048969719352969?via%3Dihub" TargetMode="External"/><Relationship Id="rId105" Type="http://schemas.openxmlformats.org/officeDocument/2006/relationships/hyperlink" Target="https://doi.org/10.1016/j.marpolbul.2019.07.068" TargetMode="External"/><Relationship Id="rId126" Type="http://schemas.openxmlformats.org/officeDocument/2006/relationships/hyperlink" Target="https://doi.org/10.1016/j.scitotenv.2019.134252" TargetMode="External"/><Relationship Id="rId147" Type="http://schemas.openxmlformats.org/officeDocument/2006/relationships/hyperlink" Target="https://doi.org/10.1016/j.ocecoaman.2018.12.030" TargetMode="External"/><Relationship Id="rId168" Type="http://schemas.openxmlformats.org/officeDocument/2006/relationships/hyperlink" Target="https://doi.org/10.1016/j.scitotenv.2022.154266" TargetMode="External"/><Relationship Id="rId8" Type="http://schemas.openxmlformats.org/officeDocument/2006/relationships/hyperlink" Target="https://doi.org/10.1038/s41598-017-11079-2" TargetMode="External"/><Relationship Id="rId51" Type="http://schemas.openxmlformats.org/officeDocument/2006/relationships/hyperlink" Target="https://www.sciencedirect.com/science/article/pii/S0025326X17300103" TargetMode="External"/><Relationship Id="rId72" Type="http://schemas.openxmlformats.org/officeDocument/2006/relationships/hyperlink" Target="https://www.sciencedirect.com/science/article/pii/S0269749113006088" TargetMode="External"/><Relationship Id="rId93" Type="http://schemas.openxmlformats.org/officeDocument/2006/relationships/hyperlink" Target="https://doi.org/10.1016/j.marpolbul.2013.08.013" TargetMode="External"/><Relationship Id="rId98" Type="http://schemas.openxmlformats.org/officeDocument/2006/relationships/hyperlink" Target="https://www.sciencedirect.com/science/article/pii/S004896971935017X" TargetMode="External"/><Relationship Id="rId121" Type="http://schemas.openxmlformats.org/officeDocument/2006/relationships/hyperlink" Target="https://doi.org/10.1016/j.scitotenv.2019.06.178" TargetMode="External"/><Relationship Id="rId142" Type="http://schemas.openxmlformats.org/officeDocument/2006/relationships/hyperlink" Target="https://doi.org/10.1016/j.marpolbul.2019.110788" TargetMode="External"/><Relationship Id="rId163" Type="http://schemas.openxmlformats.org/officeDocument/2006/relationships/hyperlink" Target="https://www-sciencedirect-com.sid2nomade-1.grenet.fr/science/article/pii/S0025326X18308890?via%3Dihub" TargetMode="External"/><Relationship Id="rId3" Type="http://schemas.openxmlformats.org/officeDocument/2006/relationships/hyperlink" Target="https://www.sciencedirect.com/science/article/pii/S0269749118322474" TargetMode="External"/><Relationship Id="rId25" Type="http://schemas.openxmlformats.org/officeDocument/2006/relationships/hyperlink" Target="https://doi.org/10.1016/j.ecss.2013.03.022" TargetMode="External"/><Relationship Id="rId46" Type="http://schemas.openxmlformats.org/officeDocument/2006/relationships/hyperlink" Target="https://www.sciencedirect.com/science/article/pii/S0025326X17307312" TargetMode="External"/><Relationship Id="rId67" Type="http://schemas.openxmlformats.org/officeDocument/2006/relationships/hyperlink" Target="https://doi.org/10.1016/j.marpolbul.2015.09.043" TargetMode="External"/><Relationship Id="rId116" Type="http://schemas.openxmlformats.org/officeDocument/2006/relationships/hyperlink" Target="https://link-springer-com.ezproxy.uniroma1.it/article/10.1007/s11356-019-06027-8" TargetMode="External"/><Relationship Id="rId137" Type="http://schemas.openxmlformats.org/officeDocument/2006/relationships/hyperlink" Target="https://www-sciencedirect-com.ezproxy.uniroma1.it/science/article/pii/S0025326X1930606X?via%3Dihub" TargetMode="External"/><Relationship Id="rId158" Type="http://schemas.openxmlformats.org/officeDocument/2006/relationships/hyperlink" Target="https://doi.org/10.1016/j.marpolbul.2020.111092" TargetMode="External"/><Relationship Id="rId20" Type="http://schemas.openxmlformats.org/officeDocument/2006/relationships/hyperlink" Target="https://doi.org/10.3389/fmars.2017.00419" TargetMode="External"/><Relationship Id="rId41" Type="http://schemas.openxmlformats.org/officeDocument/2006/relationships/hyperlink" Target="https://doi.org/10.1016/j.scitotenv.2018.02.167" TargetMode="External"/><Relationship Id="rId62" Type="http://schemas.openxmlformats.org/officeDocument/2006/relationships/hyperlink" Target="https://www.sciencedirect.com/science/article/pii/S0025326X16304064" TargetMode="External"/><Relationship Id="rId83" Type="http://schemas.openxmlformats.org/officeDocument/2006/relationships/hyperlink" Target="https://doi.org/10.1016/j.marpolbul.2016.10.060" TargetMode="External"/><Relationship Id="rId88" Type="http://schemas.openxmlformats.org/officeDocument/2006/relationships/hyperlink" Target="https://www.sciencedirect.com/science/article/pii/S0025326X19304497" TargetMode="External"/><Relationship Id="rId111" Type="http://schemas.openxmlformats.org/officeDocument/2006/relationships/hyperlink" Target="https://search-proquest-com.ezproxy.uniroma1.it/docview/2277978173/fulltext/6567840D0D234ED1PQ/1?accountid=13698" TargetMode="External"/><Relationship Id="rId132" Type="http://schemas.openxmlformats.org/officeDocument/2006/relationships/hyperlink" Target="https://doi.org/10.1039/C9EM00148D" TargetMode="External"/><Relationship Id="rId153" Type="http://schemas.openxmlformats.org/officeDocument/2006/relationships/hyperlink" Target="https://science.sciencemag.org/content/sci/suppl/2020/04/29/science.aba5899.DC1/aba5899_Kane_SM.pdf" TargetMode="External"/><Relationship Id="rId174" Type="http://schemas.openxmlformats.org/officeDocument/2006/relationships/hyperlink" Target="https://doi-org.sid2nomade-2.grenet.fr/10.1016/j.marpolbul.2024.116954" TargetMode="External"/><Relationship Id="rId15" Type="http://schemas.openxmlformats.org/officeDocument/2006/relationships/hyperlink" Target="https://www.sciencedirect.com/science/article/pii/S0025326X13007261" TargetMode="External"/><Relationship Id="rId36" Type="http://schemas.openxmlformats.org/officeDocument/2006/relationships/hyperlink" Target="https://www.sciencedirect.com/science/article/pii/S0048969718319995" TargetMode="External"/><Relationship Id="rId57" Type="http://schemas.openxmlformats.org/officeDocument/2006/relationships/hyperlink" Target="https://doi.org/10.1016/j.marpolbul.2016.10.001" TargetMode="External"/><Relationship Id="rId106" Type="http://schemas.openxmlformats.org/officeDocument/2006/relationships/hyperlink" Target="https://www-sciencedirect-com.ezproxy.uniroma1.it/science/article/pii/S0025326X19306083?via%3Dihub" TargetMode="External"/><Relationship Id="rId127" Type="http://schemas.openxmlformats.org/officeDocument/2006/relationships/hyperlink" Target="https://www-sciencedirect-com.ezproxy.uniroma1.it/science/article/pii/S0048969719342354?via%3Dihub" TargetMode="External"/><Relationship Id="rId10" Type="http://schemas.openxmlformats.org/officeDocument/2006/relationships/hyperlink" Target="https://doi.org/10.1007/s11270-017-3439-9" TargetMode="External"/><Relationship Id="rId31" Type="http://schemas.openxmlformats.org/officeDocument/2006/relationships/hyperlink" Target="https://doi.org/10.1016/j.scitotenv.2018.07.242" TargetMode="External"/><Relationship Id="rId52" Type="http://schemas.openxmlformats.org/officeDocument/2006/relationships/hyperlink" Target="https://link.springer.com/article/10.1007/s11356-017-8419-5" TargetMode="External"/><Relationship Id="rId73" Type="http://schemas.openxmlformats.org/officeDocument/2006/relationships/hyperlink" Target="https://doi.org/10.1016/j.marpolbul.2017.04.008" TargetMode="External"/><Relationship Id="rId78" Type="http://schemas.openxmlformats.org/officeDocument/2006/relationships/hyperlink" Target="https://www.sciencedirect.com/science/article/pii/S0269749117345451" TargetMode="External"/><Relationship Id="rId94" Type="http://schemas.openxmlformats.org/officeDocument/2006/relationships/hyperlink" Target="https://www.sciencedirect.com/science/article/pii/S0025326X13004657" TargetMode="External"/><Relationship Id="rId99" Type="http://schemas.openxmlformats.org/officeDocument/2006/relationships/hyperlink" Target="https://doi.org/10.1016/j.scitotenv.2019.135304" TargetMode="External"/><Relationship Id="rId101" Type="http://schemas.openxmlformats.org/officeDocument/2006/relationships/hyperlink" Target="https://doi.org/10.1016/j.marpolbul.2019.110880" TargetMode="External"/><Relationship Id="rId122" Type="http://schemas.openxmlformats.org/officeDocument/2006/relationships/hyperlink" Target="https://doi.org/10.1016/j.marpolbul.2019.110655" TargetMode="External"/><Relationship Id="rId143" Type="http://schemas.openxmlformats.org/officeDocument/2006/relationships/hyperlink" Target="https://doi.org/10.1016/j.watres.2019.115121" TargetMode="External"/><Relationship Id="rId148" Type="http://schemas.openxmlformats.org/officeDocument/2006/relationships/hyperlink" Target="https://doi.org/10.1016/j.marpolbul.2019.05.054" TargetMode="External"/><Relationship Id="rId164" Type="http://schemas.openxmlformats.org/officeDocument/2006/relationships/hyperlink" Target="https://www-sciencedirect-com.sid2nomade-2.grenet.fr/science/article/pii/S0272771419311758" TargetMode="External"/><Relationship Id="rId169" Type="http://schemas.openxmlformats.org/officeDocument/2006/relationships/hyperlink" Target="https://doi.org/10.1021/acs.est.4c04360" TargetMode="External"/><Relationship Id="rId4" Type="http://schemas.openxmlformats.org/officeDocument/2006/relationships/hyperlink" Target="https://www.sciencedirect.com/science/article/pii/S0025326X18303977" TargetMode="External"/><Relationship Id="rId9" Type="http://schemas.openxmlformats.org/officeDocument/2006/relationships/hyperlink" Target="https://www.nature.com/articles/s41598-017-11079-2" TargetMode="External"/><Relationship Id="rId26" Type="http://schemas.openxmlformats.org/officeDocument/2006/relationships/hyperlink" Target="https://www.sciencedirect.com/science/article/pii/S0272771413001480" TargetMode="External"/><Relationship Id="rId47" Type="http://schemas.openxmlformats.org/officeDocument/2006/relationships/hyperlink" Target="https://doi.org/10.1016/j.wasman.2017.05.020" TargetMode="External"/><Relationship Id="rId68" Type="http://schemas.openxmlformats.org/officeDocument/2006/relationships/hyperlink" Target="https://www.sciencedirect.com/science/article/pii/S0025326X15300588" TargetMode="External"/><Relationship Id="rId89" Type="http://schemas.openxmlformats.org/officeDocument/2006/relationships/hyperlink" Target="https://link.springer.com/article/10.1007/s11356-019-05341-5" TargetMode="External"/><Relationship Id="rId112" Type="http://schemas.openxmlformats.org/officeDocument/2006/relationships/hyperlink" Target="https://doi.org/10.1016/j.scitotenv.2019.134838" TargetMode="External"/><Relationship Id="rId133" Type="http://schemas.openxmlformats.org/officeDocument/2006/relationships/hyperlink" Target="https://doi.org/10.1016/j.marpolbul.2019.03.037" TargetMode="External"/><Relationship Id="rId154" Type="http://schemas.openxmlformats.org/officeDocument/2006/relationships/hyperlink" Target="https://doi.org/10.1126/sciadv.aaz5593" TargetMode="External"/><Relationship Id="rId175" Type="http://schemas.openxmlformats.org/officeDocument/2006/relationships/hyperlink" Target="https://doi-org.sid2nomade-2.grenet.fr/10.1016/j.marpolbul.2021.112802" TargetMode="External"/><Relationship Id="rId16" Type="http://schemas.openxmlformats.org/officeDocument/2006/relationships/hyperlink" Target="https://www.sciencedirect.com/science/article/pii/S0272771417310806" TargetMode="External"/><Relationship Id="rId37" Type="http://schemas.openxmlformats.org/officeDocument/2006/relationships/hyperlink" Target="https://doi.org/10.1016/j.marpolbul.2018.05.060" TargetMode="External"/><Relationship Id="rId58" Type="http://schemas.openxmlformats.org/officeDocument/2006/relationships/hyperlink" Target="https://www.sciencedirect.com/science/article/pii/S0025326X16308177" TargetMode="External"/><Relationship Id="rId79" Type="http://schemas.openxmlformats.org/officeDocument/2006/relationships/hyperlink" Target="https://doi.org/10.1016/j.dsr2.2014.08.012" TargetMode="External"/><Relationship Id="rId102" Type="http://schemas.openxmlformats.org/officeDocument/2006/relationships/hyperlink" Target="https://www-sciencedirect-com.ezproxy.uniroma1.it/science/article/pii/S0025326X19310367?via%3Dihub" TargetMode="External"/><Relationship Id="rId123" Type="http://schemas.openxmlformats.org/officeDocument/2006/relationships/hyperlink" Target="https://www-sciencedirect-com.ezproxy.uniroma1.it/science/article/pii/S0025326X19308033?via%3Dihub" TargetMode="External"/><Relationship Id="rId144" Type="http://schemas.openxmlformats.org/officeDocument/2006/relationships/hyperlink" Target="https://doi.org/10.1016/j.scitotenv.2019.133924" TargetMode="External"/><Relationship Id="rId90" Type="http://schemas.openxmlformats.org/officeDocument/2006/relationships/hyperlink" Target="https://doi.org/10.1016/j.marpolbul.2015.07.050" TargetMode="External"/><Relationship Id="rId165" Type="http://schemas.openxmlformats.org/officeDocument/2006/relationships/hyperlink" Target="https://www.sciencedirect.com/science/article/pii/S0048969718338786" TargetMode="External"/><Relationship Id="rId27" Type="http://schemas.openxmlformats.org/officeDocument/2006/relationships/hyperlink" Target="https://doi.org/10.1016/j.marenvres.2016.01.005" TargetMode="External"/><Relationship Id="rId48" Type="http://schemas.openxmlformats.org/officeDocument/2006/relationships/hyperlink" Target="https://www.sciencedirect.com/science/article/pii/S0956053X17303410" TargetMode="External"/><Relationship Id="rId69" Type="http://schemas.openxmlformats.org/officeDocument/2006/relationships/hyperlink" Target="https://doi.org/10.1016/j.marpolbul.2015.07.028" TargetMode="External"/><Relationship Id="rId113" Type="http://schemas.openxmlformats.org/officeDocument/2006/relationships/hyperlink" Target="https://doi.org/10.1016/j.scitotenv.2019.134768" TargetMode="External"/><Relationship Id="rId134" Type="http://schemas.openxmlformats.org/officeDocument/2006/relationships/hyperlink" Target="https://doi.org/10.1016/j.envpol.2018.11.083" TargetMode="External"/><Relationship Id="rId80" Type="http://schemas.openxmlformats.org/officeDocument/2006/relationships/hyperlink" Target="https://www.sciencedirect.com/science/article/pii/S0967064514002173" TargetMode="External"/><Relationship Id="rId155" Type="http://schemas.openxmlformats.org/officeDocument/2006/relationships/hyperlink" Target="https://doi.org/10.3390/oceans2010010" TargetMode="External"/><Relationship Id="rId176" Type="http://schemas.openxmlformats.org/officeDocument/2006/relationships/hyperlink" Target="https://pmc.ncbi.nlm.nih.gov/articles/PMC12737124/" TargetMode="External"/><Relationship Id="rId17" Type="http://schemas.openxmlformats.org/officeDocument/2006/relationships/hyperlink" Target="https://www.ncbi.nlm.nih.gov/pubmed/21802098" TargetMode="External"/><Relationship Id="rId38" Type="http://schemas.openxmlformats.org/officeDocument/2006/relationships/hyperlink" Target="https://www.sciencedirect.com/science/article/pii/S0025326X18303898" TargetMode="External"/><Relationship Id="rId59" Type="http://schemas.openxmlformats.org/officeDocument/2006/relationships/hyperlink" Target="https://doi.org/10.1016/j.marpolbul.2016.07.022" TargetMode="External"/><Relationship Id="rId103" Type="http://schemas.openxmlformats.org/officeDocument/2006/relationships/hyperlink" Target="https://doi.org/10.1016/j.scitotenv.2019.04.008" TargetMode="External"/><Relationship Id="rId124" Type="http://schemas.openxmlformats.org/officeDocument/2006/relationships/hyperlink" Target="https://doi.org/10.1016/j.marpolbul.2019.06.042" TargetMode="External"/><Relationship Id="rId70" Type="http://schemas.openxmlformats.org/officeDocument/2006/relationships/hyperlink" Target="https://www.sciencedirect.com/science/article/pii/S0025326X15004488" TargetMode="External"/><Relationship Id="rId91" Type="http://schemas.openxmlformats.org/officeDocument/2006/relationships/hyperlink" Target="https://www.sciencedirect.com/science/article/pii/S0025326X15004701" TargetMode="External"/><Relationship Id="rId145" Type="http://schemas.openxmlformats.org/officeDocument/2006/relationships/hyperlink" Target="https://doi.org/10.1016/j.marpolbul.2019.05.003" TargetMode="External"/><Relationship Id="rId166" Type="http://schemas.openxmlformats.org/officeDocument/2006/relationships/hyperlink" Target="https://doi.org/10.3389/fmars.2022.1093815" TargetMode="External"/><Relationship Id="rId1" Type="http://schemas.openxmlformats.org/officeDocument/2006/relationships/hyperlink" Target="https://www.ncbi.nlm.nih.gov/pubmed/30332808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jm.copernicus.org/articles/37/317/2018/" TargetMode="External"/><Relationship Id="rId21" Type="http://schemas.openxmlformats.org/officeDocument/2006/relationships/hyperlink" Target="https://www.sciencedirect.com/science/article/abs/pii/001670379390032R" TargetMode="External"/><Relationship Id="rId42" Type="http://schemas.openxmlformats.org/officeDocument/2006/relationships/hyperlink" Target="https://doi.pangaea.de/10.1594/PANGAEA.115756" TargetMode="External"/><Relationship Id="rId47" Type="http://schemas.openxmlformats.org/officeDocument/2006/relationships/hyperlink" Target="https://doi.pangaea.de/10.1594/PANGAEA.771053" TargetMode="External"/><Relationship Id="rId63" Type="http://schemas.openxmlformats.org/officeDocument/2006/relationships/hyperlink" Target="https://www.sciencedirect.com/science/article/pii/S0038071710004396?casa_token=r1NZzOvEIRcAAAAA:FZo2WGhzO3wiPeKUSY3hGBcEWsbAnRGzs4zdiYM8L9je1bgL7M-C7mZ8JgCg-v77wz6Rqcxl2g" TargetMode="External"/><Relationship Id="rId68" Type="http://schemas.openxmlformats.org/officeDocument/2006/relationships/hyperlink" Target="https://www.sciencedirect.com/science/article/abs/pii/S0012821X06004912?via%3Dihub" TargetMode="External"/><Relationship Id="rId84" Type="http://schemas.openxmlformats.org/officeDocument/2006/relationships/hyperlink" Target="https://epic.awi.de/id/eprint/28809/1/Sok1986a.pdf" TargetMode="External"/><Relationship Id="rId89" Type="http://schemas.openxmlformats.org/officeDocument/2006/relationships/hyperlink" Target="https://doi.pangaea.de/10.1594/PANGAEA.726466" TargetMode="External"/><Relationship Id="rId16" Type="http://schemas.openxmlformats.org/officeDocument/2006/relationships/hyperlink" Target="https://www.sciencedirect.com/science/article/pii/S0967063709002428?via%3Dihub" TargetMode="External"/><Relationship Id="rId11" Type="http://schemas.openxmlformats.org/officeDocument/2006/relationships/hyperlink" Target="https://doi.pangaea.de/10.1594/PANGAEA.755474" TargetMode="External"/><Relationship Id="rId32" Type="http://schemas.openxmlformats.org/officeDocument/2006/relationships/hyperlink" Target="https://journals.plos.org/plosone/article?id=10.1371/journal.pone.0204431" TargetMode="External"/><Relationship Id="rId37" Type="http://schemas.openxmlformats.org/officeDocument/2006/relationships/hyperlink" Target="https://pubs.geoscienceworld.org/gsa/geology/article-abstract/34/3/205/129545/Lateral-transport-controls-distribution-quality?redirectedFrom=fulltext" TargetMode="External"/><Relationship Id="rId53" Type="http://schemas.openxmlformats.org/officeDocument/2006/relationships/hyperlink" Target="https://core.ac.uk/download/pdf/11749054.pdf" TargetMode="External"/><Relationship Id="rId58" Type="http://schemas.openxmlformats.org/officeDocument/2006/relationships/hyperlink" Target="https://www.sciencedirect.com/science/article/abs/pii/S0277379112001710?via%3Dihub" TargetMode="External"/><Relationship Id="rId74" Type="http://schemas.openxmlformats.org/officeDocument/2006/relationships/hyperlink" Target="https://datadryad.org/stash/dataset/doi:10.15146/R3K59Z" TargetMode="External"/><Relationship Id="rId79" Type="http://schemas.openxmlformats.org/officeDocument/2006/relationships/hyperlink" Target="https://www.sciencedirect.com/science/article/pii/S0967063704001384?via%3Dihub" TargetMode="External"/><Relationship Id="rId5" Type="http://schemas.openxmlformats.org/officeDocument/2006/relationships/hyperlink" Target="https://bg.copernicus.org/articles/3/175/2006/" TargetMode="External"/><Relationship Id="rId90" Type="http://schemas.openxmlformats.org/officeDocument/2006/relationships/hyperlink" Target="https://www.sciencedirect.com/science/article/abs/pii/S0048969717315334?via%3Dihub" TargetMode="External"/><Relationship Id="rId95" Type="http://schemas.openxmlformats.org/officeDocument/2006/relationships/hyperlink" Target="https://www.tib.eu/en/suchen/id/awi:doi~10.2312%252FBzP_0344_1999/" TargetMode="External"/><Relationship Id="rId22" Type="http://schemas.openxmlformats.org/officeDocument/2006/relationships/hyperlink" Target="https://pubs.geoscienceworld.org/cushmanfoundation/jfr/article-abstract/29/2/93/76789/BENTHIC-FORAMINIFERAL-DISTRIBUTION-IN-THE" TargetMode="External"/><Relationship Id="rId27" Type="http://schemas.openxmlformats.org/officeDocument/2006/relationships/hyperlink" Target="https://doi.pangaea.de/10.1594/PANGAEA.885995" TargetMode="External"/><Relationship Id="rId43" Type="http://schemas.openxmlformats.org/officeDocument/2006/relationships/hyperlink" Target="https://link.springer.com/article/10.1007%2Fs00367-001-0086-2" TargetMode="External"/><Relationship Id="rId48" Type="http://schemas.openxmlformats.org/officeDocument/2006/relationships/hyperlink" Target="https://link.springer.com/article/10.1134%2FS0024490207030029" TargetMode="External"/><Relationship Id="rId64" Type="http://schemas.openxmlformats.org/officeDocument/2006/relationships/hyperlink" Target="https://www.bodc.ac.uk/resources/products/data/bodc_products/omex_1/" TargetMode="External"/><Relationship Id="rId69" Type="http://schemas.openxmlformats.org/officeDocument/2006/relationships/hyperlink" Target="https://doi.pangaea.de/10.1594/PANGAEA.707809" TargetMode="External"/><Relationship Id="rId80" Type="http://schemas.openxmlformats.org/officeDocument/2006/relationships/hyperlink" Target="https://doi.pangaea.de/10.1594/PANGAEA.199835" TargetMode="External"/><Relationship Id="rId85" Type="http://schemas.openxmlformats.org/officeDocument/2006/relationships/hyperlink" Target="https://onlinelibrary.wiley.com/doi/10.1002/jqs.2929" TargetMode="External"/><Relationship Id="rId3" Type="http://schemas.openxmlformats.org/officeDocument/2006/relationships/hyperlink" Target="https://www.sciencedirect.com/science/article/abs/pii/S0025322707001247?via%3Dihub" TargetMode="External"/><Relationship Id="rId12" Type="http://schemas.openxmlformats.org/officeDocument/2006/relationships/hyperlink" Target="https://doi.pangaea.de/10.1594/PANGAEA.707260" TargetMode="External"/><Relationship Id="rId17" Type="http://schemas.openxmlformats.org/officeDocument/2006/relationships/hyperlink" Target="https://www.sciencedirect.com/science/article/abs/pii/0016703787903206" TargetMode="External"/><Relationship Id="rId25" Type="http://schemas.openxmlformats.org/officeDocument/2006/relationships/hyperlink" Target="https://doi.pangaea.de/10.1594/PANGAEA.252404" TargetMode="External"/><Relationship Id="rId33" Type="http://schemas.openxmlformats.org/officeDocument/2006/relationships/hyperlink" Target="https://doi.pangaea.de/10.1594/PANGAEA.51719" TargetMode="External"/><Relationship Id="rId38" Type="http://schemas.openxmlformats.org/officeDocument/2006/relationships/hyperlink" Target="https://doi.pangaea.de/10.1594/PANGAEA.351146" TargetMode="External"/><Relationship Id="rId46" Type="http://schemas.openxmlformats.org/officeDocument/2006/relationships/hyperlink" Target="https://doi.pangaea.de/10.1594/PANGAEA.785503" TargetMode="External"/><Relationship Id="rId59" Type="http://schemas.openxmlformats.org/officeDocument/2006/relationships/hyperlink" Target="https://doi.pangaea.de/10.1594/PANGAEA.779625" TargetMode="External"/><Relationship Id="rId67" Type="http://schemas.openxmlformats.org/officeDocument/2006/relationships/hyperlink" Target="https://doi.pangaea.de/10.1594/PANGAEA.882408" TargetMode="External"/><Relationship Id="rId20" Type="http://schemas.openxmlformats.org/officeDocument/2006/relationships/hyperlink" Target="https://www.sciencedirect.com/science/article/abs/pii/S0967064597000520" TargetMode="External"/><Relationship Id="rId41" Type="http://schemas.openxmlformats.org/officeDocument/2006/relationships/hyperlink" Target="https://www.sciencedirect.com/science/article/abs/pii/S0025322798001777?via%3Dihub" TargetMode="External"/><Relationship Id="rId54" Type="http://schemas.openxmlformats.org/officeDocument/2006/relationships/hyperlink" Target="https://www.sciencedirect.com/science/article/pii/S0967064502001030?casa_token=LEoJrMpzNHgAAAAA:1mSGpccshw8Z9TW9QmB8ASpIxmy2qK0LIB9hX8nJh-LnBrnt6NBNIDEbzL6X4TRVTh1gIorQpg" TargetMode="External"/><Relationship Id="rId62" Type="http://schemas.openxmlformats.org/officeDocument/2006/relationships/hyperlink" Target="https://www.researchgate.net/profile/Ulysses-Ninnemann/publication/228811614_Paleo-Export_Production_Terrigenous_Flux_and_Sea_Surface_Temperatures_Around_Tasmania_Implications_for_GlacialInterglacial_Changes_in_the_Subtropical_Convergence_Zone/links/0f317539833284c71f000000/Paleo-Export-Production-Terrigenous-Flux-and-Sea-Surface-Temperatures-Around-Tasmania-Implications-for-Glacial-Interglacial-Changes-in-the-Subtropical-Convergence-Zone.pdf" TargetMode="External"/><Relationship Id="rId70" Type="http://schemas.openxmlformats.org/officeDocument/2006/relationships/hyperlink" Target="https://www.sciencedirect.com/science/article/pii/S0025322701002869?casa_token=TSOLYf1mIBIAAAAA:y4xlQOoPI4PZjWvdggEH5ztyysfzZTPhpSRQVPP2p8Yjt2Tzu3JRJwr1tsYvXCj2L9B0Q66owQ" TargetMode="External"/><Relationship Id="rId75" Type="http://schemas.openxmlformats.org/officeDocument/2006/relationships/hyperlink" Target="https://www.sciencedirect.com/science/article/abs/pii/S0025322704003159?via%3Dihub" TargetMode="External"/><Relationship Id="rId83" Type="http://schemas.openxmlformats.org/officeDocument/2006/relationships/hyperlink" Target="https://www.sciencedirect.com/science/article/abs/pii/0016703773900082" TargetMode="External"/><Relationship Id="rId88" Type="http://schemas.openxmlformats.org/officeDocument/2006/relationships/hyperlink" Target="https://link.springer.com/article/10.1134%2FS0001437006040059" TargetMode="External"/><Relationship Id="rId91" Type="http://schemas.openxmlformats.org/officeDocument/2006/relationships/hyperlink" Target="https://doi.pangaea.de/10.1594/PANGAEA.879748" TargetMode="External"/><Relationship Id="rId96" Type="http://schemas.openxmlformats.org/officeDocument/2006/relationships/hyperlink" Target="https://doi.pangaea.de/10.1594/PANGAEA.712694" TargetMode="External"/><Relationship Id="rId1" Type="http://schemas.openxmlformats.org/officeDocument/2006/relationships/hyperlink" Target="https://digitalcommons.uri.edu/cgi/viewcontent.cgi?article=1815&amp;context=theses" TargetMode="External"/><Relationship Id="rId6" Type="http://schemas.openxmlformats.org/officeDocument/2006/relationships/hyperlink" Target="https://doi.pangaea.de/10.1594/PANGAEA.509878" TargetMode="External"/><Relationship Id="rId15" Type="http://schemas.openxmlformats.org/officeDocument/2006/relationships/hyperlink" Target="https://www.researchgate.net/publication/222728783_Skagerrak_northeastern_North_Sea_oxygen_microprofiles_and_porewater_chemistry_in_sediments" TargetMode="External"/><Relationship Id="rId23" Type="http://schemas.openxmlformats.org/officeDocument/2006/relationships/hyperlink" Target="https://d1wqtxts1xzle7.cloudfront.net/45718427/Benthic_fluxes_nitrogen_cycling_in_sedim20160517-13895-1eostec.pdf?1463508491=&amp;response-content-disposition=inline%3B+filename%3DBenthic_fluxes_and_nitrogen_cycling_in_s.pdf&amp;Expires=1633870186&amp;Signature=QCNHMZ2q1c0ilM7VbHV9SAN44qo5cIIefu6Lgzy~Ayj6Lxc6fHqUM-ppqUAPAArHKWAW6zc2OAQHvseFfk8Syizfoie4b~45twkLeCHQ3rklmkUQaeHHFTGVryyEoY0JqWDZ--3r8Cq5WndgiCFFcrPVyJgRATM2SSfLHU3vWRQw0GOJuocDt9o8kYnwK1wQPOP1W-vPSIx572EkRJpUWK-Tx0Mb8WL9qEHqBH9VexcbY-nODrkhXMIgKBNctOdqDwX-3CGwctU2VcjhAZB1knkWb5EsAb~zztcEgrXmGiPaQ-uJ7E8pV0RNztuQ6IlyUXW75EphaqjXc1V8xhE0Qg__&amp;Key-Pair-Id=APKAJLOHF5GGSLRBV4ZA" TargetMode="External"/><Relationship Id="rId28" Type="http://schemas.openxmlformats.org/officeDocument/2006/relationships/hyperlink" Target="https://doi.pangaea.de/10.1594/PANGAEA.778631" TargetMode="External"/><Relationship Id="rId36" Type="http://schemas.openxmlformats.org/officeDocument/2006/relationships/hyperlink" Target="https://www.int-res.com/abstracts/ame/v36/n3/p227-237/" TargetMode="External"/><Relationship Id="rId49" Type="http://schemas.openxmlformats.org/officeDocument/2006/relationships/hyperlink" Target="https://doi.pangaea.de/10.1594/PANGAEA.785894" TargetMode="External"/><Relationship Id="rId57" Type="http://schemas.openxmlformats.org/officeDocument/2006/relationships/hyperlink" Target="https://agupubs.onlinelibrary.wiley.com/doi/full/10.1029/2001GB001488" TargetMode="External"/><Relationship Id="rId10" Type="http://schemas.openxmlformats.org/officeDocument/2006/relationships/hyperlink" Target="https://www.sciencedirect.com/science/article/pii/S0025322798000620?casa_token=BiG3Q93oZGgAAAAA:jW_4SLBzYSfhr4UGgsY7630I2wG0gfZBIXR1xmofnhbVdMvJoDzZQKlKzzNcldBfp9LQevGPfQ" TargetMode="External"/><Relationship Id="rId31" Type="http://schemas.openxmlformats.org/officeDocument/2006/relationships/hyperlink" Target="https://www.sciencedirect.com/science/article/pii/S0924796302000672?casa_token=C5rfPFNQXMwAAAAA:sFUK2aP7LujtoeK9KwbVbZK-uI4kwOWwQKUHHXjVRua542Z8u5a5ufyXxTAKU5EGjcMPgnY1ZQ" TargetMode="External"/><Relationship Id="rId44" Type="http://schemas.openxmlformats.org/officeDocument/2006/relationships/hyperlink" Target="https://doi.pangaea.de/10.1594/PANGAEA.711561" TargetMode="External"/><Relationship Id="rId52" Type="http://schemas.openxmlformats.org/officeDocument/2006/relationships/hyperlink" Target="https://www.sciencedirect.com/science/article/pii/S0048969717312299?casa_token=zwy-1WVFMvoAAAAA:Q9NYQuAfnpVKl_ML0DvrAHc_klBcXVC9WJM8R7eObulbg21vs1z20A3YM9tl0kR0iLvzANCFQQ" TargetMode="External"/><Relationship Id="rId60" Type="http://schemas.openxmlformats.org/officeDocument/2006/relationships/hyperlink" Target="https://link.springer.com/article/10.1134%2FS0016702907070026" TargetMode="External"/><Relationship Id="rId65" Type="http://schemas.openxmlformats.org/officeDocument/2006/relationships/hyperlink" Target="https://link.springer.com/content/pdf/10.1007/s003670050107.pdf" TargetMode="External"/><Relationship Id="rId73" Type="http://schemas.openxmlformats.org/officeDocument/2006/relationships/hyperlink" Target="https://agupubs.onlinelibrary.wiley.com/doi/full/10.1002/2015GL066058" TargetMode="External"/><Relationship Id="rId78" Type="http://schemas.openxmlformats.org/officeDocument/2006/relationships/hyperlink" Target="https://doi.pangaea.de/10.1594/PANGAEA.721833" TargetMode="External"/><Relationship Id="rId81" Type="http://schemas.openxmlformats.org/officeDocument/2006/relationships/hyperlink" Target="https://www.nature.com/articles/s41598-018-33182-8" TargetMode="External"/><Relationship Id="rId86" Type="http://schemas.openxmlformats.org/officeDocument/2006/relationships/hyperlink" Target="https://doi.pangaea.de/10.1594/PANGAEA.868789" TargetMode="External"/><Relationship Id="rId94" Type="http://schemas.openxmlformats.org/officeDocument/2006/relationships/hyperlink" Target="https://doi.pangaea.de/10.1594/PANGAEA.760952" TargetMode="External"/><Relationship Id="rId99" Type="http://schemas.openxmlformats.org/officeDocument/2006/relationships/hyperlink" Target="https://doi.pangaea.de/10.1594/PANGAEA.587835" TargetMode="External"/><Relationship Id="rId4" Type="http://schemas.openxmlformats.org/officeDocument/2006/relationships/hyperlink" Target="https://doi.pangaea.de/10.1594/PANGAEA.737980" TargetMode="External"/><Relationship Id="rId9" Type="http://schemas.openxmlformats.org/officeDocument/2006/relationships/hyperlink" Target="https://epic.awi.de/id/eprint/28998/1/Loc2000a.pdf" TargetMode="External"/><Relationship Id="rId13" Type="http://schemas.openxmlformats.org/officeDocument/2006/relationships/hyperlink" Target="https://www.sciencedirect.com/science/article/pii/S0272771407000583?casa_token=2pPedeeEOZMAAAAA:nkIqGfTplDPVtmQ5m6shG3zKG6zTiU5txhzGSFbWD8nC9Kez79HObAgsK3nwsDC5TL2pCGtbNw" TargetMode="External"/><Relationship Id="rId18" Type="http://schemas.openxmlformats.org/officeDocument/2006/relationships/hyperlink" Target="https://epic.awi.de/id/eprint/26287/1/BerPolarforsch1992110.pdf" TargetMode="External"/><Relationship Id="rId39" Type="http://schemas.openxmlformats.org/officeDocument/2006/relationships/hyperlink" Target="https://www.sciencedirect.com/science/article/pii/S0967064502000838?casa_token=K8f0fusfNjcAAAAA:VD-WWjlH0DDtZwGth3GC_55KehjiWEK3d8nc_zqN3LBTr6k0aWeHEZiFxV4EUCWP0nh_RFGiPg" TargetMode="External"/><Relationship Id="rId34" Type="http://schemas.openxmlformats.org/officeDocument/2006/relationships/hyperlink" Target="https://doi.pangaea.de/10.1594/PANGAEA.548404" TargetMode="External"/><Relationship Id="rId50" Type="http://schemas.openxmlformats.org/officeDocument/2006/relationships/hyperlink" Target="https://doi.pangaea.de/10.1594/PANGAEA.55728" TargetMode="External"/><Relationship Id="rId55" Type="http://schemas.openxmlformats.org/officeDocument/2006/relationships/hyperlink" Target="https://www.sciencedirect.com/science/article/abs/pii/S0278434306001257?via%3Dihub" TargetMode="External"/><Relationship Id="rId76" Type="http://schemas.openxmlformats.org/officeDocument/2006/relationships/hyperlink" Target="https://doi.pangaea.de/10.1594/PANGAEA.736780" TargetMode="External"/><Relationship Id="rId97" Type="http://schemas.openxmlformats.org/officeDocument/2006/relationships/hyperlink" Target="https://www.sciencedirect.com/science/article/pii/S030437701000080X?casa_token=shHQR8Oy0sIAAAAA:RVBCONqhyIBNH0fsd2VNVYFW9aBAOvOF_-VoY83FnEzzGoKChS1oYJ5xb--SCMwycCYx4O3IqQ" TargetMode="External"/><Relationship Id="rId7" Type="http://schemas.openxmlformats.org/officeDocument/2006/relationships/hyperlink" Target="https://onlinelibrary.wiley.com/doi/10.1111/j.1502-3885.2008.00035.x" TargetMode="External"/><Relationship Id="rId71" Type="http://schemas.openxmlformats.org/officeDocument/2006/relationships/hyperlink" Target="https://agupubs.onlinelibrary.wiley.com/doi/abs/10.1029/95PA00310?casa_token=q670kYtrxyUAAAAA:W-Zxw6Dr9jffAB4-N1r4E_ElO0Doll3IW0dpdubwPpuyp5QptMjlugCSOQ4xeUZsAdT5BGtTczOy1ZU" TargetMode="External"/><Relationship Id="rId92" Type="http://schemas.openxmlformats.org/officeDocument/2006/relationships/hyperlink" Target="https://epic.awi.de/id/eprint/26431/1/BerPolarforsch1997251.pdf" TargetMode="External"/><Relationship Id="rId2" Type="http://schemas.openxmlformats.org/officeDocument/2006/relationships/hyperlink" Target="https://www.int-res.com/articles/ame2008/51/a051p141.pdf" TargetMode="External"/><Relationship Id="rId29" Type="http://schemas.openxmlformats.org/officeDocument/2006/relationships/hyperlink" Target="http://www.pjoes.com/Carbon-Stocks-of-Coastal-Wetland-Ecosystems-non-Hainan-Island-China,76501,0,2.html" TargetMode="External"/><Relationship Id="rId24" Type="http://schemas.openxmlformats.org/officeDocument/2006/relationships/hyperlink" Target="https://www.sciencedirect.com/science/article/pii/S0146638016000048" TargetMode="External"/><Relationship Id="rId40" Type="http://schemas.openxmlformats.org/officeDocument/2006/relationships/hyperlink" Target="https://archimer.ifremer.fr/doc/00093/20403/18070.pdf" TargetMode="External"/><Relationship Id="rId45" Type="http://schemas.openxmlformats.org/officeDocument/2006/relationships/hyperlink" Target="https://www.sciencedirect.com/science/article/pii/S0272771403003470?casa_token=Nz_NAovNk2oAAAAA:r09fUVJ2pTPyLGJksB9xQoulKyXhvYwFFvzy0Sq_Ezg3lfSq2To-xarDWegtIcercWlCdzwGBA" TargetMode="External"/><Relationship Id="rId66" Type="http://schemas.openxmlformats.org/officeDocument/2006/relationships/hyperlink" Target="https://www.sciencedirect.com/science/article/abs/pii/S0146638009000679?via%3Dihub" TargetMode="External"/><Relationship Id="rId87" Type="http://schemas.openxmlformats.org/officeDocument/2006/relationships/hyperlink" Target="https://www.sciencedirect.com/science/article/abs/pii/0025322794901856" TargetMode="External"/><Relationship Id="rId61" Type="http://schemas.openxmlformats.org/officeDocument/2006/relationships/hyperlink" Target="https://doi.pangaea.de/10.1594/PANGAEA.745927" TargetMode="External"/><Relationship Id="rId82" Type="http://schemas.openxmlformats.org/officeDocument/2006/relationships/hyperlink" Target="https://doi.pangaea.de/10.1594/PANGAEA.755481" TargetMode="External"/><Relationship Id="rId19" Type="http://schemas.openxmlformats.org/officeDocument/2006/relationships/hyperlink" Target="https://www.nature.com/articles/ncomms10796?origin=ppub" TargetMode="External"/><Relationship Id="rId14" Type="http://schemas.openxmlformats.org/officeDocument/2006/relationships/hyperlink" Target="https://www.nature.com/articles/nclimate3326" TargetMode="External"/><Relationship Id="rId30" Type="http://schemas.openxmlformats.org/officeDocument/2006/relationships/hyperlink" Target="https://www.nature.com/articles/s41598-018-27625-5" TargetMode="External"/><Relationship Id="rId35" Type="http://schemas.openxmlformats.org/officeDocument/2006/relationships/hyperlink" Target="https://www.sciencedirect.com/science/article/pii/0967063793900293" TargetMode="External"/><Relationship Id="rId56" Type="http://schemas.openxmlformats.org/officeDocument/2006/relationships/hyperlink" Target="https://doi.pangaea.de/10.1594/PANGAEA.354681" TargetMode="External"/><Relationship Id="rId77" Type="http://schemas.openxmlformats.org/officeDocument/2006/relationships/hyperlink" Target="https://www.sciencedirect.com/science/article/abs/pii/S0012821X97000137?via%3Dihub" TargetMode="External"/><Relationship Id="rId100" Type="http://schemas.openxmlformats.org/officeDocument/2006/relationships/printerSettings" Target="../printerSettings/printerSettings3.bin"/><Relationship Id="rId8" Type="http://schemas.openxmlformats.org/officeDocument/2006/relationships/hyperlink" Target="https://doi.pangaea.de/10.1594/PANGAEA.755006" TargetMode="External"/><Relationship Id="rId51" Type="http://schemas.openxmlformats.org/officeDocument/2006/relationships/hyperlink" Target="https://doi.pangaea.de/10.1594/PANGAEA.738572" TargetMode="External"/><Relationship Id="rId72" Type="http://schemas.openxmlformats.org/officeDocument/2006/relationships/hyperlink" Target="https://link.springer.com/chapter/10.1007/978-3-642-58646-0_12" TargetMode="External"/><Relationship Id="rId93" Type="http://schemas.openxmlformats.org/officeDocument/2006/relationships/hyperlink" Target="https://www.sciencedirect.com/science/article/pii/S0031018207005184?casa_token=mwWGp88BpJAAAAAA:6x3NAwpNYkBv_ydt8T-XBYX8n1-Icj06_tKMirGIzQYPYzRBUQNMulaIZssB-17z0iaSoSjKUA" TargetMode="External"/><Relationship Id="rId98" Type="http://schemas.openxmlformats.org/officeDocument/2006/relationships/hyperlink" Target="https://www.nature.com/articles/nature05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FD56-A7F1-4811-AAE1-A3B932280193}">
  <sheetPr filterMode="1"/>
  <dimension ref="A1:AS1650"/>
  <sheetViews>
    <sheetView topLeftCell="K419" zoomScaleNormal="100" workbookViewId="0">
      <selection activeCell="AR1317" sqref="AR1317"/>
    </sheetView>
  </sheetViews>
  <sheetFormatPr baseColWidth="10" defaultColWidth="8.8125" defaultRowHeight="15.75" x14ac:dyDescent="0.5"/>
  <cols>
    <col min="1" max="1" width="6.6875" style="31" hidden="1" customWidth="1"/>
    <col min="2" max="2" width="11.5" style="31" bestFit="1" customWidth="1"/>
    <col min="3" max="3" width="13.9375" style="225" hidden="1" customWidth="1"/>
    <col min="4" max="4" width="15.6875" style="32" customWidth="1"/>
    <col min="5" max="5" width="16.1875" style="32" customWidth="1"/>
    <col min="6" max="6" width="14.5" hidden="1" customWidth="1"/>
    <col min="7" max="7" width="16.375" customWidth="1"/>
    <col min="8" max="8" width="16.125" style="32" hidden="1" customWidth="1"/>
    <col min="9" max="9" width="14.75" customWidth="1"/>
    <col min="10" max="10" width="15.125" customWidth="1"/>
    <col min="11" max="11" width="21.5625" style="88" customWidth="1"/>
    <col min="12" max="12" width="13.6875" hidden="1" customWidth="1"/>
    <col min="13" max="13" width="14.0625" style="32" customWidth="1"/>
    <col min="14" max="19" width="13.9375" hidden="1" customWidth="1"/>
    <col min="20" max="20" width="7.6875" hidden="1" customWidth="1"/>
    <col min="21" max="21" width="11.1875" style="34" customWidth="1"/>
    <col min="22" max="22" width="7.25" style="34" customWidth="1"/>
    <col min="23" max="23" width="5.3125" style="25" hidden="1" customWidth="1"/>
    <col min="24" max="24" width="6.875" style="91" customWidth="1"/>
    <col min="25" max="25" width="13" style="243" customWidth="1"/>
    <col min="26" max="26" width="19.75" hidden="1" customWidth="1"/>
    <col min="27" max="27" width="17.625" hidden="1" customWidth="1"/>
    <col min="28" max="28" width="11.5625" hidden="1" customWidth="1"/>
    <col min="29" max="29" width="13.25" hidden="1" customWidth="1"/>
    <col min="30" max="30" width="13.5" hidden="1" customWidth="1"/>
    <col min="31" max="31" width="14.9375" hidden="1" customWidth="1"/>
    <col min="32" max="32" width="19.25" hidden="1" customWidth="1"/>
    <col min="33" max="33" width="26.1875" style="32" customWidth="1"/>
    <col min="34" max="34" width="17.25" style="32" bestFit="1" customWidth="1"/>
    <col min="35" max="35" width="15.5" style="32" customWidth="1"/>
    <col min="36" max="36" width="28.25" style="31" hidden="1" customWidth="1"/>
    <col min="37" max="37" width="16.5625" style="31" hidden="1" customWidth="1"/>
    <col min="38" max="38" width="18.875" style="31" hidden="1" customWidth="1"/>
    <col min="39" max="39" width="18" style="31" hidden="1" customWidth="1"/>
    <col min="40" max="40" width="12.875" style="31" hidden="1" customWidth="1"/>
    <col min="41" max="41" width="11.0625" style="31" hidden="1" customWidth="1"/>
    <col min="42" max="42" width="11.4375" style="31" hidden="1" customWidth="1"/>
    <col min="43" max="43" width="12.9375" style="31" hidden="1" customWidth="1"/>
    <col min="44" max="44" width="26.4375" style="89" bestFit="1" customWidth="1"/>
    <col min="45" max="16384" width="8.8125" style="31"/>
  </cols>
  <sheetData>
    <row r="1" spans="1:44" x14ac:dyDescent="0.5">
      <c r="A1" s="31" t="s">
        <v>618</v>
      </c>
      <c r="B1" s="31" t="s">
        <v>0</v>
      </c>
      <c r="C1" s="225" t="s">
        <v>1</v>
      </c>
      <c r="D1" s="33" t="s">
        <v>581</v>
      </c>
      <c r="E1" s="33" t="s">
        <v>582</v>
      </c>
      <c r="F1" t="s">
        <v>580</v>
      </c>
      <c r="G1" t="s">
        <v>3481</v>
      </c>
      <c r="H1" s="32" t="s">
        <v>2</v>
      </c>
      <c r="I1" t="s">
        <v>579</v>
      </c>
      <c r="J1" t="s">
        <v>675</v>
      </c>
      <c r="K1" s="88" t="s">
        <v>3</v>
      </c>
      <c r="L1" t="s">
        <v>4</v>
      </c>
      <c r="M1" s="32" t="s">
        <v>723</v>
      </c>
      <c r="N1" t="s">
        <v>724</v>
      </c>
      <c r="O1" t="s">
        <v>725</v>
      </c>
      <c r="P1" t="s">
        <v>5</v>
      </c>
      <c r="Q1" t="s">
        <v>578</v>
      </c>
      <c r="R1" t="s">
        <v>6</v>
      </c>
      <c r="S1" t="s">
        <v>7</v>
      </c>
      <c r="T1" t="s">
        <v>726</v>
      </c>
      <c r="U1" s="34" t="s">
        <v>583</v>
      </c>
      <c r="V1" s="34" t="s">
        <v>584</v>
      </c>
      <c r="W1" s="25" t="s">
        <v>585</v>
      </c>
      <c r="X1" s="91" t="s">
        <v>586</v>
      </c>
      <c r="Y1" s="243" t="s">
        <v>727</v>
      </c>
      <c r="Z1" t="s">
        <v>617</v>
      </c>
      <c r="AA1" t="s">
        <v>728</v>
      </c>
      <c r="AB1" t="s">
        <v>729</v>
      </c>
      <c r="AC1" t="s">
        <v>733</v>
      </c>
      <c r="AD1" t="s">
        <v>518</v>
      </c>
      <c r="AE1" t="s">
        <v>730</v>
      </c>
      <c r="AF1" t="s">
        <v>731</v>
      </c>
      <c r="AG1" s="32" t="s">
        <v>732</v>
      </c>
      <c r="AH1" s="32" t="s">
        <v>670</v>
      </c>
      <c r="AI1" s="32" t="s">
        <v>587</v>
      </c>
      <c r="AJ1" s="31" t="s">
        <v>588</v>
      </c>
      <c r="AK1" s="31" t="s">
        <v>8</v>
      </c>
      <c r="AL1" s="31" t="s">
        <v>589</v>
      </c>
      <c r="AM1" s="31" t="s">
        <v>616</v>
      </c>
      <c r="AN1" s="31" t="s">
        <v>590</v>
      </c>
      <c r="AO1" s="31" t="s">
        <v>591</v>
      </c>
      <c r="AP1" s="31" t="s">
        <v>673</v>
      </c>
      <c r="AQ1" s="31" t="s">
        <v>674</v>
      </c>
      <c r="AR1" s="89" t="s">
        <v>734</v>
      </c>
    </row>
    <row r="2" spans="1:44" customFormat="1" hidden="1" x14ac:dyDescent="0.5">
      <c r="A2">
        <v>1</v>
      </c>
      <c r="B2">
        <v>1</v>
      </c>
      <c r="C2" s="226" t="s">
        <v>9</v>
      </c>
      <c r="D2" s="227">
        <v>33</v>
      </c>
      <c r="E2" s="228">
        <v>122.21</v>
      </c>
      <c r="F2">
        <v>7.0000000000000007E-2</v>
      </c>
      <c r="G2">
        <f>F2*1609.344</f>
        <v>112.65408000000001</v>
      </c>
      <c r="H2" s="30" t="s">
        <v>614</v>
      </c>
      <c r="I2">
        <v>12</v>
      </c>
      <c r="J2">
        <v>0</v>
      </c>
      <c r="K2" s="88">
        <v>2017</v>
      </c>
      <c r="L2" t="s">
        <v>11</v>
      </c>
      <c r="M2" s="30">
        <v>50</v>
      </c>
      <c r="N2">
        <v>5.4892152799999998</v>
      </c>
      <c r="O2">
        <v>5</v>
      </c>
      <c r="P2" t="s">
        <v>15</v>
      </c>
      <c r="Q2">
        <v>99.3</v>
      </c>
      <c r="R2" t="s">
        <v>13</v>
      </c>
      <c r="S2" t="s">
        <v>14</v>
      </c>
      <c r="T2" t="s">
        <v>14</v>
      </c>
      <c r="U2" s="29">
        <v>0</v>
      </c>
      <c r="V2" s="29">
        <v>3</v>
      </c>
      <c r="W2" s="25">
        <v>1.5</v>
      </c>
      <c r="X2" s="91">
        <v>3</v>
      </c>
      <c r="Y2" s="90">
        <v>0.61037440899999995</v>
      </c>
      <c r="Z2" t="s">
        <v>812</v>
      </c>
      <c r="AA2" t="s">
        <v>619</v>
      </c>
      <c r="AB2">
        <v>1</v>
      </c>
      <c r="AC2">
        <v>560</v>
      </c>
      <c r="AF2" t="s">
        <v>532</v>
      </c>
      <c r="AG2" s="30">
        <v>560</v>
      </c>
      <c r="AH2" s="30" t="s">
        <v>1131</v>
      </c>
      <c r="AI2" s="30" t="s">
        <v>1132</v>
      </c>
      <c r="AJ2">
        <v>50.399999999999977</v>
      </c>
      <c r="AK2">
        <v>0.91</v>
      </c>
      <c r="AL2">
        <v>509.6</v>
      </c>
      <c r="AM2">
        <v>50.399999999999977</v>
      </c>
      <c r="AN2">
        <v>2817.0232695750256</v>
      </c>
      <c r="AO2">
        <v>278.60669699093637</v>
      </c>
      <c r="AP2">
        <v>1.7194389133061039</v>
      </c>
      <c r="AQ2">
        <v>0.17005439801928485</v>
      </c>
      <c r="AR2" s="90">
        <v>0.1318241227762269</v>
      </c>
    </row>
    <row r="3" spans="1:44" customFormat="1" hidden="1" x14ac:dyDescent="0.5">
      <c r="A3">
        <v>2</v>
      </c>
      <c r="B3">
        <v>1</v>
      </c>
      <c r="C3" s="226" t="s">
        <v>9</v>
      </c>
      <c r="D3" s="227">
        <v>34</v>
      </c>
      <c r="E3" s="228">
        <v>121.24</v>
      </c>
      <c r="F3">
        <v>0.06</v>
      </c>
      <c r="G3">
        <f t="shared" ref="G3:G66" si="0">F3*1609.344</f>
        <v>96.560640000000006</v>
      </c>
      <c r="H3" s="30" t="s">
        <v>614</v>
      </c>
      <c r="I3">
        <v>19</v>
      </c>
      <c r="J3">
        <v>180.81381545144001</v>
      </c>
      <c r="K3" s="88">
        <v>2017</v>
      </c>
      <c r="L3" t="s">
        <v>11</v>
      </c>
      <c r="M3" s="30">
        <v>50</v>
      </c>
      <c r="N3">
        <v>5.4892152799999998</v>
      </c>
      <c r="O3">
        <v>5</v>
      </c>
      <c r="P3" t="s">
        <v>15</v>
      </c>
      <c r="Q3">
        <v>99.3</v>
      </c>
      <c r="R3" t="s">
        <v>13</v>
      </c>
      <c r="S3" t="s">
        <v>14</v>
      </c>
      <c r="T3" t="s">
        <v>14</v>
      </c>
      <c r="U3" s="29">
        <v>0</v>
      </c>
      <c r="V3" s="29">
        <v>3</v>
      </c>
      <c r="W3" s="25">
        <v>1.5</v>
      </c>
      <c r="X3" s="91">
        <v>3</v>
      </c>
      <c r="Y3" s="90">
        <v>0.61037440899999995</v>
      </c>
      <c r="Z3" t="s">
        <v>812</v>
      </c>
      <c r="AA3" t="s">
        <v>619</v>
      </c>
      <c r="AB3">
        <v>1</v>
      </c>
      <c r="AC3">
        <v>2960</v>
      </c>
      <c r="AF3" t="s">
        <v>532</v>
      </c>
      <c r="AG3" s="30">
        <v>2960</v>
      </c>
      <c r="AH3" s="30" t="s">
        <v>1133</v>
      </c>
      <c r="AI3" s="30" t="s">
        <v>1134</v>
      </c>
      <c r="AJ3">
        <v>118.40000000000009</v>
      </c>
      <c r="AK3">
        <v>0.96</v>
      </c>
      <c r="AL3">
        <v>2841.6</v>
      </c>
      <c r="AM3">
        <v>118.40000000000009</v>
      </c>
      <c r="AN3">
        <v>15708.110916060423</v>
      </c>
      <c r="AO3">
        <v>654.50462150251815</v>
      </c>
      <c r="AP3">
        <v>9.5878289168968287</v>
      </c>
      <c r="AQ3">
        <v>0.39949287153736823</v>
      </c>
      <c r="AR3" s="90">
        <v>0.13090283430916907</v>
      </c>
    </row>
    <row r="4" spans="1:44" customFormat="1" hidden="1" x14ac:dyDescent="0.5">
      <c r="A4">
        <v>3</v>
      </c>
      <c r="B4">
        <v>1</v>
      </c>
      <c r="C4" s="226" t="s">
        <v>9</v>
      </c>
      <c r="D4" s="227">
        <v>36</v>
      </c>
      <c r="E4" s="228">
        <v>121</v>
      </c>
      <c r="F4">
        <v>0.02</v>
      </c>
      <c r="G4">
        <f t="shared" si="0"/>
        <v>32.186880000000002</v>
      </c>
      <c r="H4" s="30" t="s">
        <v>614</v>
      </c>
      <c r="I4">
        <v>20</v>
      </c>
      <c r="J4">
        <v>1086.8289633996401</v>
      </c>
      <c r="K4" s="88">
        <v>2017</v>
      </c>
      <c r="L4" t="s">
        <v>11</v>
      </c>
      <c r="M4" s="30">
        <v>50</v>
      </c>
      <c r="N4">
        <v>5.4892152799999998</v>
      </c>
      <c r="O4">
        <v>5</v>
      </c>
      <c r="P4" t="s">
        <v>15</v>
      </c>
      <c r="Q4">
        <v>99.3</v>
      </c>
      <c r="R4" t="s">
        <v>13</v>
      </c>
      <c r="S4" t="s">
        <v>14</v>
      </c>
      <c r="T4" t="s">
        <v>14</v>
      </c>
      <c r="U4" s="29">
        <v>0</v>
      </c>
      <c r="V4" s="29">
        <v>3</v>
      </c>
      <c r="W4" s="25">
        <v>1.5</v>
      </c>
      <c r="X4" s="91">
        <v>3</v>
      </c>
      <c r="Y4" s="90">
        <v>0.61037440899999995</v>
      </c>
      <c r="Z4" t="s">
        <v>812</v>
      </c>
      <c r="AA4" t="s">
        <v>619</v>
      </c>
      <c r="AB4">
        <v>1</v>
      </c>
      <c r="AC4">
        <v>3660</v>
      </c>
      <c r="AF4" t="s">
        <v>532</v>
      </c>
      <c r="AG4" s="30">
        <v>3660</v>
      </c>
      <c r="AH4" s="30" t="s">
        <v>1133</v>
      </c>
      <c r="AI4" s="30" t="s">
        <v>1135</v>
      </c>
      <c r="AJ4">
        <v>146.40000000000009</v>
      </c>
      <c r="AK4">
        <v>0.96</v>
      </c>
      <c r="AL4">
        <v>3513.6</v>
      </c>
      <c r="AM4">
        <v>146.40000000000009</v>
      </c>
      <c r="AN4">
        <v>19422.866875939577</v>
      </c>
      <c r="AO4">
        <v>809.28611983081623</v>
      </c>
      <c r="AP4">
        <v>11.855220890487294</v>
      </c>
      <c r="AQ4">
        <v>0.49396753710363761</v>
      </c>
      <c r="AR4" s="90">
        <v>0.13077174832993385</v>
      </c>
    </row>
    <row r="5" spans="1:44" customFormat="1" hidden="1" x14ac:dyDescent="0.5">
      <c r="A5">
        <v>4</v>
      </c>
      <c r="B5">
        <v>1</v>
      </c>
      <c r="C5" s="226" t="s">
        <v>9</v>
      </c>
      <c r="D5" s="227">
        <v>33</v>
      </c>
      <c r="E5" s="228">
        <v>123</v>
      </c>
      <c r="F5">
        <v>0.1</v>
      </c>
      <c r="G5">
        <f t="shared" si="0"/>
        <v>160.93440000000001</v>
      </c>
      <c r="H5" s="30" t="s">
        <v>614</v>
      </c>
      <c r="I5">
        <v>29</v>
      </c>
      <c r="J5">
        <v>0</v>
      </c>
      <c r="K5" s="88">
        <v>2017</v>
      </c>
      <c r="L5" t="s">
        <v>11</v>
      </c>
      <c r="M5" s="30">
        <v>50</v>
      </c>
      <c r="N5">
        <v>5.4892152799999998</v>
      </c>
      <c r="O5">
        <v>5</v>
      </c>
      <c r="P5" t="s">
        <v>15</v>
      </c>
      <c r="Q5">
        <v>99.3</v>
      </c>
      <c r="R5" t="s">
        <v>13</v>
      </c>
      <c r="S5" t="s">
        <v>14</v>
      </c>
      <c r="T5" t="s">
        <v>14</v>
      </c>
      <c r="U5" s="29">
        <v>0</v>
      </c>
      <c r="V5" s="29">
        <v>3</v>
      </c>
      <c r="W5" s="25">
        <v>1.5</v>
      </c>
      <c r="X5" s="91">
        <v>3</v>
      </c>
      <c r="Y5" s="90">
        <v>0.61037440899999995</v>
      </c>
      <c r="Z5" t="s">
        <v>812</v>
      </c>
      <c r="AA5" t="s">
        <v>619</v>
      </c>
      <c r="AB5">
        <v>1</v>
      </c>
      <c r="AC5">
        <v>1895</v>
      </c>
      <c r="AF5" t="s">
        <v>532</v>
      </c>
      <c r="AG5" s="30">
        <v>1895</v>
      </c>
      <c r="AH5" s="30" t="s">
        <v>1136</v>
      </c>
      <c r="AI5" s="30" t="s">
        <v>1137</v>
      </c>
      <c r="AJ5">
        <v>360.04999999999995</v>
      </c>
      <c r="AK5">
        <v>0.81</v>
      </c>
      <c r="AL5">
        <v>1534.95</v>
      </c>
      <c r="AM5">
        <v>360.04999999999995</v>
      </c>
      <c r="AN5">
        <v>8485.0664592507565</v>
      </c>
      <c r="AO5">
        <v>1990.3242311822758</v>
      </c>
      <c r="AP5">
        <v>5.1790674253909028</v>
      </c>
      <c r="AQ5">
        <v>1.2148429763262609</v>
      </c>
      <c r="AR5" s="90">
        <v>0.12959786589218056</v>
      </c>
    </row>
    <row r="6" spans="1:44" customFormat="1" hidden="1" x14ac:dyDescent="0.5">
      <c r="A6">
        <v>5</v>
      </c>
      <c r="B6">
        <v>1</v>
      </c>
      <c r="C6" s="226" t="s">
        <v>9</v>
      </c>
      <c r="D6" s="227">
        <v>35</v>
      </c>
      <c r="E6" s="228">
        <v>121</v>
      </c>
      <c r="F6">
        <v>0.09</v>
      </c>
      <c r="G6">
        <f t="shared" si="0"/>
        <v>144.84096</v>
      </c>
      <c r="H6" s="30" t="s">
        <v>614</v>
      </c>
      <c r="I6">
        <v>36</v>
      </c>
      <c r="J6">
        <v>988.46307373046898</v>
      </c>
      <c r="K6" s="88">
        <v>2017</v>
      </c>
      <c r="L6" t="s">
        <v>11</v>
      </c>
      <c r="M6" s="30">
        <v>50</v>
      </c>
      <c r="N6">
        <v>5.4892152799999998</v>
      </c>
      <c r="O6">
        <v>5</v>
      </c>
      <c r="P6" t="s">
        <v>15</v>
      </c>
      <c r="Q6">
        <v>99.3</v>
      </c>
      <c r="R6" t="s">
        <v>13</v>
      </c>
      <c r="S6" t="s">
        <v>14</v>
      </c>
      <c r="T6" t="s">
        <v>14</v>
      </c>
      <c r="U6" s="29">
        <v>0</v>
      </c>
      <c r="V6" s="29">
        <v>3</v>
      </c>
      <c r="W6" s="25">
        <v>1.5</v>
      </c>
      <c r="X6" s="91">
        <v>3</v>
      </c>
      <c r="Y6" s="90">
        <v>0.61037440899999995</v>
      </c>
      <c r="Z6" t="s">
        <v>812</v>
      </c>
      <c r="AA6" t="s">
        <v>619</v>
      </c>
      <c r="AB6">
        <v>1</v>
      </c>
      <c r="AC6">
        <v>1903</v>
      </c>
      <c r="AF6" t="s">
        <v>532</v>
      </c>
      <c r="AG6" s="30">
        <v>1903</v>
      </c>
      <c r="AH6" s="30" t="s">
        <v>1131</v>
      </c>
      <c r="AI6" s="30" t="s">
        <v>1138</v>
      </c>
      <c r="AJ6">
        <v>171.26999999999998</v>
      </c>
      <c r="AK6">
        <v>0.91</v>
      </c>
      <c r="AL6">
        <v>1731.73</v>
      </c>
      <c r="AM6">
        <v>171.26999999999998</v>
      </c>
      <c r="AN6">
        <v>9572.8487178594169</v>
      </c>
      <c r="AO6">
        <v>946.76525781027169</v>
      </c>
      <c r="AP6">
        <v>5.8430218786098491</v>
      </c>
      <c r="AQ6">
        <v>0.57788128469767719</v>
      </c>
      <c r="AR6" s="90">
        <v>0.12869213622231998</v>
      </c>
    </row>
    <row r="7" spans="1:44" customFormat="1" ht="15" hidden="1" customHeight="1" x14ac:dyDescent="0.5">
      <c r="A7">
        <v>6</v>
      </c>
      <c r="B7">
        <v>1</v>
      </c>
      <c r="C7" s="226" t="s">
        <v>9</v>
      </c>
      <c r="D7" s="227">
        <v>36</v>
      </c>
      <c r="E7" s="228">
        <v>121.4</v>
      </c>
      <c r="F7">
        <v>0.05</v>
      </c>
      <c r="G7">
        <f t="shared" si="0"/>
        <v>80.467200000000005</v>
      </c>
      <c r="H7" s="30" t="s">
        <v>614</v>
      </c>
      <c r="I7">
        <v>36</v>
      </c>
      <c r="J7">
        <v>544.12852291601996</v>
      </c>
      <c r="K7" s="88">
        <v>2017</v>
      </c>
      <c r="L7" t="s">
        <v>11</v>
      </c>
      <c r="M7" s="30">
        <v>50</v>
      </c>
      <c r="N7">
        <v>5.4892152799999998</v>
      </c>
      <c r="O7">
        <v>5</v>
      </c>
      <c r="P7" t="s">
        <v>15</v>
      </c>
      <c r="Q7">
        <v>99.3</v>
      </c>
      <c r="R7" t="s">
        <v>13</v>
      </c>
      <c r="S7" t="s">
        <v>14</v>
      </c>
      <c r="T7" t="s">
        <v>14</v>
      </c>
      <c r="U7" s="29">
        <v>0</v>
      </c>
      <c r="V7" s="29">
        <v>3</v>
      </c>
      <c r="W7" s="25">
        <v>1.5</v>
      </c>
      <c r="X7" s="91">
        <v>3</v>
      </c>
      <c r="Y7" s="90">
        <v>0.61037440899999995</v>
      </c>
      <c r="Z7" t="s">
        <v>812</v>
      </c>
      <c r="AA7" t="s">
        <v>619</v>
      </c>
      <c r="AB7">
        <v>1</v>
      </c>
      <c r="AC7">
        <v>2342</v>
      </c>
      <c r="AF7" t="s">
        <v>532</v>
      </c>
      <c r="AG7" s="30">
        <v>2342</v>
      </c>
      <c r="AH7" s="30" t="s">
        <v>1139</v>
      </c>
      <c r="AI7" s="30" t="s">
        <v>1140</v>
      </c>
      <c r="AJ7">
        <v>772.8599999999999</v>
      </c>
      <c r="AK7">
        <v>0.67</v>
      </c>
      <c r="AL7">
        <v>1569.14</v>
      </c>
      <c r="AM7">
        <v>772.8599999999999</v>
      </c>
      <c r="AN7">
        <v>8674.0657245309158</v>
      </c>
      <c r="AO7">
        <v>4272.3010285003011</v>
      </c>
      <c r="AP7">
        <v>5.2944277402377145</v>
      </c>
      <c r="AQ7">
        <v>2.6077032153409636</v>
      </c>
      <c r="AR7" s="90">
        <v>0.12869213622231998</v>
      </c>
    </row>
    <row r="8" spans="1:44" customFormat="1" hidden="1" x14ac:dyDescent="0.5">
      <c r="A8">
        <v>7</v>
      </c>
      <c r="B8">
        <v>1</v>
      </c>
      <c r="C8" t="s">
        <v>9</v>
      </c>
      <c r="D8" s="255">
        <v>35.299999999999997</v>
      </c>
      <c r="E8" s="256">
        <v>122.19</v>
      </c>
      <c r="F8">
        <v>0.09</v>
      </c>
      <c r="G8">
        <f t="shared" si="0"/>
        <v>144.84096</v>
      </c>
      <c r="H8" t="s">
        <v>614</v>
      </c>
      <c r="I8">
        <v>39</v>
      </c>
      <c r="J8">
        <v>0</v>
      </c>
      <c r="K8" s="26">
        <v>2017</v>
      </c>
      <c r="L8" t="s">
        <v>11</v>
      </c>
      <c r="M8">
        <v>50</v>
      </c>
      <c r="N8">
        <v>5.4892152799999998</v>
      </c>
      <c r="O8">
        <v>5</v>
      </c>
      <c r="P8" t="s">
        <v>15</v>
      </c>
      <c r="Q8">
        <v>99.3</v>
      </c>
      <c r="R8" t="s">
        <v>13</v>
      </c>
      <c r="S8" t="s">
        <v>14</v>
      </c>
      <c r="T8" t="s">
        <v>14</v>
      </c>
      <c r="U8" s="25">
        <v>15</v>
      </c>
      <c r="V8" s="25">
        <v>20</v>
      </c>
      <c r="W8" s="25">
        <v>17.5</v>
      </c>
      <c r="X8" s="25">
        <v>5</v>
      </c>
      <c r="Y8">
        <v>0.61037440899999995</v>
      </c>
      <c r="Z8" t="s">
        <v>812</v>
      </c>
      <c r="AA8" t="s">
        <v>619</v>
      </c>
      <c r="AB8">
        <v>1</v>
      </c>
      <c r="AC8">
        <v>300</v>
      </c>
      <c r="AF8" t="s">
        <v>532</v>
      </c>
      <c r="AG8">
        <v>300</v>
      </c>
      <c r="AH8" t="s">
        <v>1141</v>
      </c>
      <c r="AI8" t="s">
        <v>1142</v>
      </c>
      <c r="AJ8">
        <v>49.800000000000011</v>
      </c>
      <c r="AK8">
        <v>0.83399999999999996</v>
      </c>
      <c r="AL8">
        <v>250.2</v>
      </c>
      <c r="AM8">
        <v>49.800000000000011</v>
      </c>
      <c r="AN8">
        <v>1383.083245776435</v>
      </c>
      <c r="AO8">
        <v>275.28995059818737</v>
      </c>
      <c r="AP8">
        <v>0.84419861873859325</v>
      </c>
      <c r="AQ8">
        <v>0.16802994090000781</v>
      </c>
      <c r="AR8">
        <v>0.12830590668601868</v>
      </c>
    </row>
    <row r="9" spans="1:44" customFormat="1" hidden="1" x14ac:dyDescent="0.5">
      <c r="A9">
        <v>8</v>
      </c>
      <c r="B9">
        <v>1</v>
      </c>
      <c r="C9" t="s">
        <v>9</v>
      </c>
      <c r="D9" s="255">
        <v>35.299999999999997</v>
      </c>
      <c r="E9" s="256">
        <v>122.19</v>
      </c>
      <c r="F9">
        <v>0.09</v>
      </c>
      <c r="G9">
        <f t="shared" si="0"/>
        <v>144.84096</v>
      </c>
      <c r="H9" t="s">
        <v>614</v>
      </c>
      <c r="I9">
        <v>39</v>
      </c>
      <c r="J9">
        <v>0</v>
      </c>
      <c r="K9" s="26">
        <v>2017</v>
      </c>
      <c r="L9" t="s">
        <v>11</v>
      </c>
      <c r="M9">
        <v>50</v>
      </c>
      <c r="N9">
        <v>5.4892152799999998</v>
      </c>
      <c r="O9">
        <v>5</v>
      </c>
      <c r="P9" t="s">
        <v>15</v>
      </c>
      <c r="Q9">
        <v>99.3</v>
      </c>
      <c r="R9" t="s">
        <v>13</v>
      </c>
      <c r="S9" t="s">
        <v>14</v>
      </c>
      <c r="T9" t="s">
        <v>14</v>
      </c>
      <c r="U9" s="25">
        <v>10</v>
      </c>
      <c r="V9" s="25">
        <v>15</v>
      </c>
      <c r="W9" s="25">
        <v>12.5</v>
      </c>
      <c r="X9" s="25">
        <v>5</v>
      </c>
      <c r="Y9">
        <v>0.61037440899999995</v>
      </c>
      <c r="Z9" t="s">
        <v>812</v>
      </c>
      <c r="AA9" t="s">
        <v>619</v>
      </c>
      <c r="AB9">
        <v>1</v>
      </c>
      <c r="AC9">
        <v>677.8</v>
      </c>
      <c r="AF9" t="s">
        <v>532</v>
      </c>
      <c r="AG9" t="s">
        <v>1143</v>
      </c>
      <c r="AH9" t="s">
        <v>1141</v>
      </c>
      <c r="AI9" t="s">
        <v>1144</v>
      </c>
      <c r="AJ9">
        <v>112.51480000000004</v>
      </c>
      <c r="AK9">
        <v>0.83399999999999996</v>
      </c>
      <c r="AL9">
        <v>565.28519999999992</v>
      </c>
      <c r="AM9">
        <v>112.51480000000004</v>
      </c>
      <c r="AN9">
        <v>3124.8460799575587</v>
      </c>
      <c r="AO9">
        <v>621.97176171817136</v>
      </c>
      <c r="AP9">
        <v>1.9073260792700615</v>
      </c>
      <c r="AQ9">
        <v>0.37963564647341763</v>
      </c>
      <c r="AR9">
        <v>0.12830590668601868</v>
      </c>
    </row>
    <row r="10" spans="1:44" customFormat="1" hidden="1" x14ac:dyDescent="0.5">
      <c r="A10">
        <v>9</v>
      </c>
      <c r="B10">
        <v>1</v>
      </c>
      <c r="C10" t="s">
        <v>9</v>
      </c>
      <c r="D10" s="255">
        <v>35.299999999999997</v>
      </c>
      <c r="E10" s="256">
        <v>122.19</v>
      </c>
      <c r="F10">
        <v>0.09</v>
      </c>
      <c r="G10">
        <f t="shared" si="0"/>
        <v>144.84096</v>
      </c>
      <c r="H10" t="s">
        <v>614</v>
      </c>
      <c r="I10">
        <v>39</v>
      </c>
      <c r="J10">
        <v>0</v>
      </c>
      <c r="K10" s="26">
        <v>2017</v>
      </c>
      <c r="L10" t="s">
        <v>11</v>
      </c>
      <c r="M10">
        <v>50</v>
      </c>
      <c r="N10">
        <v>5.4892152799999998</v>
      </c>
      <c r="O10">
        <v>5</v>
      </c>
      <c r="P10" t="s">
        <v>15</v>
      </c>
      <c r="Q10">
        <v>99.3</v>
      </c>
      <c r="R10" t="s">
        <v>13</v>
      </c>
      <c r="S10" t="s">
        <v>14</v>
      </c>
      <c r="T10" t="s">
        <v>14</v>
      </c>
      <c r="U10" s="25">
        <v>5</v>
      </c>
      <c r="V10" s="25">
        <v>10</v>
      </c>
      <c r="W10" s="25">
        <v>7.5</v>
      </c>
      <c r="X10" s="25">
        <v>5</v>
      </c>
      <c r="Y10">
        <v>0.61037440899999995</v>
      </c>
      <c r="Z10" t="s">
        <v>812</v>
      </c>
      <c r="AA10" t="s">
        <v>619</v>
      </c>
      <c r="AB10">
        <v>1</v>
      </c>
      <c r="AC10">
        <v>1022.2</v>
      </c>
      <c r="AF10" t="s">
        <v>532</v>
      </c>
      <c r="AG10" t="s">
        <v>1145</v>
      </c>
      <c r="AH10" t="s">
        <v>1141</v>
      </c>
      <c r="AI10" t="s">
        <v>1146</v>
      </c>
      <c r="AJ10">
        <v>169.68520000000001</v>
      </c>
      <c r="AK10">
        <v>0.83399999999999996</v>
      </c>
      <c r="AL10">
        <v>852.51480000000004</v>
      </c>
      <c r="AM10">
        <v>169.68520000000001</v>
      </c>
      <c r="AN10">
        <v>4712.625646108906</v>
      </c>
      <c r="AO10">
        <v>938.00462500489027</v>
      </c>
      <c r="AP10">
        <v>2.8764660935819664</v>
      </c>
      <c r="AQ10">
        <v>0.57253401862662645</v>
      </c>
      <c r="AR10">
        <v>0.12830590668601868</v>
      </c>
    </row>
    <row r="11" spans="1:44" customFormat="1" hidden="1" x14ac:dyDescent="0.5">
      <c r="A11">
        <v>10</v>
      </c>
      <c r="B11">
        <v>1</v>
      </c>
      <c r="C11" t="s">
        <v>9</v>
      </c>
      <c r="D11" s="255">
        <v>35.299999999999997</v>
      </c>
      <c r="E11" s="256">
        <v>122.19</v>
      </c>
      <c r="F11">
        <v>0.09</v>
      </c>
      <c r="G11">
        <f t="shared" si="0"/>
        <v>144.84096</v>
      </c>
      <c r="H11" t="s">
        <v>614</v>
      </c>
      <c r="I11">
        <v>39</v>
      </c>
      <c r="J11">
        <v>0</v>
      </c>
      <c r="K11" s="26">
        <v>2017</v>
      </c>
      <c r="L11" t="s">
        <v>11</v>
      </c>
      <c r="M11">
        <v>50</v>
      </c>
      <c r="N11">
        <v>5.4892152799999998</v>
      </c>
      <c r="O11">
        <v>5</v>
      </c>
      <c r="P11" t="s">
        <v>15</v>
      </c>
      <c r="Q11">
        <v>99.3</v>
      </c>
      <c r="R11" t="s">
        <v>13</v>
      </c>
      <c r="S11" t="s">
        <v>14</v>
      </c>
      <c r="T11" t="s">
        <v>14</v>
      </c>
      <c r="U11" s="25">
        <v>0</v>
      </c>
      <c r="V11" s="25">
        <v>5</v>
      </c>
      <c r="W11" s="25">
        <v>2.5</v>
      </c>
      <c r="X11" s="25">
        <v>5</v>
      </c>
      <c r="Y11">
        <v>0.61037440899999995</v>
      </c>
      <c r="Z11" t="s">
        <v>812</v>
      </c>
      <c r="AA11" t="s">
        <v>619</v>
      </c>
      <c r="AB11">
        <v>1</v>
      </c>
      <c r="AC11">
        <v>1177.8</v>
      </c>
      <c r="AF11" t="s">
        <v>532</v>
      </c>
      <c r="AG11" t="s">
        <v>1147</v>
      </c>
      <c r="AH11" t="s">
        <v>1141</v>
      </c>
      <c r="AI11" t="s">
        <v>1148</v>
      </c>
      <c r="AJ11">
        <v>195.51480000000004</v>
      </c>
      <c r="AK11">
        <v>0.83399999999999996</v>
      </c>
      <c r="AL11">
        <v>982.28519999999992</v>
      </c>
      <c r="AM11">
        <v>195.51480000000004</v>
      </c>
      <c r="AN11">
        <v>5429.9848229182835</v>
      </c>
      <c r="AO11">
        <v>1080.7883460484836</v>
      </c>
      <c r="AP11">
        <v>3.3143237771677168</v>
      </c>
      <c r="AQ11">
        <v>0.65968554797343071</v>
      </c>
      <c r="AR11">
        <v>0.12830590668601868</v>
      </c>
    </row>
    <row r="12" spans="1:44" customFormat="1" hidden="1" x14ac:dyDescent="0.5">
      <c r="A12">
        <v>11</v>
      </c>
      <c r="B12">
        <v>1</v>
      </c>
      <c r="C12" s="226" t="s">
        <v>9</v>
      </c>
      <c r="D12" s="227">
        <v>35</v>
      </c>
      <c r="E12" s="228">
        <v>123</v>
      </c>
      <c r="F12">
        <v>0.13</v>
      </c>
      <c r="G12">
        <f t="shared" si="0"/>
        <v>209.21472</v>
      </c>
      <c r="H12" s="30" t="s">
        <v>614</v>
      </c>
      <c r="I12">
        <v>45</v>
      </c>
      <c r="J12">
        <v>0</v>
      </c>
      <c r="K12" s="88">
        <v>2017</v>
      </c>
      <c r="L12" t="s">
        <v>11</v>
      </c>
      <c r="M12" s="30">
        <v>50</v>
      </c>
      <c r="N12">
        <v>5.4892152799999998</v>
      </c>
      <c r="O12">
        <v>5</v>
      </c>
      <c r="P12" t="s">
        <v>15</v>
      </c>
      <c r="Q12">
        <v>99.3</v>
      </c>
      <c r="R12" t="s">
        <v>13</v>
      </c>
      <c r="S12" t="s">
        <v>14</v>
      </c>
      <c r="T12" t="s">
        <v>14</v>
      </c>
      <c r="U12" s="29">
        <v>0</v>
      </c>
      <c r="V12" s="29">
        <v>3</v>
      </c>
      <c r="W12" s="25">
        <v>1.5</v>
      </c>
      <c r="X12" s="91">
        <v>3</v>
      </c>
      <c r="Y12" s="90">
        <v>0.61037440899999995</v>
      </c>
      <c r="Z12" t="s">
        <v>812</v>
      </c>
      <c r="AA12" t="s">
        <v>619</v>
      </c>
      <c r="AB12">
        <v>1</v>
      </c>
      <c r="AC12">
        <v>2947</v>
      </c>
      <c r="AF12" t="s">
        <v>532</v>
      </c>
      <c r="AG12" s="30">
        <v>2947</v>
      </c>
      <c r="AH12" s="30" t="s">
        <v>1149</v>
      </c>
      <c r="AI12" s="30" t="s">
        <v>1150</v>
      </c>
      <c r="AJ12">
        <v>471.52</v>
      </c>
      <c r="AK12">
        <v>0.84</v>
      </c>
      <c r="AL12">
        <v>2475.48</v>
      </c>
      <c r="AM12">
        <v>471.52</v>
      </c>
      <c r="AN12">
        <v>13684.232267204834</v>
      </c>
      <c r="AO12">
        <v>2606.5204318485394</v>
      </c>
      <c r="AP12">
        <v>8.3525051827138803</v>
      </c>
      <c r="AQ12">
        <v>1.5909533681359769</v>
      </c>
      <c r="AR12" s="90">
        <v>0.12753692157911437</v>
      </c>
    </row>
    <row r="13" spans="1:44" customFormat="1" hidden="1" x14ac:dyDescent="0.5">
      <c r="A13">
        <v>12</v>
      </c>
      <c r="B13">
        <v>1</v>
      </c>
      <c r="C13" s="226" t="s">
        <v>9</v>
      </c>
      <c r="D13" s="227">
        <v>34</v>
      </c>
      <c r="E13" s="228">
        <v>124</v>
      </c>
      <c r="F13">
        <v>0.13</v>
      </c>
      <c r="G13">
        <f t="shared" si="0"/>
        <v>209.21472</v>
      </c>
      <c r="H13" s="30" t="s">
        <v>614</v>
      </c>
      <c r="I13">
        <v>50</v>
      </c>
      <c r="J13">
        <v>0</v>
      </c>
      <c r="K13" s="88">
        <v>2017</v>
      </c>
      <c r="L13" t="s">
        <v>11</v>
      </c>
      <c r="M13" s="30">
        <v>50</v>
      </c>
      <c r="N13">
        <v>5.4892152799999998</v>
      </c>
      <c r="O13">
        <v>5</v>
      </c>
      <c r="P13" t="s">
        <v>15</v>
      </c>
      <c r="Q13">
        <v>99.3</v>
      </c>
      <c r="R13" t="s">
        <v>13</v>
      </c>
      <c r="S13" t="s">
        <v>14</v>
      </c>
      <c r="T13" t="s">
        <v>14</v>
      </c>
      <c r="U13" s="29">
        <v>0</v>
      </c>
      <c r="V13" s="29">
        <v>3</v>
      </c>
      <c r="W13" s="25">
        <v>1.5</v>
      </c>
      <c r="X13" s="91">
        <v>3</v>
      </c>
      <c r="Y13" s="90">
        <v>0.61037440899999995</v>
      </c>
      <c r="Z13" t="s">
        <v>812</v>
      </c>
      <c r="AA13" t="s">
        <v>619</v>
      </c>
      <c r="AB13">
        <v>1</v>
      </c>
      <c r="AC13">
        <v>1869</v>
      </c>
      <c r="AF13" t="s">
        <v>532</v>
      </c>
      <c r="AG13" s="30">
        <v>1869</v>
      </c>
      <c r="AH13" s="30" t="s">
        <v>1151</v>
      </c>
      <c r="AI13" s="30" t="s">
        <v>1152</v>
      </c>
      <c r="AJ13">
        <v>280.35000000000014</v>
      </c>
      <c r="AK13">
        <v>0.85</v>
      </c>
      <c r="AL13">
        <v>1588.6499999999999</v>
      </c>
      <c r="AM13">
        <v>280.35000000000014</v>
      </c>
      <c r="AN13">
        <v>8781.9152614018112</v>
      </c>
      <c r="AO13">
        <v>1549.7497520120853</v>
      </c>
      <c r="AP13">
        <v>5.3602563375662111</v>
      </c>
      <c r="AQ13">
        <v>0.94592758898227303</v>
      </c>
      <c r="AR13" s="90">
        <v>0.12689962245301062</v>
      </c>
    </row>
    <row r="14" spans="1:44" customFormat="1" hidden="1" x14ac:dyDescent="0.5">
      <c r="A14">
        <v>13</v>
      </c>
      <c r="B14">
        <v>1</v>
      </c>
      <c r="C14" s="226" t="s">
        <v>9</v>
      </c>
      <c r="D14" s="227">
        <v>36</v>
      </c>
      <c r="E14" s="228">
        <v>122</v>
      </c>
      <c r="F14">
        <v>0.06</v>
      </c>
      <c r="G14">
        <f t="shared" si="0"/>
        <v>96.560640000000006</v>
      </c>
      <c r="H14" s="30" t="s">
        <v>614</v>
      </c>
      <c r="I14">
        <v>50</v>
      </c>
      <c r="J14">
        <v>443.12060568023702</v>
      </c>
      <c r="K14" s="88">
        <v>2017</v>
      </c>
      <c r="L14" t="s">
        <v>11</v>
      </c>
      <c r="M14" s="30">
        <v>50</v>
      </c>
      <c r="N14">
        <v>5.4892152799999998</v>
      </c>
      <c r="O14">
        <v>5</v>
      </c>
      <c r="P14" t="s">
        <v>15</v>
      </c>
      <c r="Q14">
        <v>99.3</v>
      </c>
      <c r="R14" t="s">
        <v>13</v>
      </c>
      <c r="S14" t="s">
        <v>14</v>
      </c>
      <c r="T14" t="s">
        <v>14</v>
      </c>
      <c r="U14" s="29">
        <v>0</v>
      </c>
      <c r="V14" s="29">
        <v>3</v>
      </c>
      <c r="W14" s="25">
        <v>1.5</v>
      </c>
      <c r="X14" s="91">
        <v>3</v>
      </c>
      <c r="Y14" s="90">
        <v>0.61037440899999995</v>
      </c>
      <c r="Z14" t="s">
        <v>812</v>
      </c>
      <c r="AA14" t="s">
        <v>619</v>
      </c>
      <c r="AB14">
        <v>1</v>
      </c>
      <c r="AC14">
        <v>2185</v>
      </c>
      <c r="AF14" t="s">
        <v>532</v>
      </c>
      <c r="AG14" s="30">
        <v>2185</v>
      </c>
      <c r="AH14" s="30" t="s">
        <v>1153</v>
      </c>
      <c r="AI14" s="30" t="s">
        <v>1154</v>
      </c>
      <c r="AJ14">
        <v>568.09999999999991</v>
      </c>
      <c r="AK14">
        <v>0.74</v>
      </c>
      <c r="AL14">
        <v>1616.9</v>
      </c>
      <c r="AM14">
        <v>568.09999999999991</v>
      </c>
      <c r="AN14">
        <v>8938.0787373937565</v>
      </c>
      <c r="AO14">
        <v>3140.4060428680759</v>
      </c>
      <c r="AP14">
        <v>5.4555745269321791</v>
      </c>
      <c r="AQ14">
        <v>1.9168234824356303</v>
      </c>
      <c r="AR14" s="90">
        <v>0.12689962245301062</v>
      </c>
    </row>
    <row r="15" spans="1:44" customFormat="1" hidden="1" x14ac:dyDescent="0.5">
      <c r="A15">
        <v>14</v>
      </c>
      <c r="B15">
        <v>1</v>
      </c>
      <c r="C15" s="226" t="s">
        <v>9</v>
      </c>
      <c r="D15" s="227">
        <v>35</v>
      </c>
      <c r="E15" s="228">
        <v>124</v>
      </c>
      <c r="F15">
        <v>0.12</v>
      </c>
      <c r="G15">
        <f t="shared" si="0"/>
        <v>193.12128000000001</v>
      </c>
      <c r="H15" s="30" t="s">
        <v>614</v>
      </c>
      <c r="I15">
        <v>64</v>
      </c>
      <c r="J15">
        <v>0</v>
      </c>
      <c r="K15" s="88">
        <v>2017</v>
      </c>
      <c r="L15" t="s">
        <v>11</v>
      </c>
      <c r="M15" s="30">
        <v>50</v>
      </c>
      <c r="N15">
        <v>5.4892152799999998</v>
      </c>
      <c r="O15">
        <v>5</v>
      </c>
      <c r="P15" t="s">
        <v>15</v>
      </c>
      <c r="Q15">
        <v>99.3</v>
      </c>
      <c r="R15" t="s">
        <v>13</v>
      </c>
      <c r="S15" t="s">
        <v>14</v>
      </c>
      <c r="T15" t="s">
        <v>14</v>
      </c>
      <c r="U15" s="29">
        <v>0</v>
      </c>
      <c r="V15" s="29">
        <v>3</v>
      </c>
      <c r="W15" s="25">
        <v>1.5</v>
      </c>
      <c r="X15" s="91">
        <v>3</v>
      </c>
      <c r="Y15" s="90">
        <v>0.61037440899999995</v>
      </c>
      <c r="Z15" t="s">
        <v>812</v>
      </c>
      <c r="AA15" t="s">
        <v>619</v>
      </c>
      <c r="AB15">
        <v>1</v>
      </c>
      <c r="AC15">
        <v>2371</v>
      </c>
      <c r="AF15" t="s">
        <v>532</v>
      </c>
      <c r="AG15" s="30">
        <v>2371</v>
      </c>
      <c r="AH15" s="30" t="s">
        <v>1155</v>
      </c>
      <c r="AI15" s="30" t="s">
        <v>1156</v>
      </c>
      <c r="AJ15">
        <v>331.94000000000005</v>
      </c>
      <c r="AK15">
        <v>0.86</v>
      </c>
      <c r="AL15">
        <v>2039.06</v>
      </c>
      <c r="AM15">
        <v>331.94000000000005</v>
      </c>
      <c r="AN15">
        <v>11271.741499332124</v>
      </c>
      <c r="AO15">
        <v>1834.9346626819743</v>
      </c>
      <c r="AP15">
        <v>6.8799825560556176</v>
      </c>
      <c r="AQ15">
        <v>1.1199971602881242</v>
      </c>
      <c r="AR15" s="90">
        <v>0.12513207606482871</v>
      </c>
    </row>
    <row r="16" spans="1:44" customFormat="1" hidden="1" x14ac:dyDescent="0.5">
      <c r="A16">
        <v>15</v>
      </c>
      <c r="B16">
        <v>1</v>
      </c>
      <c r="C16" t="s">
        <v>9</v>
      </c>
      <c r="D16" s="255">
        <v>35</v>
      </c>
      <c r="E16" s="256">
        <v>121</v>
      </c>
      <c r="F16">
        <v>7.0000000000000007E-2</v>
      </c>
      <c r="G16">
        <f t="shared" si="0"/>
        <v>112.65408000000001</v>
      </c>
      <c r="H16" t="s">
        <v>614</v>
      </c>
      <c r="I16">
        <v>66</v>
      </c>
      <c r="J16">
        <v>988.46307373046898</v>
      </c>
      <c r="K16" s="26">
        <v>2017</v>
      </c>
      <c r="L16" t="s">
        <v>11</v>
      </c>
      <c r="M16">
        <v>50</v>
      </c>
      <c r="N16">
        <v>5.4892152799999998</v>
      </c>
      <c r="O16">
        <v>5</v>
      </c>
      <c r="P16" t="s">
        <v>15</v>
      </c>
      <c r="Q16">
        <v>99.3</v>
      </c>
      <c r="R16" t="s">
        <v>13</v>
      </c>
      <c r="S16" t="s">
        <v>14</v>
      </c>
      <c r="T16" t="s">
        <v>14</v>
      </c>
      <c r="U16" s="25">
        <v>15</v>
      </c>
      <c r="V16" s="25">
        <v>20</v>
      </c>
      <c r="W16" s="25">
        <v>17.5</v>
      </c>
      <c r="X16" s="25">
        <v>5</v>
      </c>
      <c r="Y16">
        <v>0.61037440899999995</v>
      </c>
      <c r="Z16" t="s">
        <v>812</v>
      </c>
      <c r="AA16" t="s">
        <v>619</v>
      </c>
      <c r="AB16">
        <v>1</v>
      </c>
      <c r="AC16">
        <v>411.1</v>
      </c>
      <c r="AF16" t="s">
        <v>532</v>
      </c>
      <c r="AG16" t="s">
        <v>1157</v>
      </c>
      <c r="AH16" t="s">
        <v>1141</v>
      </c>
      <c r="AI16" t="s">
        <v>1158</v>
      </c>
      <c r="AJ16">
        <v>68.242600000000039</v>
      </c>
      <c r="AK16">
        <v>0.83399999999999996</v>
      </c>
      <c r="AL16">
        <v>342.85739999999998</v>
      </c>
      <c r="AM16">
        <v>68.242600000000039</v>
      </c>
      <c r="AN16">
        <v>1895.2850744623081</v>
      </c>
      <c r="AO16">
        <v>377.23899563638292</v>
      </c>
      <c r="AP16">
        <v>1.1568335072114522</v>
      </c>
      <c r="AQ16">
        <v>0.23025702901331077</v>
      </c>
      <c r="AR16">
        <v>0.12488158725293751</v>
      </c>
    </row>
    <row r="17" spans="1:44" customFormat="1" hidden="1" x14ac:dyDescent="0.5">
      <c r="A17">
        <v>16</v>
      </c>
      <c r="B17">
        <v>1</v>
      </c>
      <c r="C17" t="s">
        <v>9</v>
      </c>
      <c r="D17" s="255">
        <v>35</v>
      </c>
      <c r="E17" s="256">
        <v>121</v>
      </c>
      <c r="F17">
        <v>7.0000000000000007E-2</v>
      </c>
      <c r="G17">
        <f t="shared" si="0"/>
        <v>112.65408000000001</v>
      </c>
      <c r="H17" t="s">
        <v>614</v>
      </c>
      <c r="I17">
        <v>66</v>
      </c>
      <c r="J17">
        <v>988.46307373046898</v>
      </c>
      <c r="K17" s="26">
        <v>2017</v>
      </c>
      <c r="L17" t="s">
        <v>11</v>
      </c>
      <c r="M17">
        <v>50</v>
      </c>
      <c r="N17">
        <v>5.4892152799999998</v>
      </c>
      <c r="O17">
        <v>5</v>
      </c>
      <c r="P17" t="s">
        <v>15</v>
      </c>
      <c r="Q17">
        <v>99.3</v>
      </c>
      <c r="R17" t="s">
        <v>13</v>
      </c>
      <c r="S17" t="s">
        <v>14</v>
      </c>
      <c r="T17" t="s">
        <v>14</v>
      </c>
      <c r="U17" s="25">
        <v>10</v>
      </c>
      <c r="V17" s="25">
        <v>15</v>
      </c>
      <c r="W17" s="25">
        <v>12.5</v>
      </c>
      <c r="X17" s="25">
        <v>5</v>
      </c>
      <c r="Y17">
        <v>0.61037440899999995</v>
      </c>
      <c r="Z17" t="s">
        <v>812</v>
      </c>
      <c r="AA17" t="s">
        <v>619</v>
      </c>
      <c r="AB17">
        <v>1</v>
      </c>
      <c r="AC17">
        <v>655.6</v>
      </c>
      <c r="AF17" t="s">
        <v>532</v>
      </c>
      <c r="AG17" t="s">
        <v>1159</v>
      </c>
      <c r="AH17" t="s">
        <v>1141</v>
      </c>
      <c r="AI17" t="s">
        <v>1160</v>
      </c>
      <c r="AJ17">
        <v>108.82960000000003</v>
      </c>
      <c r="AK17">
        <v>0.83399999999999996</v>
      </c>
      <c r="AL17">
        <v>546.7704</v>
      </c>
      <c r="AM17">
        <v>108.82960000000003</v>
      </c>
      <c r="AN17">
        <v>3022.4979197701027</v>
      </c>
      <c r="AO17">
        <v>601.60030537390548</v>
      </c>
      <c r="AP17">
        <v>1.8448553814834057</v>
      </c>
      <c r="AQ17">
        <v>0.36720143084681706</v>
      </c>
      <c r="AR17">
        <v>0.12488158725293751</v>
      </c>
    </row>
    <row r="18" spans="1:44" customFormat="1" hidden="1" x14ac:dyDescent="0.5">
      <c r="A18">
        <v>17</v>
      </c>
      <c r="B18">
        <v>1</v>
      </c>
      <c r="C18" t="s">
        <v>9</v>
      </c>
      <c r="D18" s="255">
        <v>35</v>
      </c>
      <c r="E18" s="256">
        <v>121</v>
      </c>
      <c r="F18">
        <v>7.0000000000000007E-2</v>
      </c>
      <c r="G18">
        <f t="shared" si="0"/>
        <v>112.65408000000001</v>
      </c>
      <c r="H18" t="s">
        <v>614</v>
      </c>
      <c r="I18">
        <v>66</v>
      </c>
      <c r="J18">
        <v>988.46307373046898</v>
      </c>
      <c r="K18" s="26">
        <v>2017</v>
      </c>
      <c r="L18" t="s">
        <v>11</v>
      </c>
      <c r="M18">
        <v>50</v>
      </c>
      <c r="N18">
        <v>5.4892152799999998</v>
      </c>
      <c r="O18">
        <v>5</v>
      </c>
      <c r="P18" t="s">
        <v>15</v>
      </c>
      <c r="Q18">
        <v>99.3</v>
      </c>
      <c r="R18" t="s">
        <v>13</v>
      </c>
      <c r="S18" t="s">
        <v>14</v>
      </c>
      <c r="T18" t="s">
        <v>14</v>
      </c>
      <c r="U18" s="25">
        <v>5</v>
      </c>
      <c r="V18" s="25">
        <v>10</v>
      </c>
      <c r="W18" s="25">
        <v>7.5</v>
      </c>
      <c r="X18" s="25">
        <v>5</v>
      </c>
      <c r="Y18">
        <v>0.61037440899999995</v>
      </c>
      <c r="Z18" t="s">
        <v>812</v>
      </c>
      <c r="AA18" t="s">
        <v>619</v>
      </c>
      <c r="AB18">
        <v>1</v>
      </c>
      <c r="AC18">
        <v>1055.5999999999999</v>
      </c>
      <c r="AF18" t="s">
        <v>532</v>
      </c>
      <c r="AG18" t="s">
        <v>1161</v>
      </c>
      <c r="AH18" t="s">
        <v>1141</v>
      </c>
      <c r="AI18" t="s">
        <v>1162</v>
      </c>
      <c r="AJ18">
        <v>175.2296</v>
      </c>
      <c r="AK18">
        <v>0.83399999999999996</v>
      </c>
      <c r="AL18">
        <v>880.3703999999999</v>
      </c>
      <c r="AM18">
        <v>175.2296</v>
      </c>
      <c r="AN18">
        <v>4866.6089141386819</v>
      </c>
      <c r="AO18">
        <v>968.65357283815513</v>
      </c>
      <c r="AP18">
        <v>2.9704535398015297</v>
      </c>
      <c r="AQ18">
        <v>0.59124135204682737</v>
      </c>
      <c r="AR18">
        <v>0.12488158725293751</v>
      </c>
    </row>
    <row r="19" spans="1:44" customFormat="1" hidden="1" x14ac:dyDescent="0.5">
      <c r="A19">
        <v>18</v>
      </c>
      <c r="B19">
        <v>1</v>
      </c>
      <c r="C19" t="s">
        <v>9</v>
      </c>
      <c r="D19" s="255">
        <v>35.299999999999997</v>
      </c>
      <c r="E19" s="256">
        <v>121.4</v>
      </c>
      <c r="F19">
        <v>7.0000000000000007E-2</v>
      </c>
      <c r="G19">
        <f t="shared" si="0"/>
        <v>112.65408000000001</v>
      </c>
      <c r="H19" t="s">
        <v>614</v>
      </c>
      <c r="I19">
        <v>66</v>
      </c>
      <c r="J19">
        <v>744.36104431152296</v>
      </c>
      <c r="K19" s="26">
        <v>2017</v>
      </c>
      <c r="L19" t="s">
        <v>11</v>
      </c>
      <c r="M19">
        <v>50</v>
      </c>
      <c r="N19">
        <v>5.4892152799999998</v>
      </c>
      <c r="O19">
        <v>5</v>
      </c>
      <c r="P19" t="s">
        <v>15</v>
      </c>
      <c r="Q19">
        <v>99.3</v>
      </c>
      <c r="R19" t="s">
        <v>13</v>
      </c>
      <c r="S19" t="s">
        <v>14</v>
      </c>
      <c r="T19" t="s">
        <v>14</v>
      </c>
      <c r="U19" s="25">
        <v>0</v>
      </c>
      <c r="V19" s="25">
        <v>5</v>
      </c>
      <c r="W19" s="25">
        <v>2.5</v>
      </c>
      <c r="X19" s="25">
        <v>5</v>
      </c>
      <c r="Y19">
        <v>0.61037440899999995</v>
      </c>
      <c r="Z19" t="s">
        <v>812</v>
      </c>
      <c r="AA19" t="s">
        <v>619</v>
      </c>
      <c r="AB19">
        <v>1</v>
      </c>
      <c r="AC19">
        <v>1344.4</v>
      </c>
      <c r="AF19" t="s">
        <v>532</v>
      </c>
      <c r="AG19" t="s">
        <v>1163</v>
      </c>
      <c r="AH19" t="s">
        <v>1141</v>
      </c>
      <c r="AI19" t="s">
        <v>1164</v>
      </c>
      <c r="AJ19">
        <v>223.17039999999997</v>
      </c>
      <c r="AK19">
        <v>0.83399999999999996</v>
      </c>
      <c r="AL19">
        <v>1121.2296000000001</v>
      </c>
      <c r="AM19">
        <v>223.17039999999997</v>
      </c>
      <c r="AN19">
        <v>6198.0570520727988</v>
      </c>
      <c r="AO19">
        <v>1233.6660319473433</v>
      </c>
      <c r="AP19">
        <v>3.7831354101072163</v>
      </c>
      <c r="AQ19">
        <v>0.75299817515323475</v>
      </c>
      <c r="AR19">
        <v>0.12488158725293751</v>
      </c>
    </row>
    <row r="20" spans="1:44" customFormat="1" hidden="1" x14ac:dyDescent="0.5">
      <c r="A20">
        <v>19</v>
      </c>
      <c r="B20" s="1">
        <v>1</v>
      </c>
      <c r="C20" s="226" t="s">
        <v>9</v>
      </c>
      <c r="D20" s="227">
        <v>36</v>
      </c>
      <c r="E20" s="228">
        <v>123</v>
      </c>
      <c r="F20">
        <v>7.0000000000000007E-2</v>
      </c>
      <c r="G20">
        <f t="shared" si="0"/>
        <v>112.65408000000001</v>
      </c>
      <c r="H20" s="30" t="s">
        <v>614</v>
      </c>
      <c r="I20">
        <v>70</v>
      </c>
      <c r="J20">
        <v>0</v>
      </c>
      <c r="K20" s="88">
        <v>2017</v>
      </c>
      <c r="L20" t="s">
        <v>11</v>
      </c>
      <c r="M20" s="30">
        <v>50</v>
      </c>
      <c r="N20">
        <v>5.4892152799999998</v>
      </c>
      <c r="O20">
        <v>5</v>
      </c>
      <c r="P20" t="s">
        <v>15</v>
      </c>
      <c r="Q20">
        <v>99.3</v>
      </c>
      <c r="R20" t="s">
        <v>13</v>
      </c>
      <c r="S20" t="s">
        <v>14</v>
      </c>
      <c r="T20" t="s">
        <v>14</v>
      </c>
      <c r="U20" s="29">
        <v>0</v>
      </c>
      <c r="V20" s="29">
        <v>3</v>
      </c>
      <c r="W20" s="25">
        <v>1.5</v>
      </c>
      <c r="X20" s="91">
        <v>3</v>
      </c>
      <c r="Y20" s="90">
        <v>0.61037440899999995</v>
      </c>
      <c r="Z20" t="s">
        <v>812</v>
      </c>
      <c r="AA20" t="s">
        <v>619</v>
      </c>
      <c r="AB20">
        <v>1</v>
      </c>
      <c r="AC20">
        <v>2419</v>
      </c>
      <c r="AF20" t="s">
        <v>532</v>
      </c>
      <c r="AG20" s="30">
        <v>2419</v>
      </c>
      <c r="AH20" s="30" t="s">
        <v>1165</v>
      </c>
      <c r="AI20" s="30" t="s">
        <v>1166</v>
      </c>
      <c r="AJ20">
        <v>435.42000000000007</v>
      </c>
      <c r="AK20">
        <v>0.82</v>
      </c>
      <c r="AL20">
        <v>1983.58</v>
      </c>
      <c r="AM20">
        <v>435.42000000000007</v>
      </c>
      <c r="AN20">
        <v>10965.05301621591</v>
      </c>
      <c r="AO20">
        <v>2406.9628572181273</v>
      </c>
      <c r="AP20">
        <v>6.6927877544264529</v>
      </c>
      <c r="AQ20">
        <v>1.4691485314594657</v>
      </c>
      <c r="AR20" s="90">
        <v>0.12438211290744003</v>
      </c>
    </row>
    <row r="21" spans="1:44" customFormat="1" hidden="1" x14ac:dyDescent="0.5">
      <c r="A21">
        <v>20</v>
      </c>
      <c r="B21" s="1">
        <v>1</v>
      </c>
      <c r="C21" s="226" t="s">
        <v>9</v>
      </c>
      <c r="D21" s="227">
        <v>35</v>
      </c>
      <c r="E21" s="228">
        <v>124</v>
      </c>
      <c r="F21">
        <v>0.12</v>
      </c>
      <c r="G21">
        <f t="shared" si="0"/>
        <v>193.12128000000001</v>
      </c>
      <c r="H21" s="30" t="s">
        <v>614</v>
      </c>
      <c r="I21">
        <v>72</v>
      </c>
      <c r="J21">
        <v>0</v>
      </c>
      <c r="K21" s="88">
        <v>2017</v>
      </c>
      <c r="L21" t="s">
        <v>11</v>
      </c>
      <c r="M21" s="30">
        <v>50</v>
      </c>
      <c r="N21">
        <v>5.4892152799999998</v>
      </c>
      <c r="O21">
        <v>5</v>
      </c>
      <c r="P21" t="s">
        <v>15</v>
      </c>
      <c r="Q21">
        <v>99.3</v>
      </c>
      <c r="R21" t="s">
        <v>13</v>
      </c>
      <c r="S21" t="s">
        <v>14</v>
      </c>
      <c r="T21" t="s">
        <v>14</v>
      </c>
      <c r="U21" s="29">
        <v>0</v>
      </c>
      <c r="V21" s="29">
        <v>3</v>
      </c>
      <c r="W21" s="25">
        <v>1.5</v>
      </c>
      <c r="X21" s="91">
        <v>3</v>
      </c>
      <c r="Y21" s="90">
        <v>0.61037440899999995</v>
      </c>
      <c r="Z21" t="s">
        <v>812</v>
      </c>
      <c r="AA21" t="s">
        <v>619</v>
      </c>
      <c r="AB21">
        <v>1</v>
      </c>
      <c r="AC21">
        <v>4205</v>
      </c>
      <c r="AF21" t="s">
        <v>532</v>
      </c>
      <c r="AG21" s="30">
        <v>4205</v>
      </c>
      <c r="AH21" s="30" t="s">
        <v>1139</v>
      </c>
      <c r="AI21" s="30" t="s">
        <v>1167</v>
      </c>
      <c r="AJ21">
        <v>1387.6499999999996</v>
      </c>
      <c r="AK21">
        <v>0.67</v>
      </c>
      <c r="AL21">
        <v>2817.3500000000004</v>
      </c>
      <c r="AM21">
        <v>1387.6499999999996</v>
      </c>
      <c r="AN21">
        <v>15574.05908268681</v>
      </c>
      <c r="AO21">
        <v>7670.8052198308142</v>
      </c>
      <c r="AP21">
        <v>9.5060071083260436</v>
      </c>
      <c r="AQ21">
        <v>4.6820632026083482</v>
      </c>
      <c r="AR21" s="90">
        <v>0.12413312536833321</v>
      </c>
    </row>
    <row r="22" spans="1:44" customFormat="1" hidden="1" x14ac:dyDescent="0.5">
      <c r="A22">
        <v>21</v>
      </c>
      <c r="B22" s="1">
        <v>1</v>
      </c>
      <c r="C22" t="s">
        <v>9</v>
      </c>
      <c r="D22" s="255">
        <v>36</v>
      </c>
      <c r="E22" s="256">
        <v>124</v>
      </c>
      <c r="F22">
        <v>0.1</v>
      </c>
      <c r="G22">
        <f t="shared" si="0"/>
        <v>160.93440000000001</v>
      </c>
      <c r="H22" t="s">
        <v>614</v>
      </c>
      <c r="I22">
        <v>75</v>
      </c>
      <c r="J22">
        <v>0</v>
      </c>
      <c r="K22" s="26">
        <v>2017</v>
      </c>
      <c r="L22" t="s">
        <v>11</v>
      </c>
      <c r="M22">
        <v>50</v>
      </c>
      <c r="N22">
        <v>5.4892152799999998</v>
      </c>
      <c r="O22">
        <v>5</v>
      </c>
      <c r="P22" t="s">
        <v>15</v>
      </c>
      <c r="Q22">
        <v>99.3</v>
      </c>
      <c r="R22" t="s">
        <v>13</v>
      </c>
      <c r="S22" t="s">
        <v>14</v>
      </c>
      <c r="T22" t="s">
        <v>14</v>
      </c>
      <c r="U22" s="25">
        <v>15</v>
      </c>
      <c r="V22" s="25">
        <v>20</v>
      </c>
      <c r="W22" s="25">
        <v>17.5</v>
      </c>
      <c r="X22" s="25">
        <v>5</v>
      </c>
      <c r="Y22">
        <v>0.61037440899999995</v>
      </c>
      <c r="Z22" t="s">
        <v>812</v>
      </c>
      <c r="AA22" t="s">
        <v>619</v>
      </c>
      <c r="AB22">
        <v>1</v>
      </c>
      <c r="AC22">
        <v>471.4</v>
      </c>
      <c r="AF22" t="s">
        <v>532</v>
      </c>
      <c r="AG22" t="s">
        <v>1168</v>
      </c>
      <c r="AH22" t="s">
        <v>1141</v>
      </c>
      <c r="AI22" t="s">
        <v>1169</v>
      </c>
      <c r="AJ22">
        <v>78.252400000000023</v>
      </c>
      <c r="AK22">
        <v>0.83399999999999996</v>
      </c>
      <c r="AL22">
        <v>393.14759999999995</v>
      </c>
      <c r="AM22">
        <v>78.252400000000023</v>
      </c>
      <c r="AN22">
        <v>2173.2848068633716</v>
      </c>
      <c r="AO22">
        <v>432.57227570661848</v>
      </c>
      <c r="AP22">
        <v>1.3265174295779094</v>
      </c>
      <c r="AQ22">
        <v>0.26403104713421227</v>
      </c>
      <c r="AR22">
        <v>0.12376057828924968</v>
      </c>
    </row>
    <row r="23" spans="1:44" customFormat="1" hidden="1" x14ac:dyDescent="0.5">
      <c r="A23">
        <v>22</v>
      </c>
      <c r="B23">
        <v>1</v>
      </c>
      <c r="C23" t="s">
        <v>9</v>
      </c>
      <c r="D23" s="255">
        <v>36</v>
      </c>
      <c r="E23" s="256">
        <v>124</v>
      </c>
      <c r="F23">
        <v>0.1</v>
      </c>
      <c r="G23">
        <f t="shared" si="0"/>
        <v>160.93440000000001</v>
      </c>
      <c r="H23" t="s">
        <v>614</v>
      </c>
      <c r="I23">
        <v>75</v>
      </c>
      <c r="J23">
        <v>0</v>
      </c>
      <c r="K23" s="26">
        <v>2017</v>
      </c>
      <c r="L23" t="s">
        <v>11</v>
      </c>
      <c r="M23">
        <v>50</v>
      </c>
      <c r="N23">
        <v>5.4892152799999998</v>
      </c>
      <c r="O23">
        <v>5</v>
      </c>
      <c r="P23" t="s">
        <v>15</v>
      </c>
      <c r="Q23">
        <v>99.3</v>
      </c>
      <c r="R23" t="s">
        <v>13</v>
      </c>
      <c r="S23" t="s">
        <v>14</v>
      </c>
      <c r="T23" t="s">
        <v>14</v>
      </c>
      <c r="U23" s="25">
        <v>10</v>
      </c>
      <c r="V23" s="25">
        <v>15</v>
      </c>
      <c r="W23" s="25">
        <v>12.5</v>
      </c>
      <c r="X23" s="25">
        <v>5</v>
      </c>
      <c r="Y23">
        <v>0.61037440899999995</v>
      </c>
      <c r="Z23" t="s">
        <v>812</v>
      </c>
      <c r="AA23" t="s">
        <v>619</v>
      </c>
      <c r="AB23">
        <v>1</v>
      </c>
      <c r="AC23">
        <v>1128.5999999999999</v>
      </c>
      <c r="AF23" t="s">
        <v>532</v>
      </c>
      <c r="AG23" t="s">
        <v>1170</v>
      </c>
      <c r="AH23" t="s">
        <v>1141</v>
      </c>
      <c r="AI23" t="s">
        <v>1171</v>
      </c>
      <c r="AJ23">
        <v>187.34760000000006</v>
      </c>
      <c r="AK23">
        <v>0.83399999999999996</v>
      </c>
      <c r="AL23">
        <v>941.25239999999985</v>
      </c>
      <c r="AM23">
        <v>187.34760000000006</v>
      </c>
      <c r="AN23">
        <v>5203.1591706109484</v>
      </c>
      <c r="AO23">
        <v>1035.640794150381</v>
      </c>
      <c r="AP23">
        <v>3.1758752036945879</v>
      </c>
      <c r="AQ23">
        <v>0.63212863766582938</v>
      </c>
      <c r="AR23">
        <v>0.12376057828924968</v>
      </c>
    </row>
    <row r="24" spans="1:44" customFormat="1" hidden="1" x14ac:dyDescent="0.5">
      <c r="A24">
        <v>23</v>
      </c>
      <c r="B24">
        <v>1</v>
      </c>
      <c r="C24" t="s">
        <v>9</v>
      </c>
      <c r="D24" s="255">
        <v>36</v>
      </c>
      <c r="E24" s="256">
        <v>124</v>
      </c>
      <c r="F24">
        <v>0.1</v>
      </c>
      <c r="G24">
        <f t="shared" si="0"/>
        <v>160.93440000000001</v>
      </c>
      <c r="H24" t="s">
        <v>614</v>
      </c>
      <c r="I24">
        <v>75</v>
      </c>
      <c r="J24">
        <v>0</v>
      </c>
      <c r="K24" s="26">
        <v>2017</v>
      </c>
      <c r="L24" t="s">
        <v>11</v>
      </c>
      <c r="M24">
        <v>50</v>
      </c>
      <c r="N24">
        <v>5.4892152799999998</v>
      </c>
      <c r="O24">
        <v>5</v>
      </c>
      <c r="P24" t="s">
        <v>15</v>
      </c>
      <c r="Q24">
        <v>99.3</v>
      </c>
      <c r="R24" t="s">
        <v>13</v>
      </c>
      <c r="S24" t="s">
        <v>14</v>
      </c>
      <c r="T24" t="s">
        <v>14</v>
      </c>
      <c r="U24" s="25">
        <v>5</v>
      </c>
      <c r="V24" s="25">
        <v>10</v>
      </c>
      <c r="W24" s="25">
        <v>7.5</v>
      </c>
      <c r="X24" s="25">
        <v>5</v>
      </c>
      <c r="Y24">
        <v>0.61037440899999995</v>
      </c>
      <c r="Z24" t="s">
        <v>812</v>
      </c>
      <c r="AA24" t="s">
        <v>619</v>
      </c>
      <c r="AB24">
        <v>1</v>
      </c>
      <c r="AC24">
        <v>1514.3</v>
      </c>
      <c r="AF24" t="s">
        <v>532</v>
      </c>
      <c r="AG24" t="s">
        <v>1172</v>
      </c>
      <c r="AH24" t="s">
        <v>1141</v>
      </c>
      <c r="AI24" t="s">
        <v>1173</v>
      </c>
      <c r="AJ24">
        <v>251.37380000000007</v>
      </c>
      <c r="AK24">
        <v>0.83399999999999996</v>
      </c>
      <c r="AL24">
        <v>1262.9261999999999</v>
      </c>
      <c r="AM24">
        <v>251.37380000000007</v>
      </c>
      <c r="AN24">
        <v>6981.3431969308513</v>
      </c>
      <c r="AO24">
        <v>1389.5719073027838</v>
      </c>
      <c r="AP24">
        <v>4.2612332278528386</v>
      </c>
      <c r="AQ24">
        <v>0.84815913168293933</v>
      </c>
      <c r="AR24">
        <v>0.12376057828924968</v>
      </c>
    </row>
    <row r="25" spans="1:44" customFormat="1" hidden="1" x14ac:dyDescent="0.5">
      <c r="A25">
        <v>24</v>
      </c>
      <c r="B25">
        <v>1</v>
      </c>
      <c r="C25" t="s">
        <v>9</v>
      </c>
      <c r="D25" s="255">
        <v>36</v>
      </c>
      <c r="E25" s="256">
        <v>124</v>
      </c>
      <c r="F25">
        <v>0.1</v>
      </c>
      <c r="G25">
        <f t="shared" si="0"/>
        <v>160.93440000000001</v>
      </c>
      <c r="H25" t="s">
        <v>614</v>
      </c>
      <c r="I25">
        <v>75</v>
      </c>
      <c r="J25">
        <v>0</v>
      </c>
      <c r="K25" s="26">
        <v>2017</v>
      </c>
      <c r="L25" t="s">
        <v>11</v>
      </c>
      <c r="M25">
        <v>50</v>
      </c>
      <c r="N25">
        <v>5.4892152799999998</v>
      </c>
      <c r="O25">
        <v>5</v>
      </c>
      <c r="P25" t="s">
        <v>15</v>
      </c>
      <c r="Q25">
        <v>99.3</v>
      </c>
      <c r="R25" t="s">
        <v>13</v>
      </c>
      <c r="S25" t="s">
        <v>14</v>
      </c>
      <c r="T25" t="s">
        <v>14</v>
      </c>
      <c r="U25" s="25">
        <v>0</v>
      </c>
      <c r="V25" s="25">
        <v>5</v>
      </c>
      <c r="W25" s="25">
        <v>2.5</v>
      </c>
      <c r="X25" s="25">
        <v>5</v>
      </c>
      <c r="Y25">
        <v>0.61037440899999995</v>
      </c>
      <c r="Z25" t="s">
        <v>812</v>
      </c>
      <c r="AA25" t="s">
        <v>619</v>
      </c>
      <c r="AB25">
        <v>1</v>
      </c>
      <c r="AC25">
        <v>2142.9</v>
      </c>
      <c r="AF25" t="s">
        <v>532</v>
      </c>
      <c r="AG25" t="s">
        <v>1174</v>
      </c>
      <c r="AH25" t="s">
        <v>1141</v>
      </c>
      <c r="AI25" t="s">
        <v>1175</v>
      </c>
      <c r="AJ25">
        <v>355.72140000000013</v>
      </c>
      <c r="AK25">
        <v>0.83399999999999996</v>
      </c>
      <c r="AL25">
        <v>1787.1786</v>
      </c>
      <c r="AM25">
        <v>355.72140000000013</v>
      </c>
      <c r="AN25">
        <v>9879.363624581074</v>
      </c>
      <c r="AO25">
        <v>1966.3961171228525</v>
      </c>
      <c r="AP25">
        <v>6.0301107336497708</v>
      </c>
      <c r="AQ25">
        <v>1.2002378678487557</v>
      </c>
      <c r="AR25">
        <v>0.12376057828924968</v>
      </c>
    </row>
    <row r="26" spans="1:44" customFormat="1" hidden="1" x14ac:dyDescent="0.5">
      <c r="A26">
        <v>25</v>
      </c>
      <c r="B26">
        <v>1</v>
      </c>
      <c r="C26" s="226" t="s">
        <v>9</v>
      </c>
      <c r="D26" s="227">
        <v>34</v>
      </c>
      <c r="E26" s="228">
        <v>123.44</v>
      </c>
      <c r="F26">
        <v>0.15</v>
      </c>
      <c r="G26">
        <f t="shared" si="0"/>
        <v>241.4016</v>
      </c>
      <c r="H26" s="30" t="s">
        <v>614</v>
      </c>
      <c r="I26">
        <v>77</v>
      </c>
      <c r="J26">
        <v>0</v>
      </c>
      <c r="K26" s="88">
        <v>2017</v>
      </c>
      <c r="L26" t="s">
        <v>11</v>
      </c>
      <c r="M26" s="30">
        <v>50</v>
      </c>
      <c r="N26">
        <v>5.4892152799999998</v>
      </c>
      <c r="O26">
        <v>5</v>
      </c>
      <c r="P26" t="s">
        <v>15</v>
      </c>
      <c r="Q26">
        <v>99.3</v>
      </c>
      <c r="R26" t="s">
        <v>13</v>
      </c>
      <c r="S26" t="s">
        <v>14</v>
      </c>
      <c r="T26" t="s">
        <v>14</v>
      </c>
      <c r="U26" s="29">
        <v>0</v>
      </c>
      <c r="V26" s="29">
        <v>3</v>
      </c>
      <c r="W26" s="25">
        <v>1.5</v>
      </c>
      <c r="X26" s="91">
        <v>3</v>
      </c>
      <c r="Y26" s="90">
        <v>0.61037440899999995</v>
      </c>
      <c r="Z26" t="s">
        <v>812</v>
      </c>
      <c r="AA26" t="s">
        <v>619</v>
      </c>
      <c r="AB26">
        <v>1</v>
      </c>
      <c r="AC26">
        <v>2057</v>
      </c>
      <c r="AF26" t="s">
        <v>532</v>
      </c>
      <c r="AG26" s="30">
        <v>2057</v>
      </c>
      <c r="AH26" s="30" t="s">
        <v>1176</v>
      </c>
      <c r="AI26" s="30" t="s">
        <v>1177</v>
      </c>
      <c r="AJ26">
        <v>246.83999999999992</v>
      </c>
      <c r="AK26">
        <v>0.88</v>
      </c>
      <c r="AL26">
        <v>1810.16</v>
      </c>
      <c r="AM26">
        <v>246.83999999999992</v>
      </c>
      <c r="AN26">
        <v>10006.40275049829</v>
      </c>
      <c r="AO26">
        <v>1364.5094659770389</v>
      </c>
      <c r="AP26">
        <v>6.1076521650513671</v>
      </c>
      <c r="AQ26">
        <v>0.83286165887064068</v>
      </c>
      <c r="AR26" s="90">
        <v>0.12351283493527079</v>
      </c>
    </row>
    <row r="27" spans="1:44" customFormat="1" hidden="1" x14ac:dyDescent="0.5">
      <c r="A27">
        <v>26</v>
      </c>
      <c r="B27">
        <v>1</v>
      </c>
      <c r="C27" s="226" t="s">
        <v>9</v>
      </c>
      <c r="D27" s="227">
        <v>32.299999999999997</v>
      </c>
      <c r="E27" s="228">
        <v>122.12</v>
      </c>
      <c r="F27">
        <v>0.05</v>
      </c>
      <c r="G27">
        <f t="shared" si="0"/>
        <v>80.467200000000005</v>
      </c>
      <c r="H27" s="30" t="s">
        <v>611</v>
      </c>
      <c r="I27">
        <v>373</v>
      </c>
      <c r="J27">
        <v>630.22735129288105</v>
      </c>
      <c r="K27" s="88">
        <v>2017</v>
      </c>
      <c r="L27" t="s">
        <v>11</v>
      </c>
      <c r="M27" s="30">
        <v>50</v>
      </c>
      <c r="N27">
        <v>5.4892152799999998</v>
      </c>
      <c r="O27">
        <v>5</v>
      </c>
      <c r="P27" t="s">
        <v>15</v>
      </c>
      <c r="Q27">
        <v>99.3</v>
      </c>
      <c r="R27" t="s">
        <v>13</v>
      </c>
      <c r="S27" t="s">
        <v>14</v>
      </c>
      <c r="T27" t="s">
        <v>14</v>
      </c>
      <c r="U27" s="29">
        <v>0</v>
      </c>
      <c r="V27" s="29">
        <v>3</v>
      </c>
      <c r="W27" s="25">
        <v>1.5</v>
      </c>
      <c r="X27" s="91">
        <v>3</v>
      </c>
      <c r="Y27" s="90">
        <v>0.87688727099999997</v>
      </c>
      <c r="Z27" t="s">
        <v>741</v>
      </c>
      <c r="AA27" t="s">
        <v>620</v>
      </c>
      <c r="AB27">
        <v>1</v>
      </c>
      <c r="AC27">
        <v>835</v>
      </c>
      <c r="AF27" t="s">
        <v>532</v>
      </c>
      <c r="AG27" s="30">
        <v>835</v>
      </c>
      <c r="AH27" s="30" t="s">
        <v>1176</v>
      </c>
      <c r="AI27" s="30" t="s">
        <v>1178</v>
      </c>
      <c r="AJ27">
        <v>100.20000000000005</v>
      </c>
      <c r="AK27">
        <v>0.88</v>
      </c>
      <c r="AL27">
        <v>734.8</v>
      </c>
      <c r="AM27">
        <v>100.20000000000005</v>
      </c>
      <c r="AN27">
        <v>4061.908748986908</v>
      </c>
      <c r="AO27">
        <v>553.89664758912409</v>
      </c>
      <c r="AP27">
        <v>3.5618360779501534</v>
      </c>
      <c r="AQ27">
        <v>0.48570491972047569</v>
      </c>
      <c r="AR27" s="90">
        <v>9.1815619744330876E-2</v>
      </c>
    </row>
    <row r="28" spans="1:44" hidden="1" x14ac:dyDescent="0.5">
      <c r="A28" s="31">
        <v>27</v>
      </c>
      <c r="B28" s="31">
        <v>2</v>
      </c>
      <c r="C28" s="225" t="s">
        <v>43</v>
      </c>
      <c r="D28" s="35">
        <v>66.17</v>
      </c>
      <c r="E28" s="33">
        <v>-168.88</v>
      </c>
      <c r="F28">
        <v>22.45</v>
      </c>
      <c r="G28">
        <f t="shared" si="0"/>
        <v>36129.772799999999</v>
      </c>
      <c r="H28" s="32" t="s">
        <v>614</v>
      </c>
      <c r="I28">
        <v>35.299999999999997</v>
      </c>
      <c r="J28">
        <v>1.2672171026624901</v>
      </c>
      <c r="K28" s="26">
        <v>2017</v>
      </c>
      <c r="L28" t="s">
        <v>30</v>
      </c>
      <c r="M28" s="32">
        <v>100</v>
      </c>
      <c r="N28">
        <v>11.428783320000001</v>
      </c>
      <c r="O28">
        <v>4.8600000000000003</v>
      </c>
      <c r="P28" t="s">
        <v>26</v>
      </c>
      <c r="Q28">
        <v>93.3</v>
      </c>
      <c r="R28" t="s">
        <v>13</v>
      </c>
      <c r="S28" t="s">
        <v>14</v>
      </c>
      <c r="T28" t="s">
        <v>14</v>
      </c>
      <c r="U28" s="34">
        <v>0</v>
      </c>
      <c r="V28" s="34">
        <v>5</v>
      </c>
      <c r="W28" s="25">
        <v>2.5</v>
      </c>
      <c r="X28" s="25">
        <v>5</v>
      </c>
      <c r="Y28">
        <v>0.77542491999999996</v>
      </c>
      <c r="Z28" t="s">
        <v>797</v>
      </c>
      <c r="AA28" t="s">
        <v>663</v>
      </c>
      <c r="AB28">
        <v>1</v>
      </c>
      <c r="AC28">
        <v>39.270000000000003</v>
      </c>
      <c r="AF28" t="s">
        <v>532</v>
      </c>
      <c r="AG28" s="32" t="s">
        <v>1179</v>
      </c>
      <c r="AH28" s="32" t="s">
        <v>1180</v>
      </c>
      <c r="AI28" s="32" t="s">
        <v>1181</v>
      </c>
      <c r="AJ28" s="31">
        <v>13.901579999999999</v>
      </c>
      <c r="AK28" s="31">
        <v>0.64600000000000002</v>
      </c>
      <c r="AL28" s="31">
        <v>25.368420000000004</v>
      </c>
      <c r="AM28" s="31">
        <v>13.901579999999999</v>
      </c>
      <c r="AN28" s="31">
        <v>310.75045589577115</v>
      </c>
      <c r="AO28" s="31">
        <v>170.28740152802314</v>
      </c>
      <c r="AP28" s="31">
        <v>0.24096364740294188</v>
      </c>
      <c r="AQ28" s="31">
        <v>0.1320450947068752</v>
      </c>
      <c r="AR28" s="31">
        <v>0.12878242360954822</v>
      </c>
    </row>
    <row r="29" spans="1:44" hidden="1" x14ac:dyDescent="0.5">
      <c r="A29" s="31">
        <v>28</v>
      </c>
      <c r="B29" s="31">
        <v>2</v>
      </c>
      <c r="C29" s="225" t="s">
        <v>43</v>
      </c>
      <c r="D29" s="35">
        <v>69.55</v>
      </c>
      <c r="E29" s="33">
        <v>-168.82</v>
      </c>
      <c r="F29">
        <v>87.13</v>
      </c>
      <c r="G29">
        <f t="shared" si="0"/>
        <v>140222.14272</v>
      </c>
      <c r="H29" s="32" t="s">
        <v>614</v>
      </c>
      <c r="I29">
        <v>42.3</v>
      </c>
      <c r="J29">
        <v>0</v>
      </c>
      <c r="K29" s="26">
        <v>2017</v>
      </c>
      <c r="L29" t="s">
        <v>30</v>
      </c>
      <c r="M29" s="32">
        <v>100</v>
      </c>
      <c r="N29">
        <v>11.428783320000001</v>
      </c>
      <c r="O29">
        <v>4.8600000000000003</v>
      </c>
      <c r="P29" t="s">
        <v>26</v>
      </c>
      <c r="Q29">
        <v>93.3</v>
      </c>
      <c r="R29" t="s">
        <v>13</v>
      </c>
      <c r="S29" t="s">
        <v>14</v>
      </c>
      <c r="T29" t="s">
        <v>14</v>
      </c>
      <c r="U29" s="34">
        <v>0</v>
      </c>
      <c r="V29" s="34">
        <v>5</v>
      </c>
      <c r="W29" s="25">
        <v>2.5</v>
      </c>
      <c r="X29" s="25">
        <v>5</v>
      </c>
      <c r="Y29">
        <v>0.83496269700000003</v>
      </c>
      <c r="Z29" t="s">
        <v>797</v>
      </c>
      <c r="AA29" t="s">
        <v>663</v>
      </c>
      <c r="AB29">
        <v>1</v>
      </c>
      <c r="AC29">
        <v>68.78</v>
      </c>
      <c r="AF29" t="s">
        <v>532</v>
      </c>
      <c r="AG29" s="32" t="s">
        <v>1182</v>
      </c>
      <c r="AH29" s="32" t="s">
        <v>1180</v>
      </c>
      <c r="AI29" s="32" t="s">
        <v>1183</v>
      </c>
      <c r="AJ29" s="31">
        <v>24.348120000000002</v>
      </c>
      <c r="AK29" s="31">
        <v>0.64600000000000002</v>
      </c>
      <c r="AL29" s="31">
        <v>44.43188</v>
      </c>
      <c r="AM29" s="31">
        <v>24.348120000000002</v>
      </c>
      <c r="AN29" s="31">
        <v>544.26830548793316</v>
      </c>
      <c r="AO29" s="31">
        <v>298.25229124261352</v>
      </c>
      <c r="AP29" s="31">
        <v>0.45444373224182461</v>
      </c>
      <c r="AQ29" s="31">
        <v>0.24902953748236209</v>
      </c>
      <c r="AR29" s="31">
        <v>0.12788239287820294</v>
      </c>
    </row>
    <row r="30" spans="1:44" hidden="1" x14ac:dyDescent="0.5">
      <c r="A30" s="31">
        <v>29</v>
      </c>
      <c r="B30" s="31">
        <v>2</v>
      </c>
      <c r="C30" s="225" t="s">
        <v>43</v>
      </c>
      <c r="D30" s="35">
        <v>63.09</v>
      </c>
      <c r="E30" s="33">
        <v>-173.87</v>
      </c>
      <c r="F30">
        <v>69.84</v>
      </c>
      <c r="G30">
        <f t="shared" si="0"/>
        <v>112396.58496000001</v>
      </c>
      <c r="H30" s="32" t="s">
        <v>614</v>
      </c>
      <c r="I30">
        <v>78.7</v>
      </c>
      <c r="J30">
        <v>0</v>
      </c>
      <c r="K30" s="26">
        <v>2017</v>
      </c>
      <c r="L30" t="s">
        <v>30</v>
      </c>
      <c r="M30" s="32">
        <v>100</v>
      </c>
      <c r="N30">
        <v>11.428783320000001</v>
      </c>
      <c r="O30">
        <v>4.8600000000000003</v>
      </c>
      <c r="P30" t="s">
        <v>26</v>
      </c>
      <c r="Q30">
        <v>93.3</v>
      </c>
      <c r="R30" t="s">
        <v>13</v>
      </c>
      <c r="S30" t="s">
        <v>14</v>
      </c>
      <c r="T30" t="s">
        <v>14</v>
      </c>
      <c r="U30" s="34">
        <v>0</v>
      </c>
      <c r="V30" s="34">
        <v>5</v>
      </c>
      <c r="W30" s="25">
        <v>2.5</v>
      </c>
      <c r="X30" s="25">
        <v>5</v>
      </c>
      <c r="Y30">
        <v>0.97091161199999998</v>
      </c>
      <c r="Z30" t="s">
        <v>797</v>
      </c>
      <c r="AA30" t="s">
        <v>663</v>
      </c>
      <c r="AB30">
        <v>1</v>
      </c>
      <c r="AC30">
        <v>20.78</v>
      </c>
      <c r="AF30" t="s">
        <v>532</v>
      </c>
      <c r="AG30" s="32" t="s">
        <v>1184</v>
      </c>
      <c r="AH30" s="32" t="s">
        <v>1180</v>
      </c>
      <c r="AI30" s="32" t="s">
        <v>1185</v>
      </c>
      <c r="AJ30" s="31">
        <v>7.3561200000000007</v>
      </c>
      <c r="AK30" s="31">
        <v>0.64600000000000002</v>
      </c>
      <c r="AL30" s="31">
        <v>13.42388</v>
      </c>
      <c r="AM30" s="31">
        <v>7.3561200000000007</v>
      </c>
      <c r="AN30" s="31">
        <v>164.43581547018397</v>
      </c>
      <c r="AO30" s="31">
        <v>90.108790520812889</v>
      </c>
      <c r="AP30" s="31">
        <v>0.15965264266869084</v>
      </c>
      <c r="AQ30" s="31">
        <v>8.7487671059932756E-2</v>
      </c>
      <c r="AR30" s="31">
        <v>0.12330264304958195</v>
      </c>
    </row>
    <row r="31" spans="1:44" hidden="1" x14ac:dyDescent="0.5">
      <c r="A31" s="31">
        <v>30</v>
      </c>
      <c r="B31" s="31">
        <v>2</v>
      </c>
      <c r="C31" s="225" t="s">
        <v>43</v>
      </c>
      <c r="D31" s="35">
        <v>71.180000000000007</v>
      </c>
      <c r="E31" s="33">
        <v>-168.9</v>
      </c>
      <c r="F31">
        <v>168.21</v>
      </c>
      <c r="G31">
        <f t="shared" si="0"/>
        <v>270707.75424000004</v>
      </c>
      <c r="H31" s="32" t="s">
        <v>614</v>
      </c>
      <c r="I31">
        <v>79.8</v>
      </c>
      <c r="J31">
        <v>0</v>
      </c>
      <c r="K31" s="26">
        <v>2017</v>
      </c>
      <c r="L31" t="s">
        <v>30</v>
      </c>
      <c r="M31" s="32">
        <v>100</v>
      </c>
      <c r="N31">
        <v>11.428783320000001</v>
      </c>
      <c r="O31">
        <v>4.8600000000000003</v>
      </c>
      <c r="P31" t="s">
        <v>26</v>
      </c>
      <c r="Q31">
        <v>93.3</v>
      </c>
      <c r="R31" t="s">
        <v>13</v>
      </c>
      <c r="S31" t="s">
        <v>14</v>
      </c>
      <c r="T31" t="s">
        <v>14</v>
      </c>
      <c r="U31" s="34">
        <v>0</v>
      </c>
      <c r="V31" s="34">
        <v>5</v>
      </c>
      <c r="W31" s="25">
        <v>2.5</v>
      </c>
      <c r="X31" s="25">
        <v>5</v>
      </c>
      <c r="Y31">
        <v>0.83496269700000003</v>
      </c>
      <c r="Z31" t="s">
        <v>797</v>
      </c>
      <c r="AA31" t="s">
        <v>663</v>
      </c>
      <c r="AB31">
        <v>1</v>
      </c>
      <c r="AC31">
        <v>17.690000000000001</v>
      </c>
      <c r="AF31" t="s">
        <v>532</v>
      </c>
      <c r="AG31" s="32" t="s">
        <v>1186</v>
      </c>
      <c r="AH31" s="32" t="s">
        <v>1180</v>
      </c>
      <c r="AI31" s="32" t="s">
        <v>1187</v>
      </c>
      <c r="AJ31" s="31">
        <v>6.2622599999999995</v>
      </c>
      <c r="AK31" s="31">
        <v>0.64600000000000002</v>
      </c>
      <c r="AL31" s="31">
        <v>11.427740000000002</v>
      </c>
      <c r="AM31" s="31">
        <v>6.2622599999999995</v>
      </c>
      <c r="AN31" s="31">
        <v>139.98409892529136</v>
      </c>
      <c r="AO31" s="31">
        <v>76.709552661846942</v>
      </c>
      <c r="AP31" s="31">
        <v>0.1168815007757761</v>
      </c>
      <c r="AQ31" s="31">
        <v>6.4049614976199251E-2</v>
      </c>
      <c r="AR31" s="31">
        <v>0.12316682718217953</v>
      </c>
    </row>
    <row r="32" spans="1:44" hidden="1" x14ac:dyDescent="0.5">
      <c r="A32" s="31">
        <v>31</v>
      </c>
      <c r="B32" s="31">
        <v>2</v>
      </c>
      <c r="C32" s="225" t="s">
        <v>43</v>
      </c>
      <c r="D32" s="35">
        <v>61.57</v>
      </c>
      <c r="E32" s="33">
        <v>-176.41</v>
      </c>
      <c r="F32">
        <v>134.1</v>
      </c>
      <c r="G32">
        <f t="shared" si="0"/>
        <v>215813.03039999999</v>
      </c>
      <c r="H32" s="32" t="s">
        <v>614</v>
      </c>
      <c r="I32">
        <v>119.7</v>
      </c>
      <c r="J32">
        <v>0</v>
      </c>
      <c r="K32" s="26">
        <v>2017</v>
      </c>
      <c r="L32" t="s">
        <v>30</v>
      </c>
      <c r="M32" s="32">
        <v>100</v>
      </c>
      <c r="N32">
        <v>11.428783320000001</v>
      </c>
      <c r="O32">
        <v>4.8600000000000003</v>
      </c>
      <c r="P32" t="s">
        <v>26</v>
      </c>
      <c r="Q32">
        <v>93.3</v>
      </c>
      <c r="R32" t="s">
        <v>13</v>
      </c>
      <c r="S32" t="s">
        <v>14</v>
      </c>
      <c r="T32" t="s">
        <v>14</v>
      </c>
      <c r="U32" s="34">
        <v>0</v>
      </c>
      <c r="V32" s="34">
        <v>5</v>
      </c>
      <c r="W32" s="25">
        <v>2.5</v>
      </c>
      <c r="X32" s="25">
        <v>5</v>
      </c>
      <c r="Y32">
        <v>0.65959801699999998</v>
      </c>
      <c r="Z32" t="s">
        <v>797</v>
      </c>
      <c r="AA32" t="s">
        <v>663</v>
      </c>
      <c r="AB32">
        <v>1</v>
      </c>
      <c r="AC32">
        <v>5.3</v>
      </c>
      <c r="AF32" t="s">
        <v>532</v>
      </c>
      <c r="AG32" s="32" t="s">
        <v>1188</v>
      </c>
      <c r="AH32" s="32" t="s">
        <v>1180</v>
      </c>
      <c r="AI32" s="32" t="s">
        <v>1189</v>
      </c>
      <c r="AJ32" s="31">
        <v>1.8761999999999999</v>
      </c>
      <c r="AK32" s="31">
        <v>0.64600000000000002</v>
      </c>
      <c r="AL32" s="31">
        <v>3.4238</v>
      </c>
      <c r="AM32" s="31">
        <v>1.8761999999999999</v>
      </c>
      <c r="AN32" s="31">
        <v>41.939837439459815</v>
      </c>
      <c r="AO32" s="31">
        <v>22.982511538032156</v>
      </c>
      <c r="AP32" s="31">
        <v>2.766343360837005E-2</v>
      </c>
      <c r="AQ32" s="31">
        <v>1.5159219036165631E-2</v>
      </c>
      <c r="AR32" s="31">
        <v>0.11834024552794921</v>
      </c>
    </row>
    <row r="33" spans="1:44" hidden="1" x14ac:dyDescent="0.5">
      <c r="A33" s="31">
        <v>1397</v>
      </c>
      <c r="B33" s="31">
        <v>99</v>
      </c>
      <c r="D33" s="41">
        <v>-6.1006</v>
      </c>
      <c r="E33" s="51">
        <v>152.5609</v>
      </c>
      <c r="G33">
        <f t="shared" si="0"/>
        <v>0</v>
      </c>
      <c r="H33" s="32" t="s">
        <v>613</v>
      </c>
      <c r="I33">
        <v>5800</v>
      </c>
      <c r="J33">
        <v>5.5089275174810597</v>
      </c>
      <c r="K33" s="26">
        <v>2019</v>
      </c>
      <c r="L33" t="s">
        <v>30</v>
      </c>
      <c r="M33" s="32">
        <v>73</v>
      </c>
      <c r="N33">
        <v>8.1921064129999994</v>
      </c>
      <c r="O33">
        <v>12.375999999999999</v>
      </c>
      <c r="P33" t="s">
        <v>15</v>
      </c>
      <c r="Q33">
        <v>94.8</v>
      </c>
      <c r="R33" t="s">
        <v>13</v>
      </c>
      <c r="S33" t="s">
        <v>14</v>
      </c>
      <c r="T33" t="s">
        <v>14</v>
      </c>
      <c r="X33" s="25"/>
      <c r="Y33">
        <v>1.173715329</v>
      </c>
      <c r="Z33" t="s">
        <v>1110</v>
      </c>
      <c r="AA33" t="s">
        <v>622</v>
      </c>
      <c r="AB33">
        <v>1</v>
      </c>
      <c r="AC33">
        <v>53.3</v>
      </c>
      <c r="AF33" t="s">
        <v>532</v>
      </c>
      <c r="AG33" s="32" t="s">
        <v>2477</v>
      </c>
      <c r="AH33" s="32">
        <v>1</v>
      </c>
      <c r="AI33" s="32" t="s">
        <v>2477</v>
      </c>
      <c r="AJ33" s="31">
        <v>0</v>
      </c>
      <c r="AK33" s="31">
        <v>1</v>
      </c>
      <c r="AL33" s="31">
        <v>53.3</v>
      </c>
      <c r="AM33" s="31">
        <v>0</v>
      </c>
      <c r="AN33" s="31">
        <v>460.58994916972568</v>
      </c>
      <c r="AO33" s="31">
        <v>0</v>
      </c>
      <c r="AP33" s="31">
        <v>0.54060148372383787</v>
      </c>
      <c r="AQ33" s="31">
        <v>0</v>
      </c>
      <c r="AR33" s="31">
        <v>3.9950326223948073E-4</v>
      </c>
    </row>
    <row r="34" spans="1:44" hidden="1" x14ac:dyDescent="0.5">
      <c r="A34" s="31">
        <v>1398</v>
      </c>
      <c r="B34" s="31">
        <v>99</v>
      </c>
      <c r="D34" s="41">
        <v>3.9954000000000001</v>
      </c>
      <c r="E34" s="43">
        <v>134.60210000000001</v>
      </c>
      <c r="G34">
        <f t="shared" si="0"/>
        <v>0</v>
      </c>
      <c r="H34" s="32" t="s">
        <v>613</v>
      </c>
      <c r="I34">
        <v>4900</v>
      </c>
      <c r="J34">
        <v>0</v>
      </c>
      <c r="K34" s="26">
        <v>2019</v>
      </c>
      <c r="L34" t="s">
        <v>60</v>
      </c>
      <c r="M34" s="32">
        <v>73</v>
      </c>
      <c r="N34">
        <v>8.1921064129999994</v>
      </c>
      <c r="O34">
        <v>12.375999999999999</v>
      </c>
      <c r="P34" t="s">
        <v>15</v>
      </c>
      <c r="Q34">
        <v>94.8</v>
      </c>
      <c r="R34" t="s">
        <v>13</v>
      </c>
      <c r="S34" t="s">
        <v>14</v>
      </c>
      <c r="T34" t="s">
        <v>14</v>
      </c>
      <c r="X34" s="25"/>
      <c r="Y34">
        <v>1.0774796689999999</v>
      </c>
      <c r="Z34" t="s">
        <v>1110</v>
      </c>
      <c r="AA34" t="s">
        <v>622</v>
      </c>
      <c r="AB34">
        <v>1</v>
      </c>
      <c r="AC34">
        <v>53.3</v>
      </c>
      <c r="AF34" t="s">
        <v>532</v>
      </c>
      <c r="AG34" s="32" t="s">
        <v>2477</v>
      </c>
      <c r="AH34" s="32" t="s">
        <v>671</v>
      </c>
      <c r="AI34" s="32" t="s">
        <v>1129</v>
      </c>
      <c r="AJ34" s="31" t="s">
        <v>1130</v>
      </c>
      <c r="AK34" s="31">
        <v>0.59524549999999998</v>
      </c>
      <c r="AL34" s="31">
        <v>31.726585149999998</v>
      </c>
      <c r="AM34" s="31">
        <v>21.573414849999999</v>
      </c>
      <c r="AN34" s="31">
        <v>274.16409458850796</v>
      </c>
      <c r="AO34" s="31">
        <v>186.42585458121775</v>
      </c>
      <c r="AP34" s="31">
        <v>0.29540623788891024</v>
      </c>
      <c r="AQ34" s="31">
        <v>0.20087006808721261</v>
      </c>
      <c r="AR34" s="31">
        <v>9.8430191489943565E-4</v>
      </c>
    </row>
    <row r="35" spans="1:44" customFormat="1" hidden="1" x14ac:dyDescent="0.5">
      <c r="A35">
        <v>34</v>
      </c>
      <c r="B35">
        <v>3</v>
      </c>
      <c r="C35" s="226" t="s">
        <v>9</v>
      </c>
      <c r="D35" s="227">
        <v>21.6</v>
      </c>
      <c r="E35" s="228">
        <v>108.5</v>
      </c>
      <c r="F35">
        <v>0</v>
      </c>
      <c r="G35">
        <f t="shared" si="0"/>
        <v>0</v>
      </c>
      <c r="H35" t="s">
        <v>49</v>
      </c>
      <c r="I35">
        <v>0</v>
      </c>
      <c r="J35">
        <v>236.958209420126</v>
      </c>
      <c r="K35" s="26">
        <v>2018</v>
      </c>
      <c r="M35" s="30"/>
      <c r="N35">
        <v>1</v>
      </c>
      <c r="O35">
        <v>5</v>
      </c>
      <c r="P35" t="s">
        <v>50</v>
      </c>
      <c r="Q35">
        <v>93.3</v>
      </c>
      <c r="R35" t="s">
        <v>13</v>
      </c>
      <c r="S35" t="s">
        <v>14</v>
      </c>
      <c r="T35" t="s">
        <v>16</v>
      </c>
      <c r="U35" s="25">
        <v>0</v>
      </c>
      <c r="V35" s="25">
        <v>4</v>
      </c>
      <c r="W35" s="25">
        <v>2</v>
      </c>
      <c r="X35" s="25">
        <v>4</v>
      </c>
      <c r="Y35">
        <v>0.828872002</v>
      </c>
      <c r="Z35" t="s">
        <v>794</v>
      </c>
      <c r="AA35" t="s">
        <v>621</v>
      </c>
      <c r="AB35">
        <v>3</v>
      </c>
      <c r="AC35">
        <v>370</v>
      </c>
      <c r="AD35">
        <v>19</v>
      </c>
      <c r="AE35" t="s">
        <v>519</v>
      </c>
      <c r="AF35" t="s">
        <v>532</v>
      </c>
      <c r="AG35" s="30">
        <v>370</v>
      </c>
      <c r="AH35" s="30" t="s">
        <v>671</v>
      </c>
      <c r="AI35" s="30" t="s">
        <v>1129</v>
      </c>
      <c r="AJ35" t="s">
        <v>1130</v>
      </c>
      <c r="AK35">
        <v>0.59524549999999998</v>
      </c>
      <c r="AL35">
        <v>220.240835</v>
      </c>
      <c r="AM35">
        <v>149.759165</v>
      </c>
      <c r="AN35">
        <v>236.05662915326903</v>
      </c>
      <c r="AO35">
        <v>160.5135744908896</v>
      </c>
      <c r="AP35">
        <v>0.19566073079164167</v>
      </c>
      <c r="AQ35">
        <v>0.1330452078364398</v>
      </c>
      <c r="AR35">
        <v>0.55269999999999997</v>
      </c>
    </row>
    <row r="36" spans="1:44" customFormat="1" hidden="1" x14ac:dyDescent="0.5">
      <c r="A36">
        <v>35</v>
      </c>
      <c r="B36" s="1">
        <v>3</v>
      </c>
      <c r="C36" s="226" t="s">
        <v>9</v>
      </c>
      <c r="D36" s="227">
        <v>21.6</v>
      </c>
      <c r="E36" s="228">
        <v>108.8</v>
      </c>
      <c r="F36">
        <v>0</v>
      </c>
      <c r="G36">
        <f t="shared" si="0"/>
        <v>0</v>
      </c>
      <c r="H36" t="s">
        <v>49</v>
      </c>
      <c r="I36">
        <v>0</v>
      </c>
      <c r="J36">
        <v>297.30338459017099</v>
      </c>
      <c r="K36" s="26">
        <v>2018</v>
      </c>
      <c r="M36" s="30"/>
      <c r="N36">
        <v>1</v>
      </c>
      <c r="O36">
        <v>5</v>
      </c>
      <c r="P36" t="s">
        <v>50</v>
      </c>
      <c r="Q36">
        <v>93.3</v>
      </c>
      <c r="R36" t="s">
        <v>13</v>
      </c>
      <c r="S36" t="s">
        <v>14</v>
      </c>
      <c r="T36" t="s">
        <v>16</v>
      </c>
      <c r="U36" s="25">
        <v>0</v>
      </c>
      <c r="V36" s="25">
        <v>4</v>
      </c>
      <c r="W36" s="25">
        <v>2</v>
      </c>
      <c r="X36" s="25">
        <v>4</v>
      </c>
      <c r="Y36">
        <v>0.828872002</v>
      </c>
      <c r="Z36" t="s">
        <v>794</v>
      </c>
      <c r="AA36" t="s">
        <v>621</v>
      </c>
      <c r="AB36">
        <v>3</v>
      </c>
      <c r="AC36">
        <v>990</v>
      </c>
      <c r="AD36">
        <v>3</v>
      </c>
      <c r="AE36" t="s">
        <v>519</v>
      </c>
      <c r="AF36" t="s">
        <v>532</v>
      </c>
      <c r="AG36" s="30">
        <v>990</v>
      </c>
      <c r="AH36" s="30" t="s">
        <v>671</v>
      </c>
      <c r="AI36" s="30" t="s">
        <v>1129</v>
      </c>
      <c r="AJ36" t="s">
        <v>1130</v>
      </c>
      <c r="AK36">
        <v>0.59524549999999998</v>
      </c>
      <c r="AL36">
        <v>589.29304500000001</v>
      </c>
      <c r="AM36">
        <v>400.70695499999999</v>
      </c>
      <c r="AN36">
        <v>631.61098070739547</v>
      </c>
      <c r="AO36">
        <v>429.48226688102898</v>
      </c>
      <c r="AP36">
        <v>0.52352465806412229</v>
      </c>
      <c r="AQ36">
        <v>0.35598582637317677</v>
      </c>
      <c r="AR36">
        <v>0.55269999999999997</v>
      </c>
    </row>
    <row r="37" spans="1:44" customFormat="1" hidden="1" x14ac:dyDescent="0.5">
      <c r="A37">
        <v>36</v>
      </c>
      <c r="B37" s="1">
        <v>3</v>
      </c>
      <c r="C37" s="226" t="s">
        <v>9</v>
      </c>
      <c r="D37" s="227">
        <v>21.7</v>
      </c>
      <c r="E37" s="228">
        <v>108.6</v>
      </c>
      <c r="F37">
        <v>0</v>
      </c>
      <c r="G37">
        <f t="shared" si="0"/>
        <v>0</v>
      </c>
      <c r="H37" t="s">
        <v>49</v>
      </c>
      <c r="I37">
        <v>0</v>
      </c>
      <c r="J37">
        <v>253.79425908436801</v>
      </c>
      <c r="K37" s="26">
        <v>2018</v>
      </c>
      <c r="M37" s="30"/>
      <c r="N37">
        <v>1</v>
      </c>
      <c r="O37">
        <v>5</v>
      </c>
      <c r="P37" t="s">
        <v>50</v>
      </c>
      <c r="Q37">
        <v>93.3</v>
      </c>
      <c r="R37" t="s">
        <v>13</v>
      </c>
      <c r="S37" t="s">
        <v>14</v>
      </c>
      <c r="T37" t="s">
        <v>16</v>
      </c>
      <c r="U37" s="25">
        <v>0</v>
      </c>
      <c r="V37" s="25">
        <v>4</v>
      </c>
      <c r="W37" s="25">
        <v>2</v>
      </c>
      <c r="X37" s="25">
        <v>4</v>
      </c>
      <c r="Y37">
        <v>0.828872002</v>
      </c>
      <c r="Z37" t="s">
        <v>794</v>
      </c>
      <c r="AA37" t="s">
        <v>621</v>
      </c>
      <c r="AB37">
        <v>3</v>
      </c>
      <c r="AC37">
        <v>170</v>
      </c>
      <c r="AD37">
        <v>6</v>
      </c>
      <c r="AE37" t="s">
        <v>519</v>
      </c>
      <c r="AF37" t="s">
        <v>532</v>
      </c>
      <c r="AG37" s="30">
        <v>170</v>
      </c>
      <c r="AH37" s="30" t="s">
        <v>671</v>
      </c>
      <c r="AI37" s="30" t="s">
        <v>1129</v>
      </c>
      <c r="AJ37" t="s">
        <v>1130</v>
      </c>
      <c r="AK37">
        <v>0.59524549999999998</v>
      </c>
      <c r="AL37">
        <v>101.19173499999999</v>
      </c>
      <c r="AM37">
        <v>68.808265000000006</v>
      </c>
      <c r="AN37">
        <v>108.45845123258306</v>
      </c>
      <c r="AO37">
        <v>73.749480171489822</v>
      </c>
      <c r="AP37">
        <v>8.9898173606970486E-2</v>
      </c>
      <c r="AQ37">
        <v>6.1128879276202079E-2</v>
      </c>
      <c r="AR37">
        <v>0.55269999999999997</v>
      </c>
    </row>
    <row r="38" spans="1:44" customFormat="1" hidden="1" x14ac:dyDescent="0.5">
      <c r="A38">
        <v>37</v>
      </c>
      <c r="B38" s="1">
        <v>3</v>
      </c>
      <c r="C38" s="226" t="s">
        <v>9</v>
      </c>
      <c r="D38" s="227">
        <v>21.7</v>
      </c>
      <c r="E38" s="228">
        <v>108.5</v>
      </c>
      <c r="F38">
        <v>0</v>
      </c>
      <c r="G38">
        <f t="shared" si="0"/>
        <v>0</v>
      </c>
      <c r="H38" t="s">
        <v>49</v>
      </c>
      <c r="I38">
        <v>0</v>
      </c>
      <c r="J38">
        <v>234.01413712433299</v>
      </c>
      <c r="K38" s="26">
        <v>2018</v>
      </c>
      <c r="M38" s="30"/>
      <c r="N38">
        <v>1</v>
      </c>
      <c r="O38">
        <v>5</v>
      </c>
      <c r="P38" t="s">
        <v>50</v>
      </c>
      <c r="Q38">
        <v>93.3</v>
      </c>
      <c r="R38" t="s">
        <v>13</v>
      </c>
      <c r="S38" t="s">
        <v>14</v>
      </c>
      <c r="T38" t="s">
        <v>16</v>
      </c>
      <c r="U38" s="25">
        <v>0</v>
      </c>
      <c r="V38" s="25">
        <v>4</v>
      </c>
      <c r="W38" s="25">
        <v>2</v>
      </c>
      <c r="X38" s="25">
        <v>4</v>
      </c>
      <c r="Y38">
        <v>0.828872002</v>
      </c>
      <c r="Z38" t="s">
        <v>794</v>
      </c>
      <c r="AA38" t="s">
        <v>621</v>
      </c>
      <c r="AB38">
        <v>3</v>
      </c>
      <c r="AC38">
        <v>1780</v>
      </c>
      <c r="AD38">
        <v>18</v>
      </c>
      <c r="AE38" t="s">
        <v>519</v>
      </c>
      <c r="AF38" t="s">
        <v>532</v>
      </c>
      <c r="AG38" s="30">
        <v>1780</v>
      </c>
      <c r="AH38" s="30" t="s">
        <v>671</v>
      </c>
      <c r="AI38" s="30" t="s">
        <v>1129</v>
      </c>
      <c r="AJ38" t="s">
        <v>1130</v>
      </c>
      <c r="AK38">
        <v>0.59524549999999998</v>
      </c>
      <c r="AL38">
        <v>1059.5369900000001</v>
      </c>
      <c r="AM38">
        <v>720.46300999999994</v>
      </c>
      <c r="AN38">
        <v>1135.6237834941051</v>
      </c>
      <c r="AO38">
        <v>772.20043944265808</v>
      </c>
      <c r="AP38">
        <v>0.94128675894357339</v>
      </c>
      <c r="AQ38">
        <v>0.64005532418611577</v>
      </c>
      <c r="AR38">
        <v>0.55269999999999997</v>
      </c>
    </row>
    <row r="39" spans="1:44" customFormat="1" hidden="1" x14ac:dyDescent="0.5">
      <c r="A39">
        <v>38</v>
      </c>
      <c r="B39" s="1">
        <v>3</v>
      </c>
      <c r="C39" s="226" t="s">
        <v>9</v>
      </c>
      <c r="D39" s="227">
        <v>21.7</v>
      </c>
      <c r="E39" s="228">
        <v>108.5</v>
      </c>
      <c r="F39">
        <v>0</v>
      </c>
      <c r="G39">
        <f t="shared" si="0"/>
        <v>0</v>
      </c>
      <c r="H39" t="s">
        <v>49</v>
      </c>
      <c r="I39">
        <v>0</v>
      </c>
      <c r="J39">
        <v>234.01413712433299</v>
      </c>
      <c r="K39" s="26">
        <v>2018</v>
      </c>
      <c r="M39" s="30"/>
      <c r="N39">
        <v>1</v>
      </c>
      <c r="O39">
        <v>5</v>
      </c>
      <c r="P39" t="s">
        <v>50</v>
      </c>
      <c r="Q39">
        <v>93.3</v>
      </c>
      <c r="R39" t="s">
        <v>13</v>
      </c>
      <c r="S39" t="s">
        <v>14</v>
      </c>
      <c r="T39" t="s">
        <v>16</v>
      </c>
      <c r="U39" s="25">
        <v>0</v>
      </c>
      <c r="V39" s="25">
        <v>4</v>
      </c>
      <c r="W39" s="25">
        <v>2</v>
      </c>
      <c r="X39" s="25">
        <v>4</v>
      </c>
      <c r="Y39">
        <v>0.828872002</v>
      </c>
      <c r="Z39" t="s">
        <v>794</v>
      </c>
      <c r="AA39" t="s">
        <v>621</v>
      </c>
      <c r="AB39">
        <v>3</v>
      </c>
      <c r="AC39">
        <v>2200</v>
      </c>
      <c r="AD39">
        <v>27</v>
      </c>
      <c r="AE39" t="s">
        <v>519</v>
      </c>
      <c r="AF39" t="s">
        <v>532</v>
      </c>
      <c r="AG39" s="30">
        <v>2200</v>
      </c>
      <c r="AH39" s="30" t="s">
        <v>671</v>
      </c>
      <c r="AI39" s="30" t="s">
        <v>1129</v>
      </c>
      <c r="AJ39" t="s">
        <v>1130</v>
      </c>
      <c r="AK39">
        <v>0.59524549999999998</v>
      </c>
      <c r="AL39">
        <v>1309.5400999999999</v>
      </c>
      <c r="AM39">
        <v>890.45990000000006</v>
      </c>
      <c r="AN39">
        <v>1403.5799571275454</v>
      </c>
      <c r="AO39">
        <v>954.4050375133977</v>
      </c>
      <c r="AP39">
        <v>1.1633881290313828</v>
      </c>
      <c r="AQ39">
        <v>0.79107961416261507</v>
      </c>
      <c r="AR39">
        <v>0.55269999999999997</v>
      </c>
    </row>
    <row r="40" spans="1:44" customFormat="1" hidden="1" x14ac:dyDescent="0.5">
      <c r="A40">
        <v>39</v>
      </c>
      <c r="B40" s="1">
        <v>3</v>
      </c>
      <c r="C40" s="226" t="s">
        <v>9</v>
      </c>
      <c r="D40" s="227">
        <v>21.7</v>
      </c>
      <c r="E40" s="228">
        <v>108.5</v>
      </c>
      <c r="F40">
        <v>0</v>
      </c>
      <c r="G40">
        <f t="shared" si="0"/>
        <v>0</v>
      </c>
      <c r="H40" t="s">
        <v>49</v>
      </c>
      <c r="I40">
        <v>0</v>
      </c>
      <c r="J40">
        <v>234.01413712433299</v>
      </c>
      <c r="K40" s="26">
        <v>2018</v>
      </c>
      <c r="M40" s="30"/>
      <c r="N40">
        <v>1</v>
      </c>
      <c r="O40">
        <v>5</v>
      </c>
      <c r="P40" t="s">
        <v>50</v>
      </c>
      <c r="Q40">
        <v>93.3</v>
      </c>
      <c r="R40" t="s">
        <v>13</v>
      </c>
      <c r="S40" t="s">
        <v>14</v>
      </c>
      <c r="T40" t="s">
        <v>16</v>
      </c>
      <c r="U40" s="25">
        <v>0</v>
      </c>
      <c r="V40" s="25">
        <v>4</v>
      </c>
      <c r="W40" s="25">
        <v>2</v>
      </c>
      <c r="X40" s="25">
        <v>4</v>
      </c>
      <c r="Y40">
        <v>0.828872002</v>
      </c>
      <c r="Z40" t="s">
        <v>794</v>
      </c>
      <c r="AA40" t="s">
        <v>621</v>
      </c>
      <c r="AB40">
        <v>3</v>
      </c>
      <c r="AC40">
        <v>2310</v>
      </c>
      <c r="AD40">
        <v>29</v>
      </c>
      <c r="AE40" t="s">
        <v>519</v>
      </c>
      <c r="AF40" t="s">
        <v>532</v>
      </c>
      <c r="AG40" s="30">
        <v>2310</v>
      </c>
      <c r="AH40" s="30" t="s">
        <v>671</v>
      </c>
      <c r="AI40" s="30" t="s">
        <v>1129</v>
      </c>
      <c r="AJ40" t="s">
        <v>1130</v>
      </c>
      <c r="AK40">
        <v>0.59524549999999998</v>
      </c>
      <c r="AL40">
        <v>1375.0171049999999</v>
      </c>
      <c r="AM40">
        <v>934.9828950000001</v>
      </c>
      <c r="AN40">
        <v>1473.7589549839229</v>
      </c>
      <c r="AO40">
        <v>1002.1252893890676</v>
      </c>
      <c r="AP40">
        <v>1.221557535482952</v>
      </c>
      <c r="AQ40">
        <v>0.83063359487074573</v>
      </c>
      <c r="AR40">
        <v>0.55269999999999997</v>
      </c>
    </row>
    <row r="41" spans="1:44" customFormat="1" hidden="1" x14ac:dyDescent="0.5">
      <c r="A41">
        <v>40</v>
      </c>
      <c r="B41" s="1">
        <v>3</v>
      </c>
      <c r="C41" s="226" t="s">
        <v>9</v>
      </c>
      <c r="D41" s="227">
        <v>21.8</v>
      </c>
      <c r="E41" s="228">
        <v>108.5</v>
      </c>
      <c r="F41">
        <v>0</v>
      </c>
      <c r="G41">
        <f t="shared" si="0"/>
        <v>0</v>
      </c>
      <c r="H41" t="s">
        <v>49</v>
      </c>
      <c r="I41">
        <v>0</v>
      </c>
      <c r="J41">
        <v>249.11248621075899</v>
      </c>
      <c r="K41" s="26">
        <v>2018</v>
      </c>
      <c r="M41" s="30"/>
      <c r="N41">
        <v>1</v>
      </c>
      <c r="O41">
        <v>5</v>
      </c>
      <c r="P41" t="s">
        <v>50</v>
      </c>
      <c r="Q41">
        <v>93.3</v>
      </c>
      <c r="R41" t="s">
        <v>13</v>
      </c>
      <c r="S41" t="s">
        <v>14</v>
      </c>
      <c r="T41" t="s">
        <v>16</v>
      </c>
      <c r="U41" s="25">
        <v>0</v>
      </c>
      <c r="V41" s="25">
        <v>4</v>
      </c>
      <c r="W41" s="25">
        <v>2</v>
      </c>
      <c r="X41" s="25">
        <v>4</v>
      </c>
      <c r="Y41">
        <v>0.828872002</v>
      </c>
      <c r="Z41" t="s">
        <v>794</v>
      </c>
      <c r="AA41" t="s">
        <v>621</v>
      </c>
      <c r="AB41">
        <v>3</v>
      </c>
      <c r="AC41">
        <v>520</v>
      </c>
      <c r="AD41">
        <v>8</v>
      </c>
      <c r="AE41" t="s">
        <v>519</v>
      </c>
      <c r="AF41" t="s">
        <v>532</v>
      </c>
      <c r="AG41" s="30">
        <v>520</v>
      </c>
      <c r="AH41" s="30" t="s">
        <v>671</v>
      </c>
      <c r="AI41" s="30" t="s">
        <v>1129</v>
      </c>
      <c r="AJ41" t="s">
        <v>1130</v>
      </c>
      <c r="AK41">
        <v>0.59524549999999998</v>
      </c>
      <c r="AL41">
        <v>309.52765999999997</v>
      </c>
      <c r="AM41">
        <v>210.47234000000003</v>
      </c>
      <c r="AN41">
        <v>331.75526259378347</v>
      </c>
      <c r="AO41">
        <v>225.5866452304395</v>
      </c>
      <c r="AP41">
        <v>0.27498264868014499</v>
      </c>
      <c r="AQ41">
        <v>0.18698245425661814</v>
      </c>
      <c r="AR41">
        <v>0.55269999999999997</v>
      </c>
    </row>
    <row r="42" spans="1:44" customFormat="1" hidden="1" x14ac:dyDescent="0.5">
      <c r="A42">
        <v>41</v>
      </c>
      <c r="B42" s="1">
        <v>3</v>
      </c>
      <c r="C42" s="226" t="s">
        <v>9</v>
      </c>
      <c r="D42" s="227">
        <v>21.8</v>
      </c>
      <c r="E42" s="228">
        <v>108.6</v>
      </c>
      <c r="F42">
        <v>0</v>
      </c>
      <c r="G42">
        <f t="shared" si="0"/>
        <v>0</v>
      </c>
      <c r="H42" t="s">
        <v>49</v>
      </c>
      <c r="I42">
        <v>0</v>
      </c>
      <c r="J42">
        <v>260.90597118864798</v>
      </c>
      <c r="K42" s="26">
        <v>2018</v>
      </c>
      <c r="M42" s="30"/>
      <c r="N42">
        <v>1</v>
      </c>
      <c r="O42">
        <v>5</v>
      </c>
      <c r="P42" t="s">
        <v>50</v>
      </c>
      <c r="Q42">
        <v>93.3</v>
      </c>
      <c r="R42" t="s">
        <v>13</v>
      </c>
      <c r="S42" t="s">
        <v>14</v>
      </c>
      <c r="T42" t="s">
        <v>16</v>
      </c>
      <c r="U42" s="25">
        <v>0</v>
      </c>
      <c r="V42" s="25">
        <v>4</v>
      </c>
      <c r="W42" s="25">
        <v>2</v>
      </c>
      <c r="X42" s="25">
        <v>4</v>
      </c>
      <c r="Y42">
        <v>0.828872002</v>
      </c>
      <c r="Z42" t="s">
        <v>794</v>
      </c>
      <c r="AA42" t="s">
        <v>621</v>
      </c>
      <c r="AB42">
        <v>3</v>
      </c>
      <c r="AC42">
        <v>560</v>
      </c>
      <c r="AD42">
        <v>9</v>
      </c>
      <c r="AE42" t="s">
        <v>519</v>
      </c>
      <c r="AF42" t="s">
        <v>532</v>
      </c>
      <c r="AG42" s="30">
        <v>560</v>
      </c>
      <c r="AH42" s="30" t="s">
        <v>671</v>
      </c>
      <c r="AI42" s="30" t="s">
        <v>1129</v>
      </c>
      <c r="AJ42" t="s">
        <v>1130</v>
      </c>
      <c r="AK42">
        <v>0.59524549999999998</v>
      </c>
      <c r="AL42">
        <v>333.33747999999997</v>
      </c>
      <c r="AM42">
        <v>226.66252000000003</v>
      </c>
      <c r="AN42">
        <v>357.27489817792065</v>
      </c>
      <c r="AO42">
        <v>242.93946409431945</v>
      </c>
      <c r="AP42">
        <v>0.29613516011707924</v>
      </c>
      <c r="AQ42">
        <v>0.20136571996866567</v>
      </c>
      <c r="AR42">
        <v>0.55269999999999997</v>
      </c>
    </row>
    <row r="43" spans="1:44" customFormat="1" hidden="1" x14ac:dyDescent="0.5">
      <c r="A43">
        <v>42</v>
      </c>
      <c r="B43" s="1">
        <v>3</v>
      </c>
      <c r="C43" s="226" t="s">
        <v>9</v>
      </c>
      <c r="D43" s="227">
        <v>21.8</v>
      </c>
      <c r="E43" s="228">
        <v>108.4</v>
      </c>
      <c r="F43">
        <v>0</v>
      </c>
      <c r="G43">
        <f t="shared" si="0"/>
        <v>0</v>
      </c>
      <c r="H43" t="s">
        <v>49</v>
      </c>
      <c r="I43">
        <v>0</v>
      </c>
      <c r="J43">
        <v>235.112804607345</v>
      </c>
      <c r="K43" s="26">
        <v>2018</v>
      </c>
      <c r="M43" s="30"/>
      <c r="N43">
        <v>1</v>
      </c>
      <c r="O43">
        <v>5</v>
      </c>
      <c r="P43" t="s">
        <v>50</v>
      </c>
      <c r="Q43">
        <v>93.3</v>
      </c>
      <c r="R43" t="s">
        <v>13</v>
      </c>
      <c r="S43" t="s">
        <v>14</v>
      </c>
      <c r="T43" t="s">
        <v>16</v>
      </c>
      <c r="U43" s="25">
        <v>0</v>
      </c>
      <c r="V43" s="25">
        <v>4</v>
      </c>
      <c r="W43" s="25">
        <v>2</v>
      </c>
      <c r="X43" s="25">
        <v>4</v>
      </c>
      <c r="Y43">
        <v>0.828872002</v>
      </c>
      <c r="Z43" t="s">
        <v>794</v>
      </c>
      <c r="AA43" t="s">
        <v>621</v>
      </c>
      <c r="AB43">
        <v>3</v>
      </c>
      <c r="AC43">
        <v>640</v>
      </c>
      <c r="AD43">
        <v>11</v>
      </c>
      <c r="AE43" t="s">
        <v>519</v>
      </c>
      <c r="AF43" t="s">
        <v>532</v>
      </c>
      <c r="AG43" s="30">
        <v>640</v>
      </c>
      <c r="AH43" s="30" t="s">
        <v>671</v>
      </c>
      <c r="AI43" s="30" t="s">
        <v>1129</v>
      </c>
      <c r="AJ43" t="s">
        <v>1130</v>
      </c>
      <c r="AK43">
        <v>0.59524549999999998</v>
      </c>
      <c r="AL43">
        <v>380.95711999999997</v>
      </c>
      <c r="AM43">
        <v>259.04288000000003</v>
      </c>
      <c r="AN43">
        <v>408.31416934619506</v>
      </c>
      <c r="AO43">
        <v>277.64510182207937</v>
      </c>
      <c r="AP43">
        <v>0.33844018299094775</v>
      </c>
      <c r="AQ43">
        <v>0.23013225139276075</v>
      </c>
      <c r="AR43">
        <v>0.55269999999999997</v>
      </c>
    </row>
    <row r="44" spans="1:44" customFormat="1" hidden="1" x14ac:dyDescent="0.5">
      <c r="A44">
        <v>43</v>
      </c>
      <c r="B44">
        <v>3</v>
      </c>
      <c r="C44" s="226" t="s">
        <v>9</v>
      </c>
      <c r="D44" s="227">
        <v>21.8</v>
      </c>
      <c r="E44" s="228">
        <v>108.6</v>
      </c>
      <c r="F44">
        <v>0</v>
      </c>
      <c r="G44">
        <f t="shared" si="0"/>
        <v>0</v>
      </c>
      <c r="H44" t="s">
        <v>49</v>
      </c>
      <c r="I44">
        <v>0</v>
      </c>
      <c r="J44">
        <v>260.90597118864798</v>
      </c>
      <c r="K44" s="26">
        <v>2018</v>
      </c>
      <c r="M44" s="30"/>
      <c r="N44">
        <v>1</v>
      </c>
      <c r="O44">
        <v>5</v>
      </c>
      <c r="P44" t="s">
        <v>50</v>
      </c>
      <c r="Q44">
        <v>93.3</v>
      </c>
      <c r="R44" t="s">
        <v>13</v>
      </c>
      <c r="S44" t="s">
        <v>14</v>
      </c>
      <c r="T44" t="s">
        <v>16</v>
      </c>
      <c r="U44" s="25">
        <v>0</v>
      </c>
      <c r="V44" s="25">
        <v>4</v>
      </c>
      <c r="W44" s="25">
        <v>2</v>
      </c>
      <c r="X44" s="25">
        <v>4</v>
      </c>
      <c r="Y44">
        <v>0.828872002</v>
      </c>
      <c r="Z44" t="s">
        <v>794</v>
      </c>
      <c r="AA44" t="s">
        <v>621</v>
      </c>
      <c r="AB44">
        <v>3</v>
      </c>
      <c r="AC44">
        <v>940</v>
      </c>
      <c r="AD44">
        <v>17</v>
      </c>
      <c r="AE44" t="s">
        <v>519</v>
      </c>
      <c r="AF44" t="s">
        <v>532</v>
      </c>
      <c r="AG44" s="30">
        <v>940</v>
      </c>
      <c r="AH44" s="30" t="s">
        <v>671</v>
      </c>
      <c r="AI44" s="30" t="s">
        <v>1129</v>
      </c>
      <c r="AJ44" t="s">
        <v>1130</v>
      </c>
      <c r="AK44">
        <v>0.59524549999999998</v>
      </c>
      <c r="AL44">
        <v>559.53076999999996</v>
      </c>
      <c r="AM44">
        <v>380.46923000000004</v>
      </c>
      <c r="AN44">
        <v>599.711436227224</v>
      </c>
      <c r="AO44">
        <v>407.79124330117907</v>
      </c>
      <c r="AP44">
        <v>0.49708401876795449</v>
      </c>
      <c r="AQ44">
        <v>0.33800674423311738</v>
      </c>
      <c r="AR44">
        <v>0.55269999999999997</v>
      </c>
    </row>
    <row r="45" spans="1:44" hidden="1" x14ac:dyDescent="0.5">
      <c r="A45" s="31">
        <v>44</v>
      </c>
      <c r="B45" s="31">
        <v>4</v>
      </c>
      <c r="C45" s="225" t="s">
        <v>9</v>
      </c>
      <c r="D45" s="35">
        <v>22.32</v>
      </c>
      <c r="E45" s="33">
        <v>114.35</v>
      </c>
      <c r="F45">
        <v>0.01</v>
      </c>
      <c r="G45">
        <f t="shared" si="0"/>
        <v>16.093440000000001</v>
      </c>
      <c r="H45" s="32" t="s">
        <v>614</v>
      </c>
      <c r="I45">
        <v>4</v>
      </c>
      <c r="J45">
        <v>2842.4095313503999</v>
      </c>
      <c r="K45" s="26">
        <v>2015</v>
      </c>
      <c r="L45" t="s">
        <v>11</v>
      </c>
      <c r="M45" s="32">
        <v>300</v>
      </c>
      <c r="N45">
        <v>36.542166029999997</v>
      </c>
      <c r="O45">
        <v>5</v>
      </c>
      <c r="P45" t="s">
        <v>23</v>
      </c>
      <c r="Q45">
        <v>95.5</v>
      </c>
      <c r="R45" t="s">
        <v>13</v>
      </c>
      <c r="S45" t="s">
        <v>14</v>
      </c>
      <c r="T45" t="s">
        <v>16</v>
      </c>
      <c r="U45" s="34">
        <v>0</v>
      </c>
      <c r="V45" s="34">
        <v>4</v>
      </c>
      <c r="W45" s="25">
        <v>2</v>
      </c>
      <c r="X45" s="25">
        <v>4</v>
      </c>
      <c r="Y45">
        <v>0.64629065600000002</v>
      </c>
      <c r="Z45" t="s">
        <v>735</v>
      </c>
      <c r="AA45" t="s">
        <v>620</v>
      </c>
      <c r="AB45">
        <v>6</v>
      </c>
      <c r="AC45">
        <v>198.5</v>
      </c>
      <c r="AD45">
        <v>47.9</v>
      </c>
      <c r="AE45" t="s">
        <v>519</v>
      </c>
      <c r="AF45" t="s">
        <v>532</v>
      </c>
      <c r="AG45" s="32" t="s">
        <v>1192</v>
      </c>
      <c r="AH45" s="32" t="s">
        <v>1193</v>
      </c>
      <c r="AI45" s="32" t="s">
        <v>1194</v>
      </c>
      <c r="AJ45" s="31">
        <v>102.22750000000001</v>
      </c>
      <c r="AK45" s="31">
        <v>0.48499999999999999</v>
      </c>
      <c r="AL45" s="31">
        <v>96.272499999999994</v>
      </c>
      <c r="AM45" s="31">
        <v>102.22750000000001</v>
      </c>
      <c r="AN45" s="31">
        <v>3683.7755802336906</v>
      </c>
      <c r="AO45" s="31">
        <v>3911.6379872584553</v>
      </c>
      <c r="AP45" s="31">
        <v>2.3807897363060126</v>
      </c>
      <c r="AQ45" s="31">
        <v>2.5280550808197866</v>
      </c>
      <c r="AR45" s="31">
        <v>0.13288496611575845</v>
      </c>
    </row>
    <row r="46" spans="1:44" hidden="1" x14ac:dyDescent="0.5">
      <c r="A46" s="31">
        <v>45</v>
      </c>
      <c r="B46" s="31">
        <v>4</v>
      </c>
      <c r="C46" s="225" t="s">
        <v>9</v>
      </c>
      <c r="D46" s="35">
        <v>22.36</v>
      </c>
      <c r="E46" s="33">
        <v>114.29</v>
      </c>
      <c r="F46">
        <v>0.01</v>
      </c>
      <c r="G46">
        <f t="shared" si="0"/>
        <v>16.093440000000001</v>
      </c>
      <c r="H46" s="32" t="s">
        <v>614</v>
      </c>
      <c r="I46">
        <v>4</v>
      </c>
      <c r="J46">
        <v>2718.4334025590902</v>
      </c>
      <c r="K46" s="26">
        <v>2017</v>
      </c>
      <c r="L46" t="s">
        <v>11</v>
      </c>
      <c r="M46" s="32">
        <v>300</v>
      </c>
      <c r="N46">
        <v>36.542166029999997</v>
      </c>
      <c r="O46">
        <v>5</v>
      </c>
      <c r="P46" t="s">
        <v>23</v>
      </c>
      <c r="Q46">
        <v>95.5</v>
      </c>
      <c r="R46" t="s">
        <v>13</v>
      </c>
      <c r="S46" t="s">
        <v>14</v>
      </c>
      <c r="T46" t="s">
        <v>16</v>
      </c>
      <c r="U46" s="34">
        <v>0</v>
      </c>
      <c r="V46" s="34">
        <v>4</v>
      </c>
      <c r="W46" s="25">
        <v>2</v>
      </c>
      <c r="X46" s="25">
        <v>4</v>
      </c>
      <c r="Y46">
        <v>0.64629065600000002</v>
      </c>
      <c r="Z46" t="s">
        <v>735</v>
      </c>
      <c r="AA46" t="s">
        <v>620</v>
      </c>
      <c r="AB46">
        <v>6</v>
      </c>
      <c r="AC46">
        <v>223</v>
      </c>
      <c r="AD46">
        <v>51.4</v>
      </c>
      <c r="AE46" t="s">
        <v>519</v>
      </c>
      <c r="AF46" t="s">
        <v>532</v>
      </c>
      <c r="AG46" s="32">
        <v>223</v>
      </c>
      <c r="AH46" s="32" t="s">
        <v>1193</v>
      </c>
      <c r="AI46" s="32" t="s">
        <v>1195</v>
      </c>
      <c r="AJ46" s="31">
        <v>114.845</v>
      </c>
      <c r="AK46" s="31">
        <v>0.48499999999999999</v>
      </c>
      <c r="AL46" s="31">
        <v>108.155</v>
      </c>
      <c r="AM46" s="31">
        <v>114.845</v>
      </c>
      <c r="AN46" s="31">
        <v>4138.4481329577484</v>
      </c>
      <c r="AO46" s="31">
        <v>4394.4346154087434</v>
      </c>
      <c r="AP46" s="31">
        <v>2.6746403586712386</v>
      </c>
      <c r="AQ46" s="31">
        <v>2.8400820303416245</v>
      </c>
      <c r="AR46" s="31">
        <v>0.13288496611575845</v>
      </c>
    </row>
    <row r="47" spans="1:44" hidden="1" x14ac:dyDescent="0.5">
      <c r="A47" s="31">
        <v>46</v>
      </c>
      <c r="B47" s="31">
        <v>4</v>
      </c>
      <c r="C47" s="225" t="s">
        <v>9</v>
      </c>
      <c r="D47" s="35">
        <v>22.5</v>
      </c>
      <c r="E47" s="33">
        <v>114.36</v>
      </c>
      <c r="F47">
        <v>0.01</v>
      </c>
      <c r="G47">
        <f t="shared" si="0"/>
        <v>16.093440000000001</v>
      </c>
      <c r="H47" s="32" t="s">
        <v>614</v>
      </c>
      <c r="I47">
        <v>4</v>
      </c>
      <c r="J47">
        <v>2395.0698088179201</v>
      </c>
      <c r="K47" s="26">
        <v>2017</v>
      </c>
      <c r="L47" t="s">
        <v>11</v>
      </c>
      <c r="M47" s="32">
        <v>300</v>
      </c>
      <c r="N47">
        <v>36.542166029999997</v>
      </c>
      <c r="O47">
        <v>5</v>
      </c>
      <c r="P47" t="s">
        <v>23</v>
      </c>
      <c r="Q47">
        <v>95.5</v>
      </c>
      <c r="R47" t="s">
        <v>13</v>
      </c>
      <c r="S47" t="s">
        <v>14</v>
      </c>
      <c r="T47" t="s">
        <v>16</v>
      </c>
      <c r="U47" s="34">
        <v>0</v>
      </c>
      <c r="V47" s="34">
        <v>4</v>
      </c>
      <c r="W47" s="25">
        <v>2</v>
      </c>
      <c r="X47" s="25">
        <v>4</v>
      </c>
      <c r="Y47">
        <v>0.64629065600000002</v>
      </c>
      <c r="Z47" t="s">
        <v>735</v>
      </c>
      <c r="AA47" t="s">
        <v>620</v>
      </c>
      <c r="AB47">
        <v>6</v>
      </c>
      <c r="AC47">
        <v>171.7</v>
      </c>
      <c r="AD47">
        <v>57.6</v>
      </c>
      <c r="AE47" t="s">
        <v>519</v>
      </c>
      <c r="AF47" t="s">
        <v>532</v>
      </c>
      <c r="AG47" s="32" t="s">
        <v>1196</v>
      </c>
      <c r="AH47" s="32" t="s">
        <v>1193</v>
      </c>
      <c r="AI47" s="32" t="s">
        <v>1197</v>
      </c>
      <c r="AJ47" s="31">
        <v>88.4255</v>
      </c>
      <c r="AK47" s="31">
        <v>0.48499999999999999</v>
      </c>
      <c r="AL47" s="31">
        <v>83.274499999999989</v>
      </c>
      <c r="AM47" s="31">
        <v>88.4255</v>
      </c>
      <c r="AN47" s="31">
        <v>3186.419481743701</v>
      </c>
      <c r="AO47" s="31">
        <v>3383.5175940165072</v>
      </c>
      <c r="AP47" s="31">
        <v>2.0593531371473164</v>
      </c>
      <c r="AQ47" s="31">
        <v>2.1867358054244703</v>
      </c>
      <c r="AR47" s="31">
        <v>0.13288496611575845</v>
      </c>
    </row>
    <row r="48" spans="1:44" hidden="1" x14ac:dyDescent="0.5">
      <c r="A48" s="31">
        <v>47</v>
      </c>
      <c r="B48" s="31">
        <v>4</v>
      </c>
      <c r="C48" s="225" t="s">
        <v>9</v>
      </c>
      <c r="D48" s="35">
        <v>22.52</v>
      </c>
      <c r="E48" s="33">
        <v>114.31</v>
      </c>
      <c r="F48">
        <v>0.03</v>
      </c>
      <c r="G48">
        <f t="shared" si="0"/>
        <v>48.280320000000003</v>
      </c>
      <c r="H48" s="32" t="s">
        <v>614</v>
      </c>
      <c r="I48">
        <v>4</v>
      </c>
      <c r="J48">
        <v>2357.7331453639499</v>
      </c>
      <c r="K48" s="26">
        <v>2017</v>
      </c>
      <c r="L48" t="s">
        <v>11</v>
      </c>
      <c r="M48" s="32">
        <v>300</v>
      </c>
      <c r="N48">
        <v>36.542166029999997</v>
      </c>
      <c r="O48">
        <v>5</v>
      </c>
      <c r="P48" t="s">
        <v>23</v>
      </c>
      <c r="Q48">
        <v>95.5</v>
      </c>
      <c r="R48" t="s">
        <v>13</v>
      </c>
      <c r="S48" t="s">
        <v>14</v>
      </c>
      <c r="T48" t="s">
        <v>16</v>
      </c>
      <c r="U48" s="34">
        <v>0</v>
      </c>
      <c r="V48" s="34">
        <v>4</v>
      </c>
      <c r="W48" s="25">
        <v>2</v>
      </c>
      <c r="X48" s="25">
        <v>4</v>
      </c>
      <c r="Y48">
        <v>0.64629065600000002</v>
      </c>
      <c r="Z48" t="s">
        <v>735</v>
      </c>
      <c r="AA48" t="s">
        <v>620</v>
      </c>
      <c r="AB48">
        <v>6</v>
      </c>
      <c r="AC48">
        <v>185</v>
      </c>
      <c r="AD48">
        <v>38.299999999999997</v>
      </c>
      <c r="AE48" t="s">
        <v>519</v>
      </c>
      <c r="AF48" t="s">
        <v>532</v>
      </c>
      <c r="AG48" s="32">
        <v>185</v>
      </c>
      <c r="AH48" s="32" t="s">
        <v>1193</v>
      </c>
      <c r="AI48" s="32" t="s">
        <v>1198</v>
      </c>
      <c r="AJ48" s="31">
        <v>95.275000000000006</v>
      </c>
      <c r="AK48" s="31">
        <v>0.48499999999999999</v>
      </c>
      <c r="AL48" s="31">
        <v>89.724999999999994</v>
      </c>
      <c r="AM48" s="31">
        <v>95.275000000000006</v>
      </c>
      <c r="AN48" s="31">
        <v>3433.2417246510468</v>
      </c>
      <c r="AO48" s="31">
        <v>3645.6071921552357</v>
      </c>
      <c r="AP48" s="31">
        <v>2.2188720464312968</v>
      </c>
      <c r="AQ48" s="31">
        <v>2.3561218637363255</v>
      </c>
      <c r="AR48" s="31">
        <v>0.13288496611575845</v>
      </c>
    </row>
    <row r="49" spans="1:44" hidden="1" x14ac:dyDescent="0.5">
      <c r="A49" s="31">
        <v>48</v>
      </c>
      <c r="B49" s="31">
        <v>5</v>
      </c>
      <c r="C49" s="225" t="s">
        <v>9</v>
      </c>
      <c r="D49" s="35">
        <v>21.37</v>
      </c>
      <c r="E49" s="33">
        <v>108.46</v>
      </c>
      <c r="F49">
        <v>0</v>
      </c>
      <c r="G49">
        <f t="shared" si="0"/>
        <v>0</v>
      </c>
      <c r="H49" s="32" t="s">
        <v>10</v>
      </c>
      <c r="I49">
        <v>0</v>
      </c>
      <c r="J49">
        <v>245.80776552493401</v>
      </c>
      <c r="K49" s="26">
        <v>2016</v>
      </c>
      <c r="L49" t="s">
        <v>11</v>
      </c>
      <c r="M49" s="32">
        <v>160</v>
      </c>
      <c r="N49">
        <v>18.7913915</v>
      </c>
      <c r="O49">
        <v>5</v>
      </c>
      <c r="P49" t="s">
        <v>22</v>
      </c>
      <c r="Q49">
        <v>92.7</v>
      </c>
      <c r="R49" t="s">
        <v>13</v>
      </c>
      <c r="S49" t="s">
        <v>14</v>
      </c>
      <c r="T49" t="s">
        <v>16</v>
      </c>
      <c r="U49" s="34">
        <v>0</v>
      </c>
      <c r="V49" s="34">
        <v>2</v>
      </c>
      <c r="W49" s="25">
        <v>1</v>
      </c>
      <c r="X49" s="25">
        <v>2</v>
      </c>
      <c r="Y49" s="32">
        <v>0.64629065600000002</v>
      </c>
      <c r="Z49" t="s">
        <v>735</v>
      </c>
      <c r="AA49" t="s">
        <v>620</v>
      </c>
      <c r="AB49">
        <v>1</v>
      </c>
      <c r="AC49">
        <v>76</v>
      </c>
      <c r="AF49" t="s">
        <v>532</v>
      </c>
      <c r="AG49" s="32" t="s">
        <v>3473</v>
      </c>
      <c r="AH49" s="32" t="s">
        <v>1199</v>
      </c>
      <c r="AI49" s="32" t="s">
        <v>1200</v>
      </c>
      <c r="AJ49" s="31" t="s">
        <v>2738</v>
      </c>
      <c r="AK49" s="31">
        <v>5.0000000000000001E-3</v>
      </c>
      <c r="AL49" s="31">
        <v>0.38</v>
      </c>
      <c r="AM49" s="31">
        <v>75.62</v>
      </c>
      <c r="AN49" s="31">
        <v>7.7030515318230854</v>
      </c>
      <c r="AO49" s="31">
        <v>1532.907254832794</v>
      </c>
      <c r="AP49" s="31">
        <v>4.9784102277037473E-3</v>
      </c>
      <c r="AQ49" s="31">
        <v>0.99070363531304562</v>
      </c>
      <c r="AR49" s="31">
        <v>0.13341858489683281</v>
      </c>
    </row>
    <row r="50" spans="1:44" hidden="1" x14ac:dyDescent="0.5">
      <c r="A50" s="31">
        <v>49</v>
      </c>
      <c r="B50" s="31">
        <v>5</v>
      </c>
      <c r="C50" s="225" t="s">
        <v>9</v>
      </c>
      <c r="D50" s="35">
        <v>21.38</v>
      </c>
      <c r="E50" s="33">
        <v>108.43</v>
      </c>
      <c r="F50">
        <v>0</v>
      </c>
      <c r="G50">
        <f t="shared" si="0"/>
        <v>0</v>
      </c>
      <c r="H50" s="32" t="s">
        <v>10</v>
      </c>
      <c r="I50">
        <v>0</v>
      </c>
      <c r="J50">
        <v>240.79640465217901</v>
      </c>
      <c r="K50" s="26">
        <v>2016</v>
      </c>
      <c r="L50" t="s">
        <v>11</v>
      </c>
      <c r="M50" s="32">
        <v>160</v>
      </c>
      <c r="N50">
        <v>18.7913915</v>
      </c>
      <c r="O50">
        <v>5</v>
      </c>
      <c r="P50" t="s">
        <v>22</v>
      </c>
      <c r="Q50">
        <v>92.7</v>
      </c>
      <c r="R50" t="s">
        <v>13</v>
      </c>
      <c r="S50" t="s">
        <v>14</v>
      </c>
      <c r="T50" t="s">
        <v>16</v>
      </c>
      <c r="U50" s="34">
        <v>0</v>
      </c>
      <c r="V50" s="34">
        <v>2</v>
      </c>
      <c r="W50" s="25">
        <v>1</v>
      </c>
      <c r="X50" s="25">
        <v>2</v>
      </c>
      <c r="Y50" s="32">
        <v>0.64629065600000002</v>
      </c>
      <c r="Z50" t="s">
        <v>735</v>
      </c>
      <c r="AA50" t="s">
        <v>620</v>
      </c>
      <c r="AB50">
        <v>1</v>
      </c>
      <c r="AC50">
        <v>20</v>
      </c>
      <c r="AF50" t="s">
        <v>532</v>
      </c>
      <c r="AG50" s="32">
        <v>20</v>
      </c>
      <c r="AH50" s="32" t="s">
        <v>1199</v>
      </c>
      <c r="AI50" s="32" t="s">
        <v>1201</v>
      </c>
      <c r="AJ50" s="31" t="s">
        <v>2739</v>
      </c>
      <c r="AK50" s="31">
        <v>5.0000000000000001E-3</v>
      </c>
      <c r="AL50" s="31">
        <v>0.1</v>
      </c>
      <c r="AM50" s="31">
        <v>19.899999999999999</v>
      </c>
      <c r="AN50" s="31">
        <v>2.0271188241639697</v>
      </c>
      <c r="AO50" s="31">
        <v>403.39664600863</v>
      </c>
      <c r="AP50" s="31">
        <v>1.3101079546588806E-3</v>
      </c>
      <c r="AQ50" s="31">
        <v>0.26071148297711727</v>
      </c>
      <c r="AR50" s="31">
        <v>0.13341858489683281</v>
      </c>
    </row>
    <row r="51" spans="1:44" hidden="1" x14ac:dyDescent="0.5">
      <c r="A51" s="31">
        <v>50</v>
      </c>
      <c r="B51" s="31">
        <v>5</v>
      </c>
      <c r="C51" s="225" t="s">
        <v>9</v>
      </c>
      <c r="D51" s="35">
        <v>21.38</v>
      </c>
      <c r="E51" s="33">
        <v>108.43</v>
      </c>
      <c r="F51">
        <v>0</v>
      </c>
      <c r="G51">
        <f t="shared" si="0"/>
        <v>0</v>
      </c>
      <c r="H51" s="32" t="s">
        <v>10</v>
      </c>
      <c r="I51">
        <v>0</v>
      </c>
      <c r="J51">
        <v>240.79640465217901</v>
      </c>
      <c r="K51" s="26">
        <v>2016</v>
      </c>
      <c r="L51" t="s">
        <v>11</v>
      </c>
      <c r="M51" s="32">
        <v>160</v>
      </c>
      <c r="N51">
        <v>18.7913915</v>
      </c>
      <c r="O51">
        <v>5</v>
      </c>
      <c r="P51" t="s">
        <v>22</v>
      </c>
      <c r="Q51">
        <v>92.7</v>
      </c>
      <c r="R51" t="s">
        <v>13</v>
      </c>
      <c r="S51" t="s">
        <v>14</v>
      </c>
      <c r="T51" t="s">
        <v>16</v>
      </c>
      <c r="U51" s="34">
        <v>0</v>
      </c>
      <c r="V51" s="34">
        <v>2</v>
      </c>
      <c r="W51" s="25">
        <v>1</v>
      </c>
      <c r="X51" s="25">
        <v>2</v>
      </c>
      <c r="Y51" s="32">
        <v>0.64629065600000002</v>
      </c>
      <c r="Z51" t="s">
        <v>735</v>
      </c>
      <c r="AA51" t="s">
        <v>620</v>
      </c>
      <c r="AB51">
        <v>1</v>
      </c>
      <c r="AC51">
        <v>12852</v>
      </c>
      <c r="AF51" t="s">
        <v>532</v>
      </c>
      <c r="AG51" s="32">
        <v>12852</v>
      </c>
      <c r="AH51" s="32" t="s">
        <v>1199</v>
      </c>
      <c r="AI51" s="32" t="s">
        <v>1202</v>
      </c>
      <c r="AJ51" s="31" t="s">
        <v>2740</v>
      </c>
      <c r="AK51" s="31">
        <v>5.0000000000000001E-3</v>
      </c>
      <c r="AL51" s="31">
        <v>64.260000000000005</v>
      </c>
      <c r="AM51" s="31">
        <v>12787.74</v>
      </c>
      <c r="AN51" s="31">
        <v>1302.6265564077671</v>
      </c>
      <c r="AO51" s="31">
        <v>259222.68472514561</v>
      </c>
      <c r="AP51" s="31">
        <v>0.84187537166379678</v>
      </c>
      <c r="AQ51" s="31">
        <v>167.53319896109554</v>
      </c>
      <c r="AR51" s="31">
        <v>0.13341858489683281</v>
      </c>
    </row>
    <row r="52" spans="1:44" hidden="1" x14ac:dyDescent="0.5">
      <c r="A52" s="31">
        <v>51</v>
      </c>
      <c r="B52" s="31">
        <v>5</v>
      </c>
      <c r="C52" s="225" t="s">
        <v>9</v>
      </c>
      <c r="D52" s="35">
        <v>21.51</v>
      </c>
      <c r="E52" s="33">
        <v>108.35</v>
      </c>
      <c r="F52">
        <v>0</v>
      </c>
      <c r="G52">
        <f t="shared" si="0"/>
        <v>0</v>
      </c>
      <c r="H52" s="32" t="s">
        <v>10</v>
      </c>
      <c r="I52">
        <v>0</v>
      </c>
      <c r="J52">
        <v>220.00973045586801</v>
      </c>
      <c r="K52" s="26">
        <v>2016</v>
      </c>
      <c r="L52" t="s">
        <v>11</v>
      </c>
      <c r="M52" s="32">
        <v>160</v>
      </c>
      <c r="N52">
        <v>18.7913915</v>
      </c>
      <c r="O52">
        <v>5</v>
      </c>
      <c r="P52" t="s">
        <v>22</v>
      </c>
      <c r="Q52">
        <v>92.7</v>
      </c>
      <c r="R52" t="s">
        <v>13</v>
      </c>
      <c r="S52" t="s">
        <v>14</v>
      </c>
      <c r="T52" t="s">
        <v>16</v>
      </c>
      <c r="U52" s="34">
        <v>0</v>
      </c>
      <c r="V52" s="34">
        <v>2</v>
      </c>
      <c r="W52" s="25">
        <v>1</v>
      </c>
      <c r="X52" s="25">
        <v>2</v>
      </c>
      <c r="Y52" s="32">
        <v>0.64629065600000002</v>
      </c>
      <c r="Z52" t="s">
        <v>735</v>
      </c>
      <c r="AA52" t="s">
        <v>620</v>
      </c>
      <c r="AB52">
        <v>1</v>
      </c>
      <c r="AC52">
        <v>116</v>
      </c>
      <c r="AF52" t="s">
        <v>532</v>
      </c>
      <c r="AG52" s="32">
        <v>116</v>
      </c>
      <c r="AH52" s="32" t="s">
        <v>1199</v>
      </c>
      <c r="AI52" s="32" t="s">
        <v>1203</v>
      </c>
      <c r="AJ52" s="31" t="s">
        <v>2741</v>
      </c>
      <c r="AK52" s="31">
        <v>5.0000000000000001E-3</v>
      </c>
      <c r="AL52" s="31">
        <v>0.57999999999999996</v>
      </c>
      <c r="AM52" s="31">
        <v>115.42</v>
      </c>
      <c r="AN52" s="31">
        <v>11.757289180151025</v>
      </c>
      <c r="AO52" s="31">
        <v>2339.7005468500538</v>
      </c>
      <c r="AP52" s="31">
        <v>7.5986261370215085E-3</v>
      </c>
      <c r="AQ52" s="31">
        <v>1.51212660126728</v>
      </c>
      <c r="AR52" s="31">
        <v>0.13341858489683281</v>
      </c>
    </row>
    <row r="53" spans="1:44" hidden="1" x14ac:dyDescent="0.5">
      <c r="A53" s="31">
        <v>52</v>
      </c>
      <c r="B53" s="31">
        <v>5</v>
      </c>
      <c r="C53" s="225" t="s">
        <v>9</v>
      </c>
      <c r="D53" s="35">
        <v>21.42</v>
      </c>
      <c r="E53" s="33">
        <v>108.41</v>
      </c>
      <c r="F53">
        <v>0</v>
      </c>
      <c r="G53">
        <f t="shared" si="0"/>
        <v>0</v>
      </c>
      <c r="H53" s="32" t="s">
        <v>49</v>
      </c>
      <c r="I53">
        <v>0</v>
      </c>
      <c r="J53">
        <v>234.44682105692999</v>
      </c>
      <c r="K53" s="26">
        <v>2016</v>
      </c>
      <c r="L53" t="s">
        <v>11</v>
      </c>
      <c r="M53" s="32">
        <v>160</v>
      </c>
      <c r="N53">
        <v>18.7913915</v>
      </c>
      <c r="O53">
        <v>5</v>
      </c>
      <c r="P53" t="s">
        <v>22</v>
      </c>
      <c r="Q53">
        <v>92.7</v>
      </c>
      <c r="R53" t="s">
        <v>13</v>
      </c>
      <c r="S53" t="s">
        <v>14</v>
      </c>
      <c r="T53" t="s">
        <v>16</v>
      </c>
      <c r="U53" s="34">
        <v>0</v>
      </c>
      <c r="V53" s="34">
        <v>2</v>
      </c>
      <c r="W53" s="25">
        <v>1</v>
      </c>
      <c r="X53" s="25">
        <v>2</v>
      </c>
      <c r="Y53" s="32">
        <v>0.828872002</v>
      </c>
      <c r="Z53" t="s">
        <v>794</v>
      </c>
      <c r="AA53" t="s">
        <v>621</v>
      </c>
      <c r="AB53">
        <v>1</v>
      </c>
      <c r="AC53">
        <v>70</v>
      </c>
      <c r="AF53" t="s">
        <v>532</v>
      </c>
      <c r="AG53" s="32">
        <v>70</v>
      </c>
      <c r="AH53" s="32" t="s">
        <v>1199</v>
      </c>
      <c r="AI53" s="32" t="s">
        <v>1204</v>
      </c>
      <c r="AJ53" s="31" t="s">
        <v>2742</v>
      </c>
      <c r="AK53" s="31">
        <v>5.0000000000000001E-3</v>
      </c>
      <c r="AL53" s="31">
        <v>0.35000000000000003</v>
      </c>
      <c r="AM53" s="31">
        <v>69.650000000000006</v>
      </c>
      <c r="AN53" s="31">
        <v>7.0949158845738953</v>
      </c>
      <c r="AO53" s="31">
        <v>1411.8882610302051</v>
      </c>
      <c r="AP53" s="31">
        <v>5.8807771332683653E-3</v>
      </c>
      <c r="AQ53" s="31">
        <v>1.1702746495204046</v>
      </c>
      <c r="AR53" s="31">
        <v>0.55269999999999997</v>
      </c>
    </row>
    <row r="54" spans="1:44" hidden="1" x14ac:dyDescent="0.5">
      <c r="A54" s="31">
        <v>53</v>
      </c>
      <c r="B54" s="31">
        <v>5</v>
      </c>
      <c r="C54" s="225" t="s">
        <v>9</v>
      </c>
      <c r="D54" s="35">
        <v>21.42</v>
      </c>
      <c r="E54" s="33">
        <v>108.41</v>
      </c>
      <c r="F54">
        <v>0.02</v>
      </c>
      <c r="G54">
        <f t="shared" si="0"/>
        <v>32.186880000000002</v>
      </c>
      <c r="H54" s="32" t="s">
        <v>49</v>
      </c>
      <c r="I54">
        <v>0</v>
      </c>
      <c r="J54">
        <v>234.44682105692999</v>
      </c>
      <c r="K54" s="26">
        <v>2016</v>
      </c>
      <c r="L54" t="s">
        <v>11</v>
      </c>
      <c r="M54" s="32">
        <v>360</v>
      </c>
      <c r="N54">
        <v>44.316764409999998</v>
      </c>
      <c r="O54">
        <v>4.8</v>
      </c>
      <c r="P54" t="s">
        <v>22</v>
      </c>
      <c r="Q54">
        <v>92.7</v>
      </c>
      <c r="R54" t="s">
        <v>13</v>
      </c>
      <c r="S54" t="s">
        <v>14</v>
      </c>
      <c r="T54" t="s">
        <v>16</v>
      </c>
      <c r="U54" s="34">
        <v>0</v>
      </c>
      <c r="V54" s="34">
        <v>2</v>
      </c>
      <c r="W54" s="25">
        <v>1</v>
      </c>
      <c r="X54" s="25">
        <v>2</v>
      </c>
      <c r="Y54" s="32">
        <v>0.828872002</v>
      </c>
      <c r="Z54" t="s">
        <v>794</v>
      </c>
      <c r="AA54" t="s">
        <v>621</v>
      </c>
      <c r="AB54">
        <v>1</v>
      </c>
      <c r="AC54">
        <v>1298</v>
      </c>
      <c r="AF54" t="s">
        <v>532</v>
      </c>
      <c r="AG54" s="32">
        <v>1298</v>
      </c>
      <c r="AH54" s="32" t="s">
        <v>1199</v>
      </c>
      <c r="AI54" s="32" t="s">
        <v>1205</v>
      </c>
      <c r="AJ54" s="31" t="s">
        <v>2743</v>
      </c>
      <c r="AK54" s="31">
        <v>5.0000000000000001E-3</v>
      </c>
      <c r="AL54" s="31">
        <v>6.49</v>
      </c>
      <c r="AM54" s="31">
        <v>1291.51</v>
      </c>
      <c r="AN54" s="31">
        <v>310.26515751984897</v>
      </c>
      <c r="AO54" s="31">
        <v>61742.766346449935</v>
      </c>
      <c r="AP54" s="31">
        <v>0.25717010226432258</v>
      </c>
      <c r="AQ54" s="31">
        <v>51.176850350600184</v>
      </c>
      <c r="AR54" s="31">
        <v>0.55269999999999997</v>
      </c>
    </row>
    <row r="55" spans="1:44" hidden="1" x14ac:dyDescent="0.5">
      <c r="A55" s="31">
        <v>54</v>
      </c>
      <c r="B55" s="31">
        <v>5</v>
      </c>
      <c r="C55" s="225" t="s">
        <v>9</v>
      </c>
      <c r="D55" s="35">
        <v>21.44</v>
      </c>
      <c r="E55" s="33">
        <v>108.35</v>
      </c>
      <c r="F55">
        <v>0</v>
      </c>
      <c r="G55">
        <f t="shared" si="0"/>
        <v>0</v>
      </c>
      <c r="H55" s="32" t="s">
        <v>49</v>
      </c>
      <c r="I55">
        <v>0</v>
      </c>
      <c r="J55">
        <v>225.750670769355</v>
      </c>
      <c r="K55" s="26">
        <v>2016</v>
      </c>
      <c r="L55" t="s">
        <v>11</v>
      </c>
      <c r="M55" s="32">
        <v>160</v>
      </c>
      <c r="N55">
        <v>18.7913915</v>
      </c>
      <c r="O55">
        <v>5</v>
      </c>
      <c r="P55" t="s">
        <v>22</v>
      </c>
      <c r="Q55">
        <v>92.7</v>
      </c>
      <c r="R55" t="s">
        <v>13</v>
      </c>
      <c r="S55" t="s">
        <v>14</v>
      </c>
      <c r="T55" t="s">
        <v>16</v>
      </c>
      <c r="U55" s="34">
        <v>0</v>
      </c>
      <c r="V55" s="34">
        <v>2</v>
      </c>
      <c r="W55" s="25">
        <v>1</v>
      </c>
      <c r="X55" s="25">
        <v>2</v>
      </c>
      <c r="Y55" s="32">
        <v>0.828872002</v>
      </c>
      <c r="Z55" t="s">
        <v>794</v>
      </c>
      <c r="AA55" t="s">
        <v>621</v>
      </c>
      <c r="AB55">
        <v>1</v>
      </c>
      <c r="AC55">
        <v>80</v>
      </c>
      <c r="AF55" t="s">
        <v>532</v>
      </c>
      <c r="AG55" s="32">
        <v>80</v>
      </c>
      <c r="AH55" s="32" t="s">
        <v>1199</v>
      </c>
      <c r="AI55" s="32" t="s">
        <v>1206</v>
      </c>
      <c r="AJ55" s="31" t="s">
        <v>2744</v>
      </c>
      <c r="AK55" s="31">
        <v>5.0000000000000001E-3</v>
      </c>
      <c r="AL55" s="31">
        <v>0.4</v>
      </c>
      <c r="AM55" s="31">
        <v>79.599999999999994</v>
      </c>
      <c r="AN55" s="31">
        <v>8.1084752966558789</v>
      </c>
      <c r="AO55" s="31">
        <v>1613.58658403452</v>
      </c>
      <c r="AP55" s="31">
        <v>6.7208881523067024E-3</v>
      </c>
      <c r="AQ55" s="31">
        <v>1.3374567423090338</v>
      </c>
      <c r="AR55" s="31">
        <v>0.55269999999999997</v>
      </c>
    </row>
    <row r="56" spans="1:44" hidden="1" x14ac:dyDescent="0.5">
      <c r="A56" s="31">
        <v>55</v>
      </c>
      <c r="B56" s="31">
        <v>5</v>
      </c>
      <c r="C56" s="225" t="s">
        <v>9</v>
      </c>
      <c r="D56" s="35">
        <v>21.44</v>
      </c>
      <c r="E56" s="33">
        <v>108.35</v>
      </c>
      <c r="F56">
        <v>0.01</v>
      </c>
      <c r="G56">
        <f t="shared" si="0"/>
        <v>16.093440000000001</v>
      </c>
      <c r="H56" s="32" t="s">
        <v>49</v>
      </c>
      <c r="I56">
        <v>0</v>
      </c>
      <c r="J56">
        <v>225.750670769355</v>
      </c>
      <c r="K56" s="26">
        <v>2016</v>
      </c>
      <c r="L56" t="s">
        <v>11</v>
      </c>
      <c r="M56" s="32">
        <v>360</v>
      </c>
      <c r="N56">
        <v>44.316764409999998</v>
      </c>
      <c r="O56">
        <v>4.8</v>
      </c>
      <c r="P56" t="s">
        <v>22</v>
      </c>
      <c r="Q56">
        <v>92.7</v>
      </c>
      <c r="R56" t="s">
        <v>13</v>
      </c>
      <c r="S56" t="s">
        <v>14</v>
      </c>
      <c r="T56" t="s">
        <v>16</v>
      </c>
      <c r="U56" s="34">
        <v>0</v>
      </c>
      <c r="V56" s="34">
        <v>2</v>
      </c>
      <c r="W56" s="25">
        <v>1</v>
      </c>
      <c r="X56" s="25">
        <v>2</v>
      </c>
      <c r="Y56" s="32">
        <v>0.828872002</v>
      </c>
      <c r="Z56" t="s">
        <v>794</v>
      </c>
      <c r="AA56" t="s">
        <v>621</v>
      </c>
      <c r="AB56">
        <v>1</v>
      </c>
      <c r="AC56">
        <v>6168</v>
      </c>
      <c r="AF56" t="s">
        <v>532</v>
      </c>
      <c r="AG56" s="32">
        <v>6168</v>
      </c>
      <c r="AH56" s="32" t="s">
        <v>1199</v>
      </c>
      <c r="AI56" s="32" t="s">
        <v>1207</v>
      </c>
      <c r="AJ56" s="31" t="s">
        <v>2745</v>
      </c>
      <c r="AK56" s="31">
        <v>5.0000000000000001E-3</v>
      </c>
      <c r="AL56" s="31">
        <v>30.84</v>
      </c>
      <c r="AM56" s="31">
        <v>6137.16</v>
      </c>
      <c r="AN56" s="31">
        <v>1474.3570813423946</v>
      </c>
      <c r="AO56" s="31">
        <v>293397.05918713659</v>
      </c>
      <c r="AP56" s="31">
        <v>1.2220533056751475</v>
      </c>
      <c r="AQ56" s="31">
        <v>243.18860782935437</v>
      </c>
      <c r="AR56" s="31">
        <v>0.55269999999999997</v>
      </c>
    </row>
    <row r="57" spans="1:44" hidden="1" x14ac:dyDescent="0.5">
      <c r="A57" s="31">
        <v>56</v>
      </c>
      <c r="B57" s="31">
        <v>5</v>
      </c>
      <c r="C57" s="225" t="s">
        <v>9</v>
      </c>
      <c r="D57" s="35">
        <v>21.48</v>
      </c>
      <c r="E57" s="33">
        <v>108.35</v>
      </c>
      <c r="F57">
        <v>0.01</v>
      </c>
      <c r="G57">
        <f t="shared" si="0"/>
        <v>16.093440000000001</v>
      </c>
      <c r="H57" s="32" t="s">
        <v>49</v>
      </c>
      <c r="I57">
        <v>0</v>
      </c>
      <c r="J57">
        <v>222.56172018689</v>
      </c>
      <c r="K57" s="26">
        <v>2016</v>
      </c>
      <c r="L57" t="s">
        <v>11</v>
      </c>
      <c r="M57" s="32">
        <v>360</v>
      </c>
      <c r="N57">
        <v>44.316764409999998</v>
      </c>
      <c r="O57">
        <v>4.8</v>
      </c>
      <c r="P57" t="s">
        <v>22</v>
      </c>
      <c r="Q57">
        <v>92.7</v>
      </c>
      <c r="R57" t="s">
        <v>13</v>
      </c>
      <c r="S57" t="s">
        <v>14</v>
      </c>
      <c r="T57" t="s">
        <v>16</v>
      </c>
      <c r="U57" s="34">
        <v>0</v>
      </c>
      <c r="V57" s="34">
        <v>2</v>
      </c>
      <c r="W57" s="25">
        <v>1</v>
      </c>
      <c r="X57" s="25">
        <v>2</v>
      </c>
      <c r="Y57" s="32">
        <v>0.828872002</v>
      </c>
      <c r="Z57" t="s">
        <v>794</v>
      </c>
      <c r="AA57" t="s">
        <v>621</v>
      </c>
      <c r="AB57">
        <v>1</v>
      </c>
      <c r="AC57">
        <v>20</v>
      </c>
      <c r="AF57" t="s">
        <v>532</v>
      </c>
      <c r="AG57" s="32">
        <v>20</v>
      </c>
      <c r="AH57" s="32" t="s">
        <v>1199</v>
      </c>
      <c r="AI57" s="32" t="s">
        <v>1201</v>
      </c>
      <c r="AJ57" s="31" t="s">
        <v>2739</v>
      </c>
      <c r="AK57" s="31">
        <v>5.0000000000000001E-3</v>
      </c>
      <c r="AL57" s="31">
        <v>0.1</v>
      </c>
      <c r="AM57" s="31">
        <v>19.899999999999999</v>
      </c>
      <c r="AN57" s="31">
        <v>4.780664984897518</v>
      </c>
      <c r="AO57" s="31">
        <v>951.35233199460617</v>
      </c>
      <c r="AP57" s="31">
        <v>3.9625593569233052E-3</v>
      </c>
      <c r="AQ57" s="31">
        <v>0.78854931202773793</v>
      </c>
      <c r="AR57" s="31">
        <v>0.55269999999999997</v>
      </c>
    </row>
    <row r="58" spans="1:44" hidden="1" x14ac:dyDescent="0.5">
      <c r="A58" s="31">
        <v>57</v>
      </c>
      <c r="B58" s="31">
        <v>5</v>
      </c>
      <c r="C58" s="225" t="s">
        <v>9</v>
      </c>
      <c r="D58" s="35">
        <v>21.48</v>
      </c>
      <c r="E58" s="33">
        <v>108.35</v>
      </c>
      <c r="F58">
        <v>0</v>
      </c>
      <c r="G58">
        <f t="shared" si="0"/>
        <v>0</v>
      </c>
      <c r="H58" s="32" t="s">
        <v>49</v>
      </c>
      <c r="I58">
        <v>0</v>
      </c>
      <c r="J58">
        <v>222.56172018689</v>
      </c>
      <c r="K58" s="26">
        <v>2016</v>
      </c>
      <c r="L58" t="s">
        <v>11</v>
      </c>
      <c r="M58" s="32">
        <v>160</v>
      </c>
      <c r="N58">
        <v>18.7913915</v>
      </c>
      <c r="O58">
        <v>5</v>
      </c>
      <c r="P58" t="s">
        <v>22</v>
      </c>
      <c r="Q58">
        <v>92.7</v>
      </c>
      <c r="R58" t="s">
        <v>13</v>
      </c>
      <c r="S58" t="s">
        <v>14</v>
      </c>
      <c r="T58" t="s">
        <v>16</v>
      </c>
      <c r="U58" s="34">
        <v>0</v>
      </c>
      <c r="V58" s="34">
        <v>2</v>
      </c>
      <c r="W58" s="25">
        <v>1</v>
      </c>
      <c r="X58" s="25">
        <v>2</v>
      </c>
      <c r="Y58" s="32">
        <v>0.828872002</v>
      </c>
      <c r="Z58" t="s">
        <v>794</v>
      </c>
      <c r="AA58" t="s">
        <v>621</v>
      </c>
      <c r="AB58">
        <v>1</v>
      </c>
      <c r="AC58">
        <v>35</v>
      </c>
      <c r="AF58" t="s">
        <v>532</v>
      </c>
      <c r="AG58" s="32">
        <v>35</v>
      </c>
      <c r="AH58" s="32" t="s">
        <v>1199</v>
      </c>
      <c r="AI58" s="32" t="s">
        <v>1208</v>
      </c>
      <c r="AJ58" s="31" t="s">
        <v>2746</v>
      </c>
      <c r="AK58" s="31">
        <v>5.0000000000000001E-3</v>
      </c>
      <c r="AL58" s="31">
        <v>0.17500000000000002</v>
      </c>
      <c r="AM58" s="31">
        <v>34.825000000000003</v>
      </c>
      <c r="AN58" s="31">
        <v>3.5474579422869477</v>
      </c>
      <c r="AO58" s="31">
        <v>705.94413051510253</v>
      </c>
      <c r="AP58" s="31">
        <v>2.9403885666341827E-3</v>
      </c>
      <c r="AQ58" s="31">
        <v>0.5851373247602023</v>
      </c>
      <c r="AR58" s="31">
        <v>0.55269999999999997</v>
      </c>
    </row>
    <row r="59" spans="1:44" hidden="1" x14ac:dyDescent="0.5">
      <c r="A59" s="31">
        <v>58</v>
      </c>
      <c r="B59" s="31">
        <v>5</v>
      </c>
      <c r="C59" s="225" t="s">
        <v>9</v>
      </c>
      <c r="D59" s="35">
        <v>21.49</v>
      </c>
      <c r="E59" s="33">
        <v>108.29</v>
      </c>
      <c r="F59">
        <v>0.02</v>
      </c>
      <c r="G59">
        <f t="shared" si="0"/>
        <v>32.186880000000002</v>
      </c>
      <c r="H59" s="32" t="s">
        <v>49</v>
      </c>
      <c r="I59">
        <v>0</v>
      </c>
      <c r="J59">
        <v>216.289333523826</v>
      </c>
      <c r="K59" s="26">
        <v>2016</v>
      </c>
      <c r="L59" t="s">
        <v>11</v>
      </c>
      <c r="M59" s="32">
        <v>160</v>
      </c>
      <c r="N59">
        <v>18.7913915</v>
      </c>
      <c r="O59">
        <v>5</v>
      </c>
      <c r="P59" t="s">
        <v>22</v>
      </c>
      <c r="Q59">
        <v>92.7</v>
      </c>
      <c r="R59" t="s">
        <v>13</v>
      </c>
      <c r="S59" t="s">
        <v>14</v>
      </c>
      <c r="T59" t="s">
        <v>16</v>
      </c>
      <c r="U59" s="34">
        <v>0</v>
      </c>
      <c r="V59" s="34">
        <v>2</v>
      </c>
      <c r="W59" s="25">
        <v>1</v>
      </c>
      <c r="X59" s="25">
        <v>2</v>
      </c>
      <c r="Y59" s="32">
        <v>0.828872002</v>
      </c>
      <c r="Z59" t="s">
        <v>794</v>
      </c>
      <c r="AA59" t="s">
        <v>621</v>
      </c>
      <c r="AB59">
        <v>1</v>
      </c>
      <c r="AC59">
        <v>60</v>
      </c>
      <c r="AF59" t="s">
        <v>532</v>
      </c>
      <c r="AG59" s="32">
        <v>60</v>
      </c>
      <c r="AH59" s="32" t="s">
        <v>1199</v>
      </c>
      <c r="AI59" s="32" t="s">
        <v>1209</v>
      </c>
      <c r="AJ59" s="31" t="s">
        <v>2747</v>
      </c>
      <c r="AK59" s="31">
        <v>5.0000000000000001E-3</v>
      </c>
      <c r="AL59" s="31">
        <v>0.3</v>
      </c>
      <c r="AM59" s="31">
        <v>59.7</v>
      </c>
      <c r="AN59" s="31">
        <v>6.0813564724919091</v>
      </c>
      <c r="AO59" s="31">
        <v>1210.1899380258897</v>
      </c>
      <c r="AP59" s="31">
        <v>5.0406661142300265E-3</v>
      </c>
      <c r="AQ59" s="31">
        <v>1.003092556731775</v>
      </c>
      <c r="AR59" s="31">
        <v>0.55269999999999997</v>
      </c>
    </row>
    <row r="60" spans="1:44" hidden="1" x14ac:dyDescent="0.5">
      <c r="A60" s="31">
        <v>59</v>
      </c>
      <c r="B60" s="31">
        <v>5</v>
      </c>
      <c r="C60" s="225" t="s">
        <v>9</v>
      </c>
      <c r="D60" s="35">
        <v>21.49</v>
      </c>
      <c r="E60" s="33">
        <v>108.29</v>
      </c>
      <c r="F60">
        <v>0.01</v>
      </c>
      <c r="G60">
        <f t="shared" si="0"/>
        <v>16.093440000000001</v>
      </c>
      <c r="H60" s="32" t="s">
        <v>49</v>
      </c>
      <c r="I60">
        <v>0</v>
      </c>
      <c r="J60">
        <v>216.289333523826</v>
      </c>
      <c r="K60" s="26">
        <v>2016</v>
      </c>
      <c r="L60" t="s">
        <v>11</v>
      </c>
      <c r="M60" s="32">
        <v>360</v>
      </c>
      <c r="N60">
        <v>44.316764409999998</v>
      </c>
      <c r="O60">
        <v>4.8</v>
      </c>
      <c r="P60" t="s">
        <v>22</v>
      </c>
      <c r="Q60">
        <v>92.7</v>
      </c>
      <c r="R60" t="s">
        <v>13</v>
      </c>
      <c r="S60" t="s">
        <v>14</v>
      </c>
      <c r="T60" t="s">
        <v>16</v>
      </c>
      <c r="U60" s="34">
        <v>0</v>
      </c>
      <c r="V60" s="34">
        <v>2</v>
      </c>
      <c r="W60" s="25">
        <v>1</v>
      </c>
      <c r="X60" s="25">
        <v>2</v>
      </c>
      <c r="Y60" s="32">
        <v>0.828872002</v>
      </c>
      <c r="Z60" t="s">
        <v>794</v>
      </c>
      <c r="AA60" t="s">
        <v>621</v>
      </c>
      <c r="AB60">
        <v>1</v>
      </c>
      <c r="AC60">
        <v>598</v>
      </c>
      <c r="AF60" t="s">
        <v>532</v>
      </c>
      <c r="AG60" s="32">
        <v>598</v>
      </c>
      <c r="AH60" s="32" t="s">
        <v>1199</v>
      </c>
      <c r="AI60" s="32" t="s">
        <v>1210</v>
      </c>
      <c r="AJ60" s="31" t="s">
        <v>2748</v>
      </c>
      <c r="AK60" s="31">
        <v>5.0000000000000001E-3</v>
      </c>
      <c r="AL60" s="31">
        <v>2.99</v>
      </c>
      <c r="AM60" s="31">
        <v>595.01</v>
      </c>
      <c r="AN60" s="31">
        <v>142.94188304843581</v>
      </c>
      <c r="AO60" s="31">
        <v>28445.434726638723</v>
      </c>
      <c r="AP60" s="31">
        <v>0.11848052477200685</v>
      </c>
      <c r="AQ60" s="31">
        <v>23.57762442962936</v>
      </c>
      <c r="AR60" s="31">
        <v>0.55269999999999997</v>
      </c>
    </row>
    <row r="61" spans="1:44" hidden="1" x14ac:dyDescent="0.5">
      <c r="A61" s="31">
        <v>60</v>
      </c>
      <c r="B61" s="31">
        <v>5</v>
      </c>
      <c r="C61" s="225" t="s">
        <v>9</v>
      </c>
      <c r="D61" s="35">
        <v>21.5</v>
      </c>
      <c r="E61" s="33">
        <v>108.36</v>
      </c>
      <c r="F61">
        <v>0.16</v>
      </c>
      <c r="G61">
        <f t="shared" si="0"/>
        <v>257.49504000000002</v>
      </c>
      <c r="H61" s="32" t="s">
        <v>49</v>
      </c>
      <c r="I61">
        <v>0</v>
      </c>
      <c r="J61">
        <v>221.82462829928801</v>
      </c>
      <c r="K61" s="26">
        <v>2016</v>
      </c>
      <c r="L61" t="s">
        <v>11</v>
      </c>
      <c r="M61" s="32">
        <v>360</v>
      </c>
      <c r="N61">
        <v>44.316764409999998</v>
      </c>
      <c r="O61">
        <v>4.8</v>
      </c>
      <c r="P61" t="s">
        <v>22</v>
      </c>
      <c r="Q61">
        <v>92.7</v>
      </c>
      <c r="R61" t="s">
        <v>13</v>
      </c>
      <c r="S61" t="s">
        <v>14</v>
      </c>
      <c r="T61" t="s">
        <v>16</v>
      </c>
      <c r="U61" s="34">
        <v>0</v>
      </c>
      <c r="V61" s="34">
        <v>2</v>
      </c>
      <c r="W61" s="25">
        <v>1</v>
      </c>
      <c r="X61" s="25">
        <v>2</v>
      </c>
      <c r="Y61" s="32">
        <v>0.828872002</v>
      </c>
      <c r="Z61" t="s">
        <v>794</v>
      </c>
      <c r="AA61" t="s">
        <v>621</v>
      </c>
      <c r="AB61">
        <v>1</v>
      </c>
      <c r="AC61">
        <v>1443</v>
      </c>
      <c r="AF61" t="s">
        <v>532</v>
      </c>
      <c r="AG61" s="32">
        <v>1443</v>
      </c>
      <c r="AH61" s="32" t="s">
        <v>1199</v>
      </c>
      <c r="AI61" s="32" t="s">
        <v>1211</v>
      </c>
      <c r="AJ61" s="31" t="s">
        <v>2749</v>
      </c>
      <c r="AK61" s="31">
        <v>5.0000000000000001E-3</v>
      </c>
      <c r="AL61" s="31">
        <v>7.2149999999999999</v>
      </c>
      <c r="AM61" s="31">
        <v>1435.7850000000001</v>
      </c>
      <c r="AN61" s="31">
        <v>344.92497866035598</v>
      </c>
      <c r="AO61" s="31">
        <v>68640.070753410837</v>
      </c>
      <c r="AP61" s="31">
        <v>0.28589865760201655</v>
      </c>
      <c r="AQ61" s="31">
        <v>56.89383286280129</v>
      </c>
      <c r="AR61" s="31">
        <v>0.55269999999999997</v>
      </c>
    </row>
    <row r="62" spans="1:44" hidden="1" x14ac:dyDescent="0.5">
      <c r="A62" s="31">
        <v>61</v>
      </c>
      <c r="B62" s="31">
        <v>5</v>
      </c>
      <c r="C62" s="225" t="s">
        <v>9</v>
      </c>
      <c r="D62" s="35">
        <v>21.51</v>
      </c>
      <c r="E62" s="33">
        <v>108.29</v>
      </c>
      <c r="F62">
        <v>0</v>
      </c>
      <c r="G62">
        <f t="shared" si="0"/>
        <v>0</v>
      </c>
      <c r="H62" s="32" t="s">
        <v>49</v>
      </c>
      <c r="I62">
        <v>0</v>
      </c>
      <c r="J62">
        <v>214.72416813624801</v>
      </c>
      <c r="K62" s="26">
        <v>2016</v>
      </c>
      <c r="L62" t="s">
        <v>11</v>
      </c>
      <c r="M62" s="32">
        <v>160</v>
      </c>
      <c r="N62">
        <v>18.7913915</v>
      </c>
      <c r="O62">
        <v>5</v>
      </c>
      <c r="P62" t="s">
        <v>22</v>
      </c>
      <c r="Q62">
        <v>92.7</v>
      </c>
      <c r="R62" t="s">
        <v>13</v>
      </c>
      <c r="S62" t="s">
        <v>14</v>
      </c>
      <c r="T62" t="s">
        <v>16</v>
      </c>
      <c r="U62" s="34">
        <v>0</v>
      </c>
      <c r="V62" s="34">
        <v>2</v>
      </c>
      <c r="W62" s="25">
        <v>1</v>
      </c>
      <c r="X62" s="25">
        <v>2</v>
      </c>
      <c r="Y62" s="32">
        <v>0.828872002</v>
      </c>
      <c r="Z62" t="s">
        <v>794</v>
      </c>
      <c r="AA62" t="s">
        <v>621</v>
      </c>
      <c r="AB62">
        <v>1</v>
      </c>
      <c r="AC62">
        <v>20</v>
      </c>
      <c r="AF62" t="s">
        <v>532</v>
      </c>
      <c r="AG62" s="32">
        <v>20</v>
      </c>
      <c r="AH62" s="32" t="s">
        <v>1199</v>
      </c>
      <c r="AI62" s="32" t="s">
        <v>1201</v>
      </c>
      <c r="AJ62" s="31" t="s">
        <v>2739</v>
      </c>
      <c r="AK62" s="31">
        <v>5.0000000000000001E-3</v>
      </c>
      <c r="AL62" s="31">
        <v>0.1</v>
      </c>
      <c r="AM62" s="31">
        <v>19.899999999999999</v>
      </c>
      <c r="AN62" s="31">
        <v>2.0271188241639697</v>
      </c>
      <c r="AO62" s="31">
        <v>403.39664600863</v>
      </c>
      <c r="AP62" s="31">
        <v>1.6802220380766756E-3</v>
      </c>
      <c r="AQ62" s="31">
        <v>0.33436418557725844</v>
      </c>
      <c r="AR62" s="31">
        <v>0.55269999999999997</v>
      </c>
    </row>
    <row r="63" spans="1:44" hidden="1" x14ac:dyDescent="0.5">
      <c r="A63" s="31">
        <v>62</v>
      </c>
      <c r="B63" s="31">
        <v>5</v>
      </c>
      <c r="C63" s="225" t="s">
        <v>9</v>
      </c>
      <c r="D63" s="35">
        <v>21.51</v>
      </c>
      <c r="E63" s="33">
        <v>108.29</v>
      </c>
      <c r="F63">
        <v>0.01</v>
      </c>
      <c r="G63">
        <f t="shared" si="0"/>
        <v>16.093440000000001</v>
      </c>
      <c r="H63" s="32" t="s">
        <v>49</v>
      </c>
      <c r="I63">
        <v>0</v>
      </c>
      <c r="J63">
        <v>214.72416813624801</v>
      </c>
      <c r="K63" s="26">
        <v>2016</v>
      </c>
      <c r="L63" t="s">
        <v>11</v>
      </c>
      <c r="M63" s="32">
        <v>360</v>
      </c>
      <c r="N63">
        <v>44.316764409999998</v>
      </c>
      <c r="O63">
        <v>4.8</v>
      </c>
      <c r="P63" t="s">
        <v>22</v>
      </c>
      <c r="Q63">
        <v>92.7</v>
      </c>
      <c r="R63" t="s">
        <v>13</v>
      </c>
      <c r="S63" t="s">
        <v>14</v>
      </c>
      <c r="T63" t="s">
        <v>16</v>
      </c>
      <c r="U63" s="34">
        <v>0</v>
      </c>
      <c r="V63" s="34">
        <v>2</v>
      </c>
      <c r="W63" s="25">
        <v>1</v>
      </c>
      <c r="X63" s="25">
        <v>2</v>
      </c>
      <c r="Y63" s="32">
        <v>0.828872002</v>
      </c>
      <c r="Z63" t="s">
        <v>794</v>
      </c>
      <c r="AA63" t="s">
        <v>621</v>
      </c>
      <c r="AB63">
        <v>1</v>
      </c>
      <c r="AC63">
        <v>306</v>
      </c>
      <c r="AF63" t="s">
        <v>532</v>
      </c>
      <c r="AG63" s="32">
        <v>306</v>
      </c>
      <c r="AH63" s="32" t="s">
        <v>1199</v>
      </c>
      <c r="AI63" s="32" t="s">
        <v>1212</v>
      </c>
      <c r="AJ63" s="31" t="s">
        <v>2750</v>
      </c>
      <c r="AK63" s="31">
        <v>5.0000000000000001E-3</v>
      </c>
      <c r="AL63" s="31">
        <v>1.53</v>
      </c>
      <c r="AM63" s="31">
        <v>304.47000000000003</v>
      </c>
      <c r="AN63" s="31">
        <v>73.144174268932034</v>
      </c>
      <c r="AO63" s="31">
        <v>14555.690679517476</v>
      </c>
      <c r="AP63" s="31">
        <v>6.0627158160926585E-2</v>
      </c>
      <c r="AQ63" s="31">
        <v>12.064804474024392</v>
      </c>
      <c r="AR63" s="31">
        <v>0.55269999999999997</v>
      </c>
    </row>
    <row r="64" spans="1:44" hidden="1" x14ac:dyDescent="0.5">
      <c r="A64" s="31">
        <v>63</v>
      </c>
      <c r="B64" s="31">
        <v>5</v>
      </c>
      <c r="C64" s="225" t="s">
        <v>9</v>
      </c>
      <c r="D64" s="35">
        <v>21.53</v>
      </c>
      <c r="E64" s="33">
        <v>108.33</v>
      </c>
      <c r="F64">
        <v>0</v>
      </c>
      <c r="G64">
        <f t="shared" si="0"/>
        <v>0</v>
      </c>
      <c r="H64" s="32" t="s">
        <v>49</v>
      </c>
      <c r="I64">
        <v>0</v>
      </c>
      <c r="J64">
        <v>216.53272877263299</v>
      </c>
      <c r="K64" s="26">
        <v>2016</v>
      </c>
      <c r="L64" t="s">
        <v>11</v>
      </c>
      <c r="M64" s="32">
        <v>160</v>
      </c>
      <c r="N64">
        <v>18.7913915</v>
      </c>
      <c r="O64">
        <v>5</v>
      </c>
      <c r="P64" t="s">
        <v>22</v>
      </c>
      <c r="Q64">
        <v>92.7</v>
      </c>
      <c r="R64" t="s">
        <v>13</v>
      </c>
      <c r="S64" t="s">
        <v>14</v>
      </c>
      <c r="T64" t="s">
        <v>16</v>
      </c>
      <c r="U64" s="34">
        <v>0</v>
      </c>
      <c r="V64" s="34">
        <v>2</v>
      </c>
      <c r="W64" s="25">
        <v>1</v>
      </c>
      <c r="X64" s="25">
        <v>2</v>
      </c>
      <c r="Y64" s="32">
        <v>0.828872002</v>
      </c>
      <c r="Z64" t="s">
        <v>794</v>
      </c>
      <c r="AA64" t="s">
        <v>621</v>
      </c>
      <c r="AB64">
        <v>1</v>
      </c>
      <c r="AC64">
        <v>15</v>
      </c>
      <c r="AF64" t="s">
        <v>532</v>
      </c>
      <c r="AG64" s="32">
        <v>15</v>
      </c>
      <c r="AH64" s="32" t="s">
        <v>1199</v>
      </c>
      <c r="AI64" s="32" t="s">
        <v>1213</v>
      </c>
      <c r="AJ64" s="31" t="s">
        <v>2751</v>
      </c>
      <c r="AK64" s="31">
        <v>5.0000000000000001E-3</v>
      </c>
      <c r="AL64" s="31">
        <v>7.4999999999999997E-2</v>
      </c>
      <c r="AM64" s="31">
        <v>14.925000000000001</v>
      </c>
      <c r="AN64" s="31">
        <v>1.5203391181229773</v>
      </c>
      <c r="AO64" s="31">
        <v>302.54748450647241</v>
      </c>
      <c r="AP64" s="31">
        <v>1.2601665285575066E-3</v>
      </c>
      <c r="AQ64" s="31">
        <v>0.25077313918294375</v>
      </c>
      <c r="AR64" s="31">
        <v>0.55269999999999997</v>
      </c>
    </row>
    <row r="65" spans="1:44" hidden="1" x14ac:dyDescent="0.5">
      <c r="A65" s="31">
        <v>64</v>
      </c>
      <c r="B65" s="31">
        <v>5</v>
      </c>
      <c r="C65" s="225" t="s">
        <v>9</v>
      </c>
      <c r="D65" s="35">
        <v>21.53</v>
      </c>
      <c r="E65" s="33">
        <v>108.33</v>
      </c>
      <c r="F65">
        <v>0</v>
      </c>
      <c r="G65">
        <f t="shared" si="0"/>
        <v>0</v>
      </c>
      <c r="H65" s="32" t="s">
        <v>49</v>
      </c>
      <c r="I65">
        <v>0</v>
      </c>
      <c r="J65">
        <v>216.53272877263299</v>
      </c>
      <c r="K65" s="26">
        <v>2016</v>
      </c>
      <c r="L65" t="s">
        <v>11</v>
      </c>
      <c r="M65" s="32">
        <v>360</v>
      </c>
      <c r="N65">
        <v>44.316764409999998</v>
      </c>
      <c r="O65">
        <v>4.8</v>
      </c>
      <c r="P65" t="s">
        <v>22</v>
      </c>
      <c r="Q65">
        <v>92.7</v>
      </c>
      <c r="R65" t="s">
        <v>13</v>
      </c>
      <c r="S65" t="s">
        <v>14</v>
      </c>
      <c r="T65" t="s">
        <v>16</v>
      </c>
      <c r="U65" s="34">
        <v>0</v>
      </c>
      <c r="V65" s="34">
        <v>2</v>
      </c>
      <c r="W65" s="25">
        <v>1</v>
      </c>
      <c r="X65" s="25">
        <v>2</v>
      </c>
      <c r="Y65" s="32">
        <v>0.828872002</v>
      </c>
      <c r="Z65" t="s">
        <v>794</v>
      </c>
      <c r="AA65" t="s">
        <v>621</v>
      </c>
      <c r="AB65">
        <v>1</v>
      </c>
      <c r="AC65">
        <v>3234</v>
      </c>
      <c r="AF65" t="s">
        <v>532</v>
      </c>
      <c r="AG65" s="32">
        <v>3234</v>
      </c>
      <c r="AH65" s="32" t="s">
        <v>1199</v>
      </c>
      <c r="AI65" s="32" t="s">
        <v>1214</v>
      </c>
      <c r="AJ65" s="31" t="s">
        <v>2752</v>
      </c>
      <c r="AK65" s="31">
        <v>5.0000000000000001E-3</v>
      </c>
      <c r="AL65" s="31">
        <v>16.170000000000002</v>
      </c>
      <c r="AM65" s="31">
        <v>3217.83</v>
      </c>
      <c r="AN65" s="31">
        <v>773.03352805792883</v>
      </c>
      <c r="AO65" s="31">
        <v>153833.67208352784</v>
      </c>
      <c r="AP65" s="31">
        <v>0.64074584801449863</v>
      </c>
      <c r="AQ65" s="31">
        <v>127.50842375488523</v>
      </c>
      <c r="AR65" s="31">
        <v>0.55269999999999997</v>
      </c>
    </row>
    <row r="66" spans="1:44" hidden="1" x14ac:dyDescent="0.5">
      <c r="A66" s="31">
        <v>65</v>
      </c>
      <c r="B66" s="31">
        <v>6</v>
      </c>
      <c r="C66" s="225" t="s">
        <v>9</v>
      </c>
      <c r="D66" s="35">
        <v>29.5</v>
      </c>
      <c r="E66" s="33">
        <v>121.51</v>
      </c>
      <c r="F66">
        <v>2.2999999999999998</v>
      </c>
      <c r="G66">
        <f t="shared" si="0"/>
        <v>3701.4911999999999</v>
      </c>
      <c r="H66" s="32" t="s">
        <v>614</v>
      </c>
      <c r="I66">
        <v>0</v>
      </c>
      <c r="J66">
        <v>742.13695954624995</v>
      </c>
      <c r="K66" s="26">
        <v>2017</v>
      </c>
      <c r="L66" t="s">
        <v>11</v>
      </c>
      <c r="M66" s="32">
        <v>10</v>
      </c>
      <c r="N66">
        <v>0.99999999799999995</v>
      </c>
      <c r="O66">
        <v>8.25</v>
      </c>
      <c r="P66" t="s">
        <v>23</v>
      </c>
      <c r="Q66">
        <v>95.5</v>
      </c>
      <c r="R66" t="s">
        <v>13</v>
      </c>
      <c r="S66" t="s">
        <v>14</v>
      </c>
      <c r="T66" t="s">
        <v>16</v>
      </c>
      <c r="U66" s="34">
        <v>0</v>
      </c>
      <c r="V66" s="34">
        <v>5</v>
      </c>
      <c r="W66" s="25">
        <v>2.5</v>
      </c>
      <c r="X66" s="25">
        <v>5</v>
      </c>
      <c r="Y66">
        <v>0.61037440899999995</v>
      </c>
      <c r="AA66" t="s">
        <v>619</v>
      </c>
      <c r="AB66">
        <v>3</v>
      </c>
      <c r="AC66">
        <v>417</v>
      </c>
      <c r="AD66">
        <v>88</v>
      </c>
      <c r="AE66" t="s">
        <v>519</v>
      </c>
      <c r="AF66" t="s">
        <v>532</v>
      </c>
      <c r="AG66" s="32">
        <v>417</v>
      </c>
      <c r="AH66" s="32" t="s">
        <v>671</v>
      </c>
      <c r="AI66" s="32" t="s">
        <v>1129</v>
      </c>
      <c r="AJ66" s="31" t="s">
        <v>1130</v>
      </c>
      <c r="AK66" s="31">
        <v>0.59524549999999998</v>
      </c>
      <c r="AL66" s="31">
        <v>248.21737349999998</v>
      </c>
      <c r="AM66" s="31">
        <v>168.78262650000002</v>
      </c>
      <c r="AN66" s="31">
        <v>259.91347958488507</v>
      </c>
      <c r="AO66" s="31">
        <v>176.73573420150234</v>
      </c>
      <c r="AP66" s="31">
        <v>0.15864453649275778</v>
      </c>
      <c r="AQ66" s="31">
        <v>0.10787496931242307</v>
      </c>
      <c r="AR66" s="31">
        <v>0.13341858489683281</v>
      </c>
    </row>
    <row r="67" spans="1:44" hidden="1" x14ac:dyDescent="0.5">
      <c r="A67" s="31">
        <v>66</v>
      </c>
      <c r="B67" s="31">
        <v>6</v>
      </c>
      <c r="C67" s="225" t="s">
        <v>9</v>
      </c>
      <c r="D67" s="35">
        <v>29.51</v>
      </c>
      <c r="E67" s="33">
        <v>121.5</v>
      </c>
      <c r="F67">
        <v>1.49</v>
      </c>
      <c r="G67">
        <f t="shared" ref="G67:G79" si="1">F67*1609.344</f>
        <v>2397.92256</v>
      </c>
      <c r="H67" s="32" t="s">
        <v>614</v>
      </c>
      <c r="I67">
        <v>0</v>
      </c>
      <c r="J67">
        <v>738.26796898184296</v>
      </c>
      <c r="K67" s="26">
        <v>2017</v>
      </c>
      <c r="L67" t="s">
        <v>11</v>
      </c>
      <c r="M67" s="32">
        <v>10</v>
      </c>
      <c r="N67">
        <v>0.99999999799999995</v>
      </c>
      <c r="O67">
        <v>8.25</v>
      </c>
      <c r="P67" t="s">
        <v>23</v>
      </c>
      <c r="Q67">
        <v>95.5</v>
      </c>
      <c r="R67" t="s">
        <v>13</v>
      </c>
      <c r="S67" t="s">
        <v>14</v>
      </c>
      <c r="T67" t="s">
        <v>16</v>
      </c>
      <c r="U67" s="34">
        <v>0</v>
      </c>
      <c r="V67" s="34">
        <v>5</v>
      </c>
      <c r="W67" s="25">
        <v>2.5</v>
      </c>
      <c r="X67" s="25">
        <v>5</v>
      </c>
      <c r="Y67">
        <v>0.61037440899999995</v>
      </c>
      <c r="AA67" t="s">
        <v>619</v>
      </c>
      <c r="AB67">
        <v>3</v>
      </c>
      <c r="AC67">
        <v>792</v>
      </c>
      <c r="AD67">
        <v>123.5</v>
      </c>
      <c r="AE67" t="s">
        <v>519</v>
      </c>
      <c r="AF67" t="s">
        <v>532</v>
      </c>
      <c r="AG67" s="32">
        <v>792</v>
      </c>
      <c r="AH67" s="32" t="s">
        <v>671</v>
      </c>
      <c r="AI67" s="32" t="s">
        <v>1129</v>
      </c>
      <c r="AJ67" s="31" t="s">
        <v>1130</v>
      </c>
      <c r="AK67" s="31">
        <v>0.59524549999999998</v>
      </c>
      <c r="AL67" s="31">
        <v>471.43443600000001</v>
      </c>
      <c r="AM67" s="31">
        <v>320.56556399999999</v>
      </c>
      <c r="AN67" s="31">
        <v>493.64862309647231</v>
      </c>
      <c r="AO67" s="31">
        <v>335.67074697263757</v>
      </c>
      <c r="AP67" s="31">
        <v>0.30131048657617299</v>
      </c>
      <c r="AQ67" s="31">
        <v>0.20488483380201217</v>
      </c>
      <c r="AR67" s="31">
        <v>0.13341858489683281</v>
      </c>
    </row>
    <row r="68" spans="1:44" hidden="1" x14ac:dyDescent="0.5">
      <c r="A68" s="31">
        <v>67</v>
      </c>
      <c r="B68" s="31">
        <v>6</v>
      </c>
      <c r="C68" s="225" t="s">
        <v>9</v>
      </c>
      <c r="D68" s="35">
        <v>29.51</v>
      </c>
      <c r="E68" s="33">
        <v>121.51</v>
      </c>
      <c r="F68">
        <v>0.66</v>
      </c>
      <c r="G68">
        <f t="shared" si="1"/>
        <v>1062.16704</v>
      </c>
      <c r="H68" s="32" t="s">
        <v>614</v>
      </c>
      <c r="I68">
        <v>0</v>
      </c>
      <c r="J68">
        <v>741.32784587397396</v>
      </c>
      <c r="K68" s="26">
        <v>2017</v>
      </c>
      <c r="L68" t="s">
        <v>11</v>
      </c>
      <c r="M68" s="32">
        <v>10</v>
      </c>
      <c r="N68">
        <v>0.99999999799999995</v>
      </c>
      <c r="O68">
        <v>8.25</v>
      </c>
      <c r="P68" t="s">
        <v>23</v>
      </c>
      <c r="Q68">
        <v>95.5</v>
      </c>
      <c r="R68" t="s">
        <v>13</v>
      </c>
      <c r="S68" t="s">
        <v>14</v>
      </c>
      <c r="T68" t="s">
        <v>16</v>
      </c>
      <c r="U68" s="34">
        <v>0</v>
      </c>
      <c r="V68" s="34">
        <v>5</v>
      </c>
      <c r="W68" s="25">
        <v>2.5</v>
      </c>
      <c r="X68" s="25">
        <v>5</v>
      </c>
      <c r="Y68">
        <v>0.61037440899999995</v>
      </c>
      <c r="AA68" t="s">
        <v>619</v>
      </c>
      <c r="AB68">
        <v>3</v>
      </c>
      <c r="AC68">
        <v>990</v>
      </c>
      <c r="AD68">
        <v>123</v>
      </c>
      <c r="AE68" t="s">
        <v>519</v>
      </c>
      <c r="AF68" t="s">
        <v>532</v>
      </c>
      <c r="AG68" s="32">
        <v>990</v>
      </c>
      <c r="AH68" s="32" t="s">
        <v>671</v>
      </c>
      <c r="AI68" s="32" t="s">
        <v>1129</v>
      </c>
      <c r="AJ68" s="31" t="s">
        <v>1130</v>
      </c>
      <c r="AK68" s="31">
        <v>0.59524549999999998</v>
      </c>
      <c r="AL68" s="31">
        <v>589.29304500000001</v>
      </c>
      <c r="AM68" s="31">
        <v>400.70695499999999</v>
      </c>
      <c r="AN68" s="31">
        <v>617.06077887059041</v>
      </c>
      <c r="AO68" s="31">
        <v>419.58843371579695</v>
      </c>
      <c r="AP68" s="31">
        <v>0.37663810822021626</v>
      </c>
      <c r="AQ68" s="31">
        <v>0.25610604225251521</v>
      </c>
      <c r="AR68" s="31">
        <v>0.13341858489683281</v>
      </c>
    </row>
    <row r="69" spans="1:44" hidden="1" x14ac:dyDescent="0.5">
      <c r="A69" s="31">
        <v>68</v>
      </c>
      <c r="B69" s="31">
        <v>6</v>
      </c>
      <c r="C69" s="225" t="s">
        <v>9</v>
      </c>
      <c r="D69" s="35">
        <v>29.52</v>
      </c>
      <c r="E69" s="33">
        <v>121.5</v>
      </c>
      <c r="F69">
        <v>0.81</v>
      </c>
      <c r="G69">
        <f t="shared" si="1"/>
        <v>1303.5686400000002</v>
      </c>
      <c r="H69" s="32" t="s">
        <v>614</v>
      </c>
      <c r="I69">
        <v>0</v>
      </c>
      <c r="J69">
        <v>736.93362449358995</v>
      </c>
      <c r="K69" s="26">
        <v>2017</v>
      </c>
      <c r="L69" t="s">
        <v>11</v>
      </c>
      <c r="M69" s="32">
        <v>10</v>
      </c>
      <c r="N69">
        <v>0.99999999799999995</v>
      </c>
      <c r="O69">
        <v>8.25</v>
      </c>
      <c r="P69" t="s">
        <v>23</v>
      </c>
      <c r="Q69">
        <v>95.5</v>
      </c>
      <c r="R69" t="s">
        <v>13</v>
      </c>
      <c r="S69" t="s">
        <v>14</v>
      </c>
      <c r="T69" t="s">
        <v>16</v>
      </c>
      <c r="U69" s="34">
        <v>0</v>
      </c>
      <c r="V69" s="34">
        <v>5</v>
      </c>
      <c r="W69" s="25">
        <v>2.5</v>
      </c>
      <c r="X69" s="25">
        <v>5</v>
      </c>
      <c r="Y69">
        <v>0.61037440899999995</v>
      </c>
      <c r="AA69" t="s">
        <v>619</v>
      </c>
      <c r="AB69">
        <v>3</v>
      </c>
      <c r="AC69">
        <v>949</v>
      </c>
      <c r="AD69">
        <v>189</v>
      </c>
      <c r="AE69" t="s">
        <v>519</v>
      </c>
      <c r="AF69" t="s">
        <v>532</v>
      </c>
      <c r="AG69" s="32">
        <v>949</v>
      </c>
      <c r="AH69" s="32" t="s">
        <v>671</v>
      </c>
      <c r="AI69" s="32" t="s">
        <v>1129</v>
      </c>
      <c r="AJ69" s="31" t="s">
        <v>1130</v>
      </c>
      <c r="AK69" s="31">
        <v>0.59524549999999998</v>
      </c>
      <c r="AL69" s="31">
        <v>564.88797950000003</v>
      </c>
      <c r="AM69" s="31">
        <v>384.11202049999997</v>
      </c>
      <c r="AN69" s="31">
        <v>591.50573651332354</v>
      </c>
      <c r="AO69" s="31">
        <v>402.21153898615273</v>
      </c>
      <c r="AP69" s="31">
        <v>0.36103996434442953</v>
      </c>
      <c r="AQ69" s="31">
        <v>0.24549963040165343</v>
      </c>
      <c r="AR69" s="31">
        <v>0.13341858489683281</v>
      </c>
    </row>
    <row r="70" spans="1:44" hidden="1" x14ac:dyDescent="0.5">
      <c r="A70" s="31">
        <v>69</v>
      </c>
      <c r="B70" s="31">
        <v>6</v>
      </c>
      <c r="C70" s="225" t="s">
        <v>9</v>
      </c>
      <c r="D70" s="35">
        <v>29.53</v>
      </c>
      <c r="E70" s="33">
        <v>121.5</v>
      </c>
      <c r="F70">
        <v>0.14000000000000001</v>
      </c>
      <c r="G70">
        <f t="shared" si="1"/>
        <v>225.30816000000002</v>
      </c>
      <c r="H70" s="32" t="s">
        <v>614</v>
      </c>
      <c r="I70">
        <v>0</v>
      </c>
      <c r="J70">
        <v>736.02366204998202</v>
      </c>
      <c r="K70" s="26">
        <v>2017</v>
      </c>
      <c r="L70" t="s">
        <v>11</v>
      </c>
      <c r="M70" s="32">
        <v>10</v>
      </c>
      <c r="N70">
        <v>0.99999999799999995</v>
      </c>
      <c r="O70">
        <v>8.25</v>
      </c>
      <c r="P70" t="s">
        <v>23</v>
      </c>
      <c r="Q70">
        <v>95.5</v>
      </c>
      <c r="R70" t="s">
        <v>13</v>
      </c>
      <c r="S70" t="s">
        <v>14</v>
      </c>
      <c r="T70" t="s">
        <v>16</v>
      </c>
      <c r="U70" s="34">
        <v>0</v>
      </c>
      <c r="V70" s="34">
        <v>5</v>
      </c>
      <c r="W70" s="25">
        <v>2.5</v>
      </c>
      <c r="X70" s="25">
        <v>5</v>
      </c>
      <c r="Y70">
        <v>0.61037440899999995</v>
      </c>
      <c r="AA70" t="s">
        <v>619</v>
      </c>
      <c r="AB70">
        <v>3</v>
      </c>
      <c r="AC70">
        <v>5561</v>
      </c>
      <c r="AD70">
        <v>298</v>
      </c>
      <c r="AE70" t="s">
        <v>519</v>
      </c>
      <c r="AF70" t="s">
        <v>532</v>
      </c>
      <c r="AG70" s="32">
        <v>5561</v>
      </c>
      <c r="AH70" s="32" t="s">
        <v>671</v>
      </c>
      <c r="AI70" s="32" t="s">
        <v>1129</v>
      </c>
      <c r="AJ70" s="31" t="s">
        <v>1130</v>
      </c>
      <c r="AK70" s="31">
        <v>0.59524549999999998</v>
      </c>
      <c r="AL70" s="31">
        <v>3310.1602254999998</v>
      </c>
      <c r="AM70" s="31">
        <v>2250.8397745000002</v>
      </c>
      <c r="AN70" s="31">
        <v>3466.1363548478312</v>
      </c>
      <c r="AO70" s="31">
        <v>2356.9002827207546</v>
      </c>
      <c r="AP70" s="31">
        <v>2.1156409291036593</v>
      </c>
      <c r="AQ70" s="31">
        <v>1.4385916171376134</v>
      </c>
      <c r="AR70" s="31">
        <v>0.13341858489683281</v>
      </c>
    </row>
    <row r="71" spans="1:44" hidden="1" x14ac:dyDescent="0.5">
      <c r="A71" s="31">
        <v>1399</v>
      </c>
      <c r="B71" s="31">
        <v>99</v>
      </c>
      <c r="D71" s="41">
        <v>0.89749999999999996</v>
      </c>
      <c r="E71" s="43">
        <v>148.8887</v>
      </c>
      <c r="G71">
        <f t="shared" si="1"/>
        <v>0</v>
      </c>
      <c r="H71" s="32" t="s">
        <v>59</v>
      </c>
      <c r="I71">
        <v>7190</v>
      </c>
      <c r="J71">
        <v>0</v>
      </c>
      <c r="K71" s="26">
        <v>2019</v>
      </c>
      <c r="L71" t="s">
        <v>60</v>
      </c>
      <c r="M71" s="32">
        <v>73</v>
      </c>
      <c r="N71">
        <v>8.1921064129999994</v>
      </c>
      <c r="O71">
        <v>12.375999999999999</v>
      </c>
      <c r="P71" t="s">
        <v>15</v>
      </c>
      <c r="Q71">
        <v>94.8</v>
      </c>
      <c r="R71" t="s">
        <v>13</v>
      </c>
      <c r="S71" t="s">
        <v>14</v>
      </c>
      <c r="T71" t="s">
        <v>14</v>
      </c>
      <c r="X71" s="25"/>
      <c r="Y71">
        <v>1.5753479850000001</v>
      </c>
      <c r="Z71" t="s">
        <v>712</v>
      </c>
      <c r="AA71" t="s">
        <v>626</v>
      </c>
      <c r="AB71">
        <v>1</v>
      </c>
      <c r="AC71">
        <v>26.7</v>
      </c>
      <c r="AF71" t="s">
        <v>532</v>
      </c>
      <c r="AG71" s="32" t="s">
        <v>2478</v>
      </c>
      <c r="AH71" s="32">
        <v>1</v>
      </c>
      <c r="AI71" s="32" t="s">
        <v>2478</v>
      </c>
      <c r="AJ71" s="31">
        <v>0</v>
      </c>
      <c r="AK71" s="31">
        <v>1</v>
      </c>
      <c r="AL71" s="31">
        <v>26.7</v>
      </c>
      <c r="AM71" s="31">
        <v>0</v>
      </c>
      <c r="AN71" s="31">
        <v>230.7270477079114</v>
      </c>
      <c r="AO71" s="31">
        <v>0</v>
      </c>
      <c r="AP71" s="31">
        <v>0.3634753896916571</v>
      </c>
      <c r="AQ71" s="31">
        <v>0</v>
      </c>
      <c r="AR71" s="31">
        <v>9.9243833167718436E-5</v>
      </c>
    </row>
    <row r="72" spans="1:44" hidden="1" x14ac:dyDescent="0.5">
      <c r="A72" s="31">
        <v>1400</v>
      </c>
      <c r="B72" s="31">
        <v>99</v>
      </c>
      <c r="D72" s="41">
        <v>-5.8662000000000001</v>
      </c>
      <c r="E72" s="43">
        <v>152.42519999999999</v>
      </c>
      <c r="G72">
        <f t="shared" si="1"/>
        <v>0</v>
      </c>
      <c r="H72" s="32" t="s">
        <v>59</v>
      </c>
      <c r="I72">
        <v>8225</v>
      </c>
      <c r="J72">
        <v>5.5089275084925102</v>
      </c>
      <c r="K72" s="26">
        <v>2019</v>
      </c>
      <c r="L72" t="s">
        <v>60</v>
      </c>
      <c r="M72" s="32">
        <v>73</v>
      </c>
      <c r="N72">
        <v>8.1921064129999994</v>
      </c>
      <c r="O72">
        <v>12.375999999999999</v>
      </c>
      <c r="P72" t="s">
        <v>15</v>
      </c>
      <c r="Q72">
        <v>94.8</v>
      </c>
      <c r="R72" t="s">
        <v>13</v>
      </c>
      <c r="S72" t="s">
        <v>14</v>
      </c>
      <c r="T72" t="s">
        <v>14</v>
      </c>
      <c r="X72" s="25"/>
      <c r="Y72">
        <v>1.5753479850000001</v>
      </c>
      <c r="Z72" t="s">
        <v>712</v>
      </c>
      <c r="AA72" t="s">
        <v>626</v>
      </c>
      <c r="AB72">
        <v>1</v>
      </c>
      <c r="AC72">
        <v>133.30000000000001</v>
      </c>
      <c r="AF72" t="s">
        <v>532</v>
      </c>
      <c r="AG72" s="32" t="s">
        <v>2479</v>
      </c>
      <c r="AH72" s="32" t="s">
        <v>1206</v>
      </c>
      <c r="AI72" s="32" t="s">
        <v>2480</v>
      </c>
      <c r="AJ72" s="31" t="s">
        <v>3333</v>
      </c>
      <c r="AK72" s="31">
        <v>0.4</v>
      </c>
      <c r="AL72" s="31">
        <v>53.320000000000007</v>
      </c>
      <c r="AM72" s="31">
        <v>79.98</v>
      </c>
      <c r="AN72" s="31">
        <v>460.76277841894517</v>
      </c>
      <c r="AO72" s="31">
        <v>691.14416762841768</v>
      </c>
      <c r="AP72" s="31">
        <v>0.72586171454528681</v>
      </c>
      <c r="AQ72" s="31">
        <v>1.0887925718179301</v>
      </c>
      <c r="AR72" s="31">
        <v>3.5184738693455539E-5</v>
      </c>
    </row>
    <row r="73" spans="1:44" hidden="1" x14ac:dyDescent="0.5">
      <c r="A73" s="31">
        <v>1401</v>
      </c>
      <c r="B73" s="31">
        <v>99</v>
      </c>
      <c r="D73" s="41">
        <v>-6.3258000000000001</v>
      </c>
      <c r="E73" s="43">
        <v>153.74299999999999</v>
      </c>
      <c r="G73">
        <f t="shared" si="1"/>
        <v>0</v>
      </c>
      <c r="H73" s="32" t="s">
        <v>59</v>
      </c>
      <c r="I73">
        <v>8930</v>
      </c>
      <c r="J73">
        <v>0</v>
      </c>
      <c r="K73" s="26">
        <v>2019</v>
      </c>
      <c r="L73" t="s">
        <v>60</v>
      </c>
      <c r="M73" s="32">
        <v>73</v>
      </c>
      <c r="N73">
        <v>8.1921064129999994</v>
      </c>
      <c r="O73">
        <v>12.375999999999999</v>
      </c>
      <c r="P73" t="s">
        <v>15</v>
      </c>
      <c r="Q73">
        <v>94.8</v>
      </c>
      <c r="R73" t="s">
        <v>13</v>
      </c>
      <c r="S73" t="s">
        <v>14</v>
      </c>
      <c r="T73" t="s">
        <v>14</v>
      </c>
      <c r="X73" s="25"/>
      <c r="Y73">
        <v>1.5753479850000001</v>
      </c>
      <c r="Z73" t="s">
        <v>712</v>
      </c>
      <c r="AA73" t="s">
        <v>626</v>
      </c>
      <c r="AB73">
        <v>1</v>
      </c>
      <c r="AC73">
        <v>66.7</v>
      </c>
      <c r="AF73" t="s">
        <v>532</v>
      </c>
      <c r="AG73" s="32" t="s">
        <v>2481</v>
      </c>
      <c r="AH73" s="32" t="s">
        <v>2116</v>
      </c>
      <c r="AI73" s="32" t="s">
        <v>2482</v>
      </c>
      <c r="AJ73" s="31" t="s">
        <v>2482</v>
      </c>
      <c r="AK73" s="31">
        <v>0.5</v>
      </c>
      <c r="AL73" s="31">
        <v>33.35</v>
      </c>
      <c r="AM73" s="31">
        <v>33.35</v>
      </c>
      <c r="AN73" s="31">
        <v>288.19277307336495</v>
      </c>
      <c r="AO73" s="31">
        <v>288.19277307336495</v>
      </c>
      <c r="AP73" s="31">
        <v>0.45400390435268773</v>
      </c>
      <c r="AQ73" s="31">
        <v>0.45400390435268773</v>
      </c>
      <c r="AR73" s="31">
        <v>1.7361799238839911E-5</v>
      </c>
    </row>
    <row r="74" spans="1:44" hidden="1" x14ac:dyDescent="0.5">
      <c r="A74" s="31">
        <v>1402</v>
      </c>
      <c r="B74" s="31">
        <v>99</v>
      </c>
      <c r="D74" s="41">
        <v>11.3537</v>
      </c>
      <c r="E74" s="43">
        <v>142.4041</v>
      </c>
      <c r="G74">
        <f t="shared" si="1"/>
        <v>0</v>
      </c>
      <c r="H74" s="32" t="s">
        <v>59</v>
      </c>
      <c r="I74">
        <v>10890</v>
      </c>
      <c r="J74">
        <v>0</v>
      </c>
      <c r="K74" s="26">
        <v>2019</v>
      </c>
      <c r="L74" t="s">
        <v>60</v>
      </c>
      <c r="M74" s="32">
        <v>73</v>
      </c>
      <c r="N74">
        <v>8.1921064129999994</v>
      </c>
      <c r="O74">
        <v>12.375999999999999</v>
      </c>
      <c r="P74" t="s">
        <v>15</v>
      </c>
      <c r="Q74">
        <v>94.8</v>
      </c>
      <c r="R74" t="s">
        <v>13</v>
      </c>
      <c r="S74" t="s">
        <v>14</v>
      </c>
      <c r="T74" t="s">
        <v>14</v>
      </c>
      <c r="X74" s="25"/>
      <c r="Y74">
        <v>1.5753479850000001</v>
      </c>
      <c r="Z74" t="s">
        <v>712</v>
      </c>
      <c r="AA74" t="s">
        <v>626</v>
      </c>
      <c r="AB74">
        <v>1</v>
      </c>
      <c r="AC74">
        <v>93.3</v>
      </c>
      <c r="AF74" t="s">
        <v>532</v>
      </c>
      <c r="AG74" s="32" t="s">
        <v>2175</v>
      </c>
      <c r="AH74" s="32">
        <v>1</v>
      </c>
      <c r="AI74" s="32" t="s">
        <v>2175</v>
      </c>
      <c r="AJ74" s="31">
        <v>0</v>
      </c>
      <c r="AK74" s="31">
        <v>1</v>
      </c>
      <c r="AL74" s="31">
        <v>93.3</v>
      </c>
      <c r="AM74" s="31">
        <v>0</v>
      </c>
      <c r="AN74" s="31">
        <v>806.24844760854421</v>
      </c>
      <c r="AO74" s="31">
        <v>0</v>
      </c>
      <c r="AP74" s="31">
        <v>1.2701218673494983</v>
      </c>
      <c r="AQ74" s="31">
        <v>0</v>
      </c>
      <c r="AR74" s="31">
        <v>2.4364613697204645E-6</v>
      </c>
    </row>
    <row r="75" spans="1:44" hidden="1" x14ac:dyDescent="0.5">
      <c r="A75" s="31">
        <v>827</v>
      </c>
      <c r="B75" s="31">
        <v>59</v>
      </c>
      <c r="C75" s="225" t="s">
        <v>25</v>
      </c>
      <c r="D75" s="44">
        <v>34.797488000000001</v>
      </c>
      <c r="E75" s="45">
        <v>10.866040999999999</v>
      </c>
      <c r="F75">
        <v>0</v>
      </c>
      <c r="G75">
        <f t="shared" si="1"/>
        <v>0</v>
      </c>
      <c r="H75" s="32" t="s">
        <v>47</v>
      </c>
      <c r="I75">
        <v>0.4</v>
      </c>
      <c r="J75">
        <v>181.730974719438</v>
      </c>
      <c r="K75" s="26">
        <v>2018</v>
      </c>
      <c r="L75" t="s">
        <v>30</v>
      </c>
      <c r="M75" s="32">
        <v>100</v>
      </c>
      <c r="N75">
        <v>11.428783320000001</v>
      </c>
      <c r="O75">
        <v>5</v>
      </c>
      <c r="P75" t="s">
        <v>12</v>
      </c>
      <c r="Q75">
        <v>89</v>
      </c>
      <c r="R75" t="s">
        <v>13</v>
      </c>
      <c r="S75" t="s">
        <v>14</v>
      </c>
      <c r="T75" t="s">
        <v>14</v>
      </c>
      <c r="U75" s="34">
        <v>0</v>
      </c>
      <c r="V75" s="34">
        <v>5</v>
      </c>
      <c r="W75" s="25">
        <v>2.5</v>
      </c>
      <c r="X75" s="25">
        <v>5</v>
      </c>
      <c r="Y75">
        <v>1.3241679239999999</v>
      </c>
      <c r="Z75" t="s">
        <v>1103</v>
      </c>
      <c r="AA75" t="s">
        <v>622</v>
      </c>
      <c r="AB75">
        <v>5</v>
      </c>
      <c r="AC75">
        <v>1348</v>
      </c>
      <c r="AD75">
        <v>20</v>
      </c>
      <c r="AF75" t="s">
        <v>521</v>
      </c>
      <c r="AG75" s="32" t="s">
        <v>2027</v>
      </c>
      <c r="AH75" s="32" t="s">
        <v>2013</v>
      </c>
      <c r="AI75" s="32" t="s">
        <v>2028</v>
      </c>
      <c r="AJ75" s="31" t="s">
        <v>3143</v>
      </c>
      <c r="AK75" s="31">
        <v>0.13466</v>
      </c>
      <c r="AL75" s="31">
        <v>2.7416716069011202</v>
      </c>
      <c r="AM75" s="31">
        <v>17.618283887686136</v>
      </c>
      <c r="AN75" s="31">
        <v>35.206708685246205</v>
      </c>
      <c r="AO75" s="31">
        <v>226.2421899130473</v>
      </c>
      <c r="AP75" s="31">
        <v>4.6619594350615232E-2</v>
      </c>
      <c r="AQ75" s="31">
        <v>0.29958265093837355</v>
      </c>
      <c r="AR75" s="31">
        <v>0.13336512673335713</v>
      </c>
    </row>
    <row r="76" spans="1:44" hidden="1" x14ac:dyDescent="0.5">
      <c r="A76" s="31">
        <v>828</v>
      </c>
      <c r="B76" s="31">
        <v>59</v>
      </c>
      <c r="C76" s="225" t="s">
        <v>25</v>
      </c>
      <c r="D76" s="44">
        <v>34.794415999999998</v>
      </c>
      <c r="E76" s="45">
        <v>10.862380999999999</v>
      </c>
      <c r="F76">
        <v>7.0000000000000007E-2</v>
      </c>
      <c r="G76">
        <f t="shared" si="1"/>
        <v>112.65408000000001</v>
      </c>
      <c r="H76" s="32" t="s">
        <v>47</v>
      </c>
      <c r="I76">
        <v>2</v>
      </c>
      <c r="J76">
        <v>180.70786994192599</v>
      </c>
      <c r="K76" s="26">
        <v>2018</v>
      </c>
      <c r="L76" t="s">
        <v>30</v>
      </c>
      <c r="M76" s="32">
        <v>100</v>
      </c>
      <c r="N76">
        <v>11.428783320000001</v>
      </c>
      <c r="O76">
        <v>5</v>
      </c>
      <c r="P76" t="s">
        <v>12</v>
      </c>
      <c r="Q76">
        <v>89</v>
      </c>
      <c r="R76" t="s">
        <v>13</v>
      </c>
      <c r="S76" t="s">
        <v>14</v>
      </c>
      <c r="T76" t="s">
        <v>14</v>
      </c>
      <c r="U76" s="34">
        <v>0</v>
      </c>
      <c r="V76" s="34">
        <v>5</v>
      </c>
      <c r="W76" s="25">
        <v>2.5</v>
      </c>
      <c r="X76" s="25">
        <v>5</v>
      </c>
      <c r="Y76">
        <v>1.3241679239999999</v>
      </c>
      <c r="Z76" t="s">
        <v>1103</v>
      </c>
      <c r="AA76" t="s">
        <v>622</v>
      </c>
      <c r="AB76">
        <v>5</v>
      </c>
      <c r="AC76">
        <v>2932</v>
      </c>
      <c r="AD76">
        <v>63</v>
      </c>
      <c r="AF76" t="s">
        <v>521</v>
      </c>
      <c r="AG76" s="32" t="s">
        <v>2029</v>
      </c>
      <c r="AH76" s="32" t="s">
        <v>2013</v>
      </c>
      <c r="AI76" s="32" t="s">
        <v>2030</v>
      </c>
      <c r="AJ76" s="31" t="s">
        <v>3144</v>
      </c>
      <c r="AK76" s="31">
        <v>0.13466</v>
      </c>
      <c r="AL76" s="31">
        <v>5.9633391331113383</v>
      </c>
      <c r="AM76" s="31">
        <v>38.321074450071031</v>
      </c>
      <c r="AN76" s="31">
        <v>76.577203164051824</v>
      </c>
      <c r="AO76" s="31">
        <v>492.0935466061236</v>
      </c>
      <c r="AP76" s="31">
        <v>0.10140107613946873</v>
      </c>
      <c r="AQ76" s="31">
        <v>0.65161449002322791</v>
      </c>
      <c r="AR76" s="31">
        <v>0.13315150818983643</v>
      </c>
    </row>
    <row r="77" spans="1:44" hidden="1" x14ac:dyDescent="0.5">
      <c r="A77" s="31">
        <v>829</v>
      </c>
      <c r="B77" s="31">
        <v>59</v>
      </c>
      <c r="C77" s="225" t="s">
        <v>25</v>
      </c>
      <c r="D77" s="44">
        <v>34.795158999999998</v>
      </c>
      <c r="E77" s="45">
        <v>10.865054000000001</v>
      </c>
      <c r="F77">
        <v>0.06</v>
      </c>
      <c r="G77">
        <f t="shared" si="1"/>
        <v>96.560640000000006</v>
      </c>
      <c r="H77" s="32" t="s">
        <v>47</v>
      </c>
      <c r="I77" s="7">
        <v>2</v>
      </c>
      <c r="J77">
        <v>181.170323663837</v>
      </c>
      <c r="K77" s="26">
        <v>2018</v>
      </c>
      <c r="L77" t="s">
        <v>30</v>
      </c>
      <c r="M77" s="32">
        <v>100</v>
      </c>
      <c r="N77">
        <v>11.428783320000001</v>
      </c>
      <c r="O77">
        <v>5</v>
      </c>
      <c r="P77" t="s">
        <v>12</v>
      </c>
      <c r="Q77">
        <v>89</v>
      </c>
      <c r="R77" t="s">
        <v>13</v>
      </c>
      <c r="S77" t="s">
        <v>14</v>
      </c>
      <c r="T77" t="s">
        <v>14</v>
      </c>
      <c r="U77" s="34">
        <v>0</v>
      </c>
      <c r="V77" s="34">
        <v>5</v>
      </c>
      <c r="W77" s="25">
        <v>2.5</v>
      </c>
      <c r="X77" s="25">
        <v>5</v>
      </c>
      <c r="Y77">
        <v>1.3241679239999999</v>
      </c>
      <c r="Z77" t="s">
        <v>1103</v>
      </c>
      <c r="AA77" t="s">
        <v>622</v>
      </c>
      <c r="AB77">
        <v>5</v>
      </c>
      <c r="AC77">
        <v>2584.5680000000002</v>
      </c>
      <c r="AD77">
        <v>129.792</v>
      </c>
      <c r="AF77" t="s">
        <v>521</v>
      </c>
      <c r="AG77" s="32" t="s">
        <v>2031</v>
      </c>
      <c r="AH77" s="32" t="s">
        <v>2013</v>
      </c>
      <c r="AI77" s="32" t="s">
        <v>2032</v>
      </c>
      <c r="AJ77" s="31" t="s">
        <v>3145</v>
      </c>
      <c r="AK77" s="31">
        <v>0.13466</v>
      </c>
      <c r="AL77" s="31">
        <v>5.2567037846477858</v>
      </c>
      <c r="AM77" s="31">
        <v>33.780157827172992</v>
      </c>
      <c r="AN77" s="31">
        <v>67.503065766475828</v>
      </c>
      <c r="AO77" s="31">
        <v>433.78213968782273</v>
      </c>
      <c r="AP77" s="31">
        <v>8.9385394459629758E-2</v>
      </c>
      <c r="AQ77" s="31">
        <v>0.57440039537870224</v>
      </c>
      <c r="AR77" s="31">
        <v>0.13315150818983643</v>
      </c>
    </row>
    <row r="78" spans="1:44" hidden="1" x14ac:dyDescent="0.5">
      <c r="A78" s="31">
        <v>830</v>
      </c>
      <c r="B78" s="31">
        <v>59</v>
      </c>
      <c r="C78" s="225" t="s">
        <v>25</v>
      </c>
      <c r="D78" s="44">
        <v>34.795986999999997</v>
      </c>
      <c r="E78" s="45">
        <v>10.866018</v>
      </c>
      <c r="F78">
        <v>0.02</v>
      </c>
      <c r="G78">
        <f t="shared" si="1"/>
        <v>32.186880000000002</v>
      </c>
      <c r="H78" s="32" t="s">
        <v>47</v>
      </c>
      <c r="I78" s="7">
        <v>0</v>
      </c>
      <c r="J78">
        <v>181.37072805936199</v>
      </c>
      <c r="K78" s="26">
        <v>2018</v>
      </c>
      <c r="L78" t="s">
        <v>30</v>
      </c>
      <c r="M78" s="32">
        <v>100</v>
      </c>
      <c r="N78">
        <v>11.428783320000001</v>
      </c>
      <c r="O78">
        <v>5</v>
      </c>
      <c r="P78" t="s">
        <v>12</v>
      </c>
      <c r="Q78">
        <v>89</v>
      </c>
      <c r="R78" t="s">
        <v>13</v>
      </c>
      <c r="S78" t="s">
        <v>14</v>
      </c>
      <c r="T78" t="s">
        <v>14</v>
      </c>
      <c r="U78" s="34">
        <v>0</v>
      </c>
      <c r="V78" s="34">
        <v>5</v>
      </c>
      <c r="W78" s="25">
        <v>2.5</v>
      </c>
      <c r="X78" s="25">
        <v>5</v>
      </c>
      <c r="Y78">
        <v>1.3241679239999999</v>
      </c>
      <c r="Z78" t="s">
        <v>1103</v>
      </c>
      <c r="AA78" t="s">
        <v>622</v>
      </c>
      <c r="AB78">
        <v>5</v>
      </c>
      <c r="AC78">
        <v>2346.2660000000001</v>
      </c>
      <c r="AD78">
        <v>126.538</v>
      </c>
      <c r="AF78" t="s">
        <v>521</v>
      </c>
      <c r="AG78" s="32" t="s">
        <v>2033</v>
      </c>
      <c r="AH78" s="32" t="s">
        <v>2013</v>
      </c>
      <c r="AI78" s="32" t="s">
        <v>2034</v>
      </c>
      <c r="AJ78" s="31" t="s">
        <v>3146</v>
      </c>
      <c r="AK78" s="31">
        <v>0.13466</v>
      </c>
      <c r="AL78" s="31">
        <v>4.7720258712444092</v>
      </c>
      <c r="AM78" s="31">
        <v>30.665564142452375</v>
      </c>
      <c r="AN78" s="31">
        <v>61.279156943692783</v>
      </c>
      <c r="AO78" s="31">
        <v>393.7866156962358</v>
      </c>
      <c r="AP78" s="31">
        <v>8.1143894034599859E-2</v>
      </c>
      <c r="AQ78" s="31">
        <v>0.5214396054054703</v>
      </c>
      <c r="AR78" s="31">
        <v>0.13341858489683281</v>
      </c>
    </row>
    <row r="79" spans="1:44" hidden="1" x14ac:dyDescent="0.5">
      <c r="A79" s="31">
        <v>831</v>
      </c>
      <c r="B79" s="31">
        <v>59</v>
      </c>
      <c r="C79" s="225" t="s">
        <v>25</v>
      </c>
      <c r="D79" s="44">
        <v>34.796678999999997</v>
      </c>
      <c r="E79" s="45">
        <v>10.866367</v>
      </c>
      <c r="F79">
        <v>0</v>
      </c>
      <c r="G79">
        <f t="shared" si="1"/>
        <v>0</v>
      </c>
      <c r="H79" s="32" t="s">
        <v>47</v>
      </c>
      <c r="I79" s="7">
        <v>0</v>
      </c>
      <c r="J79">
        <v>181.577270525003</v>
      </c>
      <c r="K79" s="26">
        <v>2018</v>
      </c>
      <c r="L79" t="s">
        <v>30</v>
      </c>
      <c r="M79" s="32">
        <v>100</v>
      </c>
      <c r="N79">
        <v>11.428783320000001</v>
      </c>
      <c r="O79">
        <v>5</v>
      </c>
      <c r="P79" t="s">
        <v>12</v>
      </c>
      <c r="Q79">
        <v>89</v>
      </c>
      <c r="R79" t="s">
        <v>13</v>
      </c>
      <c r="S79" t="s">
        <v>14</v>
      </c>
      <c r="T79" t="s">
        <v>14</v>
      </c>
      <c r="U79" s="34">
        <v>0</v>
      </c>
      <c r="V79" s="34">
        <v>5</v>
      </c>
      <c r="W79" s="25">
        <v>2.5</v>
      </c>
      <c r="X79" s="25">
        <v>5</v>
      </c>
      <c r="Y79">
        <v>1.3241679239999999</v>
      </c>
      <c r="Z79" t="s">
        <v>1103</v>
      </c>
      <c r="AA79" t="s">
        <v>622</v>
      </c>
      <c r="AB79">
        <v>5</v>
      </c>
      <c r="AC79">
        <v>2039.463</v>
      </c>
      <c r="AD79">
        <v>123.313</v>
      </c>
      <c r="AF79" t="s">
        <v>521</v>
      </c>
      <c r="AG79" s="32" t="s">
        <v>2035</v>
      </c>
      <c r="AH79" s="32" t="s">
        <v>2013</v>
      </c>
      <c r="AI79" s="32" t="s">
        <v>2036</v>
      </c>
      <c r="AJ79" s="31" t="s">
        <v>3147</v>
      </c>
      <c r="AK79" s="31">
        <v>0.13466</v>
      </c>
      <c r="AL79" s="31">
        <v>4.1480250744995386</v>
      </c>
      <c r="AM79" s="31">
        <v>26.655666255513374</v>
      </c>
      <c r="AN79" s="31">
        <v>53.26615705885628</v>
      </c>
      <c r="AO79" s="31">
        <v>342.29419537584056</v>
      </c>
      <c r="AP79" s="31">
        <v>7.0533336612083664E-2</v>
      </c>
      <c r="AQ79" s="31">
        <v>0.45325499408807718</v>
      </c>
      <c r="AR79" s="31">
        <v>0.13341858489683281</v>
      </c>
    </row>
    <row r="80" spans="1:44" hidden="1" x14ac:dyDescent="0.5">
      <c r="A80" s="31">
        <v>542</v>
      </c>
      <c r="B80" s="31">
        <v>35</v>
      </c>
      <c r="C80" s="225" t="s">
        <v>20</v>
      </c>
      <c r="D80" s="39">
        <v>69.87</v>
      </c>
      <c r="E80" s="40">
        <v>18.54</v>
      </c>
      <c r="F80">
        <v>0</v>
      </c>
      <c r="G80">
        <f t="shared" ref="G80:G143" si="2">F80*1609.344</f>
        <v>0</v>
      </c>
      <c r="H80" s="32" t="s">
        <v>10</v>
      </c>
      <c r="I80">
        <v>0</v>
      </c>
      <c r="J80">
        <v>13.5471794783739</v>
      </c>
      <c r="K80" s="26">
        <v>2015</v>
      </c>
      <c r="L80" t="s">
        <v>11</v>
      </c>
      <c r="M80" s="32">
        <v>300</v>
      </c>
      <c r="N80">
        <v>36.542166029999997</v>
      </c>
      <c r="O80">
        <v>5</v>
      </c>
      <c r="P80" t="s">
        <v>12</v>
      </c>
      <c r="Q80">
        <v>83</v>
      </c>
      <c r="R80" t="s">
        <v>13</v>
      </c>
      <c r="S80" t="s">
        <v>14</v>
      </c>
      <c r="T80" t="s">
        <v>14</v>
      </c>
      <c r="U80" s="34">
        <v>0</v>
      </c>
      <c r="V80" s="34">
        <v>5</v>
      </c>
      <c r="W80" s="25">
        <v>2.5</v>
      </c>
      <c r="X80" s="25">
        <v>5</v>
      </c>
      <c r="Y80" s="244">
        <v>1.497011332</v>
      </c>
      <c r="Z80" t="s">
        <v>1117</v>
      </c>
      <c r="AA80" t="s">
        <v>622</v>
      </c>
      <c r="AB80">
        <v>5</v>
      </c>
      <c r="AC80">
        <v>72</v>
      </c>
      <c r="AD80">
        <v>24</v>
      </c>
      <c r="AE80" t="s">
        <v>525</v>
      </c>
      <c r="AF80" t="s">
        <v>532</v>
      </c>
      <c r="AG80" s="32">
        <v>72</v>
      </c>
      <c r="AH80" s="32" t="s">
        <v>1541</v>
      </c>
      <c r="AI80" s="32" t="s">
        <v>1561</v>
      </c>
      <c r="AJ80" s="31" t="s">
        <v>2944</v>
      </c>
      <c r="AK80" s="31">
        <v>0.98699999999999999</v>
      </c>
      <c r="AL80" s="31">
        <v>71.063999999999993</v>
      </c>
      <c r="AM80" s="31">
        <v>0.93600000000000705</v>
      </c>
      <c r="AN80" s="31">
        <v>3128.7138394649633</v>
      </c>
      <c r="AO80" s="31">
        <v>41.208996872385853</v>
      </c>
      <c r="AP80" s="31">
        <v>4.6837200722642791</v>
      </c>
      <c r="AQ80" s="31">
        <v>6.1690335298314185E-2</v>
      </c>
      <c r="AR80" s="31">
        <v>0.13341858489683281</v>
      </c>
    </row>
    <row r="81" spans="1:44" hidden="1" x14ac:dyDescent="0.5">
      <c r="A81" s="31">
        <v>541</v>
      </c>
      <c r="B81" s="31">
        <v>35</v>
      </c>
      <c r="C81" s="225" t="s">
        <v>20</v>
      </c>
      <c r="D81" s="39">
        <v>63.29</v>
      </c>
      <c r="E81" s="40">
        <v>8.14</v>
      </c>
      <c r="F81">
        <v>0</v>
      </c>
      <c r="G81">
        <f t="shared" si="2"/>
        <v>0</v>
      </c>
      <c r="H81" s="32" t="s">
        <v>10</v>
      </c>
      <c r="I81">
        <v>0</v>
      </c>
      <c r="J81">
        <v>12.9428406894873</v>
      </c>
      <c r="K81" s="26">
        <v>2015</v>
      </c>
      <c r="L81" t="s">
        <v>11</v>
      </c>
      <c r="M81" s="32">
        <v>300</v>
      </c>
      <c r="N81">
        <v>36.542166029999997</v>
      </c>
      <c r="O81">
        <v>5</v>
      </c>
      <c r="P81" t="s">
        <v>12</v>
      </c>
      <c r="Q81">
        <v>83</v>
      </c>
      <c r="R81" t="s">
        <v>13</v>
      </c>
      <c r="S81" t="s">
        <v>14</v>
      </c>
      <c r="T81" t="s">
        <v>14</v>
      </c>
      <c r="U81" s="34">
        <v>0</v>
      </c>
      <c r="V81" s="34">
        <v>5</v>
      </c>
      <c r="W81" s="25">
        <v>2.5</v>
      </c>
      <c r="X81" s="25">
        <v>5</v>
      </c>
      <c r="Y81" s="244">
        <v>1.0774796689999999</v>
      </c>
      <c r="Z81" t="s">
        <v>1116</v>
      </c>
      <c r="AA81" t="s">
        <v>622</v>
      </c>
      <c r="AB81">
        <v>5</v>
      </c>
      <c r="AC81">
        <v>92</v>
      </c>
      <c r="AD81">
        <v>21</v>
      </c>
      <c r="AE81" t="s">
        <v>525</v>
      </c>
      <c r="AF81" t="s">
        <v>532</v>
      </c>
      <c r="AG81" s="32">
        <v>92</v>
      </c>
      <c r="AH81" s="32" t="s">
        <v>1541</v>
      </c>
      <c r="AI81" s="32" t="s">
        <v>1543</v>
      </c>
      <c r="AJ81" s="31" t="s">
        <v>2926</v>
      </c>
      <c r="AK81" s="31">
        <v>0.98699999999999999</v>
      </c>
      <c r="AL81" s="31">
        <v>90.804000000000002</v>
      </c>
      <c r="AM81" s="31">
        <v>1.195999999999998</v>
      </c>
      <c r="AN81" s="31">
        <v>3997.8010170941202</v>
      </c>
      <c r="AO81" s="31">
        <v>52.655940448048099</v>
      </c>
      <c r="AP81" s="31">
        <v>4.307549316626436</v>
      </c>
      <c r="AQ81" s="31">
        <v>5.6735705284846574E-2</v>
      </c>
      <c r="AR81" s="31">
        <v>0.13341858489683281</v>
      </c>
    </row>
    <row r="82" spans="1:44" hidden="1" x14ac:dyDescent="0.5">
      <c r="A82" s="31">
        <v>540</v>
      </c>
      <c r="B82" s="31">
        <v>35</v>
      </c>
      <c r="C82" s="225" t="s">
        <v>20</v>
      </c>
      <c r="D82" s="39">
        <v>63.26</v>
      </c>
      <c r="E82" s="40">
        <v>-19</v>
      </c>
      <c r="F82">
        <v>0</v>
      </c>
      <c r="G82">
        <f t="shared" si="2"/>
        <v>0</v>
      </c>
      <c r="H82" s="32" t="s">
        <v>10</v>
      </c>
      <c r="I82">
        <v>0</v>
      </c>
      <c r="J82">
        <v>0.41702115583986799</v>
      </c>
      <c r="K82" s="26">
        <v>2015</v>
      </c>
      <c r="L82" t="s">
        <v>11</v>
      </c>
      <c r="M82" s="32">
        <v>300</v>
      </c>
      <c r="N82">
        <v>36.542166029999997</v>
      </c>
      <c r="O82">
        <v>5</v>
      </c>
      <c r="P82" t="s">
        <v>12</v>
      </c>
      <c r="Q82">
        <v>83</v>
      </c>
      <c r="R82" t="s">
        <v>13</v>
      </c>
      <c r="S82" t="s">
        <v>14</v>
      </c>
      <c r="T82" t="s">
        <v>14</v>
      </c>
      <c r="U82" s="34">
        <v>0</v>
      </c>
      <c r="V82" s="34">
        <v>5</v>
      </c>
      <c r="W82" s="25">
        <v>2.5</v>
      </c>
      <c r="X82" s="25">
        <v>5</v>
      </c>
      <c r="Y82" s="244">
        <v>1.1353091019999999</v>
      </c>
      <c r="Z82" t="s">
        <v>1115</v>
      </c>
      <c r="AA82" t="s">
        <v>622</v>
      </c>
      <c r="AB82">
        <v>5</v>
      </c>
      <c r="AC82">
        <v>792</v>
      </c>
      <c r="AD82">
        <v>128</v>
      </c>
      <c r="AE82" t="s">
        <v>525</v>
      </c>
      <c r="AF82" t="s">
        <v>532</v>
      </c>
      <c r="AG82" s="32">
        <v>792</v>
      </c>
      <c r="AH82" s="32" t="s">
        <v>1541</v>
      </c>
      <c r="AI82" s="32" t="s">
        <v>1560</v>
      </c>
      <c r="AJ82" s="31" t="s">
        <v>2943</v>
      </c>
      <c r="AK82" s="31">
        <v>0.98699999999999999</v>
      </c>
      <c r="AL82" s="31">
        <v>781.70399999999995</v>
      </c>
      <c r="AM82" s="31">
        <v>10.296000000000049</v>
      </c>
      <c r="AN82" s="31">
        <v>34415.852234114602</v>
      </c>
      <c r="AO82" s="31">
        <v>453.29896559624308</v>
      </c>
      <c r="AP82" s="31">
        <v>39.072630294477342</v>
      </c>
      <c r="AQ82" s="31">
        <v>0.5146344415685995</v>
      </c>
      <c r="AR82" s="31">
        <v>0.13341858489683281</v>
      </c>
    </row>
    <row r="83" spans="1:44" hidden="1" x14ac:dyDescent="0.5">
      <c r="A83" s="31">
        <v>1101</v>
      </c>
      <c r="B83" s="31">
        <v>72</v>
      </c>
      <c r="C83" s="225" t="s">
        <v>20</v>
      </c>
      <c r="D83" s="45">
        <v>60.480311</v>
      </c>
      <c r="E83" s="45">
        <v>5.2387940000000004</v>
      </c>
      <c r="F83">
        <v>0.55000000000000004</v>
      </c>
      <c r="G83">
        <f t="shared" si="2"/>
        <v>885.13920000000007</v>
      </c>
      <c r="H83" s="32" t="s">
        <v>47</v>
      </c>
      <c r="I83">
        <v>315</v>
      </c>
      <c r="J83">
        <v>53.532338729112503</v>
      </c>
      <c r="K83" s="26">
        <v>2015</v>
      </c>
      <c r="L83" t="s">
        <v>40</v>
      </c>
      <c r="M83" s="32">
        <v>11</v>
      </c>
      <c r="N83">
        <v>1.1060976250000001</v>
      </c>
      <c r="P83" t="s">
        <v>23</v>
      </c>
      <c r="Q83">
        <v>95.5</v>
      </c>
      <c r="R83" t="s">
        <v>13</v>
      </c>
      <c r="S83" t="s">
        <v>14</v>
      </c>
      <c r="T83" t="s">
        <v>14</v>
      </c>
      <c r="U83" s="34">
        <v>0</v>
      </c>
      <c r="V83" s="34">
        <v>1</v>
      </c>
      <c r="W83" s="25">
        <v>0.5</v>
      </c>
      <c r="X83" s="25">
        <v>1</v>
      </c>
      <c r="Y83" s="244">
        <v>3.4884441220000002</v>
      </c>
      <c r="Z83" t="s">
        <v>1122</v>
      </c>
      <c r="AA83" t="s">
        <v>622</v>
      </c>
      <c r="AB83">
        <v>1</v>
      </c>
      <c r="AC83">
        <v>12199</v>
      </c>
      <c r="AF83" t="s">
        <v>532</v>
      </c>
      <c r="AG83" s="32">
        <v>12199</v>
      </c>
      <c r="AH83" s="32" t="s">
        <v>671</v>
      </c>
      <c r="AI83" s="32" t="s">
        <v>1129</v>
      </c>
      <c r="AJ83" s="31" t="s">
        <v>1130</v>
      </c>
      <c r="AK83" s="31">
        <v>0.59524549999999998</v>
      </c>
      <c r="AL83" s="31">
        <v>7261.3998544999995</v>
      </c>
      <c r="AM83" s="31">
        <v>4937.6001455000005</v>
      </c>
      <c r="AN83" s="31">
        <v>8410.2797206678497</v>
      </c>
      <c r="AO83" s="31">
        <v>5718.8144441227287</v>
      </c>
      <c r="AP83" s="31">
        <v>29.338790855939564</v>
      </c>
      <c r="AQ83" s="31">
        <v>19.94976463240863</v>
      </c>
      <c r="AR83" s="31">
        <v>9.7309116616783722E-2</v>
      </c>
    </row>
    <row r="84" spans="1:44" hidden="1" x14ac:dyDescent="0.5">
      <c r="A84" s="31">
        <v>1103</v>
      </c>
      <c r="B84" s="31">
        <v>72</v>
      </c>
      <c r="C84" s="225" t="s">
        <v>20</v>
      </c>
      <c r="D84" s="32">
        <v>60.464126</v>
      </c>
      <c r="E84" s="38">
        <v>5.275569</v>
      </c>
      <c r="F84">
        <v>0.02</v>
      </c>
      <c r="G84">
        <f t="shared" si="2"/>
        <v>32.186880000000002</v>
      </c>
      <c r="H84" s="32" t="s">
        <v>47</v>
      </c>
      <c r="I84">
        <v>34</v>
      </c>
      <c r="J84">
        <v>52.720555038773</v>
      </c>
      <c r="K84" s="26">
        <v>2015</v>
      </c>
      <c r="L84" t="s">
        <v>40</v>
      </c>
      <c r="M84" s="32">
        <v>11</v>
      </c>
      <c r="N84">
        <v>1.1060976250000001</v>
      </c>
      <c r="P84" t="s">
        <v>23</v>
      </c>
      <c r="Q84">
        <v>95.5</v>
      </c>
      <c r="R84" t="s">
        <v>13</v>
      </c>
      <c r="S84" t="s">
        <v>14</v>
      </c>
      <c r="T84" t="s">
        <v>14</v>
      </c>
      <c r="U84" s="34">
        <v>0</v>
      </c>
      <c r="V84" s="34">
        <v>1</v>
      </c>
      <c r="W84" s="25">
        <v>0.5</v>
      </c>
      <c r="X84" s="25">
        <v>1</v>
      </c>
      <c r="Y84" s="244">
        <v>3.4884441220000002</v>
      </c>
      <c r="Z84" t="s">
        <v>1122</v>
      </c>
      <c r="AA84" t="s">
        <v>622</v>
      </c>
      <c r="AB84">
        <v>1</v>
      </c>
      <c r="AC84">
        <v>205859</v>
      </c>
      <c r="AF84" t="s">
        <v>532</v>
      </c>
      <c r="AG84" s="32">
        <v>205859</v>
      </c>
      <c r="AH84" s="32" t="s">
        <v>671</v>
      </c>
      <c r="AI84" s="32" t="s">
        <v>1129</v>
      </c>
      <c r="AJ84" s="31" t="s">
        <v>1130</v>
      </c>
      <c r="AK84" s="31">
        <v>0.59524549999999998</v>
      </c>
      <c r="AL84" s="31">
        <v>122536.6433845</v>
      </c>
      <c r="AM84" s="31">
        <v>83322.356615500001</v>
      </c>
      <c r="AN84" s="31">
        <v>141924.07353200778</v>
      </c>
      <c r="AO84" s="31">
        <v>96505.403939065553</v>
      </c>
      <c r="AP84" s="31">
        <v>495.09420008302834</v>
      </c>
      <c r="AQ84" s="31">
        <v>336.6537091124689</v>
      </c>
      <c r="AR84" s="31">
        <v>0.12895026827373907</v>
      </c>
    </row>
    <row r="85" spans="1:44" hidden="1" x14ac:dyDescent="0.5">
      <c r="A85" s="31">
        <v>1102</v>
      </c>
      <c r="B85" s="31">
        <v>72</v>
      </c>
      <c r="C85" s="225" t="s">
        <v>20</v>
      </c>
      <c r="D85" s="32">
        <v>60.436109000000002</v>
      </c>
      <c r="E85" s="38">
        <v>5.2597649999999998</v>
      </c>
      <c r="F85">
        <v>0.7</v>
      </c>
      <c r="G85">
        <f t="shared" si="2"/>
        <v>1126.5408</v>
      </c>
      <c r="H85" s="32" t="s">
        <v>47</v>
      </c>
      <c r="I85">
        <v>333</v>
      </c>
      <c r="J85">
        <v>54.715215529318201</v>
      </c>
      <c r="K85" s="26">
        <v>2015</v>
      </c>
      <c r="L85" t="s">
        <v>40</v>
      </c>
      <c r="M85" s="32">
        <v>11</v>
      </c>
      <c r="N85">
        <v>1.1060976250000001</v>
      </c>
      <c r="P85" t="s">
        <v>23</v>
      </c>
      <c r="Q85">
        <v>95.5</v>
      </c>
      <c r="R85" t="s">
        <v>13</v>
      </c>
      <c r="S85" t="s">
        <v>14</v>
      </c>
      <c r="T85" t="s">
        <v>14</v>
      </c>
      <c r="U85" s="34">
        <v>0</v>
      </c>
      <c r="V85" s="34">
        <v>1</v>
      </c>
      <c r="W85" s="25">
        <v>0.5</v>
      </c>
      <c r="X85" s="25">
        <v>1</v>
      </c>
      <c r="Y85" s="244">
        <v>3.4884441220000002</v>
      </c>
      <c r="Z85" t="s">
        <v>1122</v>
      </c>
      <c r="AA85" t="s">
        <v>622</v>
      </c>
      <c r="AB85">
        <v>1</v>
      </c>
      <c r="AC85">
        <v>71023</v>
      </c>
      <c r="AF85" t="s">
        <v>532</v>
      </c>
      <c r="AG85" s="32">
        <v>71023</v>
      </c>
      <c r="AH85" s="32" t="s">
        <v>671</v>
      </c>
      <c r="AI85" s="32" t="s">
        <v>1129</v>
      </c>
      <c r="AJ85" s="31" t="s">
        <v>1130</v>
      </c>
      <c r="AK85" s="31">
        <v>0.59524549999999998</v>
      </c>
      <c r="AL85" s="31">
        <v>42276.121146500001</v>
      </c>
      <c r="AM85" s="31">
        <v>28746.878853499999</v>
      </c>
      <c r="AN85" s="31">
        <v>48964.939470529775</v>
      </c>
      <c r="AO85" s="31">
        <v>33295.135524627301</v>
      </c>
      <c r="AP85" s="31">
        <v>170.81145528005541</v>
      </c>
      <c r="AQ85" s="31">
        <v>116.14821981207949</v>
      </c>
      <c r="AR85" s="31">
        <v>9.5569952465544492E-2</v>
      </c>
    </row>
    <row r="86" spans="1:44" hidden="1" x14ac:dyDescent="0.5">
      <c r="A86" s="31">
        <v>1104</v>
      </c>
      <c r="B86" s="31">
        <v>72</v>
      </c>
      <c r="C86" s="225" t="s">
        <v>20</v>
      </c>
      <c r="D86" s="32">
        <v>60.395536999999997</v>
      </c>
      <c r="E86" s="38">
        <v>5.2218229999999997</v>
      </c>
      <c r="F86">
        <v>0.11</v>
      </c>
      <c r="G86">
        <f t="shared" si="2"/>
        <v>177.02784</v>
      </c>
      <c r="H86" s="32" t="s">
        <v>47</v>
      </c>
      <c r="I86">
        <v>322</v>
      </c>
      <c r="J86">
        <v>58.552759895244598</v>
      </c>
      <c r="K86" s="26">
        <v>2015</v>
      </c>
      <c r="L86" t="s">
        <v>40</v>
      </c>
      <c r="M86" s="32">
        <v>11</v>
      </c>
      <c r="N86">
        <v>1.1060976250000001</v>
      </c>
      <c r="P86" t="s">
        <v>23</v>
      </c>
      <c r="Q86">
        <v>95.5</v>
      </c>
      <c r="R86" t="s">
        <v>13</v>
      </c>
      <c r="S86" t="s">
        <v>14</v>
      </c>
      <c r="T86" t="s">
        <v>14</v>
      </c>
      <c r="U86" s="34">
        <v>0</v>
      </c>
      <c r="V86" s="34">
        <v>1</v>
      </c>
      <c r="W86" s="25">
        <v>0.5</v>
      </c>
      <c r="X86" s="25">
        <v>1</v>
      </c>
      <c r="Y86" s="244">
        <v>3.4884441220000002</v>
      </c>
      <c r="Z86" t="s">
        <v>1122</v>
      </c>
      <c r="AA86" t="s">
        <v>622</v>
      </c>
      <c r="AB86">
        <v>1</v>
      </c>
      <c r="AC86">
        <v>28122</v>
      </c>
      <c r="AF86" t="s">
        <v>532</v>
      </c>
      <c r="AG86" s="32">
        <v>28122</v>
      </c>
      <c r="AH86" s="32" t="s">
        <v>671</v>
      </c>
      <c r="AI86" s="32" t="s">
        <v>1129</v>
      </c>
      <c r="AJ86" s="31" t="s">
        <v>1130</v>
      </c>
      <c r="AK86" s="31">
        <v>0.59524549999999998</v>
      </c>
      <c r="AL86" s="31">
        <v>16739.493951</v>
      </c>
      <c r="AM86" s="31">
        <v>11382.506049</v>
      </c>
      <c r="AN86" s="31">
        <v>19387.973301469076</v>
      </c>
      <c r="AO86" s="31">
        <v>13183.416656907888</v>
      </c>
      <c r="AP86" s="31">
        <v>67.633861501002727</v>
      </c>
      <c r="AQ86" s="31">
        <v>45.989612344667215</v>
      </c>
      <c r="AR86" s="31">
        <v>9.6629045587365153E-2</v>
      </c>
    </row>
    <row r="87" spans="1:44" hidden="1" x14ac:dyDescent="0.5">
      <c r="A87" s="31">
        <v>539</v>
      </c>
      <c r="B87" s="31">
        <v>35</v>
      </c>
      <c r="C87" s="225" t="s">
        <v>20</v>
      </c>
      <c r="D87" s="39">
        <v>59.64</v>
      </c>
      <c r="E87" s="40">
        <v>10.64</v>
      </c>
      <c r="F87">
        <v>0</v>
      </c>
      <c r="G87">
        <f t="shared" si="2"/>
        <v>0</v>
      </c>
      <c r="H87" s="32" t="s">
        <v>10</v>
      </c>
      <c r="I87">
        <v>0</v>
      </c>
      <c r="J87">
        <v>135.28563964827401</v>
      </c>
      <c r="K87" s="26">
        <v>2015</v>
      </c>
      <c r="L87" t="s">
        <v>11</v>
      </c>
      <c r="M87" s="32">
        <v>300</v>
      </c>
      <c r="N87">
        <v>36.542166029999997</v>
      </c>
      <c r="O87">
        <v>5</v>
      </c>
      <c r="P87" t="s">
        <v>12</v>
      </c>
      <c r="Q87">
        <v>83</v>
      </c>
      <c r="R87" t="s">
        <v>13</v>
      </c>
      <c r="S87" t="s">
        <v>14</v>
      </c>
      <c r="T87" t="s">
        <v>14</v>
      </c>
      <c r="U87" s="34">
        <v>0</v>
      </c>
      <c r="V87" s="34">
        <v>5</v>
      </c>
      <c r="W87" s="25">
        <v>2.5</v>
      </c>
      <c r="X87" s="25">
        <v>5</v>
      </c>
      <c r="Y87" s="244">
        <v>0.57928063399999996</v>
      </c>
      <c r="Z87" t="s">
        <v>634</v>
      </c>
      <c r="AA87" t="s">
        <v>622</v>
      </c>
      <c r="AB87">
        <v>5</v>
      </c>
      <c r="AC87">
        <v>100</v>
      </c>
      <c r="AD87">
        <v>21</v>
      </c>
      <c r="AE87" t="s">
        <v>525</v>
      </c>
      <c r="AF87" t="s">
        <v>532</v>
      </c>
      <c r="AG87" s="32">
        <v>100</v>
      </c>
      <c r="AH87" s="32" t="s">
        <v>1541</v>
      </c>
      <c r="AI87" s="32" t="s">
        <v>1559</v>
      </c>
      <c r="AJ87" s="31" t="s">
        <v>2942</v>
      </c>
      <c r="AK87" s="31">
        <v>0.98699999999999999</v>
      </c>
      <c r="AL87" s="31">
        <v>98.7</v>
      </c>
      <c r="AM87" s="31">
        <v>1.2999999999999972</v>
      </c>
      <c r="AN87" s="31">
        <v>4345.4358881457829</v>
      </c>
      <c r="AO87" s="31">
        <v>57.234717878313127</v>
      </c>
      <c r="AP87" s="31">
        <v>2.5172268562914422</v>
      </c>
      <c r="AQ87" s="31">
        <v>3.3154963659360361E-2</v>
      </c>
      <c r="AR87" s="31">
        <v>0.13341858489683281</v>
      </c>
    </row>
    <row r="88" spans="1:44" hidden="1" x14ac:dyDescent="0.5">
      <c r="A88" s="31">
        <v>1238</v>
      </c>
      <c r="B88" s="31">
        <v>86</v>
      </c>
      <c r="C88" s="225" t="s">
        <v>20</v>
      </c>
      <c r="D88" s="45">
        <v>58.952117200000004</v>
      </c>
      <c r="E88" s="45">
        <v>-2.779706</v>
      </c>
      <c r="F88">
        <v>0</v>
      </c>
      <c r="G88">
        <f t="shared" si="2"/>
        <v>0</v>
      </c>
      <c r="H88" s="32" t="s">
        <v>57</v>
      </c>
      <c r="I88">
        <v>1.05</v>
      </c>
      <c r="J88">
        <v>23.263977886326401</v>
      </c>
      <c r="K88" s="26">
        <v>2018</v>
      </c>
      <c r="L88" t="s">
        <v>30</v>
      </c>
      <c r="M88" s="32">
        <v>40</v>
      </c>
      <c r="N88">
        <v>4.3349038579999997</v>
      </c>
      <c r="O88">
        <v>3.95</v>
      </c>
      <c r="P88" t="s">
        <v>12</v>
      </c>
      <c r="Q88">
        <v>89</v>
      </c>
      <c r="R88" t="s">
        <v>13</v>
      </c>
      <c r="S88" t="s">
        <v>14</v>
      </c>
      <c r="T88" t="s">
        <v>14</v>
      </c>
      <c r="U88" s="34">
        <v>0</v>
      </c>
      <c r="V88" s="34">
        <v>5</v>
      </c>
      <c r="W88" s="25">
        <v>2.5</v>
      </c>
      <c r="X88" s="25">
        <v>5</v>
      </c>
      <c r="Y88" s="244">
        <v>0.7</v>
      </c>
      <c r="Z88" t="s">
        <v>806</v>
      </c>
      <c r="AA88" t="s">
        <v>662</v>
      </c>
      <c r="AB88">
        <v>2</v>
      </c>
      <c r="AC88">
        <v>3.4990000000000001</v>
      </c>
      <c r="AD88">
        <v>0.50900000000000001</v>
      </c>
      <c r="AE88" t="s">
        <v>525</v>
      </c>
      <c r="AF88" t="s">
        <v>672</v>
      </c>
      <c r="AG88" s="32" t="s">
        <v>2356</v>
      </c>
      <c r="AH88" s="32" t="s">
        <v>2357</v>
      </c>
      <c r="AI88" s="32" t="s">
        <v>2358</v>
      </c>
      <c r="AJ88" s="31" t="s">
        <v>3278</v>
      </c>
      <c r="AK88" s="31">
        <v>0.42399999999999999</v>
      </c>
      <c r="AL88" s="31">
        <v>60.554122448979584</v>
      </c>
      <c r="AM88" s="31">
        <v>82.262204081632646</v>
      </c>
      <c r="AN88" s="31">
        <v>294.93966182234379</v>
      </c>
      <c r="AO88" s="31">
        <v>400.67274813601426</v>
      </c>
      <c r="AP88" s="31">
        <v>0.20645776327564064</v>
      </c>
      <c r="AQ88" s="31">
        <v>0.28047092369520998</v>
      </c>
      <c r="AR88" s="31">
        <v>0.20269999999999999</v>
      </c>
    </row>
    <row r="89" spans="1:44" hidden="1" x14ac:dyDescent="0.5">
      <c r="A89" s="31">
        <v>1239</v>
      </c>
      <c r="B89" s="31">
        <v>86</v>
      </c>
      <c r="C89" s="225" t="s">
        <v>20</v>
      </c>
      <c r="D89" s="45">
        <v>58.952117200000004</v>
      </c>
      <c r="E89" s="45">
        <v>-2.779706</v>
      </c>
      <c r="F89">
        <v>0</v>
      </c>
      <c r="G89">
        <f t="shared" si="2"/>
        <v>0</v>
      </c>
      <c r="H89" s="32" t="s">
        <v>57</v>
      </c>
      <c r="I89">
        <v>1.05</v>
      </c>
      <c r="J89">
        <v>23.263977886326401</v>
      </c>
      <c r="K89" s="26">
        <v>2018</v>
      </c>
      <c r="L89" t="s">
        <v>30</v>
      </c>
      <c r="M89" s="32">
        <v>40</v>
      </c>
      <c r="N89">
        <v>4.3349038579999997</v>
      </c>
      <c r="O89">
        <v>3.95</v>
      </c>
      <c r="P89" t="s">
        <v>12</v>
      </c>
      <c r="Q89">
        <v>89</v>
      </c>
      <c r="R89" t="s">
        <v>13</v>
      </c>
      <c r="S89" t="s">
        <v>14</v>
      </c>
      <c r="T89" t="s">
        <v>14</v>
      </c>
      <c r="U89" s="34">
        <v>0</v>
      </c>
      <c r="V89" s="34">
        <v>5</v>
      </c>
      <c r="W89" s="25">
        <v>2.5</v>
      </c>
      <c r="X89" s="25">
        <v>5</v>
      </c>
      <c r="Y89" s="244">
        <v>0.7</v>
      </c>
      <c r="Z89" t="s">
        <v>806</v>
      </c>
      <c r="AA89" t="s">
        <v>662</v>
      </c>
      <c r="AB89">
        <v>2</v>
      </c>
      <c r="AC89">
        <v>3.5139999999999998</v>
      </c>
      <c r="AD89">
        <v>0.48099999999999998</v>
      </c>
      <c r="AE89" t="s">
        <v>525</v>
      </c>
      <c r="AF89" t="s">
        <v>672</v>
      </c>
      <c r="AG89" s="32" t="s">
        <v>2359</v>
      </c>
      <c r="AH89" s="32" t="s">
        <v>2360</v>
      </c>
      <c r="AI89" s="32" t="s">
        <v>2361</v>
      </c>
      <c r="AJ89" s="31" t="s">
        <v>3279</v>
      </c>
      <c r="AK89" s="31">
        <v>0.55300000000000005</v>
      </c>
      <c r="AL89" s="31">
        <v>79.316000000000017</v>
      </c>
      <c r="AM89" s="31">
        <v>64.112571428571428</v>
      </c>
      <c r="AN89" s="31">
        <v>386.32273528216638</v>
      </c>
      <c r="AO89" s="31">
        <v>312.27172273260095</v>
      </c>
      <c r="AP89" s="31">
        <v>0.27042591469751642</v>
      </c>
      <c r="AQ89" s="31">
        <v>0.21859020591282066</v>
      </c>
      <c r="AR89" s="31">
        <v>0.20269999999999999</v>
      </c>
    </row>
    <row r="90" spans="1:44" hidden="1" x14ac:dyDescent="0.5">
      <c r="A90" s="31">
        <v>1240</v>
      </c>
      <c r="B90" s="31">
        <v>86</v>
      </c>
      <c r="C90" s="225" t="s">
        <v>20</v>
      </c>
      <c r="D90" s="45">
        <v>58.952117200000004</v>
      </c>
      <c r="E90" s="45">
        <v>-2.779706</v>
      </c>
      <c r="F90">
        <v>0</v>
      </c>
      <c r="G90">
        <f t="shared" si="2"/>
        <v>0</v>
      </c>
      <c r="H90" s="32" t="s">
        <v>57</v>
      </c>
      <c r="I90">
        <v>1.05</v>
      </c>
      <c r="J90">
        <v>23.263977886326401</v>
      </c>
      <c r="K90" s="26">
        <v>2018</v>
      </c>
      <c r="L90" t="s">
        <v>30</v>
      </c>
      <c r="M90" s="32">
        <v>40</v>
      </c>
      <c r="N90">
        <v>4.3349038579999997</v>
      </c>
      <c r="O90">
        <v>3.95</v>
      </c>
      <c r="P90" t="s">
        <v>12</v>
      </c>
      <c r="Q90">
        <v>89</v>
      </c>
      <c r="R90" t="s">
        <v>13</v>
      </c>
      <c r="S90" t="s">
        <v>14</v>
      </c>
      <c r="T90" t="s">
        <v>14</v>
      </c>
      <c r="U90" s="34">
        <v>0</v>
      </c>
      <c r="V90" s="34">
        <v>5</v>
      </c>
      <c r="W90" s="25">
        <v>2.5</v>
      </c>
      <c r="X90" s="25">
        <v>5</v>
      </c>
      <c r="Y90" s="244">
        <v>0.7</v>
      </c>
      <c r="Z90" t="s">
        <v>806</v>
      </c>
      <c r="AA90" t="s">
        <v>662</v>
      </c>
      <c r="AB90">
        <v>2</v>
      </c>
      <c r="AC90">
        <v>4.0170000000000003</v>
      </c>
      <c r="AD90">
        <v>0.98299999999999998</v>
      </c>
      <c r="AE90" t="s">
        <v>525</v>
      </c>
      <c r="AF90" t="s">
        <v>672</v>
      </c>
      <c r="AG90" s="32" t="s">
        <v>2362</v>
      </c>
      <c r="AH90" s="32" t="s">
        <v>2363</v>
      </c>
      <c r="AI90" s="32" t="s">
        <v>2364</v>
      </c>
      <c r="AJ90" s="31" t="s">
        <v>3280</v>
      </c>
      <c r="AK90" s="31">
        <v>0.24099999999999999</v>
      </c>
      <c r="AL90" s="31">
        <v>39.514163265306131</v>
      </c>
      <c r="AM90" s="31">
        <v>124.44502040816329</v>
      </c>
      <c r="AN90" s="31">
        <v>192.46078515103079</v>
      </c>
      <c r="AO90" s="31">
        <v>606.131684355321</v>
      </c>
      <c r="AP90" s="31">
        <v>0.13472254960572155</v>
      </c>
      <c r="AQ90" s="31">
        <v>0.42429217904872474</v>
      </c>
      <c r="AR90" s="31">
        <v>0.20269999999999999</v>
      </c>
    </row>
    <row r="91" spans="1:44" hidden="1" x14ac:dyDescent="0.5">
      <c r="A91" s="31">
        <v>1241</v>
      </c>
      <c r="B91" s="31">
        <v>86</v>
      </c>
      <c r="C91" s="225" t="s">
        <v>20</v>
      </c>
      <c r="D91" s="45">
        <v>58.952117200000004</v>
      </c>
      <c r="E91" s="45">
        <v>-2.779706</v>
      </c>
      <c r="F91">
        <v>0</v>
      </c>
      <c r="G91">
        <f t="shared" si="2"/>
        <v>0</v>
      </c>
      <c r="H91" s="32" t="s">
        <v>57</v>
      </c>
      <c r="I91">
        <v>1.05</v>
      </c>
      <c r="J91">
        <v>23.263977886326401</v>
      </c>
      <c r="K91" s="26">
        <v>2018</v>
      </c>
      <c r="L91" t="s">
        <v>30</v>
      </c>
      <c r="M91" s="32">
        <v>40</v>
      </c>
      <c r="N91">
        <v>4.3349038579999997</v>
      </c>
      <c r="O91">
        <v>3.95</v>
      </c>
      <c r="P91" t="s">
        <v>12</v>
      </c>
      <c r="Q91">
        <v>89</v>
      </c>
      <c r="R91" t="s">
        <v>13</v>
      </c>
      <c r="S91" t="s">
        <v>14</v>
      </c>
      <c r="T91" t="s">
        <v>14</v>
      </c>
      <c r="U91" s="34">
        <v>0</v>
      </c>
      <c r="V91" s="34">
        <v>5</v>
      </c>
      <c r="W91" s="25">
        <v>2.5</v>
      </c>
      <c r="X91" s="25">
        <v>5</v>
      </c>
      <c r="Y91" s="244">
        <v>0.7</v>
      </c>
      <c r="Z91" t="s">
        <v>806</v>
      </c>
      <c r="AA91" t="s">
        <v>662</v>
      </c>
      <c r="AB91">
        <v>2</v>
      </c>
      <c r="AC91">
        <v>4.0430000000000001</v>
      </c>
      <c r="AD91">
        <v>0.94299999999999995</v>
      </c>
      <c r="AE91" t="s">
        <v>525</v>
      </c>
      <c r="AF91" t="s">
        <v>672</v>
      </c>
      <c r="AG91" s="32" t="s">
        <v>2365</v>
      </c>
      <c r="AH91" s="32" t="s">
        <v>2366</v>
      </c>
      <c r="AI91" s="32" t="s">
        <v>2367</v>
      </c>
      <c r="AJ91" s="31" t="s">
        <v>3281</v>
      </c>
      <c r="AK91" s="31">
        <v>0.47899999999999998</v>
      </c>
      <c r="AL91" s="31">
        <v>79.04477551020409</v>
      </c>
      <c r="AM91" s="31">
        <v>85.97563265306124</v>
      </c>
      <c r="AN91" s="31">
        <v>385.00168799317709</v>
      </c>
      <c r="AO91" s="31">
        <v>418.75966481095048</v>
      </c>
      <c r="AP91" s="31">
        <v>0.26950118159522396</v>
      </c>
      <c r="AQ91" s="31">
        <v>0.29313176536766533</v>
      </c>
      <c r="AR91" s="31">
        <v>0.20269999999999999</v>
      </c>
    </row>
    <row r="92" spans="1:44" hidden="1" x14ac:dyDescent="0.5">
      <c r="A92" s="31">
        <v>1242</v>
      </c>
      <c r="B92" s="31">
        <v>86</v>
      </c>
      <c r="C92" s="225" t="s">
        <v>20</v>
      </c>
      <c r="D92" s="45">
        <v>58.952117200000004</v>
      </c>
      <c r="E92" s="45">
        <v>-2.779706</v>
      </c>
      <c r="F92">
        <v>0</v>
      </c>
      <c r="G92">
        <f t="shared" si="2"/>
        <v>0</v>
      </c>
      <c r="H92" s="32" t="s">
        <v>57</v>
      </c>
      <c r="I92">
        <v>1.05</v>
      </c>
      <c r="J92">
        <v>23.263977886326401</v>
      </c>
      <c r="K92" s="26">
        <v>2018</v>
      </c>
      <c r="L92" t="s">
        <v>30</v>
      </c>
      <c r="M92" s="32">
        <v>40</v>
      </c>
      <c r="N92">
        <v>4.3349038579999997</v>
      </c>
      <c r="O92">
        <v>3.95</v>
      </c>
      <c r="P92" t="s">
        <v>12</v>
      </c>
      <c r="Q92">
        <v>89</v>
      </c>
      <c r="R92" t="s">
        <v>13</v>
      </c>
      <c r="S92" t="s">
        <v>14</v>
      </c>
      <c r="T92" t="s">
        <v>14</v>
      </c>
      <c r="U92" s="34">
        <v>0</v>
      </c>
      <c r="V92" s="34">
        <v>5</v>
      </c>
      <c r="W92" s="25">
        <v>2.5</v>
      </c>
      <c r="X92" s="25">
        <v>5</v>
      </c>
      <c r="Y92" s="244">
        <v>0.7</v>
      </c>
      <c r="Z92" t="s">
        <v>806</v>
      </c>
      <c r="AA92" t="s">
        <v>662</v>
      </c>
      <c r="AB92">
        <v>2</v>
      </c>
      <c r="AC92">
        <v>5.4779999999999998</v>
      </c>
      <c r="AD92">
        <v>1.538</v>
      </c>
      <c r="AE92" t="s">
        <v>525</v>
      </c>
      <c r="AF92" t="s">
        <v>672</v>
      </c>
      <c r="AG92" s="32" t="s">
        <v>2368</v>
      </c>
      <c r="AH92" s="32" t="s">
        <v>2369</v>
      </c>
      <c r="AI92" s="32" t="s">
        <v>2370</v>
      </c>
      <c r="AJ92" s="31" t="s">
        <v>3282</v>
      </c>
      <c r="AK92" s="31">
        <v>0.54700000000000004</v>
      </c>
      <c r="AL92" s="31">
        <v>122.30473469387758</v>
      </c>
      <c r="AM92" s="31">
        <v>101.28710204081634</v>
      </c>
      <c r="AN92" s="31">
        <v>595.70704075972628</v>
      </c>
      <c r="AO92" s="31">
        <v>493.33690944087004</v>
      </c>
      <c r="AP92" s="31">
        <v>0.41699492853180836</v>
      </c>
      <c r="AQ92" s="31">
        <v>0.345335836608609</v>
      </c>
      <c r="AR92" s="31">
        <v>0.20269999999999999</v>
      </c>
    </row>
    <row r="93" spans="1:44" hidden="1" x14ac:dyDescent="0.5">
      <c r="A93" s="31">
        <v>1243</v>
      </c>
      <c r="B93" s="31">
        <v>86</v>
      </c>
      <c r="C93" s="225" t="s">
        <v>20</v>
      </c>
      <c r="D93" s="45">
        <v>58.952117200000004</v>
      </c>
      <c r="E93" s="45">
        <v>-2.779706</v>
      </c>
      <c r="F93">
        <v>0</v>
      </c>
      <c r="G93">
        <f t="shared" si="2"/>
        <v>0</v>
      </c>
      <c r="H93" s="32" t="s">
        <v>57</v>
      </c>
      <c r="I93">
        <v>1.05</v>
      </c>
      <c r="J93">
        <v>23.263977886326401</v>
      </c>
      <c r="K93" s="26">
        <v>2018</v>
      </c>
      <c r="L93" t="s">
        <v>30</v>
      </c>
      <c r="M93" s="32">
        <v>40</v>
      </c>
      <c r="N93">
        <v>4.3349038579999997</v>
      </c>
      <c r="O93">
        <v>3.95</v>
      </c>
      <c r="P93" t="s">
        <v>12</v>
      </c>
      <c r="Q93">
        <v>89</v>
      </c>
      <c r="R93" t="s">
        <v>13</v>
      </c>
      <c r="S93" t="s">
        <v>14</v>
      </c>
      <c r="T93" t="s">
        <v>14</v>
      </c>
      <c r="U93" s="34">
        <v>0</v>
      </c>
      <c r="V93" s="34">
        <v>5</v>
      </c>
      <c r="W93" s="25">
        <v>2.5</v>
      </c>
      <c r="X93" s="25">
        <v>5</v>
      </c>
      <c r="Y93" s="244">
        <v>0.7</v>
      </c>
      <c r="Z93" t="s">
        <v>806</v>
      </c>
      <c r="AA93" t="s">
        <v>662</v>
      </c>
      <c r="AB93">
        <v>2</v>
      </c>
      <c r="AC93">
        <v>5.4859999999999998</v>
      </c>
      <c r="AD93">
        <v>0.51600000000000001</v>
      </c>
      <c r="AE93" t="s">
        <v>525</v>
      </c>
      <c r="AF93" t="s">
        <v>672</v>
      </c>
      <c r="AG93" s="32" t="s">
        <v>2371</v>
      </c>
      <c r="AH93" s="32" t="s">
        <v>2372</v>
      </c>
      <c r="AI93" s="32" t="s">
        <v>2373</v>
      </c>
      <c r="AJ93" s="31" t="s">
        <v>3283</v>
      </c>
      <c r="AK93" s="31">
        <v>0.44700000000000001</v>
      </c>
      <c r="AL93" s="31">
        <v>100.09151020408163</v>
      </c>
      <c r="AM93" s="31">
        <v>123.82685714285714</v>
      </c>
      <c r="AN93" s="31">
        <v>487.51356599631441</v>
      </c>
      <c r="AO93" s="31">
        <v>603.12080983436658</v>
      </c>
      <c r="AP93" s="31">
        <v>0.34125949619742008</v>
      </c>
      <c r="AQ93" s="31">
        <v>0.42218456688405659</v>
      </c>
      <c r="AR93" s="31">
        <v>0.20269999999999999</v>
      </c>
    </row>
    <row r="94" spans="1:44" hidden="1" x14ac:dyDescent="0.5">
      <c r="A94" s="31">
        <v>1244</v>
      </c>
      <c r="B94" s="31">
        <v>86</v>
      </c>
      <c r="C94" s="225" t="s">
        <v>20</v>
      </c>
      <c r="D94" s="45">
        <v>58.952117200000004</v>
      </c>
      <c r="E94" s="45">
        <v>-2.779706</v>
      </c>
      <c r="F94">
        <v>0</v>
      </c>
      <c r="G94">
        <f t="shared" si="2"/>
        <v>0</v>
      </c>
      <c r="H94" s="32" t="s">
        <v>57</v>
      </c>
      <c r="I94">
        <v>1.05</v>
      </c>
      <c r="J94">
        <v>23.263977886326401</v>
      </c>
      <c r="K94" s="26">
        <v>2018</v>
      </c>
      <c r="L94" t="s">
        <v>30</v>
      </c>
      <c r="M94" s="32">
        <v>40</v>
      </c>
      <c r="N94">
        <v>4.3349038579999997</v>
      </c>
      <c r="O94">
        <v>3.95</v>
      </c>
      <c r="P94" t="s">
        <v>12</v>
      </c>
      <c r="Q94">
        <v>89</v>
      </c>
      <c r="R94" t="s">
        <v>13</v>
      </c>
      <c r="S94" t="s">
        <v>14</v>
      </c>
      <c r="T94" t="s">
        <v>14</v>
      </c>
      <c r="U94" s="34">
        <v>0</v>
      </c>
      <c r="V94" s="34">
        <v>5</v>
      </c>
      <c r="W94" s="25">
        <v>2.5</v>
      </c>
      <c r="X94" s="25">
        <v>5</v>
      </c>
      <c r="Y94" s="244">
        <v>0.7</v>
      </c>
      <c r="Z94" t="s">
        <v>806</v>
      </c>
      <c r="AA94" t="s">
        <v>662</v>
      </c>
      <c r="AB94">
        <v>2</v>
      </c>
      <c r="AC94">
        <v>5.9669999999999996</v>
      </c>
      <c r="AD94">
        <v>0</v>
      </c>
      <c r="AE94" t="s">
        <v>525</v>
      </c>
      <c r="AF94" t="s">
        <v>672</v>
      </c>
      <c r="AG94" s="32" t="s">
        <v>2374</v>
      </c>
      <c r="AH94" s="32" t="s">
        <v>2375</v>
      </c>
      <c r="AI94" s="32" t="s">
        <v>2376</v>
      </c>
      <c r="AJ94" s="31" t="s">
        <v>3284</v>
      </c>
      <c r="AK94" s="31">
        <v>0.40500000000000003</v>
      </c>
      <c r="AL94" s="31">
        <v>98.638163265306133</v>
      </c>
      <c r="AM94" s="31">
        <v>144.91285714285715</v>
      </c>
      <c r="AN94" s="31">
        <v>480.43478032001053</v>
      </c>
      <c r="AO94" s="31">
        <v>705.82393651952168</v>
      </c>
      <c r="AP94" s="31">
        <v>0.33630434622400734</v>
      </c>
      <c r="AQ94" s="31">
        <v>0.49407675556366515</v>
      </c>
      <c r="AR94" s="31">
        <v>0.20269999999999999</v>
      </c>
    </row>
    <row r="95" spans="1:44" hidden="1" x14ac:dyDescent="0.5">
      <c r="A95" s="31">
        <v>1245</v>
      </c>
      <c r="B95" s="31">
        <v>86</v>
      </c>
      <c r="C95" s="225" t="s">
        <v>20</v>
      </c>
      <c r="D95" s="45">
        <v>58.952117200000004</v>
      </c>
      <c r="E95" s="45">
        <v>-2.779706</v>
      </c>
      <c r="F95">
        <v>0</v>
      </c>
      <c r="G95">
        <f t="shared" si="2"/>
        <v>0</v>
      </c>
      <c r="H95" s="32" t="s">
        <v>57</v>
      </c>
      <c r="I95">
        <v>1.05</v>
      </c>
      <c r="J95">
        <v>23.263977886326401</v>
      </c>
      <c r="K95" s="26">
        <v>2018</v>
      </c>
      <c r="L95" t="s">
        <v>30</v>
      </c>
      <c r="M95" s="32">
        <v>40</v>
      </c>
      <c r="N95">
        <v>4.3349038579999997</v>
      </c>
      <c r="O95">
        <v>3.95</v>
      </c>
      <c r="P95" t="s">
        <v>12</v>
      </c>
      <c r="Q95">
        <v>89</v>
      </c>
      <c r="R95" t="s">
        <v>13</v>
      </c>
      <c r="S95" t="s">
        <v>14</v>
      </c>
      <c r="T95" t="s">
        <v>14</v>
      </c>
      <c r="U95" s="34">
        <v>0</v>
      </c>
      <c r="V95" s="34">
        <v>5</v>
      </c>
      <c r="W95" s="25">
        <v>2.5</v>
      </c>
      <c r="X95" s="25">
        <v>5</v>
      </c>
      <c r="Y95" s="244">
        <v>0.7</v>
      </c>
      <c r="Z95" t="s">
        <v>806</v>
      </c>
      <c r="AA95" t="s">
        <v>662</v>
      </c>
      <c r="AB95">
        <v>2</v>
      </c>
      <c r="AC95">
        <v>6.5019999999999998</v>
      </c>
      <c r="AD95">
        <v>1.4710000000000001</v>
      </c>
      <c r="AE95" t="s">
        <v>525</v>
      </c>
      <c r="AF95" t="s">
        <v>672</v>
      </c>
      <c r="AG95" s="32" t="s">
        <v>2377</v>
      </c>
      <c r="AH95" s="32" t="s">
        <v>2378</v>
      </c>
      <c r="AI95" s="32" t="s">
        <v>2379</v>
      </c>
      <c r="AJ95" s="31" t="s">
        <v>3285</v>
      </c>
      <c r="AK95" s="31">
        <v>0.53500000000000003</v>
      </c>
      <c r="AL95" s="31">
        <v>141.98244897959185</v>
      </c>
      <c r="AM95" s="31">
        <v>123.40530612244899</v>
      </c>
      <c r="AN95" s="31">
        <v>691.55086050552893</v>
      </c>
      <c r="AO95" s="31">
        <v>601.06757034592715</v>
      </c>
      <c r="AP95" s="31">
        <v>0.48408560235387021</v>
      </c>
      <c r="AQ95" s="31">
        <v>0.42074729924214899</v>
      </c>
      <c r="AR95" s="31">
        <v>0.20269999999999999</v>
      </c>
    </row>
    <row r="96" spans="1:44" hidden="1" x14ac:dyDescent="0.5">
      <c r="A96" s="31">
        <v>1246</v>
      </c>
      <c r="B96" s="31">
        <v>86</v>
      </c>
      <c r="C96" s="225" t="s">
        <v>20</v>
      </c>
      <c r="D96" s="45">
        <v>58.952117200000004</v>
      </c>
      <c r="E96" s="45">
        <v>-2.779706</v>
      </c>
      <c r="F96">
        <v>0</v>
      </c>
      <c r="G96">
        <f t="shared" si="2"/>
        <v>0</v>
      </c>
      <c r="H96" s="32" t="s">
        <v>57</v>
      </c>
      <c r="I96">
        <v>1.05</v>
      </c>
      <c r="J96">
        <v>23.263977886326401</v>
      </c>
      <c r="K96" s="26">
        <v>2018</v>
      </c>
      <c r="L96" t="s">
        <v>30</v>
      </c>
      <c r="M96" s="32">
        <v>40</v>
      </c>
      <c r="N96">
        <v>4.3349038579999997</v>
      </c>
      <c r="O96">
        <v>3.95</v>
      </c>
      <c r="P96" t="s">
        <v>12</v>
      </c>
      <c r="Q96">
        <v>89</v>
      </c>
      <c r="R96" t="s">
        <v>13</v>
      </c>
      <c r="S96" t="s">
        <v>14</v>
      </c>
      <c r="T96" t="s">
        <v>14</v>
      </c>
      <c r="U96" s="34">
        <v>0</v>
      </c>
      <c r="V96" s="34">
        <v>5</v>
      </c>
      <c r="W96" s="25">
        <v>2.5</v>
      </c>
      <c r="X96" s="25">
        <v>5</v>
      </c>
      <c r="Y96" s="244">
        <v>0.7</v>
      </c>
      <c r="Z96" t="s">
        <v>806</v>
      </c>
      <c r="AA96" t="s">
        <v>662</v>
      </c>
      <c r="AB96">
        <v>2</v>
      </c>
      <c r="AC96">
        <v>6.5289999999999999</v>
      </c>
      <c r="AD96">
        <v>0.48699999999999999</v>
      </c>
      <c r="AE96" t="s">
        <v>525</v>
      </c>
      <c r="AF96" t="s">
        <v>672</v>
      </c>
      <c r="AG96" s="32" t="s">
        <v>2380</v>
      </c>
      <c r="AH96" s="32" t="s">
        <v>1273</v>
      </c>
      <c r="AI96" s="32" t="s">
        <v>2381</v>
      </c>
      <c r="AJ96" s="31" t="s">
        <v>3286</v>
      </c>
      <c r="AK96" s="31">
        <v>0.15</v>
      </c>
      <c r="AL96" s="31">
        <v>39.973469387755102</v>
      </c>
      <c r="AM96" s="31">
        <v>226.51632653061225</v>
      </c>
      <c r="AN96" s="31">
        <v>194.69791760294882</v>
      </c>
      <c r="AO96" s="31">
        <v>1103.2881997500433</v>
      </c>
      <c r="AP96" s="31">
        <v>0.13628854232206417</v>
      </c>
      <c r="AQ96" s="31">
        <v>0.77230173982503025</v>
      </c>
      <c r="AR96" s="31">
        <v>0.20269999999999999</v>
      </c>
    </row>
    <row r="97" spans="1:44" hidden="1" x14ac:dyDescent="0.5">
      <c r="A97" s="31">
        <v>1247</v>
      </c>
      <c r="B97" s="31">
        <v>86</v>
      </c>
      <c r="C97" s="225" t="s">
        <v>20</v>
      </c>
      <c r="D97" s="45">
        <v>58.952117200000004</v>
      </c>
      <c r="E97" s="45">
        <v>-2.779706</v>
      </c>
      <c r="F97">
        <v>0</v>
      </c>
      <c r="G97">
        <f t="shared" si="2"/>
        <v>0</v>
      </c>
      <c r="H97" s="32" t="s">
        <v>57</v>
      </c>
      <c r="I97">
        <v>1.05</v>
      </c>
      <c r="J97">
        <v>23.263977886326401</v>
      </c>
      <c r="K97" s="26">
        <v>2018</v>
      </c>
      <c r="L97" t="s">
        <v>30</v>
      </c>
      <c r="M97" s="32">
        <v>40</v>
      </c>
      <c r="N97">
        <v>4.3349038579999997</v>
      </c>
      <c r="O97">
        <v>3.95</v>
      </c>
      <c r="P97" t="s">
        <v>12</v>
      </c>
      <c r="Q97">
        <v>89</v>
      </c>
      <c r="R97" t="s">
        <v>13</v>
      </c>
      <c r="S97" t="s">
        <v>14</v>
      </c>
      <c r="T97" t="s">
        <v>14</v>
      </c>
      <c r="U97" s="34">
        <v>0</v>
      </c>
      <c r="V97" s="34">
        <v>5</v>
      </c>
      <c r="W97" s="25">
        <v>2.5</v>
      </c>
      <c r="X97" s="25">
        <v>5</v>
      </c>
      <c r="Y97" s="244">
        <v>0.7</v>
      </c>
      <c r="Z97" t="s">
        <v>806</v>
      </c>
      <c r="AA97" t="s">
        <v>662</v>
      </c>
      <c r="AB97">
        <v>2</v>
      </c>
      <c r="AC97">
        <v>11.507</v>
      </c>
      <c r="AD97">
        <v>0.51400000000000001</v>
      </c>
      <c r="AE97" t="s">
        <v>525</v>
      </c>
      <c r="AF97" t="s">
        <v>672</v>
      </c>
      <c r="AG97" s="32" t="s">
        <v>2382</v>
      </c>
      <c r="AH97" s="32" t="s">
        <v>2383</v>
      </c>
      <c r="AI97" s="32" t="s">
        <v>2384</v>
      </c>
      <c r="AJ97" s="31" t="s">
        <v>3287</v>
      </c>
      <c r="AK97" s="31">
        <v>0.38500000000000001</v>
      </c>
      <c r="AL97" s="31">
        <v>180.82428571428574</v>
      </c>
      <c r="AM97" s="31">
        <v>288.84918367346944</v>
      </c>
      <c r="AN97" s="31">
        <v>880.73695928421523</v>
      </c>
      <c r="AO97" s="31">
        <v>1406.8915063890711</v>
      </c>
      <c r="AP97" s="31">
        <v>0.6165158714989506</v>
      </c>
      <c r="AQ97" s="31">
        <v>0.98482405447234966</v>
      </c>
      <c r="AR97" s="31">
        <v>0.20269999999999999</v>
      </c>
    </row>
    <row r="98" spans="1:44" hidden="1" x14ac:dyDescent="0.5">
      <c r="A98" s="31">
        <v>1237</v>
      </c>
      <c r="B98" s="31">
        <v>86</v>
      </c>
      <c r="C98" s="225" t="s">
        <v>20</v>
      </c>
      <c r="D98" s="45">
        <v>58.951717000000002</v>
      </c>
      <c r="E98" s="45">
        <v>-2.779706</v>
      </c>
      <c r="G98">
        <f t="shared" si="2"/>
        <v>0</v>
      </c>
      <c r="H98" s="32" t="s">
        <v>45</v>
      </c>
      <c r="I98">
        <v>0.6</v>
      </c>
      <c r="J98">
        <v>23.235396634428</v>
      </c>
      <c r="K98" s="26">
        <v>2018</v>
      </c>
      <c r="L98" t="s">
        <v>30</v>
      </c>
      <c r="M98" s="32">
        <v>40</v>
      </c>
      <c r="N98">
        <v>4.3349038579999997</v>
      </c>
      <c r="O98">
        <v>3.95</v>
      </c>
      <c r="P98" t="s">
        <v>12</v>
      </c>
      <c r="Q98">
        <v>89</v>
      </c>
      <c r="R98" t="s">
        <v>13</v>
      </c>
      <c r="S98" t="s">
        <v>14</v>
      </c>
      <c r="T98" t="s">
        <v>14</v>
      </c>
      <c r="U98" s="34">
        <v>0</v>
      </c>
      <c r="V98" s="34">
        <v>5</v>
      </c>
      <c r="W98" s="25">
        <v>2.5</v>
      </c>
      <c r="X98" s="25">
        <v>5</v>
      </c>
      <c r="Y98" s="244">
        <v>1.7066694790000001</v>
      </c>
      <c r="Z98" t="s">
        <v>1122</v>
      </c>
      <c r="AA98" t="s">
        <v>622</v>
      </c>
      <c r="AB98">
        <v>5</v>
      </c>
      <c r="AC98">
        <v>3.3530000000000002</v>
      </c>
      <c r="AD98">
        <v>0.55800000000000005</v>
      </c>
      <c r="AE98" t="s">
        <v>525</v>
      </c>
      <c r="AF98" t="s">
        <v>672</v>
      </c>
      <c r="AG98" s="32" t="s">
        <v>2355</v>
      </c>
      <c r="AH98" s="32">
        <v>1</v>
      </c>
      <c r="AI98" s="32" t="s">
        <v>2355</v>
      </c>
      <c r="AJ98" s="31">
        <v>0</v>
      </c>
      <c r="AK98" s="31">
        <v>1</v>
      </c>
      <c r="AL98" s="31">
        <v>56.132720001609641</v>
      </c>
      <c r="AM98" s="31">
        <v>0</v>
      </c>
      <c r="AN98" s="31">
        <v>273.40443201686668</v>
      </c>
      <c r="AO98" s="31">
        <v>0</v>
      </c>
      <c r="AP98" s="31">
        <v>0.46661099954651686</v>
      </c>
      <c r="AQ98" s="31">
        <v>0</v>
      </c>
      <c r="AR98" s="31">
        <v>0.13333840568451286</v>
      </c>
    </row>
    <row r="99" spans="1:44" hidden="1" x14ac:dyDescent="0.5">
      <c r="A99" s="31">
        <v>1269</v>
      </c>
      <c r="B99" s="31">
        <v>87</v>
      </c>
      <c r="C99" s="225" t="s">
        <v>20</v>
      </c>
      <c r="D99" s="32">
        <v>55.81183</v>
      </c>
      <c r="E99" s="38">
        <v>3.6403300000000001</v>
      </c>
      <c r="F99">
        <v>96.93</v>
      </c>
      <c r="G99">
        <f t="shared" si="2"/>
        <v>155993.71392000001</v>
      </c>
      <c r="H99" s="32" t="s">
        <v>614</v>
      </c>
      <c r="I99">
        <v>49</v>
      </c>
      <c r="J99">
        <v>0</v>
      </c>
      <c r="K99" s="26">
        <v>2014</v>
      </c>
      <c r="L99" t="s">
        <v>40</v>
      </c>
      <c r="M99" s="32">
        <v>11</v>
      </c>
      <c r="N99">
        <v>1.1060976250000001</v>
      </c>
      <c r="O99">
        <v>5</v>
      </c>
      <c r="P99" t="s">
        <v>23</v>
      </c>
      <c r="Q99">
        <v>95.5</v>
      </c>
      <c r="R99" t="s">
        <v>13</v>
      </c>
      <c r="S99" t="s">
        <v>14</v>
      </c>
      <c r="T99" t="s">
        <v>14</v>
      </c>
      <c r="U99" s="34">
        <v>0</v>
      </c>
      <c r="V99" s="34">
        <v>5</v>
      </c>
      <c r="W99" s="25">
        <v>2.5</v>
      </c>
      <c r="X99" s="25">
        <v>5</v>
      </c>
      <c r="Y99" s="244">
        <v>1.788789671</v>
      </c>
      <c r="Z99" t="s">
        <v>1104</v>
      </c>
      <c r="AA99" t="s">
        <v>622</v>
      </c>
      <c r="AB99">
        <v>1</v>
      </c>
      <c r="AC99">
        <v>239.9</v>
      </c>
      <c r="AF99" t="s">
        <v>532</v>
      </c>
      <c r="AG99" s="32" t="s">
        <v>2405</v>
      </c>
      <c r="AH99" s="32" t="s">
        <v>671</v>
      </c>
      <c r="AI99" s="32" t="s">
        <v>1129</v>
      </c>
      <c r="AJ99" s="31" t="s">
        <v>1130</v>
      </c>
      <c r="AK99" s="31">
        <v>0.59524549999999998</v>
      </c>
      <c r="AL99" s="31">
        <v>142.79939544999999</v>
      </c>
      <c r="AM99" s="31">
        <v>97.100604550000014</v>
      </c>
      <c r="AN99" s="31">
        <v>165.39274571589613</v>
      </c>
      <c r="AO99" s="31">
        <v>112.4636105537374</v>
      </c>
      <c r="AP99" s="31">
        <v>0.2958528351949245</v>
      </c>
      <c r="AQ99" s="31">
        <v>0.20117374492189205</v>
      </c>
      <c r="AR99" s="31">
        <v>0.12702682700205339</v>
      </c>
    </row>
    <row r="100" spans="1:44" hidden="1" x14ac:dyDescent="0.5">
      <c r="A100" s="31">
        <v>538</v>
      </c>
      <c r="B100" s="31">
        <v>35</v>
      </c>
      <c r="C100" s="225" t="s">
        <v>20</v>
      </c>
      <c r="D100" s="39">
        <v>55.7</v>
      </c>
      <c r="E100" s="40">
        <v>21.14</v>
      </c>
      <c r="F100">
        <v>0</v>
      </c>
      <c r="G100">
        <f t="shared" si="2"/>
        <v>0</v>
      </c>
      <c r="H100" s="32" t="s">
        <v>10</v>
      </c>
      <c r="I100">
        <v>0</v>
      </c>
      <c r="J100">
        <v>51.625530928555897</v>
      </c>
      <c r="K100" s="26">
        <v>2015</v>
      </c>
      <c r="L100" t="s">
        <v>11</v>
      </c>
      <c r="M100" s="32">
        <v>300</v>
      </c>
      <c r="N100">
        <v>36.542166029999997</v>
      </c>
      <c r="O100">
        <v>5</v>
      </c>
      <c r="P100" t="s">
        <v>12</v>
      </c>
      <c r="Q100">
        <v>83</v>
      </c>
      <c r="R100" t="s">
        <v>13</v>
      </c>
      <c r="S100" t="s">
        <v>14</v>
      </c>
      <c r="T100" t="s">
        <v>14</v>
      </c>
      <c r="U100" s="34">
        <v>0</v>
      </c>
      <c r="V100" s="34">
        <v>5</v>
      </c>
      <c r="W100" s="25">
        <v>2.5</v>
      </c>
      <c r="X100" s="25">
        <v>5</v>
      </c>
      <c r="Y100" s="244">
        <v>0.54424737099999998</v>
      </c>
      <c r="Z100" t="s">
        <v>754</v>
      </c>
      <c r="AA100" t="s">
        <v>620</v>
      </c>
      <c r="AB100">
        <v>5</v>
      </c>
      <c r="AC100">
        <v>700</v>
      </c>
      <c r="AD100">
        <v>296</v>
      </c>
      <c r="AE100" t="s">
        <v>525</v>
      </c>
      <c r="AF100" t="s">
        <v>532</v>
      </c>
      <c r="AG100" s="32">
        <v>700</v>
      </c>
      <c r="AH100" s="32" t="s">
        <v>1541</v>
      </c>
      <c r="AI100" s="32" t="s">
        <v>1558</v>
      </c>
      <c r="AJ100" s="31" t="s">
        <v>2941</v>
      </c>
      <c r="AK100" s="31">
        <v>0.98699999999999999</v>
      </c>
      <c r="AL100" s="31">
        <v>690.9</v>
      </c>
      <c r="AM100" s="31">
        <v>9.1000000000000227</v>
      </c>
      <c r="AN100" s="31">
        <v>30418.051217020478</v>
      </c>
      <c r="AO100" s="31">
        <v>400.64302514819371</v>
      </c>
      <c r="AP100" s="31">
        <v>16.554944405806747</v>
      </c>
      <c r="AQ100" s="31">
        <v>0.2180489131463913</v>
      </c>
      <c r="AR100" s="31">
        <v>0.13341858489683281</v>
      </c>
    </row>
    <row r="101" spans="1:44" hidden="1" x14ac:dyDescent="0.5">
      <c r="A101" s="31">
        <v>537</v>
      </c>
      <c r="B101" s="31">
        <v>35</v>
      </c>
      <c r="C101" s="225" t="s">
        <v>20</v>
      </c>
      <c r="D101" s="39">
        <v>55.69</v>
      </c>
      <c r="E101" s="40">
        <v>11.09</v>
      </c>
      <c r="F101">
        <v>0</v>
      </c>
      <c r="G101">
        <f t="shared" si="2"/>
        <v>0</v>
      </c>
      <c r="H101" s="32" t="s">
        <v>10</v>
      </c>
      <c r="I101">
        <v>0</v>
      </c>
      <c r="J101">
        <v>126.264895563674</v>
      </c>
      <c r="K101" s="26">
        <v>2016</v>
      </c>
      <c r="L101" t="s">
        <v>11</v>
      </c>
      <c r="M101" s="32">
        <v>300</v>
      </c>
      <c r="N101">
        <v>36.542166029999997</v>
      </c>
      <c r="O101">
        <v>5</v>
      </c>
      <c r="P101" t="s">
        <v>12</v>
      </c>
      <c r="Q101">
        <v>83</v>
      </c>
      <c r="R101" t="s">
        <v>13</v>
      </c>
      <c r="S101" t="s">
        <v>14</v>
      </c>
      <c r="T101" t="s">
        <v>14</v>
      </c>
      <c r="U101" s="34">
        <v>0</v>
      </c>
      <c r="V101" s="34">
        <v>5</v>
      </c>
      <c r="W101" s="25">
        <v>2.5</v>
      </c>
      <c r="X101" s="25">
        <v>5</v>
      </c>
      <c r="Y101" s="244">
        <v>1.0162606759999999</v>
      </c>
      <c r="Z101" t="s">
        <v>1104</v>
      </c>
      <c r="AA101" t="s">
        <v>622</v>
      </c>
      <c r="AB101">
        <v>5</v>
      </c>
      <c r="AC101">
        <v>88</v>
      </c>
      <c r="AD101">
        <v>33</v>
      </c>
      <c r="AE101" t="s">
        <v>525</v>
      </c>
      <c r="AF101" t="s">
        <v>532</v>
      </c>
      <c r="AG101" s="32">
        <v>88</v>
      </c>
      <c r="AH101" s="32" t="s">
        <v>1541</v>
      </c>
      <c r="AI101" s="32" t="s">
        <v>1557</v>
      </c>
      <c r="AJ101" s="31" t="s">
        <v>2940</v>
      </c>
      <c r="AK101" s="31">
        <v>0.98699999999999999</v>
      </c>
      <c r="AL101" s="31">
        <v>86.855999999999995</v>
      </c>
      <c r="AM101" s="31">
        <v>1.1440000000000055</v>
      </c>
      <c r="AN101" s="31">
        <v>3823.9835815682886</v>
      </c>
      <c r="AO101" s="31">
        <v>50.366551732915902</v>
      </c>
      <c r="AP101" s="31">
        <v>3.88616413961749</v>
      </c>
      <c r="AQ101" s="31">
        <v>5.1185545911882083E-2</v>
      </c>
      <c r="AR101" s="31">
        <v>0.13341858489683281</v>
      </c>
    </row>
    <row r="102" spans="1:44" hidden="1" x14ac:dyDescent="0.5">
      <c r="A102" s="31">
        <v>536</v>
      </c>
      <c r="B102" s="31">
        <v>35</v>
      </c>
      <c r="C102" s="225" t="s">
        <v>20</v>
      </c>
      <c r="D102" s="39">
        <v>55.61</v>
      </c>
      <c r="E102" s="40">
        <v>10.59</v>
      </c>
      <c r="F102">
        <v>0</v>
      </c>
      <c r="G102">
        <f t="shared" si="2"/>
        <v>0</v>
      </c>
      <c r="H102" s="32" t="s">
        <v>10</v>
      </c>
      <c r="I102">
        <v>0</v>
      </c>
      <c r="J102">
        <v>147.56907250575799</v>
      </c>
      <c r="K102" s="26">
        <v>2016</v>
      </c>
      <c r="L102" t="s">
        <v>11</v>
      </c>
      <c r="M102" s="32">
        <v>300</v>
      </c>
      <c r="N102">
        <v>36.542166029999997</v>
      </c>
      <c r="O102">
        <v>5</v>
      </c>
      <c r="P102" t="s">
        <v>12</v>
      </c>
      <c r="Q102">
        <v>83</v>
      </c>
      <c r="R102" t="s">
        <v>13</v>
      </c>
      <c r="S102" t="s">
        <v>14</v>
      </c>
      <c r="T102" t="s">
        <v>14</v>
      </c>
      <c r="U102" s="34">
        <v>0</v>
      </c>
      <c r="V102" s="34">
        <v>5</v>
      </c>
      <c r="W102" s="25">
        <v>2.5</v>
      </c>
      <c r="X102" s="25">
        <v>5</v>
      </c>
      <c r="Y102" s="244">
        <v>1.258034651</v>
      </c>
      <c r="Z102" t="s">
        <v>758</v>
      </c>
      <c r="AA102" t="s">
        <v>620</v>
      </c>
      <c r="AB102">
        <v>5</v>
      </c>
      <c r="AC102">
        <v>164</v>
      </c>
      <c r="AD102">
        <v>21</v>
      </c>
      <c r="AE102" t="s">
        <v>525</v>
      </c>
      <c r="AF102" t="s">
        <v>532</v>
      </c>
      <c r="AG102" s="32">
        <v>164</v>
      </c>
      <c r="AH102" s="32" t="s">
        <v>1541</v>
      </c>
      <c r="AI102" s="32" t="s">
        <v>1556</v>
      </c>
      <c r="AJ102" s="31" t="s">
        <v>2939</v>
      </c>
      <c r="AK102" s="31">
        <v>0.98699999999999999</v>
      </c>
      <c r="AL102" s="31">
        <v>161.86799999999999</v>
      </c>
      <c r="AM102" s="31">
        <v>2.132000000000005</v>
      </c>
      <c r="AN102" s="31">
        <v>7126.5148565590835</v>
      </c>
      <c r="AO102" s="31">
        <v>93.864937320433953</v>
      </c>
      <c r="AP102" s="31">
        <v>8.9654026304176213</v>
      </c>
      <c r="AQ102" s="31">
        <v>0.118085343663049</v>
      </c>
      <c r="AR102" s="31">
        <v>0.13341858489683281</v>
      </c>
    </row>
    <row r="103" spans="1:44" hidden="1" x14ac:dyDescent="0.5">
      <c r="A103" s="31">
        <v>535</v>
      </c>
      <c r="B103" s="31">
        <v>35</v>
      </c>
      <c r="C103" s="225" t="s">
        <v>20</v>
      </c>
      <c r="D103" s="39">
        <v>55.59</v>
      </c>
      <c r="E103" s="40">
        <v>11.15</v>
      </c>
      <c r="F103">
        <v>0</v>
      </c>
      <c r="G103">
        <f t="shared" si="2"/>
        <v>0</v>
      </c>
      <c r="H103" s="32" t="s">
        <v>10</v>
      </c>
      <c r="I103">
        <v>0</v>
      </c>
      <c r="J103">
        <v>122.611515438449</v>
      </c>
      <c r="K103" s="26">
        <v>2016</v>
      </c>
      <c r="L103" t="s">
        <v>11</v>
      </c>
      <c r="M103" s="32">
        <v>300</v>
      </c>
      <c r="N103">
        <v>36.542166029999997</v>
      </c>
      <c r="O103">
        <v>5</v>
      </c>
      <c r="P103" t="s">
        <v>12</v>
      </c>
      <c r="Q103">
        <v>83</v>
      </c>
      <c r="R103" t="s">
        <v>13</v>
      </c>
      <c r="S103" t="s">
        <v>14</v>
      </c>
      <c r="T103" t="s">
        <v>14</v>
      </c>
      <c r="U103" s="34">
        <v>0</v>
      </c>
      <c r="V103" s="34">
        <v>5</v>
      </c>
      <c r="W103" s="25">
        <v>2.5</v>
      </c>
      <c r="X103" s="25">
        <v>5</v>
      </c>
      <c r="Y103" s="244">
        <v>1.0162606759999999</v>
      </c>
      <c r="Z103" t="s">
        <v>1104</v>
      </c>
      <c r="AA103" t="s">
        <v>622</v>
      </c>
      <c r="AB103">
        <v>5</v>
      </c>
      <c r="AC103">
        <v>128</v>
      </c>
      <c r="AD103">
        <v>31</v>
      </c>
      <c r="AE103" t="s">
        <v>525</v>
      </c>
      <c r="AF103" t="s">
        <v>532</v>
      </c>
      <c r="AG103" s="32">
        <v>128</v>
      </c>
      <c r="AH103" s="32" t="s">
        <v>1541</v>
      </c>
      <c r="AI103" s="32" t="s">
        <v>1555</v>
      </c>
      <c r="AJ103" s="31" t="s">
        <v>2938</v>
      </c>
      <c r="AK103" s="31">
        <v>0.98699999999999999</v>
      </c>
      <c r="AL103" s="31">
        <v>126.336</v>
      </c>
      <c r="AM103" s="31">
        <v>1.6640000000000015</v>
      </c>
      <c r="AN103" s="31">
        <v>5562.1579368266021</v>
      </c>
      <c r="AO103" s="31">
        <v>73.260438884241026</v>
      </c>
      <c r="AP103" s="31">
        <v>5.6526023848981675</v>
      </c>
      <c r="AQ103" s="31">
        <v>7.4451703144555459E-2</v>
      </c>
      <c r="AR103" s="31">
        <v>0.13341858489683281</v>
      </c>
    </row>
    <row r="104" spans="1:44" hidden="1" x14ac:dyDescent="0.5">
      <c r="A104" s="31">
        <v>385132</v>
      </c>
      <c r="B104" s="31">
        <v>98</v>
      </c>
      <c r="C104" s="225" t="s">
        <v>39</v>
      </c>
      <c r="D104" s="41">
        <v>55.385131999999999</v>
      </c>
      <c r="E104" s="43">
        <v>-1.614304</v>
      </c>
      <c r="F104">
        <v>0</v>
      </c>
      <c r="G104">
        <f t="shared" si="2"/>
        <v>0</v>
      </c>
      <c r="H104" s="31" t="s">
        <v>10</v>
      </c>
      <c r="I104">
        <v>0</v>
      </c>
      <c r="J104">
        <v>264.45149114499702</v>
      </c>
      <c r="K104" s="26">
        <v>2016</v>
      </c>
      <c r="L104" t="s">
        <v>30</v>
      </c>
      <c r="M104" s="32">
        <v>500</v>
      </c>
      <c r="N104">
        <v>62.735052189999998</v>
      </c>
      <c r="P104" t="s">
        <v>17</v>
      </c>
      <c r="Q104">
        <v>100</v>
      </c>
      <c r="R104" t="s">
        <v>13</v>
      </c>
      <c r="S104" t="s">
        <v>16</v>
      </c>
      <c r="T104" t="s">
        <v>16</v>
      </c>
      <c r="U104" s="240">
        <v>0</v>
      </c>
      <c r="V104" s="240">
        <v>15</v>
      </c>
      <c r="W104" s="25">
        <v>7.5</v>
      </c>
      <c r="X104" s="25">
        <v>15</v>
      </c>
      <c r="Y104" s="244">
        <v>1.788789671</v>
      </c>
      <c r="Z104" t="s">
        <v>1122</v>
      </c>
      <c r="AA104" t="s">
        <v>622</v>
      </c>
      <c r="AB104">
        <v>45</v>
      </c>
      <c r="AE104" t="s">
        <v>525</v>
      </c>
      <c r="AF104" t="s">
        <v>553</v>
      </c>
      <c r="AH104" s="32" t="s">
        <v>671</v>
      </c>
      <c r="AI104" s="32" t="s">
        <v>1129</v>
      </c>
      <c r="AJ104" s="31" t="s">
        <v>1130</v>
      </c>
      <c r="AK104" s="31">
        <v>0.59524549999999998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0.13341858489683281</v>
      </c>
    </row>
    <row r="105" spans="1:44" hidden="1" x14ac:dyDescent="0.5">
      <c r="A105" s="31">
        <v>588</v>
      </c>
      <c r="B105" s="31">
        <v>42</v>
      </c>
      <c r="C105" s="225" t="s">
        <v>20</v>
      </c>
      <c r="D105" s="35">
        <v>54.970978000000002</v>
      </c>
      <c r="E105" s="33">
        <v>20.511562999999999</v>
      </c>
      <c r="F105">
        <v>0</v>
      </c>
      <c r="G105">
        <f t="shared" si="2"/>
        <v>0</v>
      </c>
      <c r="H105" s="31" t="s">
        <v>10</v>
      </c>
      <c r="I105">
        <v>0</v>
      </c>
      <c r="J105">
        <v>100.75135071074401</v>
      </c>
      <c r="K105" s="26">
        <v>2015</v>
      </c>
      <c r="L105" t="s">
        <v>11</v>
      </c>
      <c r="M105" s="32">
        <v>500</v>
      </c>
      <c r="N105">
        <v>62.735052189999998</v>
      </c>
      <c r="O105">
        <v>5</v>
      </c>
      <c r="P105" t="s">
        <v>23</v>
      </c>
      <c r="Q105">
        <v>95.5</v>
      </c>
      <c r="R105" t="s">
        <v>27</v>
      </c>
      <c r="S105" t="s">
        <v>16</v>
      </c>
      <c r="T105" t="s">
        <v>16</v>
      </c>
      <c r="U105" s="240">
        <v>0</v>
      </c>
      <c r="V105" s="240">
        <v>2</v>
      </c>
      <c r="W105" s="25">
        <v>1</v>
      </c>
      <c r="X105" s="25">
        <v>2</v>
      </c>
      <c r="Y105" s="244">
        <v>0.54424737099999998</v>
      </c>
      <c r="Z105" t="s">
        <v>754</v>
      </c>
      <c r="AA105" t="s">
        <v>620</v>
      </c>
      <c r="AB105">
        <v>2</v>
      </c>
      <c r="AC105">
        <v>2.1</v>
      </c>
      <c r="AD105">
        <v>6.3</v>
      </c>
      <c r="AE105" t="s">
        <v>519</v>
      </c>
      <c r="AF105" t="s">
        <v>532</v>
      </c>
      <c r="AG105" s="32">
        <v>2.1</v>
      </c>
      <c r="AH105" s="32" t="s">
        <v>671</v>
      </c>
      <c r="AI105" s="32" t="s">
        <v>1129</v>
      </c>
      <c r="AJ105" s="31" t="s">
        <v>1130</v>
      </c>
      <c r="AK105" s="31">
        <v>0.59524549999999998</v>
      </c>
      <c r="AL105" s="31">
        <v>1.2500155500000001</v>
      </c>
      <c r="AM105" s="31">
        <v>0.84998445</v>
      </c>
      <c r="AN105" s="31">
        <v>82.114964154514709</v>
      </c>
      <c r="AO105" s="31">
        <v>55.836459509359628</v>
      </c>
      <c r="AP105" s="31">
        <v>4.4690853360853863E-2</v>
      </c>
      <c r="AQ105" s="31">
        <v>3.0388846293916926E-2</v>
      </c>
      <c r="AR105" s="31">
        <v>0.13341858489683281</v>
      </c>
    </row>
    <row r="106" spans="1:44" hidden="1" x14ac:dyDescent="0.5">
      <c r="A106" s="31">
        <v>500</v>
      </c>
      <c r="B106" s="31">
        <v>33</v>
      </c>
      <c r="C106" s="225" t="s">
        <v>20</v>
      </c>
      <c r="D106" s="35">
        <v>54.966119999999997</v>
      </c>
      <c r="E106" s="33">
        <v>20.489348</v>
      </c>
      <c r="F106">
        <v>0</v>
      </c>
      <c r="G106">
        <f t="shared" si="2"/>
        <v>0</v>
      </c>
      <c r="H106" s="32" t="s">
        <v>10</v>
      </c>
      <c r="I106">
        <v>0</v>
      </c>
      <c r="J106">
        <v>98.942099345445797</v>
      </c>
      <c r="K106" s="26">
        <v>2016</v>
      </c>
      <c r="L106" t="s">
        <v>30</v>
      </c>
      <c r="M106" s="32">
        <v>100</v>
      </c>
      <c r="N106">
        <v>11.428783320000001</v>
      </c>
      <c r="O106">
        <v>5</v>
      </c>
      <c r="P106" t="s">
        <v>23</v>
      </c>
      <c r="Q106">
        <v>99.65</v>
      </c>
      <c r="R106" t="s">
        <v>24</v>
      </c>
      <c r="S106" t="s">
        <v>16</v>
      </c>
      <c r="T106" t="s">
        <v>16</v>
      </c>
      <c r="U106" s="34">
        <v>0</v>
      </c>
      <c r="V106" s="34">
        <v>8</v>
      </c>
      <c r="W106" s="25">
        <v>4</v>
      </c>
      <c r="X106" s="25">
        <v>8</v>
      </c>
      <c r="Y106" s="244">
        <v>0.54424737099999998</v>
      </c>
      <c r="Z106" t="s">
        <v>754</v>
      </c>
      <c r="AA106" t="s">
        <v>620</v>
      </c>
      <c r="AB106">
        <v>1</v>
      </c>
      <c r="AC106">
        <v>2</v>
      </c>
      <c r="AF106" t="s">
        <v>532</v>
      </c>
      <c r="AG106" s="32">
        <v>2</v>
      </c>
      <c r="AH106" s="32">
        <v>1</v>
      </c>
      <c r="AI106" s="32">
        <v>2</v>
      </c>
      <c r="AJ106" s="31">
        <v>0</v>
      </c>
      <c r="AK106" s="31">
        <v>1</v>
      </c>
      <c r="AL106" s="31">
        <v>2</v>
      </c>
      <c r="AM106" s="31">
        <v>0</v>
      </c>
      <c r="AN106" s="31">
        <v>22.937849111891619</v>
      </c>
      <c r="AO106" s="31">
        <v>0</v>
      </c>
      <c r="AP106" s="31">
        <v>1.2483864075541699E-2</v>
      </c>
      <c r="AQ106" s="31">
        <v>0</v>
      </c>
      <c r="AR106" s="31">
        <v>0.13341858489683281</v>
      </c>
    </row>
    <row r="107" spans="1:44" hidden="1" x14ac:dyDescent="0.5">
      <c r="A107" s="31">
        <v>501</v>
      </c>
      <c r="B107" s="31">
        <v>33</v>
      </c>
      <c r="C107" s="225" t="s">
        <v>20</v>
      </c>
      <c r="D107" s="35">
        <v>54.966119999999997</v>
      </c>
      <c r="E107" s="33">
        <v>20.489348</v>
      </c>
      <c r="F107">
        <v>0</v>
      </c>
      <c r="G107">
        <f t="shared" si="2"/>
        <v>0</v>
      </c>
      <c r="H107" s="32" t="s">
        <v>10</v>
      </c>
      <c r="I107">
        <v>0</v>
      </c>
      <c r="J107">
        <v>98.942099345445797</v>
      </c>
      <c r="K107" s="26">
        <v>2016</v>
      </c>
      <c r="L107" t="s">
        <v>30</v>
      </c>
      <c r="M107" s="32">
        <v>100</v>
      </c>
      <c r="N107">
        <v>11.428783320000001</v>
      </c>
      <c r="O107">
        <v>5</v>
      </c>
      <c r="P107" t="s">
        <v>23</v>
      </c>
      <c r="Q107">
        <v>99.65</v>
      </c>
      <c r="R107" t="s">
        <v>24</v>
      </c>
      <c r="S107" t="s">
        <v>16</v>
      </c>
      <c r="T107" t="s">
        <v>16</v>
      </c>
      <c r="U107" s="34">
        <v>30</v>
      </c>
      <c r="V107" s="34">
        <v>32</v>
      </c>
      <c r="W107" s="25">
        <v>31</v>
      </c>
      <c r="X107" s="25">
        <v>2</v>
      </c>
      <c r="Y107" s="244">
        <v>0.54424737099999998</v>
      </c>
      <c r="Z107" t="s">
        <v>754</v>
      </c>
      <c r="AA107" t="s">
        <v>620</v>
      </c>
      <c r="AB107">
        <v>1</v>
      </c>
      <c r="AC107">
        <v>2</v>
      </c>
      <c r="AF107" t="s">
        <v>532</v>
      </c>
      <c r="AG107" s="32">
        <v>2</v>
      </c>
      <c r="AH107" s="32">
        <v>1</v>
      </c>
      <c r="AI107" s="32">
        <v>2</v>
      </c>
      <c r="AJ107" s="31">
        <v>0</v>
      </c>
      <c r="AK107" s="31">
        <v>1</v>
      </c>
      <c r="AL107" s="31">
        <v>2</v>
      </c>
      <c r="AM107" s="31">
        <v>0</v>
      </c>
      <c r="AN107" s="31">
        <v>22.937849111891619</v>
      </c>
      <c r="AO107" s="31">
        <v>0</v>
      </c>
      <c r="AP107" s="31">
        <v>1.2483864075541699E-2</v>
      </c>
      <c r="AQ107" s="31">
        <v>0</v>
      </c>
      <c r="AR107" s="31">
        <v>0.13341858489683281</v>
      </c>
    </row>
    <row r="108" spans="1:44" hidden="1" x14ac:dyDescent="0.5">
      <c r="A108" s="31">
        <v>502</v>
      </c>
      <c r="B108" s="31">
        <v>33</v>
      </c>
      <c r="C108" s="225" t="s">
        <v>20</v>
      </c>
      <c r="D108" s="35">
        <v>54.966119999999997</v>
      </c>
      <c r="E108" s="33">
        <v>20.489348</v>
      </c>
      <c r="F108">
        <v>0</v>
      </c>
      <c r="G108">
        <f t="shared" si="2"/>
        <v>0</v>
      </c>
      <c r="H108" s="32" t="s">
        <v>10</v>
      </c>
      <c r="I108">
        <v>0</v>
      </c>
      <c r="J108">
        <v>98.942099345445797</v>
      </c>
      <c r="K108" s="26">
        <v>2016</v>
      </c>
      <c r="L108" t="s">
        <v>30</v>
      </c>
      <c r="M108" s="32">
        <v>100</v>
      </c>
      <c r="N108">
        <v>11.428783320000001</v>
      </c>
      <c r="O108">
        <v>5</v>
      </c>
      <c r="P108" t="s">
        <v>23</v>
      </c>
      <c r="Q108">
        <v>99.65</v>
      </c>
      <c r="R108" t="s">
        <v>24</v>
      </c>
      <c r="S108" t="s">
        <v>16</v>
      </c>
      <c r="T108" t="s">
        <v>16</v>
      </c>
      <c r="U108" s="34">
        <v>40</v>
      </c>
      <c r="V108" s="34">
        <v>40</v>
      </c>
      <c r="W108" s="25">
        <v>40</v>
      </c>
      <c r="X108" s="25">
        <v>0</v>
      </c>
      <c r="Y108" s="244">
        <v>0.54424737099999998</v>
      </c>
      <c r="Z108" t="s">
        <v>754</v>
      </c>
      <c r="AA108" t="s">
        <v>620</v>
      </c>
      <c r="AB108">
        <v>1</v>
      </c>
      <c r="AC108">
        <v>5</v>
      </c>
      <c r="AF108" t="s">
        <v>532</v>
      </c>
      <c r="AG108" s="32">
        <v>5</v>
      </c>
      <c r="AH108" s="32">
        <v>1</v>
      </c>
      <c r="AI108" s="32">
        <v>5</v>
      </c>
      <c r="AJ108" s="31">
        <v>0</v>
      </c>
      <c r="AK108" s="31">
        <v>1</v>
      </c>
      <c r="AL108" s="31">
        <v>5</v>
      </c>
      <c r="AM108" s="31">
        <v>0</v>
      </c>
      <c r="AN108" s="31">
        <v>57.34462277972905</v>
      </c>
      <c r="AO108" s="31">
        <v>0</v>
      </c>
      <c r="AP108" s="31">
        <v>3.1209660188854245E-2</v>
      </c>
      <c r="AQ108" s="31">
        <v>0</v>
      </c>
      <c r="AR108" s="31">
        <v>0.13341858489683281</v>
      </c>
    </row>
    <row r="109" spans="1:44" hidden="1" x14ac:dyDescent="0.5">
      <c r="A109" s="31">
        <v>503</v>
      </c>
      <c r="B109" s="31">
        <v>33</v>
      </c>
      <c r="C109" s="225" t="s">
        <v>20</v>
      </c>
      <c r="D109" s="35">
        <v>54.966119999999997</v>
      </c>
      <c r="E109" s="33">
        <v>20.489348</v>
      </c>
      <c r="F109">
        <v>0</v>
      </c>
      <c r="G109">
        <f t="shared" si="2"/>
        <v>0</v>
      </c>
      <c r="H109" s="32" t="s">
        <v>10</v>
      </c>
      <c r="I109">
        <v>0</v>
      </c>
      <c r="J109">
        <v>98.942099345445797</v>
      </c>
      <c r="K109" s="26">
        <v>2016</v>
      </c>
      <c r="L109" t="s">
        <v>30</v>
      </c>
      <c r="M109" s="32">
        <v>100</v>
      </c>
      <c r="N109">
        <v>11.428783320000001</v>
      </c>
      <c r="O109">
        <v>5</v>
      </c>
      <c r="P109" t="s">
        <v>23</v>
      </c>
      <c r="Q109">
        <v>99.65</v>
      </c>
      <c r="R109" t="s">
        <v>24</v>
      </c>
      <c r="S109" t="s">
        <v>16</v>
      </c>
      <c r="T109" t="s">
        <v>16</v>
      </c>
      <c r="U109" s="34">
        <v>50</v>
      </c>
      <c r="V109" s="34">
        <v>58</v>
      </c>
      <c r="W109" s="25">
        <v>54</v>
      </c>
      <c r="X109" s="25">
        <v>8</v>
      </c>
      <c r="Y109" s="244">
        <v>0.54424737099999998</v>
      </c>
      <c r="Z109" t="s">
        <v>754</v>
      </c>
      <c r="AA109" t="s">
        <v>620</v>
      </c>
      <c r="AB109">
        <v>1</v>
      </c>
      <c r="AC109">
        <v>8</v>
      </c>
      <c r="AF109" t="s">
        <v>532</v>
      </c>
      <c r="AG109" s="32">
        <v>8</v>
      </c>
      <c r="AH109" s="32" t="s">
        <v>1525</v>
      </c>
      <c r="AI109" s="32">
        <v>5</v>
      </c>
      <c r="AJ109" s="31">
        <v>3</v>
      </c>
      <c r="AK109" s="31">
        <v>0.625</v>
      </c>
      <c r="AL109" s="31">
        <v>5</v>
      </c>
      <c r="AM109" s="31">
        <v>3</v>
      </c>
      <c r="AN109" s="31">
        <v>57.34462277972905</v>
      </c>
      <c r="AO109" s="31">
        <v>34.406773667837435</v>
      </c>
      <c r="AP109" s="31">
        <v>3.1209660188854245E-2</v>
      </c>
      <c r="AQ109" s="31">
        <v>1.872579611331255E-2</v>
      </c>
      <c r="AR109" s="31">
        <v>0.13341858489683281</v>
      </c>
    </row>
    <row r="110" spans="1:44" hidden="1" x14ac:dyDescent="0.5">
      <c r="A110" s="31">
        <v>504</v>
      </c>
      <c r="B110" s="31">
        <v>33</v>
      </c>
      <c r="C110" s="225" t="s">
        <v>20</v>
      </c>
      <c r="D110" s="35">
        <v>54.966119999999997</v>
      </c>
      <c r="E110" s="33">
        <v>20.489348</v>
      </c>
      <c r="F110">
        <v>0</v>
      </c>
      <c r="G110">
        <f t="shared" si="2"/>
        <v>0</v>
      </c>
      <c r="H110" s="32" t="s">
        <v>10</v>
      </c>
      <c r="I110">
        <v>0</v>
      </c>
      <c r="J110">
        <v>98.942099345445797</v>
      </c>
      <c r="K110" s="26">
        <v>2016</v>
      </c>
      <c r="L110" t="s">
        <v>30</v>
      </c>
      <c r="M110" s="32">
        <v>100</v>
      </c>
      <c r="N110">
        <v>11.428783320000001</v>
      </c>
      <c r="O110">
        <v>5</v>
      </c>
      <c r="P110" t="s">
        <v>23</v>
      </c>
      <c r="Q110">
        <v>99.65</v>
      </c>
      <c r="R110" t="s">
        <v>24</v>
      </c>
      <c r="S110" t="s">
        <v>16</v>
      </c>
      <c r="T110" t="s">
        <v>16</v>
      </c>
      <c r="U110" s="34">
        <v>8</v>
      </c>
      <c r="V110" s="34">
        <v>16</v>
      </c>
      <c r="W110" s="25">
        <v>12</v>
      </c>
      <c r="X110" s="25">
        <v>8</v>
      </c>
      <c r="Y110" s="244">
        <v>0.54424737099999998</v>
      </c>
      <c r="Z110" t="s">
        <v>754</v>
      </c>
      <c r="AA110" t="s">
        <v>620</v>
      </c>
      <c r="AB110">
        <v>1</v>
      </c>
      <c r="AC110">
        <v>9</v>
      </c>
      <c r="AF110" t="s">
        <v>532</v>
      </c>
      <c r="AG110" s="32">
        <v>9</v>
      </c>
      <c r="AH110" s="32" t="s">
        <v>1526</v>
      </c>
      <c r="AI110" s="32" t="s">
        <v>1527</v>
      </c>
      <c r="AJ110" s="31" t="s">
        <v>2918</v>
      </c>
      <c r="AK110" s="31">
        <v>0.88890000000000002</v>
      </c>
      <c r="AL110" s="31">
        <v>8.0000999999999998</v>
      </c>
      <c r="AM110" s="31">
        <v>0.99990000000000023</v>
      </c>
      <c r="AN110" s="31">
        <v>91.752543340022086</v>
      </c>
      <c r="AO110" s="31">
        <v>11.467777663490219</v>
      </c>
      <c r="AP110" s="31">
        <v>4.9936080495370579E-2</v>
      </c>
      <c r="AQ110" s="31">
        <v>6.241307844567074E-3</v>
      </c>
      <c r="AR110" s="31">
        <v>0.13341858489683281</v>
      </c>
    </row>
    <row r="111" spans="1:44" hidden="1" x14ac:dyDescent="0.5">
      <c r="A111" s="31">
        <v>505</v>
      </c>
      <c r="B111" s="31">
        <v>33</v>
      </c>
      <c r="C111" s="225" t="s">
        <v>20</v>
      </c>
      <c r="D111" s="35">
        <v>54.966119999999997</v>
      </c>
      <c r="E111" s="33">
        <v>20.489348</v>
      </c>
      <c r="F111">
        <v>0</v>
      </c>
      <c r="G111">
        <f t="shared" si="2"/>
        <v>0</v>
      </c>
      <c r="H111" s="32" t="s">
        <v>10</v>
      </c>
      <c r="I111">
        <v>0</v>
      </c>
      <c r="J111">
        <v>98.942099345445797</v>
      </c>
      <c r="K111" s="26">
        <v>2016</v>
      </c>
      <c r="L111" t="s">
        <v>30</v>
      </c>
      <c r="M111" s="32">
        <v>100</v>
      </c>
      <c r="N111">
        <v>11.428783320000001</v>
      </c>
      <c r="O111">
        <v>5</v>
      </c>
      <c r="P111" t="s">
        <v>23</v>
      </c>
      <c r="Q111">
        <v>99.65</v>
      </c>
      <c r="R111" t="s">
        <v>24</v>
      </c>
      <c r="S111" t="s">
        <v>16</v>
      </c>
      <c r="T111" t="s">
        <v>16</v>
      </c>
      <c r="U111" s="34">
        <v>20</v>
      </c>
      <c r="V111" s="34">
        <v>28</v>
      </c>
      <c r="W111" s="25">
        <v>24</v>
      </c>
      <c r="X111" s="25">
        <v>8</v>
      </c>
      <c r="Y111" s="244">
        <v>0.54424737099999998</v>
      </c>
      <c r="Z111" t="s">
        <v>754</v>
      </c>
      <c r="AA111" t="s">
        <v>620</v>
      </c>
      <c r="AB111">
        <v>1</v>
      </c>
      <c r="AC111">
        <v>16</v>
      </c>
      <c r="AF111" t="s">
        <v>532</v>
      </c>
      <c r="AG111" s="32">
        <v>16</v>
      </c>
      <c r="AH111" s="32" t="s">
        <v>1528</v>
      </c>
      <c r="AI111" s="32">
        <v>15</v>
      </c>
      <c r="AJ111" s="31">
        <v>1</v>
      </c>
      <c r="AK111" s="31">
        <v>0.9375</v>
      </c>
      <c r="AL111" s="31">
        <v>15</v>
      </c>
      <c r="AM111" s="31">
        <v>1</v>
      </c>
      <c r="AN111" s="31">
        <v>172.03386833918714</v>
      </c>
      <c r="AO111" s="31">
        <v>11.46892455594581</v>
      </c>
      <c r="AP111" s="31">
        <v>9.3628980566562728E-2</v>
      </c>
      <c r="AQ111" s="31">
        <v>6.2419320377708493E-3</v>
      </c>
      <c r="AR111" s="31">
        <v>0.13341858489683281</v>
      </c>
    </row>
    <row r="112" spans="1:44" hidden="1" x14ac:dyDescent="0.5">
      <c r="A112" s="31">
        <v>510</v>
      </c>
      <c r="B112" s="31">
        <v>33</v>
      </c>
      <c r="C112" s="225" t="s">
        <v>20</v>
      </c>
      <c r="D112" s="35">
        <v>54.966119999999997</v>
      </c>
      <c r="E112" s="33">
        <v>20.489348</v>
      </c>
      <c r="F112">
        <v>0</v>
      </c>
      <c r="G112">
        <f t="shared" si="2"/>
        <v>0</v>
      </c>
      <c r="H112" s="32" t="s">
        <v>10</v>
      </c>
      <c r="I112">
        <v>0</v>
      </c>
      <c r="J112">
        <v>98.942099345445797</v>
      </c>
      <c r="K112" s="26">
        <v>2016</v>
      </c>
      <c r="L112" t="s">
        <v>11</v>
      </c>
      <c r="M112" s="32">
        <v>100</v>
      </c>
      <c r="N112">
        <v>11.428783320000001</v>
      </c>
      <c r="O112">
        <v>5</v>
      </c>
      <c r="P112" t="s">
        <v>23</v>
      </c>
      <c r="Q112">
        <v>99.65</v>
      </c>
      <c r="R112" t="s">
        <v>24</v>
      </c>
      <c r="S112" t="s">
        <v>16</v>
      </c>
      <c r="T112" t="s">
        <v>16</v>
      </c>
      <c r="U112" s="34">
        <v>0</v>
      </c>
      <c r="V112" s="34">
        <v>2</v>
      </c>
      <c r="W112" s="25">
        <v>1</v>
      </c>
      <c r="X112" s="25">
        <v>2</v>
      </c>
      <c r="Y112" s="244">
        <v>0.54424737099999998</v>
      </c>
      <c r="Z112" t="s">
        <v>754</v>
      </c>
      <c r="AA112" t="s">
        <v>620</v>
      </c>
      <c r="AB112">
        <v>1</v>
      </c>
      <c r="AC112">
        <v>456</v>
      </c>
      <c r="AF112" t="s">
        <v>532</v>
      </c>
      <c r="AG112" s="32">
        <v>456</v>
      </c>
      <c r="AH112" s="32" t="s">
        <v>1537</v>
      </c>
      <c r="AI112" s="32" t="s">
        <v>1538</v>
      </c>
      <c r="AJ112" s="31" t="s">
        <v>2923</v>
      </c>
      <c r="AK112" s="31">
        <v>0.52729999999999999</v>
      </c>
      <c r="AL112" s="31">
        <v>240.44880000000001</v>
      </c>
      <c r="AM112" s="31">
        <v>215.55119999999999</v>
      </c>
      <c r="AN112" s="31">
        <v>2757.6891467677033</v>
      </c>
      <c r="AO112" s="31">
        <v>2472.1404507435868</v>
      </c>
      <c r="AP112" s="31">
        <v>1.5008650681635556</v>
      </c>
      <c r="AQ112" s="31">
        <v>1.345455941059952</v>
      </c>
      <c r="AR112" s="31">
        <v>0.13341858489683281</v>
      </c>
    </row>
    <row r="113" spans="1:44" hidden="1" x14ac:dyDescent="0.5">
      <c r="A113" s="31">
        <v>511</v>
      </c>
      <c r="B113" s="31">
        <v>33</v>
      </c>
      <c r="C113" s="225" t="s">
        <v>20</v>
      </c>
      <c r="D113" s="35">
        <v>54.966119999999997</v>
      </c>
      <c r="E113" s="33">
        <v>20.489348</v>
      </c>
      <c r="F113">
        <v>0</v>
      </c>
      <c r="G113">
        <f t="shared" si="2"/>
        <v>0</v>
      </c>
      <c r="H113" s="32" t="s">
        <v>10</v>
      </c>
      <c r="I113">
        <v>0</v>
      </c>
      <c r="J113">
        <v>98.942099345445797</v>
      </c>
      <c r="K113" s="26">
        <v>2016</v>
      </c>
      <c r="L113" t="s">
        <v>11</v>
      </c>
      <c r="M113" s="32">
        <v>100</v>
      </c>
      <c r="N113">
        <v>11.428783320000001</v>
      </c>
      <c r="O113">
        <v>5</v>
      </c>
      <c r="P113" t="s">
        <v>23</v>
      </c>
      <c r="Q113">
        <v>99.65</v>
      </c>
      <c r="R113" t="s">
        <v>24</v>
      </c>
      <c r="S113" t="s">
        <v>16</v>
      </c>
      <c r="T113" t="s">
        <v>16</v>
      </c>
      <c r="U113" s="34">
        <v>0</v>
      </c>
      <c r="V113" s="34">
        <v>2</v>
      </c>
      <c r="W113" s="25">
        <v>1</v>
      </c>
      <c r="X113" s="25">
        <v>2</v>
      </c>
      <c r="Y113" s="244">
        <v>0.54424737099999998</v>
      </c>
      <c r="Z113" t="s">
        <v>754</v>
      </c>
      <c r="AA113" t="s">
        <v>620</v>
      </c>
      <c r="AB113">
        <v>1</v>
      </c>
      <c r="AC113">
        <v>572</v>
      </c>
      <c r="AF113" t="s">
        <v>532</v>
      </c>
      <c r="AG113" s="32">
        <v>572</v>
      </c>
      <c r="AH113" s="32" t="s">
        <v>1539</v>
      </c>
      <c r="AI113" s="32" t="s">
        <v>1540</v>
      </c>
      <c r="AJ113" s="31" t="s">
        <v>2924</v>
      </c>
      <c r="AK113" s="31">
        <v>0.5857</v>
      </c>
      <c r="AL113" s="31">
        <v>335.0204</v>
      </c>
      <c r="AM113" s="31">
        <v>236.9796</v>
      </c>
      <c r="AN113" s="31">
        <v>3842.323692302788</v>
      </c>
      <c r="AO113" s="31">
        <v>2717.9011536982161</v>
      </c>
      <c r="AP113" s="31">
        <v>2.0911745680668052</v>
      </c>
      <c r="AQ113" s="31">
        <v>1.4792105575381211</v>
      </c>
      <c r="AR113" s="31">
        <v>0.13341858489683281</v>
      </c>
    </row>
    <row r="114" spans="1:44" hidden="1" x14ac:dyDescent="0.5">
      <c r="A114" s="31">
        <v>587</v>
      </c>
      <c r="B114" s="31">
        <v>42</v>
      </c>
      <c r="C114" s="225" t="s">
        <v>20</v>
      </c>
      <c r="D114" s="35">
        <v>54.965021</v>
      </c>
      <c r="E114" s="33">
        <v>20.486376</v>
      </c>
      <c r="F114">
        <v>0</v>
      </c>
      <c r="G114">
        <f t="shared" si="2"/>
        <v>0</v>
      </c>
      <c r="H114" s="31" t="s">
        <v>10</v>
      </c>
      <c r="I114">
        <v>0</v>
      </c>
      <c r="J114">
        <v>98.019185108435295</v>
      </c>
      <c r="K114" s="26">
        <v>2015</v>
      </c>
      <c r="L114" t="s">
        <v>11</v>
      </c>
      <c r="M114" s="32">
        <v>500</v>
      </c>
      <c r="N114">
        <v>62.735052189999998</v>
      </c>
      <c r="O114">
        <v>5</v>
      </c>
      <c r="P114" t="s">
        <v>23</v>
      </c>
      <c r="Q114">
        <v>95.5</v>
      </c>
      <c r="R114" t="s">
        <v>27</v>
      </c>
      <c r="S114" t="s">
        <v>16</v>
      </c>
      <c r="T114" t="s">
        <v>16</v>
      </c>
      <c r="U114" s="240">
        <v>0</v>
      </c>
      <c r="V114" s="240">
        <v>2</v>
      </c>
      <c r="W114" s="25">
        <v>1</v>
      </c>
      <c r="X114" s="25">
        <v>2</v>
      </c>
      <c r="Y114" s="244">
        <v>0.54424737099999998</v>
      </c>
      <c r="Z114" t="s">
        <v>754</v>
      </c>
      <c r="AA114" t="s">
        <v>620</v>
      </c>
      <c r="AB114">
        <v>3</v>
      </c>
      <c r="AC114">
        <v>11.8</v>
      </c>
      <c r="AD114">
        <v>14</v>
      </c>
      <c r="AE114" t="s">
        <v>519</v>
      </c>
      <c r="AF114" t="s">
        <v>532</v>
      </c>
      <c r="AG114" s="32">
        <v>11.8</v>
      </c>
      <c r="AH114" s="32" t="s">
        <v>671</v>
      </c>
      <c r="AI114" s="32" t="s">
        <v>1129</v>
      </c>
      <c r="AJ114" s="31" t="s">
        <v>1130</v>
      </c>
      <c r="AK114" s="31">
        <v>0.59524549999999998</v>
      </c>
      <c r="AL114" s="31">
        <v>7.0238969000000004</v>
      </c>
      <c r="AM114" s="31">
        <v>4.7761031000000003</v>
      </c>
      <c r="AN114" s="31">
        <v>461.40789382060649</v>
      </c>
      <c r="AO114" s="31">
        <v>313.747724862116</v>
      </c>
      <c r="AP114" s="31">
        <v>0.25112003317051224</v>
      </c>
      <c r="AQ114" s="31">
        <v>0.17075637441343797</v>
      </c>
      <c r="AR114" s="31">
        <v>0.13341858489683281</v>
      </c>
    </row>
    <row r="115" spans="1:44" hidden="1" x14ac:dyDescent="0.5">
      <c r="A115" s="31">
        <v>586</v>
      </c>
      <c r="B115" s="31">
        <v>42</v>
      </c>
      <c r="C115" s="225" t="s">
        <v>20</v>
      </c>
      <c r="D115" s="35">
        <v>54.960286000000004</v>
      </c>
      <c r="E115" s="33">
        <v>20.263819000000002</v>
      </c>
      <c r="F115">
        <v>0</v>
      </c>
      <c r="G115">
        <f t="shared" si="2"/>
        <v>0</v>
      </c>
      <c r="H115" s="31" t="s">
        <v>10</v>
      </c>
      <c r="I115">
        <v>0</v>
      </c>
      <c r="J115">
        <v>108.034855815417</v>
      </c>
      <c r="K115" s="26">
        <v>2015</v>
      </c>
      <c r="L115" t="s">
        <v>11</v>
      </c>
      <c r="M115" s="32">
        <v>500</v>
      </c>
      <c r="N115">
        <v>62.735052189999998</v>
      </c>
      <c r="O115">
        <v>5</v>
      </c>
      <c r="P115" t="s">
        <v>23</v>
      </c>
      <c r="Q115">
        <v>95.5</v>
      </c>
      <c r="R115" t="s">
        <v>27</v>
      </c>
      <c r="S115" t="s">
        <v>16</v>
      </c>
      <c r="T115" t="s">
        <v>16</v>
      </c>
      <c r="U115" s="240">
        <v>0</v>
      </c>
      <c r="V115" s="240">
        <v>2</v>
      </c>
      <c r="W115" s="25">
        <v>1</v>
      </c>
      <c r="X115" s="25">
        <v>2</v>
      </c>
      <c r="Y115" s="244">
        <v>0.54424737099999998</v>
      </c>
      <c r="Z115" t="s">
        <v>754</v>
      </c>
      <c r="AA115" t="s">
        <v>620</v>
      </c>
      <c r="AB115">
        <v>3</v>
      </c>
      <c r="AC115">
        <v>11.6</v>
      </c>
      <c r="AD115">
        <v>27.6</v>
      </c>
      <c r="AE115" t="s">
        <v>519</v>
      </c>
      <c r="AF115" t="s">
        <v>532</v>
      </c>
      <c r="AG115" s="32">
        <v>11.6</v>
      </c>
      <c r="AH115" s="32" t="s">
        <v>671</v>
      </c>
      <c r="AI115" s="32" t="s">
        <v>1129</v>
      </c>
      <c r="AJ115" s="31" t="s">
        <v>1130</v>
      </c>
      <c r="AK115" s="31">
        <v>0.59524549999999998</v>
      </c>
      <c r="AL115" s="31">
        <v>6.9048477999999998</v>
      </c>
      <c r="AM115" s="31">
        <v>4.6951521999999999</v>
      </c>
      <c r="AN115" s="31">
        <v>453.58742104398607</v>
      </c>
      <c r="AO115" s="31">
        <v>308.42996681360552</v>
      </c>
      <c r="AP115" s="31">
        <v>0.24686376142185948</v>
      </c>
      <c r="AQ115" s="31">
        <v>0.16786219857592205</v>
      </c>
      <c r="AR115" s="31">
        <v>0.13341858489683281</v>
      </c>
    </row>
    <row r="116" spans="1:44" hidden="1" x14ac:dyDescent="0.5">
      <c r="A116" s="31">
        <v>585</v>
      </c>
      <c r="B116" s="31">
        <v>42</v>
      </c>
      <c r="C116" s="225" t="s">
        <v>20</v>
      </c>
      <c r="D116" s="35">
        <v>54.956415999999997</v>
      </c>
      <c r="E116" s="33">
        <v>19.998346999999999</v>
      </c>
      <c r="F116">
        <v>0</v>
      </c>
      <c r="G116">
        <f t="shared" si="2"/>
        <v>0</v>
      </c>
      <c r="H116" s="31" t="s">
        <v>10</v>
      </c>
      <c r="I116">
        <v>0</v>
      </c>
      <c r="J116">
        <v>129.49430857790401</v>
      </c>
      <c r="K116" s="26">
        <v>2015</v>
      </c>
      <c r="L116" t="s">
        <v>11</v>
      </c>
      <c r="M116" s="32">
        <v>500</v>
      </c>
      <c r="N116">
        <v>62.735052189999998</v>
      </c>
      <c r="O116">
        <v>5</v>
      </c>
      <c r="P116" t="s">
        <v>23</v>
      </c>
      <c r="Q116">
        <v>95.5</v>
      </c>
      <c r="R116" t="s">
        <v>27</v>
      </c>
      <c r="S116" t="s">
        <v>16</v>
      </c>
      <c r="T116" t="s">
        <v>16</v>
      </c>
      <c r="U116" s="240">
        <v>0</v>
      </c>
      <c r="V116" s="240">
        <v>2</v>
      </c>
      <c r="W116" s="25">
        <v>1</v>
      </c>
      <c r="X116" s="25">
        <v>2</v>
      </c>
      <c r="Y116" s="244">
        <v>0.54424737099999998</v>
      </c>
      <c r="Z116" t="s">
        <v>754</v>
      </c>
      <c r="AA116" t="s">
        <v>620</v>
      </c>
      <c r="AB116">
        <v>7</v>
      </c>
      <c r="AC116">
        <v>36.200000000000003</v>
      </c>
      <c r="AD116">
        <v>58.6</v>
      </c>
      <c r="AE116" t="s">
        <v>519</v>
      </c>
      <c r="AF116" t="s">
        <v>532</v>
      </c>
      <c r="AG116" s="32">
        <v>36.200000000000003</v>
      </c>
      <c r="AH116" s="32" t="s">
        <v>671</v>
      </c>
      <c r="AI116" s="32" t="s">
        <v>1129</v>
      </c>
      <c r="AJ116" s="31" t="s">
        <v>1130</v>
      </c>
      <c r="AK116" s="31">
        <v>0.59524549999999998</v>
      </c>
      <c r="AL116" s="31">
        <v>21.547887100000001</v>
      </c>
      <c r="AM116" s="31">
        <v>14.652112900000002</v>
      </c>
      <c r="AN116" s="31">
        <v>1415.5055725683012</v>
      </c>
      <c r="AO116" s="31">
        <v>962.51420678038994</v>
      </c>
      <c r="AP116" s="31">
        <v>0.77038518650614762</v>
      </c>
      <c r="AQ116" s="31">
        <v>0.52384582659037759</v>
      </c>
      <c r="AR116" s="31">
        <v>0.13341858489683281</v>
      </c>
    </row>
    <row r="117" spans="1:44" hidden="1" x14ac:dyDescent="0.5">
      <c r="A117" s="31">
        <v>584</v>
      </c>
      <c r="B117" s="31">
        <v>42</v>
      </c>
      <c r="C117" s="225" t="s">
        <v>20</v>
      </c>
      <c r="D117" s="35">
        <v>54.955238999999999</v>
      </c>
      <c r="E117" s="33">
        <v>20.231470000000002</v>
      </c>
      <c r="F117">
        <v>0</v>
      </c>
      <c r="G117">
        <f t="shared" si="2"/>
        <v>0</v>
      </c>
      <c r="H117" s="31" t="s">
        <v>10</v>
      </c>
      <c r="I117">
        <v>0</v>
      </c>
      <c r="J117">
        <v>109.808244999081</v>
      </c>
      <c r="K117" s="26">
        <v>2015</v>
      </c>
      <c r="L117" t="s">
        <v>11</v>
      </c>
      <c r="M117" s="32">
        <v>500</v>
      </c>
      <c r="N117">
        <v>62.735052189999998</v>
      </c>
      <c r="O117">
        <v>5</v>
      </c>
      <c r="P117" t="s">
        <v>23</v>
      </c>
      <c r="Q117">
        <v>95.5</v>
      </c>
      <c r="R117" t="s">
        <v>27</v>
      </c>
      <c r="S117" t="s">
        <v>16</v>
      </c>
      <c r="T117" t="s">
        <v>16</v>
      </c>
      <c r="U117" s="240">
        <v>0</v>
      </c>
      <c r="V117" s="240">
        <v>2</v>
      </c>
      <c r="W117" s="25">
        <v>1</v>
      </c>
      <c r="X117" s="25">
        <v>2</v>
      </c>
      <c r="Y117" s="244">
        <v>0.54424737099999998</v>
      </c>
      <c r="Z117" t="s">
        <v>754</v>
      </c>
      <c r="AA117" t="s">
        <v>620</v>
      </c>
      <c r="AB117">
        <v>6</v>
      </c>
      <c r="AC117">
        <v>1.3</v>
      </c>
      <c r="AD117">
        <v>0.8</v>
      </c>
      <c r="AE117" t="s">
        <v>519</v>
      </c>
      <c r="AF117" t="s">
        <v>532</v>
      </c>
      <c r="AG117" s="32">
        <v>1.3</v>
      </c>
      <c r="AH117" s="32" t="s">
        <v>671</v>
      </c>
      <c r="AI117" s="32" t="s">
        <v>1129</v>
      </c>
      <c r="AJ117" s="31" t="s">
        <v>1130</v>
      </c>
      <c r="AK117" s="31">
        <v>0.59524549999999998</v>
      </c>
      <c r="AL117" s="31">
        <v>0.77381915000000001</v>
      </c>
      <c r="AM117" s="31">
        <v>0.52618085000000003</v>
      </c>
      <c r="AN117" s="31">
        <v>50.833073048032915</v>
      </c>
      <c r="AO117" s="31">
        <v>34.565427315317869</v>
      </c>
      <c r="AP117" s="31">
        <v>2.7665766366242871E-2</v>
      </c>
      <c r="AQ117" s="31">
        <v>1.881214294385334E-2</v>
      </c>
      <c r="AR117" s="31">
        <v>0.13341858489683281</v>
      </c>
    </row>
    <row r="118" spans="1:44" hidden="1" x14ac:dyDescent="0.5">
      <c r="A118" s="31">
        <v>1606</v>
      </c>
      <c r="B118" s="52">
        <v>118</v>
      </c>
      <c r="C118" s="225" t="s">
        <v>44</v>
      </c>
      <c r="D118" s="43">
        <v>-60.041800000000002</v>
      </c>
      <c r="E118" s="43">
        <v>-29.697199999999999</v>
      </c>
      <c r="F118">
        <v>435</v>
      </c>
      <c r="G118">
        <f t="shared" si="2"/>
        <v>700064.64</v>
      </c>
      <c r="H118" s="32" t="s">
        <v>612</v>
      </c>
      <c r="I118">
        <v>2637</v>
      </c>
      <c r="J118">
        <v>0</v>
      </c>
      <c r="K118" s="26">
        <v>2018</v>
      </c>
      <c r="L118" t="s">
        <v>30</v>
      </c>
      <c r="M118" s="32">
        <v>80</v>
      </c>
      <c r="N118">
        <v>9.0254600000000007</v>
      </c>
      <c r="O118">
        <v>2</v>
      </c>
      <c r="P118" t="s">
        <v>35</v>
      </c>
      <c r="Q118">
        <v>93</v>
      </c>
      <c r="R118" t="s">
        <v>13</v>
      </c>
      <c r="S118" t="s">
        <v>14</v>
      </c>
      <c r="T118" t="s">
        <v>14</v>
      </c>
      <c r="U118" s="34">
        <v>0</v>
      </c>
      <c r="V118" s="34">
        <v>2</v>
      </c>
      <c r="W118" s="25">
        <v>1</v>
      </c>
      <c r="X118" s="25">
        <v>2</v>
      </c>
      <c r="Y118">
        <v>2.2504034769999999</v>
      </c>
      <c r="Z118" t="s">
        <v>1114</v>
      </c>
      <c r="AA118" t="s">
        <v>622</v>
      </c>
      <c r="AB118">
        <v>1</v>
      </c>
      <c r="AC118">
        <v>0.93081100000000006</v>
      </c>
      <c r="AF118" t="s">
        <v>524</v>
      </c>
      <c r="AG118" s="32" t="s">
        <v>2675</v>
      </c>
      <c r="AH118" s="32" t="s">
        <v>2181</v>
      </c>
      <c r="AI118" s="32" t="s">
        <v>2676</v>
      </c>
      <c r="AJ118" s="31" t="s">
        <v>3442</v>
      </c>
      <c r="AK118" s="31">
        <v>0.39</v>
      </c>
      <c r="AL118" s="31">
        <v>363.01629000000003</v>
      </c>
      <c r="AM118" s="31">
        <v>567.79471000000001</v>
      </c>
      <c r="AN118" s="31">
        <v>3522.9989298316136</v>
      </c>
      <c r="AO118" s="31">
        <v>5510.3316594802163</v>
      </c>
      <c r="AP118" s="31">
        <v>7.9281690411603423</v>
      </c>
      <c r="AQ118" s="31">
        <v>12.400469525917458</v>
      </c>
      <c r="AR118" s="31">
        <v>9.5017782335660942E-3</v>
      </c>
    </row>
    <row r="119" spans="1:44" hidden="1" x14ac:dyDescent="0.5">
      <c r="A119" s="31">
        <v>1607</v>
      </c>
      <c r="B119" s="52">
        <v>118</v>
      </c>
      <c r="C119" s="225" t="s">
        <v>44</v>
      </c>
      <c r="D119" s="43">
        <v>-59.4863</v>
      </c>
      <c r="E119" s="43">
        <v>-28.777200000000001</v>
      </c>
      <c r="F119">
        <v>425</v>
      </c>
      <c r="G119">
        <f t="shared" si="2"/>
        <v>683971.20000000007</v>
      </c>
      <c r="H119" s="32" t="s">
        <v>612</v>
      </c>
      <c r="I119">
        <v>2642</v>
      </c>
      <c r="J119">
        <v>0</v>
      </c>
      <c r="K119" s="26">
        <v>2018</v>
      </c>
      <c r="L119" t="s">
        <v>30</v>
      </c>
      <c r="M119" s="32">
        <v>80</v>
      </c>
      <c r="N119">
        <v>9.0254600000000007</v>
      </c>
      <c r="O119">
        <v>2</v>
      </c>
      <c r="P119" t="s">
        <v>35</v>
      </c>
      <c r="Q119">
        <v>93</v>
      </c>
      <c r="R119" t="s">
        <v>13</v>
      </c>
      <c r="S119" t="s">
        <v>14</v>
      </c>
      <c r="T119" t="s">
        <v>14</v>
      </c>
      <c r="U119" s="34">
        <v>0</v>
      </c>
      <c r="V119" s="34">
        <v>2</v>
      </c>
      <c r="W119" s="25">
        <v>1</v>
      </c>
      <c r="X119" s="25">
        <v>2</v>
      </c>
      <c r="Y119">
        <v>2.2504034769999999</v>
      </c>
      <c r="Z119" t="s">
        <v>1114</v>
      </c>
      <c r="AA119" t="s">
        <v>622</v>
      </c>
      <c r="AB119">
        <v>1</v>
      </c>
      <c r="AC119">
        <v>0</v>
      </c>
      <c r="AF119" t="s">
        <v>524</v>
      </c>
      <c r="AG119" s="32">
        <v>0</v>
      </c>
      <c r="AH119" s="32" t="s">
        <v>2181</v>
      </c>
      <c r="AI119" s="32">
        <v>0</v>
      </c>
      <c r="AJ119" s="31">
        <v>0</v>
      </c>
      <c r="AK119" s="31">
        <v>0.39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1">
        <v>0</v>
      </c>
      <c r="AR119" s="31">
        <v>9.4542980616307403E-3</v>
      </c>
    </row>
    <row r="120" spans="1:44" hidden="1" x14ac:dyDescent="0.5">
      <c r="A120" s="31">
        <v>1608</v>
      </c>
      <c r="B120" s="52">
        <v>118</v>
      </c>
      <c r="C120" s="225" t="s">
        <v>44</v>
      </c>
      <c r="D120" s="43">
        <v>-56.128399999999999</v>
      </c>
      <c r="E120" s="43">
        <v>-30.069600000000001</v>
      </c>
      <c r="F120">
        <v>246</v>
      </c>
      <c r="G120">
        <f t="shared" si="2"/>
        <v>395898.62400000001</v>
      </c>
      <c r="H120" s="32" t="s">
        <v>612</v>
      </c>
      <c r="I120">
        <v>2768</v>
      </c>
      <c r="J120">
        <v>0</v>
      </c>
      <c r="K120" s="26">
        <v>2018</v>
      </c>
      <c r="L120" t="s">
        <v>30</v>
      </c>
      <c r="M120" s="32">
        <v>80</v>
      </c>
      <c r="N120">
        <v>9.0254600000000007</v>
      </c>
      <c r="O120">
        <v>2</v>
      </c>
      <c r="P120" t="s">
        <v>35</v>
      </c>
      <c r="Q120">
        <v>93</v>
      </c>
      <c r="R120" t="s">
        <v>13</v>
      </c>
      <c r="S120" t="s">
        <v>14</v>
      </c>
      <c r="T120" t="s">
        <v>14</v>
      </c>
      <c r="U120" s="34">
        <v>0</v>
      </c>
      <c r="V120" s="34">
        <v>2</v>
      </c>
      <c r="W120" s="25">
        <v>1</v>
      </c>
      <c r="X120" s="25">
        <v>2</v>
      </c>
      <c r="Y120">
        <v>2.2504034769999999</v>
      </c>
      <c r="Z120" t="s">
        <v>1114</v>
      </c>
      <c r="AA120" t="s">
        <v>622</v>
      </c>
      <c r="AB120">
        <v>1</v>
      </c>
      <c r="AC120">
        <v>0.66666666699999999</v>
      </c>
      <c r="AF120" t="s">
        <v>524</v>
      </c>
      <c r="AG120" s="32" t="s">
        <v>2677</v>
      </c>
      <c r="AH120" s="32" t="s">
        <v>2181</v>
      </c>
      <c r="AI120" s="32" t="s">
        <v>2678</v>
      </c>
      <c r="AJ120" s="31" t="s">
        <v>3443</v>
      </c>
      <c r="AK120" s="31">
        <v>0.39</v>
      </c>
      <c r="AL120" s="31">
        <v>260.00000012999999</v>
      </c>
      <c r="AM120" s="31">
        <v>406.66666686999997</v>
      </c>
      <c r="AN120" s="31">
        <v>2523.2468829820536</v>
      </c>
      <c r="AO120" s="31">
        <v>3946.616919536033</v>
      </c>
      <c r="AP120" s="31">
        <v>5.6783235587922256</v>
      </c>
      <c r="AQ120" s="31">
        <v>8.881480438110918</v>
      </c>
      <c r="AR120" s="31">
        <v>8.3330534981041048E-3</v>
      </c>
    </row>
    <row r="121" spans="1:44" hidden="1" x14ac:dyDescent="0.5">
      <c r="A121" s="31">
        <v>1609</v>
      </c>
      <c r="B121" s="52">
        <v>118</v>
      </c>
      <c r="C121" s="225" t="s">
        <v>44</v>
      </c>
      <c r="D121" s="43">
        <v>-56.353400000000001</v>
      </c>
      <c r="E121" s="43">
        <v>-28.471399999999999</v>
      </c>
      <c r="F121">
        <v>316</v>
      </c>
      <c r="G121">
        <f t="shared" si="2"/>
        <v>508552.70400000003</v>
      </c>
      <c r="H121" s="32" t="s">
        <v>612</v>
      </c>
      <c r="I121">
        <v>2900</v>
      </c>
      <c r="J121">
        <v>0</v>
      </c>
      <c r="K121" s="26">
        <v>2018</v>
      </c>
      <c r="L121" t="s">
        <v>30</v>
      </c>
      <c r="M121" s="32">
        <v>80</v>
      </c>
      <c r="N121">
        <v>9.0254600000000007</v>
      </c>
      <c r="O121">
        <v>2</v>
      </c>
      <c r="P121" t="s">
        <v>35</v>
      </c>
      <c r="Q121">
        <v>93</v>
      </c>
      <c r="R121" t="s">
        <v>13</v>
      </c>
      <c r="S121" t="s">
        <v>14</v>
      </c>
      <c r="T121" t="s">
        <v>14</v>
      </c>
      <c r="U121" s="34">
        <v>0</v>
      </c>
      <c r="V121" s="34">
        <v>2</v>
      </c>
      <c r="W121" s="25">
        <v>1</v>
      </c>
      <c r="X121" s="25">
        <v>2</v>
      </c>
      <c r="Y121">
        <v>1.7066694790000001</v>
      </c>
      <c r="Z121" t="s">
        <v>624</v>
      </c>
      <c r="AA121" t="s">
        <v>622</v>
      </c>
      <c r="AB121">
        <v>1</v>
      </c>
      <c r="AC121">
        <v>1.1871676099999999</v>
      </c>
      <c r="AF121" t="s">
        <v>524</v>
      </c>
      <c r="AG121" s="32" t="s">
        <v>2679</v>
      </c>
      <c r="AH121" s="32" t="s">
        <v>2181</v>
      </c>
      <c r="AI121" s="32" t="s">
        <v>2680</v>
      </c>
      <c r="AJ121" s="31" t="s">
        <v>3444</v>
      </c>
      <c r="AK121" s="31">
        <v>0.39</v>
      </c>
      <c r="AL121" s="31">
        <v>462.99536790000002</v>
      </c>
      <c r="AM121" s="31">
        <v>724.17224209999995</v>
      </c>
      <c r="AN121" s="31">
        <v>4493.2754550179943</v>
      </c>
      <c r="AO121" s="31">
        <v>7027.9436604127595</v>
      </c>
      <c r="AP121" s="31">
        <v>7.6685360798190487</v>
      </c>
      <c r="AQ121" s="31">
        <v>11.994376945357999</v>
      </c>
      <c r="AR121" s="31">
        <v>7.3007643373594697E-3</v>
      </c>
    </row>
    <row r="122" spans="1:44" hidden="1" x14ac:dyDescent="0.5">
      <c r="A122" s="31">
        <v>1610</v>
      </c>
      <c r="B122" s="52">
        <v>118</v>
      </c>
      <c r="C122" s="225" t="s">
        <v>44</v>
      </c>
      <c r="D122" s="43">
        <v>-59.878999999999998</v>
      </c>
      <c r="E122" s="43">
        <v>-29.471</v>
      </c>
      <c r="F122">
        <v>425</v>
      </c>
      <c r="G122">
        <f t="shared" si="2"/>
        <v>683971.20000000007</v>
      </c>
      <c r="H122" s="32" t="s">
        <v>612</v>
      </c>
      <c r="I122">
        <v>2901</v>
      </c>
      <c r="J122">
        <v>0</v>
      </c>
      <c r="K122" s="26">
        <v>2018</v>
      </c>
      <c r="L122" t="s">
        <v>30</v>
      </c>
      <c r="M122" s="32">
        <v>80</v>
      </c>
      <c r="N122">
        <v>9.0254600000000007</v>
      </c>
      <c r="O122">
        <v>2</v>
      </c>
      <c r="P122" t="s">
        <v>35</v>
      </c>
      <c r="Q122">
        <v>93</v>
      </c>
      <c r="R122" t="s">
        <v>13</v>
      </c>
      <c r="S122" t="s">
        <v>14</v>
      </c>
      <c r="T122" t="s">
        <v>14</v>
      </c>
      <c r="U122" s="34">
        <v>0</v>
      </c>
      <c r="V122" s="34">
        <v>2</v>
      </c>
      <c r="W122" s="25">
        <v>1</v>
      </c>
      <c r="X122" s="25">
        <v>2</v>
      </c>
      <c r="Y122">
        <v>2.2504034769999999</v>
      </c>
      <c r="Z122" t="s">
        <v>1114</v>
      </c>
      <c r="AA122" t="s">
        <v>622</v>
      </c>
      <c r="AB122">
        <v>1</v>
      </c>
      <c r="AC122">
        <v>0.48661800500000002</v>
      </c>
      <c r="AF122" t="s">
        <v>524</v>
      </c>
      <c r="AG122" s="32" t="s">
        <v>2681</v>
      </c>
      <c r="AH122" s="32" t="s">
        <v>2181</v>
      </c>
      <c r="AI122" s="32" t="s">
        <v>2682</v>
      </c>
      <c r="AJ122" s="31" t="s">
        <v>3445</v>
      </c>
      <c r="AK122" s="31">
        <v>0.39</v>
      </c>
      <c r="AL122" s="31">
        <v>189.78102195000002</v>
      </c>
      <c r="AM122" s="31">
        <v>296.83698305000001</v>
      </c>
      <c r="AN122" s="31">
        <v>1841.7860455579003</v>
      </c>
      <c r="AO122" s="31">
        <v>2880.7422763854333</v>
      </c>
      <c r="AP122" s="31">
        <v>4.1447617208135785</v>
      </c>
      <c r="AQ122" s="31">
        <v>6.4828324351186737</v>
      </c>
      <c r="AR122" s="31">
        <v>7.2934533585912948E-3</v>
      </c>
    </row>
    <row r="123" spans="1:44" hidden="1" x14ac:dyDescent="0.5">
      <c r="A123" s="31">
        <v>1611</v>
      </c>
      <c r="B123" s="52">
        <v>118</v>
      </c>
      <c r="C123" s="225" t="s">
        <v>44</v>
      </c>
      <c r="D123" s="43">
        <v>-56.109900000000003</v>
      </c>
      <c r="E123" s="43">
        <v>-30.152100000000001</v>
      </c>
      <c r="F123">
        <v>245</v>
      </c>
      <c r="G123">
        <f t="shared" si="2"/>
        <v>394289.28</v>
      </c>
      <c r="H123" s="32" t="s">
        <v>612</v>
      </c>
      <c r="I123">
        <v>3040</v>
      </c>
      <c r="J123">
        <v>0</v>
      </c>
      <c r="K123" s="26">
        <v>2018</v>
      </c>
      <c r="L123" t="s">
        <v>30</v>
      </c>
      <c r="M123" s="32">
        <v>80</v>
      </c>
      <c r="N123">
        <v>9.0254600000000007</v>
      </c>
      <c r="O123">
        <v>2</v>
      </c>
      <c r="P123" t="s">
        <v>35</v>
      </c>
      <c r="Q123">
        <v>93</v>
      </c>
      <c r="R123" t="s">
        <v>13</v>
      </c>
      <c r="S123" t="s">
        <v>14</v>
      </c>
      <c r="T123" t="s">
        <v>14</v>
      </c>
      <c r="U123" s="34">
        <v>0</v>
      </c>
      <c r="V123" s="34">
        <v>2</v>
      </c>
      <c r="W123" s="25">
        <v>1</v>
      </c>
      <c r="X123" s="25">
        <v>2</v>
      </c>
      <c r="Y123">
        <v>2.2504034769999999</v>
      </c>
      <c r="Z123" t="s">
        <v>1114</v>
      </c>
      <c r="AA123" t="s">
        <v>622</v>
      </c>
      <c r="AB123">
        <v>1</v>
      </c>
      <c r="AC123">
        <v>3.0163231860000002</v>
      </c>
      <c r="AF123" t="s">
        <v>524</v>
      </c>
      <c r="AG123" s="32" t="s">
        <v>2683</v>
      </c>
      <c r="AH123" s="32" t="s">
        <v>2181</v>
      </c>
      <c r="AI123" s="32" t="s">
        <v>2684</v>
      </c>
      <c r="AJ123" s="31" t="s">
        <v>3446</v>
      </c>
      <c r="AK123" s="31">
        <v>0.39</v>
      </c>
      <c r="AL123" s="31">
        <v>1176.3660425400001</v>
      </c>
      <c r="AM123" s="31">
        <v>1839.95714346</v>
      </c>
      <c r="AN123" s="31">
        <v>11416.3921100033</v>
      </c>
      <c r="AO123" s="31">
        <v>17856.408172056443</v>
      </c>
      <c r="AP123" s="31">
        <v>25.691488499146793</v>
      </c>
      <c r="AQ123" s="31">
        <v>40.18412303712703</v>
      </c>
      <c r="AR123" s="31">
        <v>6.34529079586832E-3</v>
      </c>
    </row>
    <row r="124" spans="1:44" hidden="1" x14ac:dyDescent="0.5">
      <c r="A124" s="31">
        <v>1612</v>
      </c>
      <c r="B124" s="52">
        <v>118</v>
      </c>
      <c r="C124" s="225" t="s">
        <v>44</v>
      </c>
      <c r="D124" s="43">
        <v>-56.148899999999998</v>
      </c>
      <c r="E124" s="43">
        <v>-29.9758</v>
      </c>
      <c r="F124">
        <v>255</v>
      </c>
      <c r="G124">
        <f t="shared" si="2"/>
        <v>410382.72000000003</v>
      </c>
      <c r="H124" s="32" t="s">
        <v>612</v>
      </c>
      <c r="I124">
        <v>3254</v>
      </c>
      <c r="J124">
        <v>0</v>
      </c>
      <c r="K124" s="26">
        <v>2018</v>
      </c>
      <c r="L124" t="s">
        <v>30</v>
      </c>
      <c r="M124" s="32">
        <v>80</v>
      </c>
      <c r="N124">
        <v>9.0254600000000007</v>
      </c>
      <c r="O124">
        <v>2</v>
      </c>
      <c r="P124" t="s">
        <v>35</v>
      </c>
      <c r="Q124">
        <v>93</v>
      </c>
      <c r="R124" t="s">
        <v>13</v>
      </c>
      <c r="S124" t="s">
        <v>14</v>
      </c>
      <c r="T124" t="s">
        <v>14</v>
      </c>
      <c r="U124" s="34">
        <v>0</v>
      </c>
      <c r="V124" s="34">
        <v>2</v>
      </c>
      <c r="W124" s="25">
        <v>1</v>
      </c>
      <c r="X124" s="25">
        <v>2</v>
      </c>
      <c r="Y124">
        <v>2.2504034769999999</v>
      </c>
      <c r="Z124" t="s">
        <v>1114</v>
      </c>
      <c r="AA124" t="s">
        <v>622</v>
      </c>
      <c r="AB124">
        <v>1</v>
      </c>
      <c r="AC124">
        <v>1.568627451</v>
      </c>
      <c r="AF124" t="s">
        <v>524</v>
      </c>
      <c r="AG124" s="32" t="s">
        <v>2685</v>
      </c>
      <c r="AH124" s="32" t="s">
        <v>2181</v>
      </c>
      <c r="AI124" s="32" t="s">
        <v>2686</v>
      </c>
      <c r="AJ124" s="31" t="s">
        <v>3447</v>
      </c>
      <c r="AK124" s="31">
        <v>0.39</v>
      </c>
      <c r="AL124" s="31">
        <v>611.76470589000007</v>
      </c>
      <c r="AM124" s="31">
        <v>956.86274510999999</v>
      </c>
      <c r="AN124" s="31">
        <v>5937.0514864752267</v>
      </c>
      <c r="AO124" s="31">
        <v>9286.1574532048398</v>
      </c>
      <c r="AP124" s="31">
        <v>13.360761308291869</v>
      </c>
      <c r="AQ124" s="31">
        <v>20.897601020661636</v>
      </c>
      <c r="AR124" s="31">
        <v>5.1207768401620932E-3</v>
      </c>
    </row>
    <row r="125" spans="1:44" hidden="1" x14ac:dyDescent="0.5">
      <c r="A125" s="31">
        <v>1613</v>
      </c>
      <c r="B125" s="52">
        <v>118</v>
      </c>
      <c r="C125" s="225" t="s">
        <v>44</v>
      </c>
      <c r="D125" s="43">
        <v>-58.471400000000003</v>
      </c>
      <c r="E125" s="43">
        <v>-31.476700000000001</v>
      </c>
      <c r="F125">
        <v>309</v>
      </c>
      <c r="G125">
        <f t="shared" si="2"/>
        <v>497287.29600000003</v>
      </c>
      <c r="H125" s="32" t="s">
        <v>612</v>
      </c>
      <c r="I125">
        <v>3277</v>
      </c>
      <c r="J125">
        <v>0</v>
      </c>
      <c r="K125" s="26">
        <v>2018</v>
      </c>
      <c r="L125" t="s">
        <v>30</v>
      </c>
      <c r="M125" s="32">
        <v>80</v>
      </c>
      <c r="N125">
        <v>9.0254600000000007</v>
      </c>
      <c r="O125">
        <v>2</v>
      </c>
      <c r="P125" t="s">
        <v>35</v>
      </c>
      <c r="Q125">
        <v>93</v>
      </c>
      <c r="R125" t="s">
        <v>13</v>
      </c>
      <c r="S125" t="s">
        <v>14</v>
      </c>
      <c r="T125" t="s">
        <v>14</v>
      </c>
      <c r="U125" s="34">
        <v>0</v>
      </c>
      <c r="V125" s="34">
        <v>2</v>
      </c>
      <c r="W125" s="25">
        <v>1</v>
      </c>
      <c r="X125" s="25">
        <v>2</v>
      </c>
      <c r="Y125">
        <v>2.2504034769999999</v>
      </c>
      <c r="Z125" t="s">
        <v>1114</v>
      </c>
      <c r="AA125" t="s">
        <v>622</v>
      </c>
      <c r="AB125">
        <v>1</v>
      </c>
      <c r="AC125">
        <v>0.64738649100000001</v>
      </c>
      <c r="AF125" t="s">
        <v>524</v>
      </c>
      <c r="AG125" s="32" t="s">
        <v>2687</v>
      </c>
      <c r="AH125" s="32" t="s">
        <v>2181</v>
      </c>
      <c r="AI125" s="32" t="s">
        <v>2688</v>
      </c>
      <c r="AJ125" s="31" t="s">
        <v>3448</v>
      </c>
      <c r="AK125" s="31">
        <v>0.39</v>
      </c>
      <c r="AL125" s="31">
        <v>252.48073149000001</v>
      </c>
      <c r="AM125" s="31">
        <v>394.90575950999994</v>
      </c>
      <c r="AN125" s="31">
        <v>2450.2739170255222</v>
      </c>
      <c r="AO125" s="31">
        <v>3832.4797163732519</v>
      </c>
      <c r="AP125" s="31">
        <v>5.5141049424766448</v>
      </c>
      <c r="AQ125" s="31">
        <v>8.6246256792583402</v>
      </c>
      <c r="AR125" s="31">
        <v>5.0041243136209551E-3</v>
      </c>
    </row>
    <row r="126" spans="1:44" hidden="1" x14ac:dyDescent="0.5">
      <c r="A126" s="31">
        <v>1614</v>
      </c>
      <c r="B126" s="52">
        <v>118</v>
      </c>
      <c r="C126" s="225" t="s">
        <v>44</v>
      </c>
      <c r="D126" s="43">
        <v>-56.128399999999999</v>
      </c>
      <c r="E126" s="43">
        <v>-31.474</v>
      </c>
      <c r="F126">
        <v>324</v>
      </c>
      <c r="G126">
        <f t="shared" si="2"/>
        <v>521427.45600000001</v>
      </c>
      <c r="H126" s="32" t="s">
        <v>612</v>
      </c>
      <c r="I126">
        <v>3321</v>
      </c>
      <c r="J126">
        <v>0</v>
      </c>
      <c r="K126" s="26">
        <v>2018</v>
      </c>
      <c r="L126" t="s">
        <v>30</v>
      </c>
      <c r="M126" s="32">
        <v>80</v>
      </c>
      <c r="N126">
        <v>9.0254600000000007</v>
      </c>
      <c r="O126">
        <v>2</v>
      </c>
      <c r="P126" t="s">
        <v>35</v>
      </c>
      <c r="Q126">
        <v>93</v>
      </c>
      <c r="R126" t="s">
        <v>13</v>
      </c>
      <c r="S126" t="s">
        <v>14</v>
      </c>
      <c r="T126" t="s">
        <v>14</v>
      </c>
      <c r="U126" s="34">
        <v>0</v>
      </c>
      <c r="V126" s="34">
        <v>2</v>
      </c>
      <c r="W126" s="25">
        <v>1</v>
      </c>
      <c r="X126" s="25">
        <v>2</v>
      </c>
      <c r="Y126">
        <v>2.2504034769999999</v>
      </c>
      <c r="Z126" t="s">
        <v>1114</v>
      </c>
      <c r="AA126" t="s">
        <v>622</v>
      </c>
      <c r="AB126">
        <v>1</v>
      </c>
      <c r="AC126">
        <v>1.2503956949999999</v>
      </c>
      <c r="AF126" t="s">
        <v>524</v>
      </c>
      <c r="AG126" s="32" t="s">
        <v>2689</v>
      </c>
      <c r="AH126" s="32" t="s">
        <v>2181</v>
      </c>
      <c r="AI126" s="32" t="s">
        <v>2690</v>
      </c>
      <c r="AJ126" s="31" t="s">
        <v>3449</v>
      </c>
      <c r="AK126" s="31">
        <v>0.39</v>
      </c>
      <c r="AL126" s="31">
        <v>487.65432104999996</v>
      </c>
      <c r="AM126" s="31">
        <v>762.74137395000002</v>
      </c>
      <c r="AN126" s="31">
        <v>4732.5855574880998</v>
      </c>
      <c r="AO126" s="31">
        <v>7402.2492053019005</v>
      </c>
      <c r="AP126" s="31">
        <v>10.650226993771202</v>
      </c>
      <c r="AQ126" s="31">
        <v>16.658047349231882</v>
      </c>
      <c r="AR126" s="31">
        <v>4.7883160716797081E-3</v>
      </c>
    </row>
    <row r="127" spans="1:44" hidden="1" x14ac:dyDescent="0.5">
      <c r="A127" s="31">
        <v>1615</v>
      </c>
      <c r="B127" s="52">
        <v>118</v>
      </c>
      <c r="C127" s="225" t="s">
        <v>44</v>
      </c>
      <c r="D127" s="43">
        <v>-56.139000000000003</v>
      </c>
      <c r="E127" s="43">
        <v>-31.478300000000001</v>
      </c>
      <c r="F127">
        <v>202</v>
      </c>
      <c r="G127">
        <f t="shared" si="2"/>
        <v>325087.48800000001</v>
      </c>
      <c r="H127" s="32" t="s">
        <v>612</v>
      </c>
      <c r="I127">
        <v>3342</v>
      </c>
      <c r="J127">
        <v>0</v>
      </c>
      <c r="K127" s="26">
        <v>2018</v>
      </c>
      <c r="L127" t="s">
        <v>30</v>
      </c>
      <c r="M127" s="32">
        <v>80</v>
      </c>
      <c r="N127">
        <v>9.0254600000000007</v>
      </c>
      <c r="O127">
        <v>2</v>
      </c>
      <c r="P127" t="s">
        <v>35</v>
      </c>
      <c r="Q127">
        <v>93</v>
      </c>
      <c r="R127" t="s">
        <v>13</v>
      </c>
      <c r="S127" t="s">
        <v>14</v>
      </c>
      <c r="T127" t="s">
        <v>14</v>
      </c>
      <c r="U127" s="34">
        <v>0</v>
      </c>
      <c r="V127" s="34">
        <v>2</v>
      </c>
      <c r="W127" s="25">
        <v>1</v>
      </c>
      <c r="X127" s="25">
        <v>2</v>
      </c>
      <c r="Y127">
        <v>2.2504034769999999</v>
      </c>
      <c r="Z127" t="s">
        <v>1114</v>
      </c>
      <c r="AA127" t="s">
        <v>622</v>
      </c>
      <c r="AB127">
        <v>1</v>
      </c>
      <c r="AC127">
        <v>1.3907785340000001</v>
      </c>
      <c r="AF127" t="s">
        <v>524</v>
      </c>
      <c r="AG127" s="32" t="s">
        <v>2691</v>
      </c>
      <c r="AH127" s="32" t="s">
        <v>2181</v>
      </c>
      <c r="AI127" s="32" t="s">
        <v>2692</v>
      </c>
      <c r="AJ127" s="31" t="s">
        <v>3450</v>
      </c>
      <c r="AK127" s="31">
        <v>0.39</v>
      </c>
      <c r="AL127" s="31">
        <v>542.40362826</v>
      </c>
      <c r="AM127" s="31">
        <v>848.37490574000003</v>
      </c>
      <c r="AN127" s="31">
        <v>5263.9163986188178</v>
      </c>
      <c r="AO127" s="31">
        <v>8233.3051363012273</v>
      </c>
      <c r="AP127" s="31">
        <v>11.845935766089106</v>
      </c>
      <c r="AQ127" s="31">
        <v>18.52825850593424</v>
      </c>
      <c r="AR127" s="31">
        <v>4.6886227446628105E-3</v>
      </c>
    </row>
    <row r="128" spans="1:44" hidden="1" x14ac:dyDescent="0.5">
      <c r="A128" s="31">
        <v>1627</v>
      </c>
      <c r="B128" s="52">
        <v>118</v>
      </c>
      <c r="C128" s="225" t="s">
        <v>41</v>
      </c>
      <c r="D128" s="43">
        <v>-63.615499999999997</v>
      </c>
      <c r="E128" s="43">
        <v>-57.499099999999999</v>
      </c>
      <c r="F128">
        <v>4.3</v>
      </c>
      <c r="G128">
        <f t="shared" si="2"/>
        <v>6920.1791999999996</v>
      </c>
      <c r="H128" s="32" t="s">
        <v>611</v>
      </c>
      <c r="I128">
        <v>499</v>
      </c>
      <c r="J128">
        <v>0</v>
      </c>
      <c r="K128" s="26">
        <v>2018</v>
      </c>
      <c r="L128" t="s">
        <v>30</v>
      </c>
      <c r="M128" s="32">
        <v>80</v>
      </c>
      <c r="N128">
        <v>9.0254600000000007</v>
      </c>
      <c r="O128">
        <v>2</v>
      </c>
      <c r="P128" t="s">
        <v>35</v>
      </c>
      <c r="Q128">
        <v>93</v>
      </c>
      <c r="R128" t="s">
        <v>13</v>
      </c>
      <c r="S128" t="s">
        <v>14</v>
      </c>
      <c r="T128" t="s">
        <v>14</v>
      </c>
      <c r="U128" s="34">
        <v>0</v>
      </c>
      <c r="V128" s="34">
        <v>2</v>
      </c>
      <c r="W128" s="25">
        <v>1</v>
      </c>
      <c r="X128" s="25">
        <v>2</v>
      </c>
      <c r="Y128">
        <v>0.98158403299999997</v>
      </c>
      <c r="Z128" t="s">
        <v>1114</v>
      </c>
      <c r="AA128" t="s">
        <v>622</v>
      </c>
      <c r="AB128">
        <v>1</v>
      </c>
      <c r="AC128">
        <v>1.923477849</v>
      </c>
      <c r="AF128" t="s">
        <v>524</v>
      </c>
      <c r="AG128" s="32" t="s">
        <v>2715</v>
      </c>
      <c r="AH128" s="32" t="s">
        <v>2181</v>
      </c>
      <c r="AI128" s="32" t="s">
        <v>2716</v>
      </c>
      <c r="AJ128" s="31" t="s">
        <v>3462</v>
      </c>
      <c r="AK128" s="31">
        <v>0.39</v>
      </c>
      <c r="AL128" s="31">
        <v>750.15636111000003</v>
      </c>
      <c r="AM128" s="31">
        <v>1173.3214878899998</v>
      </c>
      <c r="AN128" s="31">
        <v>7280.1142268213571</v>
      </c>
      <c r="AO128" s="31">
        <v>11386.845329130838</v>
      </c>
      <c r="AP128" s="31">
        <v>7.1460438834639843</v>
      </c>
      <c r="AQ128" s="31">
        <v>11.177145561315459</v>
      </c>
      <c r="AR128" s="31">
        <v>8.0926628957911487E-2</v>
      </c>
    </row>
    <row r="129" spans="1:44" hidden="1" x14ac:dyDescent="0.5">
      <c r="A129" s="31">
        <v>1628</v>
      </c>
      <c r="B129" s="52">
        <v>118</v>
      </c>
      <c r="C129" s="225" t="s">
        <v>41</v>
      </c>
      <c r="D129" s="43">
        <v>-63.761299999999999</v>
      </c>
      <c r="E129" s="43">
        <v>-57.967399999999998</v>
      </c>
      <c r="F129">
        <v>7.5</v>
      </c>
      <c r="G129">
        <f t="shared" si="2"/>
        <v>12070.08</v>
      </c>
      <c r="H129" s="32" t="s">
        <v>611</v>
      </c>
      <c r="I129">
        <v>981.34</v>
      </c>
      <c r="J129">
        <v>0</v>
      </c>
      <c r="K129" s="26">
        <v>2018</v>
      </c>
      <c r="L129" t="s">
        <v>30</v>
      </c>
      <c r="M129" s="32">
        <v>80</v>
      </c>
      <c r="N129">
        <v>9.0254600000000007</v>
      </c>
      <c r="O129">
        <v>2</v>
      </c>
      <c r="P129" t="s">
        <v>35</v>
      </c>
      <c r="Q129">
        <v>93</v>
      </c>
      <c r="R129" t="s">
        <v>13</v>
      </c>
      <c r="S129" t="s">
        <v>14</v>
      </c>
      <c r="T129" t="s">
        <v>14</v>
      </c>
      <c r="U129" s="34">
        <v>0</v>
      </c>
      <c r="V129" s="34">
        <v>2</v>
      </c>
      <c r="W129" s="25">
        <v>1</v>
      </c>
      <c r="X129" s="25">
        <v>2</v>
      </c>
      <c r="Y129">
        <v>1.3919760750000001</v>
      </c>
      <c r="Z129" t="s">
        <v>1114</v>
      </c>
      <c r="AA129" t="s">
        <v>622</v>
      </c>
      <c r="AB129">
        <v>1</v>
      </c>
      <c r="AC129">
        <v>1.060376768</v>
      </c>
      <c r="AF129" t="s">
        <v>524</v>
      </c>
      <c r="AG129" s="32" t="s">
        <v>2717</v>
      </c>
      <c r="AH129" s="32" t="s">
        <v>2181</v>
      </c>
      <c r="AI129" s="32" t="s">
        <v>2718</v>
      </c>
      <c r="AJ129" s="31" t="s">
        <v>3463</v>
      </c>
      <c r="AK129" s="31">
        <v>0.39</v>
      </c>
      <c r="AL129" s="31">
        <v>413.54693952000002</v>
      </c>
      <c r="AM129" s="31">
        <v>646.82982848000006</v>
      </c>
      <c r="AN129" s="31">
        <v>4013.3885599571827</v>
      </c>
      <c r="AO129" s="31">
        <v>6277.3513373689266</v>
      </c>
      <c r="AP129" s="31">
        <v>5.586540855139102</v>
      </c>
      <c r="AQ129" s="31">
        <v>8.7379228759868006</v>
      </c>
      <c r="AR129" s="31">
        <v>4.9913229336735525E-2</v>
      </c>
    </row>
    <row r="130" spans="1:44" hidden="1" x14ac:dyDescent="0.5">
      <c r="A130" s="31">
        <v>1629</v>
      </c>
      <c r="B130" s="52">
        <v>118</v>
      </c>
      <c r="C130" s="225" t="s">
        <v>41</v>
      </c>
      <c r="D130" s="43">
        <v>-63.568899999999999</v>
      </c>
      <c r="E130" s="43">
        <v>-57.299199999999999</v>
      </c>
      <c r="F130">
        <v>3.7</v>
      </c>
      <c r="G130">
        <f t="shared" si="2"/>
        <v>5954.5728000000008</v>
      </c>
      <c r="H130" s="32" t="s">
        <v>611</v>
      </c>
      <c r="I130">
        <v>1031.6099999999999</v>
      </c>
      <c r="J130">
        <v>0</v>
      </c>
      <c r="K130" s="26">
        <v>2018</v>
      </c>
      <c r="L130" t="s">
        <v>30</v>
      </c>
      <c r="M130" s="32">
        <v>80</v>
      </c>
      <c r="N130">
        <v>9.0254600000000007</v>
      </c>
      <c r="O130">
        <v>2</v>
      </c>
      <c r="P130" t="s">
        <v>35</v>
      </c>
      <c r="Q130">
        <v>93</v>
      </c>
      <c r="R130" t="s">
        <v>13</v>
      </c>
      <c r="S130" t="s">
        <v>14</v>
      </c>
      <c r="T130" t="s">
        <v>14</v>
      </c>
      <c r="U130" s="34">
        <v>0</v>
      </c>
      <c r="V130" s="34">
        <v>2</v>
      </c>
      <c r="W130" s="25">
        <v>1</v>
      </c>
      <c r="X130" s="25">
        <v>2</v>
      </c>
      <c r="Y130">
        <v>0.98158403299999997</v>
      </c>
      <c r="Z130" t="s">
        <v>1114</v>
      </c>
      <c r="AA130" t="s">
        <v>622</v>
      </c>
      <c r="AB130">
        <v>1</v>
      </c>
      <c r="AC130">
        <v>3.4674200970000002</v>
      </c>
      <c r="AF130" t="s">
        <v>524</v>
      </c>
      <c r="AG130" s="32" t="s">
        <v>2719</v>
      </c>
      <c r="AH130" s="32" t="s">
        <v>2181</v>
      </c>
      <c r="AI130" s="32" t="s">
        <v>2720</v>
      </c>
      <c r="AJ130" s="31" t="s">
        <v>3464</v>
      </c>
      <c r="AK130" s="31">
        <v>0.39</v>
      </c>
      <c r="AL130" s="31">
        <v>1352.29383783</v>
      </c>
      <c r="AM130" s="31">
        <v>2115.1262591700001</v>
      </c>
      <c r="AN130" s="31">
        <v>13123.735421055002</v>
      </c>
      <c r="AO130" s="31">
        <v>20526.868222675777</v>
      </c>
      <c r="AP130" s="31">
        <v>12.882049142624123</v>
      </c>
      <c r="AQ130" s="31">
        <v>20.14884609487363</v>
      </c>
      <c r="AR130" s="31">
        <v>4.7461579451185537E-2</v>
      </c>
    </row>
    <row r="131" spans="1:44" hidden="1" x14ac:dyDescent="0.5">
      <c r="A131" s="31">
        <v>130</v>
      </c>
      <c r="B131" s="31">
        <v>8</v>
      </c>
      <c r="C131" s="225" t="s">
        <v>43</v>
      </c>
      <c r="D131" s="39">
        <v>84.993179999999995</v>
      </c>
      <c r="E131" s="40">
        <v>-90.215063999999998</v>
      </c>
      <c r="F131">
        <v>181</v>
      </c>
      <c r="G131">
        <f t="shared" si="2"/>
        <v>291291.26400000002</v>
      </c>
      <c r="H131" s="32" t="s">
        <v>613</v>
      </c>
      <c r="I131">
        <v>4353</v>
      </c>
      <c r="J131">
        <v>0</v>
      </c>
      <c r="K131" s="26">
        <v>2016</v>
      </c>
      <c r="L131" t="s">
        <v>30</v>
      </c>
      <c r="M131" s="32">
        <v>450</v>
      </c>
      <c r="N131">
        <v>56.117567630000003</v>
      </c>
      <c r="O131">
        <v>1.84</v>
      </c>
      <c r="P131" t="s">
        <v>35</v>
      </c>
      <c r="Q131">
        <v>93</v>
      </c>
      <c r="R131" t="s">
        <v>13</v>
      </c>
      <c r="S131" t="s">
        <v>14</v>
      </c>
      <c r="T131" t="s">
        <v>14</v>
      </c>
      <c r="U131" s="34">
        <v>0</v>
      </c>
      <c r="V131" s="34">
        <v>2</v>
      </c>
      <c r="W131" s="25">
        <v>1</v>
      </c>
      <c r="X131" s="25">
        <v>2</v>
      </c>
      <c r="Y131">
        <v>0.83496269700000003</v>
      </c>
      <c r="Z131" t="s">
        <v>1097</v>
      </c>
      <c r="AA131" t="s">
        <v>622</v>
      </c>
      <c r="AB131">
        <v>1</v>
      </c>
      <c r="AC131">
        <v>2</v>
      </c>
      <c r="AF131" t="s">
        <v>534</v>
      </c>
      <c r="AG131" s="32">
        <v>200</v>
      </c>
      <c r="AH131" s="32" t="s">
        <v>1219</v>
      </c>
      <c r="AI131" s="32" t="s">
        <v>1220</v>
      </c>
      <c r="AJ131" s="31" t="s">
        <v>2753</v>
      </c>
      <c r="AK131" s="31">
        <v>0.55600000000000005</v>
      </c>
      <c r="AL131" s="31">
        <v>111.20000000000002</v>
      </c>
      <c r="AM131" s="31">
        <v>88.799999999999983</v>
      </c>
      <c r="AN131" s="31">
        <v>6709.9715273720449</v>
      </c>
      <c r="AO131" s="31">
        <v>5358.3225866064513</v>
      </c>
      <c r="AP131" s="31">
        <v>5.6025759232877723</v>
      </c>
      <c r="AQ131" s="31">
        <v>4.4739994783089392</v>
      </c>
      <c r="AR131" s="31">
        <v>1.7027032696767276E-3</v>
      </c>
    </row>
    <row r="132" spans="1:44" hidden="1" x14ac:dyDescent="0.5">
      <c r="A132" s="31">
        <v>1630</v>
      </c>
      <c r="B132" s="52">
        <v>118</v>
      </c>
      <c r="C132" s="225" t="s">
        <v>41</v>
      </c>
      <c r="D132" s="43">
        <v>-63.575600000000001</v>
      </c>
      <c r="E132" s="43">
        <v>-57.2986</v>
      </c>
      <c r="F132">
        <v>3.8</v>
      </c>
      <c r="G132">
        <f t="shared" si="2"/>
        <v>6115.5072</v>
      </c>
      <c r="H132" s="32" t="s">
        <v>611</v>
      </c>
      <c r="I132">
        <v>1039.98</v>
      </c>
      <c r="J132">
        <v>0</v>
      </c>
      <c r="K132" s="26">
        <v>2018</v>
      </c>
      <c r="L132" t="s">
        <v>30</v>
      </c>
      <c r="M132" s="32">
        <v>80</v>
      </c>
      <c r="N132">
        <v>9.0254600000000007</v>
      </c>
      <c r="O132">
        <v>2</v>
      </c>
      <c r="P132" t="s">
        <v>35</v>
      </c>
      <c r="Q132">
        <v>93</v>
      </c>
      <c r="R132" t="s">
        <v>13</v>
      </c>
      <c r="S132" t="s">
        <v>14</v>
      </c>
      <c r="T132" t="s">
        <v>14</v>
      </c>
      <c r="U132" s="34">
        <v>0</v>
      </c>
      <c r="V132" s="34">
        <v>2</v>
      </c>
      <c r="W132" s="25">
        <v>1</v>
      </c>
      <c r="X132" s="25">
        <v>2</v>
      </c>
      <c r="Y132">
        <v>0.98158403299999997</v>
      </c>
      <c r="Z132" t="s">
        <v>1114</v>
      </c>
      <c r="AA132" t="s">
        <v>622</v>
      </c>
      <c r="AB132">
        <v>1</v>
      </c>
      <c r="AC132">
        <v>1.6905608190000001</v>
      </c>
      <c r="AF132" t="s">
        <v>524</v>
      </c>
      <c r="AG132" s="32" t="s">
        <v>2721</v>
      </c>
      <c r="AH132" s="32" t="s">
        <v>2181</v>
      </c>
      <c r="AI132" s="32" t="s">
        <v>2722</v>
      </c>
      <c r="AJ132" s="31" t="s">
        <v>3465</v>
      </c>
      <c r="AK132" s="31">
        <v>0.39</v>
      </c>
      <c r="AL132" s="31">
        <v>659.31871941000009</v>
      </c>
      <c r="AM132" s="31">
        <v>1031.24209959</v>
      </c>
      <c r="AN132" s="31">
        <v>6398.5534723507308</v>
      </c>
      <c r="AO132" s="31">
        <v>10007.99389265114</v>
      </c>
      <c r="AP132" s="31">
        <v>6.2807179227561836</v>
      </c>
      <c r="AQ132" s="31">
        <v>9.8236870073878748</v>
      </c>
      <c r="AR132" s="31">
        <v>4.7065235098391806E-2</v>
      </c>
    </row>
    <row r="133" spans="1:44" hidden="1" x14ac:dyDescent="0.5">
      <c r="A133" s="31">
        <v>1631</v>
      </c>
      <c r="B133" s="52">
        <v>118</v>
      </c>
      <c r="C133" s="225" t="s">
        <v>41</v>
      </c>
      <c r="D133" s="43">
        <v>-63.976500000000001</v>
      </c>
      <c r="E133" s="43">
        <v>-58.429400000000001</v>
      </c>
      <c r="F133">
        <v>6.8</v>
      </c>
      <c r="G133">
        <f t="shared" si="2"/>
        <v>10943.539199999999</v>
      </c>
      <c r="H133" s="32" t="s">
        <v>611</v>
      </c>
      <c r="I133">
        <v>1246.06</v>
      </c>
      <c r="J133">
        <v>0</v>
      </c>
      <c r="K133" s="26">
        <v>2018</v>
      </c>
      <c r="L133" t="s">
        <v>30</v>
      </c>
      <c r="M133" s="32">
        <v>80</v>
      </c>
      <c r="N133">
        <v>9.0254600000000007</v>
      </c>
      <c r="O133">
        <v>2</v>
      </c>
      <c r="P133" t="s">
        <v>35</v>
      </c>
      <c r="Q133">
        <v>93</v>
      </c>
      <c r="R133" t="s">
        <v>13</v>
      </c>
      <c r="S133" t="s">
        <v>14</v>
      </c>
      <c r="T133" t="s">
        <v>14</v>
      </c>
      <c r="U133" s="34">
        <v>0</v>
      </c>
      <c r="V133" s="34">
        <v>2</v>
      </c>
      <c r="W133" s="25">
        <v>1</v>
      </c>
      <c r="X133" s="25">
        <v>2</v>
      </c>
      <c r="Y133">
        <v>1.3919760750000001</v>
      </c>
      <c r="Z133" t="s">
        <v>1114</v>
      </c>
      <c r="AA133" t="s">
        <v>622</v>
      </c>
      <c r="AB133">
        <v>1</v>
      </c>
      <c r="AC133">
        <v>0.106157113</v>
      </c>
      <c r="AF133" t="s">
        <v>524</v>
      </c>
      <c r="AG133" s="32" t="s">
        <v>2723</v>
      </c>
      <c r="AH133" s="32" t="s">
        <v>2181</v>
      </c>
      <c r="AI133" s="32" t="s">
        <v>2724</v>
      </c>
      <c r="AJ133" s="31" t="s">
        <v>3466</v>
      </c>
      <c r="AK133" s="31">
        <v>0.39</v>
      </c>
      <c r="AL133" s="31">
        <v>41.401274069999999</v>
      </c>
      <c r="AM133" s="31">
        <v>64.755838929999996</v>
      </c>
      <c r="AN133" s="31">
        <v>401.79090652454005</v>
      </c>
      <c r="AO133" s="31">
        <v>628.44218712812665</v>
      </c>
      <c r="AP133" s="31">
        <v>0.55928332903472111</v>
      </c>
      <c r="AQ133" s="31">
        <v>0.87477648900302529</v>
      </c>
      <c r="AR133" s="31">
        <v>3.8285180837866556E-2</v>
      </c>
    </row>
    <row r="134" spans="1:44" hidden="1" x14ac:dyDescent="0.5">
      <c r="A134" s="31">
        <v>1632</v>
      </c>
      <c r="B134" s="52">
        <v>118</v>
      </c>
      <c r="C134" s="225" t="s">
        <v>41</v>
      </c>
      <c r="D134" s="43">
        <v>-63.976599999999998</v>
      </c>
      <c r="E134" s="43">
        <v>-58.429499999999997</v>
      </c>
      <c r="F134">
        <v>6.8</v>
      </c>
      <c r="G134">
        <f t="shared" si="2"/>
        <v>10943.539199999999</v>
      </c>
      <c r="H134" s="32" t="s">
        <v>611</v>
      </c>
      <c r="I134">
        <v>1246.33</v>
      </c>
      <c r="J134">
        <v>0</v>
      </c>
      <c r="K134" s="26">
        <v>2018</v>
      </c>
      <c r="L134" t="s">
        <v>30</v>
      </c>
      <c r="M134" s="32">
        <v>80</v>
      </c>
      <c r="N134">
        <v>9.0254600000000007</v>
      </c>
      <c r="O134">
        <v>2</v>
      </c>
      <c r="P134" t="s">
        <v>35</v>
      </c>
      <c r="Q134">
        <v>93</v>
      </c>
      <c r="R134" t="s">
        <v>13</v>
      </c>
      <c r="S134" t="s">
        <v>14</v>
      </c>
      <c r="T134" t="s">
        <v>14</v>
      </c>
      <c r="U134" s="34">
        <v>0</v>
      </c>
      <c r="V134" s="34">
        <v>2</v>
      </c>
      <c r="W134" s="25">
        <v>1</v>
      </c>
      <c r="X134" s="25">
        <v>2</v>
      </c>
      <c r="Y134">
        <v>1.3919760750000001</v>
      </c>
      <c r="Z134" t="s">
        <v>1114</v>
      </c>
      <c r="AA134" t="s">
        <v>622</v>
      </c>
      <c r="AB134">
        <v>1</v>
      </c>
      <c r="AC134">
        <v>0</v>
      </c>
      <c r="AF134" t="s">
        <v>524</v>
      </c>
      <c r="AG134" s="32">
        <v>0</v>
      </c>
      <c r="AH134" s="32" t="s">
        <v>2181</v>
      </c>
      <c r="AI134" s="32">
        <v>0</v>
      </c>
      <c r="AJ134" s="31">
        <v>0</v>
      </c>
      <c r="AK134" s="31">
        <v>0.39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3.8274825590886442E-2</v>
      </c>
    </row>
    <row r="135" spans="1:44" hidden="1" x14ac:dyDescent="0.5">
      <c r="A135" s="31">
        <v>1633</v>
      </c>
      <c r="B135" s="52">
        <v>118</v>
      </c>
      <c r="C135" s="225" t="s">
        <v>44</v>
      </c>
      <c r="D135" s="43">
        <v>-59.695300000000003</v>
      </c>
      <c r="E135" s="43">
        <v>-28.327500000000001</v>
      </c>
      <c r="F135">
        <v>446</v>
      </c>
      <c r="G135">
        <f t="shared" si="2"/>
        <v>717767.424</v>
      </c>
      <c r="H135" s="32" t="s">
        <v>611</v>
      </c>
      <c r="I135">
        <v>1619</v>
      </c>
      <c r="J135">
        <v>0</v>
      </c>
      <c r="K135" s="26">
        <v>2018</v>
      </c>
      <c r="L135" t="s">
        <v>30</v>
      </c>
      <c r="M135" s="32">
        <v>80</v>
      </c>
      <c r="N135">
        <v>9.0254600000000007</v>
      </c>
      <c r="O135">
        <v>2</v>
      </c>
      <c r="P135" t="s">
        <v>35</v>
      </c>
      <c r="Q135">
        <v>93</v>
      </c>
      <c r="R135" t="s">
        <v>13</v>
      </c>
      <c r="S135" t="s">
        <v>14</v>
      </c>
      <c r="T135" t="s">
        <v>14</v>
      </c>
      <c r="U135" s="34">
        <v>0</v>
      </c>
      <c r="V135" s="34">
        <v>2</v>
      </c>
      <c r="W135" s="25">
        <v>1</v>
      </c>
      <c r="X135" s="25">
        <v>2</v>
      </c>
      <c r="Y135">
        <v>1.373883272</v>
      </c>
      <c r="Z135" t="s">
        <v>1112</v>
      </c>
      <c r="AA135" t="s">
        <v>622</v>
      </c>
      <c r="AB135">
        <v>1</v>
      </c>
      <c r="AC135">
        <v>1.0582010580000001</v>
      </c>
      <c r="AF135" t="s">
        <v>524</v>
      </c>
      <c r="AG135" s="32" t="s">
        <v>2725</v>
      </c>
      <c r="AH135" s="32" t="s">
        <v>2181</v>
      </c>
      <c r="AI135" s="32" t="s">
        <v>2726</v>
      </c>
      <c r="AJ135" s="31" t="s">
        <v>3467</v>
      </c>
      <c r="AK135" s="31">
        <v>0.39</v>
      </c>
      <c r="AL135" s="31">
        <v>412.69841262000006</v>
      </c>
      <c r="AM135" s="31">
        <v>645.5026453800001</v>
      </c>
      <c r="AN135" s="31">
        <v>4005.1537797476408</v>
      </c>
      <c r="AO135" s="31">
        <v>6264.4712965283616</v>
      </c>
      <c r="AP135" s="31">
        <v>5.5026137797828563</v>
      </c>
      <c r="AQ135" s="31">
        <v>8.606652322224468</v>
      </c>
      <c r="AR135" s="31">
        <v>2.6348570000821539E-2</v>
      </c>
    </row>
    <row r="136" spans="1:44" hidden="1" x14ac:dyDescent="0.5">
      <c r="A136" s="31">
        <v>135</v>
      </c>
      <c r="B136" s="31">
        <v>8</v>
      </c>
      <c r="C136" s="225" t="s">
        <v>43</v>
      </c>
      <c r="D136" s="39">
        <v>84.227575000000002</v>
      </c>
      <c r="E136" s="40">
        <v>-98.346154999999996</v>
      </c>
      <c r="F136">
        <v>137</v>
      </c>
      <c r="G136">
        <f t="shared" si="2"/>
        <v>220480.128</v>
      </c>
      <c r="H136" s="32" t="s">
        <v>612</v>
      </c>
      <c r="I136">
        <v>3777</v>
      </c>
      <c r="J136">
        <v>0</v>
      </c>
      <c r="K136" s="26">
        <v>2016</v>
      </c>
      <c r="L136" t="s">
        <v>30</v>
      </c>
      <c r="M136" s="32">
        <v>450</v>
      </c>
      <c r="N136">
        <v>56.117567630000003</v>
      </c>
      <c r="O136">
        <v>1.84</v>
      </c>
      <c r="P136" t="s">
        <v>35</v>
      </c>
      <c r="Q136">
        <v>93</v>
      </c>
      <c r="R136" t="s">
        <v>13</v>
      </c>
      <c r="S136" t="s">
        <v>14</v>
      </c>
      <c r="T136" t="s">
        <v>14</v>
      </c>
      <c r="U136" s="34">
        <v>0</v>
      </c>
      <c r="V136" s="34">
        <v>2</v>
      </c>
      <c r="W136" s="25">
        <v>1</v>
      </c>
      <c r="X136" s="25">
        <v>2</v>
      </c>
      <c r="Y136">
        <v>0.78023669900000003</v>
      </c>
      <c r="Z136" t="s">
        <v>1097</v>
      </c>
      <c r="AA136" t="s">
        <v>622</v>
      </c>
      <c r="AB136">
        <v>1</v>
      </c>
      <c r="AC136">
        <v>1</v>
      </c>
      <c r="AF136" t="s">
        <v>534</v>
      </c>
      <c r="AG136" s="32">
        <v>100</v>
      </c>
      <c r="AH136" s="32" t="s">
        <v>1219</v>
      </c>
      <c r="AI136" s="32" t="s">
        <v>1221</v>
      </c>
      <c r="AJ136" s="31" t="s">
        <v>2754</v>
      </c>
      <c r="AK136" s="31">
        <v>0.55600000000000005</v>
      </c>
      <c r="AL136" s="31">
        <v>55.600000000000009</v>
      </c>
      <c r="AM136" s="31">
        <v>44.399999999999991</v>
      </c>
      <c r="AN136" s="31">
        <v>3354.9857636860224</v>
      </c>
      <c r="AO136" s="31">
        <v>2679.1612933032256</v>
      </c>
      <c r="AP136" s="31">
        <v>2.6176830174503762</v>
      </c>
      <c r="AQ136" s="31">
        <v>2.0903799635754798</v>
      </c>
      <c r="AR136" s="31">
        <v>3.0322715415060592E-3</v>
      </c>
    </row>
    <row r="137" spans="1:44" hidden="1" x14ac:dyDescent="0.5">
      <c r="A137" s="31">
        <v>32</v>
      </c>
      <c r="B137" s="31">
        <v>2</v>
      </c>
      <c r="C137" s="225" t="s">
        <v>44</v>
      </c>
      <c r="D137" s="35">
        <v>75.88</v>
      </c>
      <c r="E137" s="33">
        <v>-168.04</v>
      </c>
      <c r="F137">
        <v>363.43</v>
      </c>
      <c r="G137">
        <f t="shared" si="2"/>
        <v>584883.88991999999</v>
      </c>
      <c r="H137" s="32" t="s">
        <v>614</v>
      </c>
      <c r="I137">
        <v>119.7</v>
      </c>
      <c r="J137">
        <v>0</v>
      </c>
      <c r="K137" s="26">
        <v>2017</v>
      </c>
      <c r="L137" t="s">
        <v>30</v>
      </c>
      <c r="M137" s="32">
        <v>100</v>
      </c>
      <c r="N137">
        <v>11.428783320000001</v>
      </c>
      <c r="O137">
        <v>4.8600000000000003</v>
      </c>
      <c r="P137" t="s">
        <v>26</v>
      </c>
      <c r="Q137">
        <v>93.3</v>
      </c>
      <c r="R137" t="s">
        <v>13</v>
      </c>
      <c r="S137" t="s">
        <v>14</v>
      </c>
      <c r="T137" t="s">
        <v>14</v>
      </c>
      <c r="U137" s="34">
        <v>0</v>
      </c>
      <c r="V137" s="34">
        <v>5</v>
      </c>
      <c r="W137" s="25">
        <v>2.5</v>
      </c>
      <c r="X137" s="25">
        <v>5</v>
      </c>
      <c r="Y137">
        <v>0.82071020152381002</v>
      </c>
      <c r="Z137" t="s">
        <v>828</v>
      </c>
      <c r="AA137" t="s">
        <v>664</v>
      </c>
      <c r="AB137">
        <v>1</v>
      </c>
      <c r="AC137">
        <v>0</v>
      </c>
      <c r="AF137" t="s">
        <v>532</v>
      </c>
      <c r="AG137" s="32">
        <v>0</v>
      </c>
      <c r="AH137" s="32" t="s">
        <v>671</v>
      </c>
      <c r="AI137" s="32" t="s">
        <v>1129</v>
      </c>
      <c r="AJ137" s="31" t="s">
        <v>1130</v>
      </c>
      <c r="AK137" s="31">
        <v>0.59524549999999998</v>
      </c>
      <c r="AL137" s="31">
        <v>0</v>
      </c>
      <c r="AM137" s="31">
        <v>0</v>
      </c>
      <c r="AN137" s="31">
        <v>0</v>
      </c>
      <c r="AO137" s="31">
        <v>0</v>
      </c>
      <c r="AP137" s="31">
        <v>0</v>
      </c>
      <c r="AQ137" s="31">
        <v>0</v>
      </c>
      <c r="AR137" s="31">
        <v>0.11834024552794921</v>
      </c>
    </row>
    <row r="138" spans="1:44" hidden="1" x14ac:dyDescent="0.5">
      <c r="A138" s="31">
        <v>33</v>
      </c>
      <c r="B138" s="31">
        <v>2</v>
      </c>
      <c r="C138" s="225" t="s">
        <v>44</v>
      </c>
      <c r="D138" s="35">
        <v>73.760000000000005</v>
      </c>
      <c r="E138" s="33">
        <v>-168.91</v>
      </c>
      <c r="F138">
        <v>248.22</v>
      </c>
      <c r="G138">
        <f t="shared" si="2"/>
        <v>399471.36768000002</v>
      </c>
      <c r="H138" s="32" t="s">
        <v>614</v>
      </c>
      <c r="I138">
        <v>178.2</v>
      </c>
      <c r="J138">
        <v>0</v>
      </c>
      <c r="K138" s="26">
        <v>2017</v>
      </c>
      <c r="L138" t="s">
        <v>30</v>
      </c>
      <c r="M138" s="32">
        <v>100</v>
      </c>
      <c r="N138">
        <v>11.428783320000001</v>
      </c>
      <c r="O138">
        <v>4.8600000000000003</v>
      </c>
      <c r="P138" t="s">
        <v>26</v>
      </c>
      <c r="Q138">
        <v>93.3</v>
      </c>
      <c r="R138" t="s">
        <v>13</v>
      </c>
      <c r="S138" t="s">
        <v>14</v>
      </c>
      <c r="T138" t="s">
        <v>14</v>
      </c>
      <c r="U138" s="34">
        <v>0</v>
      </c>
      <c r="V138" s="34">
        <v>5</v>
      </c>
      <c r="W138" s="25">
        <v>2.5</v>
      </c>
      <c r="X138" s="25">
        <v>5</v>
      </c>
      <c r="Y138">
        <v>0.82071020152381002</v>
      </c>
      <c r="Z138" t="s">
        <v>828</v>
      </c>
      <c r="AA138" t="s">
        <v>664</v>
      </c>
      <c r="AB138">
        <v>1</v>
      </c>
      <c r="AC138">
        <v>8.33</v>
      </c>
      <c r="AF138" t="s">
        <v>532</v>
      </c>
      <c r="AG138" s="32" t="s">
        <v>1190</v>
      </c>
      <c r="AH138" s="32" t="s">
        <v>1180</v>
      </c>
      <c r="AI138" s="32" t="s">
        <v>1191</v>
      </c>
      <c r="AJ138" s="31">
        <v>2.9488199999999996</v>
      </c>
      <c r="AK138" s="31">
        <v>0.64600000000000002</v>
      </c>
      <c r="AL138" s="31">
        <v>5.3811800000000005</v>
      </c>
      <c r="AM138" s="31">
        <v>2.9488199999999996</v>
      </c>
      <c r="AN138" s="31">
        <v>65.916763371830228</v>
      </c>
      <c r="AO138" s="31">
        <v>36.12157002109582</v>
      </c>
      <c r="AP138" s="31">
        <v>5.4098560150692081E-2</v>
      </c>
      <c r="AQ138" s="31">
        <v>2.9645341011369963E-2</v>
      </c>
      <c r="AR138" s="31">
        <v>0.11160353373212553</v>
      </c>
    </row>
    <row r="139" spans="1:44" hidden="1" x14ac:dyDescent="0.5">
      <c r="A139" s="31">
        <v>138</v>
      </c>
      <c r="B139" s="31">
        <v>8</v>
      </c>
      <c r="C139" s="225" t="s">
        <v>43</v>
      </c>
      <c r="D139" s="42">
        <v>80.553200000000004</v>
      </c>
      <c r="E139" s="40">
        <v>8.0519999999999996</v>
      </c>
      <c r="F139">
        <v>63</v>
      </c>
      <c r="G139">
        <f t="shared" si="2"/>
        <v>101388.67200000001</v>
      </c>
      <c r="H139" s="32" t="s">
        <v>611</v>
      </c>
      <c r="I139">
        <v>855</v>
      </c>
      <c r="J139">
        <v>0</v>
      </c>
      <c r="K139" s="26">
        <v>2016</v>
      </c>
      <c r="L139" t="s">
        <v>30</v>
      </c>
      <c r="M139" s="32">
        <v>450</v>
      </c>
      <c r="N139">
        <v>56.117567630000003</v>
      </c>
      <c r="O139">
        <v>1.84</v>
      </c>
      <c r="P139" t="s">
        <v>35</v>
      </c>
      <c r="Q139">
        <v>93</v>
      </c>
      <c r="R139" t="s">
        <v>13</v>
      </c>
      <c r="S139" t="s">
        <v>14</v>
      </c>
      <c r="T139" t="s">
        <v>14</v>
      </c>
      <c r="U139" s="34">
        <v>0</v>
      </c>
      <c r="V139" s="34">
        <v>2</v>
      </c>
      <c r="W139" s="25">
        <v>1</v>
      </c>
      <c r="X139" s="25">
        <v>2</v>
      </c>
      <c r="Y139">
        <v>0.74858324399999998</v>
      </c>
      <c r="Z139" t="s">
        <v>1098</v>
      </c>
      <c r="AA139" t="s">
        <v>622</v>
      </c>
      <c r="AB139">
        <v>1</v>
      </c>
      <c r="AC139">
        <v>0</v>
      </c>
      <c r="AF139" t="s">
        <v>534</v>
      </c>
      <c r="AG139" s="32">
        <v>0</v>
      </c>
      <c r="AH139" s="32" t="s">
        <v>671</v>
      </c>
      <c r="AI139" s="32" t="s">
        <v>1129</v>
      </c>
      <c r="AJ139" s="31" t="s">
        <v>1130</v>
      </c>
      <c r="AK139" s="31">
        <v>0.59524549999999998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5.6648541135646005E-2</v>
      </c>
    </row>
    <row r="140" spans="1:44" hidden="1" x14ac:dyDescent="0.5">
      <c r="A140" s="31">
        <v>274</v>
      </c>
      <c r="B140" s="31">
        <v>17</v>
      </c>
      <c r="C140" s="225" t="s">
        <v>25</v>
      </c>
      <c r="D140" s="35">
        <v>36.800494999999998</v>
      </c>
      <c r="E140" s="33">
        <v>10.242768</v>
      </c>
      <c r="F140">
        <v>7.0000000000000007E-2</v>
      </c>
      <c r="G140">
        <f t="shared" si="2"/>
        <v>112.65408000000001</v>
      </c>
      <c r="H140" s="32" t="s">
        <v>614</v>
      </c>
      <c r="I140">
        <v>0</v>
      </c>
      <c r="J140">
        <v>304.03268483660298</v>
      </c>
      <c r="K140" s="26">
        <v>2017</v>
      </c>
      <c r="L140" t="s">
        <v>11</v>
      </c>
      <c r="M140" s="32">
        <v>100</v>
      </c>
      <c r="N140">
        <v>11.428783320000001</v>
      </c>
      <c r="O140">
        <v>5</v>
      </c>
      <c r="P140" t="s">
        <v>12</v>
      </c>
      <c r="Q140">
        <v>89</v>
      </c>
      <c r="R140" t="s">
        <v>13</v>
      </c>
      <c r="S140" t="s">
        <v>14</v>
      </c>
      <c r="T140" t="s">
        <v>14</v>
      </c>
      <c r="U140" s="34">
        <v>0</v>
      </c>
      <c r="V140" s="34">
        <v>3</v>
      </c>
      <c r="W140" s="25">
        <v>1.5</v>
      </c>
      <c r="X140" s="25">
        <v>3</v>
      </c>
      <c r="Y140">
        <v>1.3241679239999999</v>
      </c>
      <c r="Z140" t="s">
        <v>1103</v>
      </c>
      <c r="AA140" t="s">
        <v>622</v>
      </c>
      <c r="AB140">
        <v>3</v>
      </c>
      <c r="AC140">
        <v>383</v>
      </c>
      <c r="AD140">
        <v>22</v>
      </c>
      <c r="AE140" t="s">
        <v>519</v>
      </c>
      <c r="AF140" t="s">
        <v>532</v>
      </c>
      <c r="AG140" s="32">
        <v>383</v>
      </c>
      <c r="AH140" s="32" t="s">
        <v>1279</v>
      </c>
      <c r="AI140" s="32" t="s">
        <v>1280</v>
      </c>
      <c r="AJ140" s="31" t="s">
        <v>2782</v>
      </c>
      <c r="AK140" s="31">
        <v>0.67769999999999997</v>
      </c>
      <c r="AL140" s="31">
        <v>259.5591</v>
      </c>
      <c r="AM140" s="31">
        <v>123.4409</v>
      </c>
      <c r="AN140" s="31">
        <v>3333.0839467800133</v>
      </c>
      <c r="AO140" s="31">
        <v>1585.1452796918966</v>
      </c>
      <c r="AP140" s="31">
        <v>4.4135628503254161</v>
      </c>
      <c r="AQ140" s="31">
        <v>2.0989985342480177</v>
      </c>
      <c r="AR140" s="31">
        <v>0.13341858489683281</v>
      </c>
    </row>
    <row r="141" spans="1:44" hidden="1" x14ac:dyDescent="0.5">
      <c r="A141" s="31">
        <v>275</v>
      </c>
      <c r="B141" s="31">
        <v>17</v>
      </c>
      <c r="C141" s="225" t="s">
        <v>25</v>
      </c>
      <c r="D141" s="35">
        <v>36.816428000000002</v>
      </c>
      <c r="E141" s="33">
        <v>10.310187000000001</v>
      </c>
      <c r="F141">
        <v>0.01</v>
      </c>
      <c r="G141">
        <f t="shared" si="2"/>
        <v>16.093440000000001</v>
      </c>
      <c r="H141" s="32" t="s">
        <v>614</v>
      </c>
      <c r="I141">
        <v>0</v>
      </c>
      <c r="J141">
        <v>320.99404472424499</v>
      </c>
      <c r="K141" s="26">
        <v>2017</v>
      </c>
      <c r="L141" t="s">
        <v>11</v>
      </c>
      <c r="M141" s="32">
        <v>100</v>
      </c>
      <c r="N141">
        <v>11.428783320000001</v>
      </c>
      <c r="O141">
        <v>5</v>
      </c>
      <c r="P141" t="s">
        <v>12</v>
      </c>
      <c r="Q141">
        <v>89</v>
      </c>
      <c r="R141" t="s">
        <v>13</v>
      </c>
      <c r="S141" t="s">
        <v>14</v>
      </c>
      <c r="T141" t="s">
        <v>14</v>
      </c>
      <c r="U141" s="34">
        <v>0</v>
      </c>
      <c r="V141" s="34">
        <v>3</v>
      </c>
      <c r="W141" s="25">
        <v>1.5</v>
      </c>
      <c r="X141" s="25">
        <v>3</v>
      </c>
      <c r="Y141">
        <v>1.3241679239999999</v>
      </c>
      <c r="Z141" t="s">
        <v>1103</v>
      </c>
      <c r="AA141" t="s">
        <v>622</v>
      </c>
      <c r="AB141">
        <v>3</v>
      </c>
      <c r="AC141">
        <v>340</v>
      </c>
      <c r="AD141">
        <v>43</v>
      </c>
      <c r="AE141" t="s">
        <v>519</v>
      </c>
      <c r="AF141" t="s">
        <v>532</v>
      </c>
      <c r="AG141" s="32">
        <v>340</v>
      </c>
      <c r="AH141" s="32" t="s">
        <v>1281</v>
      </c>
      <c r="AI141" s="32" t="s">
        <v>1282</v>
      </c>
      <c r="AJ141" s="31" t="s">
        <v>2783</v>
      </c>
      <c r="AK141" s="31">
        <v>0.98750000000000004</v>
      </c>
      <c r="AL141" s="31">
        <v>335.75</v>
      </c>
      <c r="AM141" s="31">
        <v>4.25</v>
      </c>
      <c r="AN141" s="31">
        <v>4311.4764041460685</v>
      </c>
      <c r="AO141" s="31">
        <v>54.575650685393263</v>
      </c>
      <c r="AP141" s="31">
        <v>5.7091187594530846</v>
      </c>
      <c r="AQ141" s="31">
        <v>7.2267326069026375E-2</v>
      </c>
      <c r="AR141" s="31">
        <v>0.13341858489683281</v>
      </c>
    </row>
    <row r="142" spans="1:44" customFormat="1" hidden="1" x14ac:dyDescent="0.5">
      <c r="A142">
        <v>583</v>
      </c>
      <c r="B142">
        <v>42</v>
      </c>
      <c r="C142" s="226" t="s">
        <v>20</v>
      </c>
      <c r="D142" s="227">
        <v>54.951602999999999</v>
      </c>
      <c r="E142" s="228">
        <v>20.283107000000001</v>
      </c>
      <c r="F142">
        <v>0</v>
      </c>
      <c r="G142">
        <f t="shared" si="2"/>
        <v>0</v>
      </c>
      <c r="H142" t="s">
        <v>10</v>
      </c>
      <c r="I142">
        <v>0</v>
      </c>
      <c r="J142">
        <v>105.93139439417099</v>
      </c>
      <c r="K142" s="26">
        <v>2015</v>
      </c>
      <c r="L142" t="s">
        <v>11</v>
      </c>
      <c r="M142" s="30">
        <v>500</v>
      </c>
      <c r="N142">
        <v>62.735052189999998</v>
      </c>
      <c r="O142">
        <v>5</v>
      </c>
      <c r="P142" t="s">
        <v>23</v>
      </c>
      <c r="Q142">
        <v>95.5</v>
      </c>
      <c r="R142" t="s">
        <v>27</v>
      </c>
      <c r="S142" t="s">
        <v>16</v>
      </c>
      <c r="T142" t="s">
        <v>16</v>
      </c>
      <c r="U142" s="25">
        <v>0</v>
      </c>
      <c r="V142" s="25">
        <v>2</v>
      </c>
      <c r="W142" s="25">
        <v>1</v>
      </c>
      <c r="X142" s="25">
        <v>2</v>
      </c>
      <c r="Y142" s="244">
        <v>0.54424737099999998</v>
      </c>
      <c r="Z142" t="s">
        <v>754</v>
      </c>
      <c r="AA142" t="s">
        <v>620</v>
      </c>
      <c r="AB142">
        <v>7</v>
      </c>
      <c r="AC142">
        <v>14.7</v>
      </c>
      <c r="AD142">
        <v>20.8</v>
      </c>
      <c r="AE142" t="s">
        <v>519</v>
      </c>
      <c r="AF142" t="s">
        <v>532</v>
      </c>
      <c r="AG142" s="30">
        <v>14.7</v>
      </c>
      <c r="AH142" s="30" t="s">
        <v>671</v>
      </c>
      <c r="AI142" s="30" t="s">
        <v>1129</v>
      </c>
      <c r="AJ142" t="s">
        <v>1130</v>
      </c>
      <c r="AK142">
        <v>0.59524549999999998</v>
      </c>
      <c r="AL142">
        <v>8.7501088500000002</v>
      </c>
      <c r="AM142">
        <v>5.9498911499999991</v>
      </c>
      <c r="AN142">
        <v>574.80474908160306</v>
      </c>
      <c r="AO142">
        <v>390.85521656551731</v>
      </c>
      <c r="AP142">
        <v>0.31283597352597714</v>
      </c>
      <c r="AQ142">
        <v>0.21272192405741844</v>
      </c>
      <c r="AR142">
        <v>0.13341858489683281</v>
      </c>
    </row>
    <row r="143" spans="1:44" customFormat="1" hidden="1" x14ac:dyDescent="0.5">
      <c r="A143">
        <v>582</v>
      </c>
      <c r="B143">
        <v>42</v>
      </c>
      <c r="C143" s="226" t="s">
        <v>20</v>
      </c>
      <c r="D143" s="227">
        <v>54.946316000000003</v>
      </c>
      <c r="E143" s="228">
        <v>20.151990000000001</v>
      </c>
      <c r="F143">
        <v>0</v>
      </c>
      <c r="G143">
        <f t="shared" si="2"/>
        <v>0</v>
      </c>
      <c r="H143" t="s">
        <v>10</v>
      </c>
      <c r="I143">
        <v>0</v>
      </c>
      <c r="J143">
        <v>113.60959238380801</v>
      </c>
      <c r="K143" s="26">
        <v>2015</v>
      </c>
      <c r="L143" t="s">
        <v>11</v>
      </c>
      <c r="M143" s="30">
        <v>500</v>
      </c>
      <c r="N143">
        <v>62.735052189999998</v>
      </c>
      <c r="O143">
        <v>5</v>
      </c>
      <c r="P143" t="s">
        <v>23</v>
      </c>
      <c r="Q143">
        <v>95.5</v>
      </c>
      <c r="R143" t="s">
        <v>27</v>
      </c>
      <c r="S143" t="s">
        <v>16</v>
      </c>
      <c r="T143" t="s">
        <v>16</v>
      </c>
      <c r="U143" s="25">
        <v>0</v>
      </c>
      <c r="V143" s="25">
        <v>2</v>
      </c>
      <c r="W143" s="25">
        <v>1</v>
      </c>
      <c r="X143" s="25">
        <v>2</v>
      </c>
      <c r="Y143" s="244">
        <v>0.54424737099999998</v>
      </c>
      <c r="Z143" t="s">
        <v>754</v>
      </c>
      <c r="AA143" t="s">
        <v>620</v>
      </c>
      <c r="AB143">
        <v>4</v>
      </c>
      <c r="AC143">
        <v>4.0999999999999996</v>
      </c>
      <c r="AD143">
        <v>7.5</v>
      </c>
      <c r="AE143" t="s">
        <v>519</v>
      </c>
      <c r="AF143" t="s">
        <v>532</v>
      </c>
      <c r="AG143" s="30">
        <v>4.0999999999999996</v>
      </c>
      <c r="AH143" s="30" t="s">
        <v>671</v>
      </c>
      <c r="AI143" s="30" t="s">
        <v>1129</v>
      </c>
      <c r="AJ143" t="s">
        <v>1130</v>
      </c>
      <c r="AK143">
        <v>0.59524549999999998</v>
      </c>
      <c r="AL143">
        <v>2.4405065499999998</v>
      </c>
      <c r="AM143">
        <v>1.6594934499999998</v>
      </c>
      <c r="AN143">
        <v>160.31969192071921</v>
      </c>
      <c r="AO143">
        <v>109.01403999446401</v>
      </c>
      <c r="AP143">
        <v>8.7253570847381362E-2</v>
      </c>
      <c r="AQ143">
        <v>5.9330604669075894E-2</v>
      </c>
      <c r="AR143">
        <v>0.13341858489683281</v>
      </c>
    </row>
    <row r="144" spans="1:44" customFormat="1" hidden="1" x14ac:dyDescent="0.5">
      <c r="A144">
        <v>581</v>
      </c>
      <c r="B144">
        <v>42</v>
      </c>
      <c r="C144" s="226" t="s">
        <v>20</v>
      </c>
      <c r="D144" s="227">
        <v>54.941336999999997</v>
      </c>
      <c r="E144" s="228">
        <v>20.302388000000001</v>
      </c>
      <c r="F144">
        <v>0</v>
      </c>
      <c r="G144">
        <f t="shared" ref="G144:G207" si="3">F144*1609.344</f>
        <v>0</v>
      </c>
      <c r="H144" t="s">
        <v>10</v>
      </c>
      <c r="I144">
        <v>0</v>
      </c>
      <c r="J144">
        <v>103.881638757302</v>
      </c>
      <c r="K144" s="26">
        <v>2015</v>
      </c>
      <c r="L144" t="s">
        <v>11</v>
      </c>
      <c r="M144" s="30">
        <v>500</v>
      </c>
      <c r="N144">
        <v>62.735052189999998</v>
      </c>
      <c r="O144">
        <v>5</v>
      </c>
      <c r="P144" t="s">
        <v>23</v>
      </c>
      <c r="Q144">
        <v>95.5</v>
      </c>
      <c r="R144" t="s">
        <v>27</v>
      </c>
      <c r="S144" t="s">
        <v>16</v>
      </c>
      <c r="T144" t="s">
        <v>16</v>
      </c>
      <c r="U144" s="25">
        <v>0</v>
      </c>
      <c r="V144" s="25">
        <v>2</v>
      </c>
      <c r="W144" s="25">
        <v>1</v>
      </c>
      <c r="X144" s="25">
        <v>2</v>
      </c>
      <c r="Y144" s="244">
        <v>0.54424737099999998</v>
      </c>
      <c r="Z144" t="s">
        <v>754</v>
      </c>
      <c r="AA144" t="s">
        <v>620</v>
      </c>
      <c r="AB144">
        <v>4</v>
      </c>
      <c r="AC144">
        <v>22.3</v>
      </c>
      <c r="AD144">
        <v>11</v>
      </c>
      <c r="AE144" t="s">
        <v>519</v>
      </c>
      <c r="AF144" t="s">
        <v>532</v>
      </c>
      <c r="AG144" s="30">
        <v>22.3</v>
      </c>
      <c r="AH144" s="30" t="s">
        <v>671</v>
      </c>
      <c r="AI144" s="30" t="s">
        <v>1129</v>
      </c>
      <c r="AJ144" t="s">
        <v>1130</v>
      </c>
      <c r="AK144">
        <v>0.59524549999999998</v>
      </c>
      <c r="AL144">
        <v>13.27397465</v>
      </c>
      <c r="AM144">
        <v>9.0260253500000012</v>
      </c>
      <c r="AN144">
        <v>871.98271459318005</v>
      </c>
      <c r="AO144">
        <v>592.93002240891428</v>
      </c>
      <c r="AP144">
        <v>0.47457429997478151</v>
      </c>
      <c r="AQ144">
        <v>0.32270060588302263</v>
      </c>
      <c r="AR144">
        <v>0.13341858489683281</v>
      </c>
    </row>
    <row r="145" spans="1:44" customFormat="1" hidden="1" x14ac:dyDescent="0.5">
      <c r="A145">
        <v>580</v>
      </c>
      <c r="B145">
        <v>42</v>
      </c>
      <c r="C145" s="226" t="s">
        <v>20</v>
      </c>
      <c r="D145" s="227">
        <v>54.939762999999999</v>
      </c>
      <c r="E145" s="228">
        <v>20.324404000000001</v>
      </c>
      <c r="F145">
        <v>0</v>
      </c>
      <c r="G145">
        <f t="shared" si="3"/>
        <v>0</v>
      </c>
      <c r="H145" t="s">
        <v>10</v>
      </c>
      <c r="I145">
        <v>0</v>
      </c>
      <c r="J145">
        <v>102.471811005823</v>
      </c>
      <c r="K145" s="26">
        <v>2015</v>
      </c>
      <c r="L145" t="s">
        <v>11</v>
      </c>
      <c r="M145" s="30">
        <v>500</v>
      </c>
      <c r="N145">
        <v>62.735052189999998</v>
      </c>
      <c r="O145">
        <v>5</v>
      </c>
      <c r="P145" t="s">
        <v>23</v>
      </c>
      <c r="Q145">
        <v>95.5</v>
      </c>
      <c r="R145" t="s">
        <v>27</v>
      </c>
      <c r="S145" t="s">
        <v>16</v>
      </c>
      <c r="T145" t="s">
        <v>16</v>
      </c>
      <c r="U145" s="25">
        <v>0</v>
      </c>
      <c r="V145" s="25">
        <v>2</v>
      </c>
      <c r="W145" s="25">
        <v>1</v>
      </c>
      <c r="X145" s="25">
        <v>2</v>
      </c>
      <c r="Y145" s="244">
        <v>0.54424737099999998</v>
      </c>
      <c r="Z145" t="s">
        <v>754</v>
      </c>
      <c r="AA145" t="s">
        <v>620</v>
      </c>
      <c r="AB145">
        <v>3</v>
      </c>
      <c r="AC145">
        <v>3.6</v>
      </c>
      <c r="AD145">
        <v>11.3</v>
      </c>
      <c r="AE145" t="s">
        <v>519</v>
      </c>
      <c r="AF145" t="s">
        <v>532</v>
      </c>
      <c r="AG145" s="30">
        <v>3.6</v>
      </c>
      <c r="AH145" s="30" t="s">
        <v>671</v>
      </c>
      <c r="AI145" s="30" t="s">
        <v>1129</v>
      </c>
      <c r="AJ145" t="s">
        <v>1130</v>
      </c>
      <c r="AK145">
        <v>0.59524549999999998</v>
      </c>
      <c r="AL145">
        <v>2.1428837999999999</v>
      </c>
      <c r="AM145">
        <v>1.4571162000000002</v>
      </c>
      <c r="AN145">
        <v>140.76850997916807</v>
      </c>
      <c r="AO145">
        <v>95.719644873187931</v>
      </c>
      <c r="AP145">
        <v>7.6612891475749484E-2</v>
      </c>
      <c r="AQ145">
        <v>5.2095165075286158E-2</v>
      </c>
      <c r="AR145">
        <v>0.13341858489683281</v>
      </c>
    </row>
    <row r="146" spans="1:44" customFormat="1" hidden="1" x14ac:dyDescent="0.5">
      <c r="A146">
        <v>579</v>
      </c>
      <c r="B146">
        <v>42</v>
      </c>
      <c r="C146" s="226" t="s">
        <v>20</v>
      </c>
      <c r="D146" s="227">
        <v>54.939760999999997</v>
      </c>
      <c r="E146" s="228">
        <v>20.317523999999999</v>
      </c>
      <c r="F146">
        <v>0</v>
      </c>
      <c r="G146">
        <f t="shared" si="3"/>
        <v>0</v>
      </c>
      <c r="H146" t="s">
        <v>10</v>
      </c>
      <c r="I146">
        <v>0</v>
      </c>
      <c r="J146">
        <v>102.90400031874</v>
      </c>
      <c r="K146" s="26">
        <v>2015</v>
      </c>
      <c r="L146" t="s">
        <v>11</v>
      </c>
      <c r="M146" s="30">
        <v>500</v>
      </c>
      <c r="N146">
        <v>62.735052189999998</v>
      </c>
      <c r="O146">
        <v>5</v>
      </c>
      <c r="P146" t="s">
        <v>23</v>
      </c>
      <c r="Q146">
        <v>95.5</v>
      </c>
      <c r="R146" t="s">
        <v>27</v>
      </c>
      <c r="S146" t="s">
        <v>16</v>
      </c>
      <c r="T146" t="s">
        <v>16</v>
      </c>
      <c r="U146" s="25">
        <v>0</v>
      </c>
      <c r="V146" s="25">
        <v>2</v>
      </c>
      <c r="W146" s="25">
        <v>1</v>
      </c>
      <c r="X146" s="25">
        <v>2</v>
      </c>
      <c r="Y146" s="244">
        <v>0.54424737099999998</v>
      </c>
      <c r="Z146" t="s">
        <v>754</v>
      </c>
      <c r="AA146" t="s">
        <v>620</v>
      </c>
      <c r="AB146">
        <v>2</v>
      </c>
      <c r="AC146">
        <v>4.9000000000000004</v>
      </c>
      <c r="AD146">
        <v>1.3</v>
      </c>
      <c r="AE146" t="s">
        <v>519</v>
      </c>
      <c r="AF146" t="s">
        <v>532</v>
      </c>
      <c r="AG146" s="30">
        <v>4.9000000000000004</v>
      </c>
      <c r="AH146" s="30" t="s">
        <v>671</v>
      </c>
      <c r="AI146" s="30" t="s">
        <v>1129</v>
      </c>
      <c r="AJ146" t="s">
        <v>1130</v>
      </c>
      <c r="AK146">
        <v>0.59524549999999998</v>
      </c>
      <c r="AL146">
        <v>2.9167029500000003</v>
      </c>
      <c r="AM146">
        <v>1.98329705</v>
      </c>
      <c r="AN146">
        <v>191.60158302720103</v>
      </c>
      <c r="AO146">
        <v>130.28507218850581</v>
      </c>
      <c r="AP146">
        <v>0.10427865784199239</v>
      </c>
      <c r="AQ146">
        <v>7.0907308019139498E-2</v>
      </c>
      <c r="AR146">
        <v>0.13341858489683281</v>
      </c>
    </row>
    <row r="147" spans="1:44" customFormat="1" hidden="1" x14ac:dyDescent="0.5">
      <c r="A147">
        <v>578</v>
      </c>
      <c r="B147">
        <v>42</v>
      </c>
      <c r="C147" s="226" t="s">
        <v>20</v>
      </c>
      <c r="D147" s="227">
        <v>54.938578999999997</v>
      </c>
      <c r="E147" s="228">
        <v>20.354666000000002</v>
      </c>
      <c r="F147">
        <v>0</v>
      </c>
      <c r="G147">
        <f t="shared" si="3"/>
        <v>0</v>
      </c>
      <c r="H147" t="s">
        <v>10</v>
      </c>
      <c r="I147">
        <v>0</v>
      </c>
      <c r="J147">
        <v>100.48659282998101</v>
      </c>
      <c r="K147" s="26">
        <v>2015</v>
      </c>
      <c r="L147" t="s">
        <v>11</v>
      </c>
      <c r="M147" s="30">
        <v>500</v>
      </c>
      <c r="N147">
        <v>62.735052189999998</v>
      </c>
      <c r="O147">
        <v>5</v>
      </c>
      <c r="P147" t="s">
        <v>23</v>
      </c>
      <c r="Q147">
        <v>95.5</v>
      </c>
      <c r="R147" t="s">
        <v>27</v>
      </c>
      <c r="S147" t="s">
        <v>16</v>
      </c>
      <c r="T147" t="s">
        <v>16</v>
      </c>
      <c r="U147" s="25">
        <v>0</v>
      </c>
      <c r="V147" s="25">
        <v>2</v>
      </c>
      <c r="W147" s="25">
        <v>1</v>
      </c>
      <c r="X147" s="25">
        <v>2</v>
      </c>
      <c r="Y147" s="244">
        <v>0.54424737099999998</v>
      </c>
      <c r="Z147" t="s">
        <v>754</v>
      </c>
      <c r="AA147" t="s">
        <v>620</v>
      </c>
      <c r="AB147">
        <v>3</v>
      </c>
      <c r="AC147">
        <v>2.8</v>
      </c>
      <c r="AD147">
        <v>7.7</v>
      </c>
      <c r="AE147" t="s">
        <v>519</v>
      </c>
      <c r="AF147" t="s">
        <v>532</v>
      </c>
      <c r="AG147" s="30">
        <v>2.8</v>
      </c>
      <c r="AH147" s="30" t="s">
        <v>671</v>
      </c>
      <c r="AI147" s="30" t="s">
        <v>1129</v>
      </c>
      <c r="AJ147" t="s">
        <v>1130</v>
      </c>
      <c r="AK147">
        <v>0.59524549999999998</v>
      </c>
      <c r="AL147">
        <v>1.6666873999999998</v>
      </c>
      <c r="AM147">
        <v>1.1333126</v>
      </c>
      <c r="AN147">
        <v>109.48661887268626</v>
      </c>
      <c r="AO147">
        <v>74.44861267914618</v>
      </c>
      <c r="AP147">
        <v>5.9587804481138477E-2</v>
      </c>
      <c r="AQ147">
        <v>4.0518461725222575E-2</v>
      </c>
      <c r="AR147">
        <v>0.13341858489683281</v>
      </c>
    </row>
    <row r="148" spans="1:44" customFormat="1" hidden="1" x14ac:dyDescent="0.5">
      <c r="A148">
        <v>577</v>
      </c>
      <c r="B148">
        <v>42</v>
      </c>
      <c r="C148" s="226" t="s">
        <v>20</v>
      </c>
      <c r="D148" s="230">
        <v>54.871580000000002</v>
      </c>
      <c r="E148" s="231">
        <v>19.933223999999999</v>
      </c>
      <c r="F148">
        <v>0</v>
      </c>
      <c r="G148">
        <f t="shared" si="3"/>
        <v>0</v>
      </c>
      <c r="H148" t="s">
        <v>10</v>
      </c>
      <c r="I148">
        <v>0</v>
      </c>
      <c r="J148">
        <v>130.84987094309199</v>
      </c>
      <c r="K148" s="26">
        <v>2015</v>
      </c>
      <c r="L148" t="s">
        <v>11</v>
      </c>
      <c r="M148" s="30">
        <v>500</v>
      </c>
      <c r="N148">
        <v>62.735052189999998</v>
      </c>
      <c r="O148">
        <v>5</v>
      </c>
      <c r="P148" t="s">
        <v>23</v>
      </c>
      <c r="Q148">
        <v>95.5</v>
      </c>
      <c r="R148" t="s">
        <v>27</v>
      </c>
      <c r="S148" t="s">
        <v>16</v>
      </c>
      <c r="T148" t="s">
        <v>16</v>
      </c>
      <c r="U148" s="25">
        <v>0</v>
      </c>
      <c r="V148" s="25">
        <v>2</v>
      </c>
      <c r="W148" s="25">
        <v>1</v>
      </c>
      <c r="X148" s="25">
        <v>2</v>
      </c>
      <c r="Y148" s="244">
        <v>0.54424737099999998</v>
      </c>
      <c r="Z148" t="s">
        <v>754</v>
      </c>
      <c r="AA148" t="s">
        <v>620</v>
      </c>
      <c r="AB148">
        <v>6</v>
      </c>
      <c r="AC148">
        <v>2.6</v>
      </c>
      <c r="AD148">
        <v>1.3</v>
      </c>
      <c r="AE148" t="s">
        <v>519</v>
      </c>
      <c r="AF148" t="s">
        <v>532</v>
      </c>
      <c r="AG148" s="30">
        <v>2.6</v>
      </c>
      <c r="AH148" s="30" t="s">
        <v>671</v>
      </c>
      <c r="AI148" s="30" t="s">
        <v>1129</v>
      </c>
      <c r="AJ148" t="s">
        <v>1130</v>
      </c>
      <c r="AK148">
        <v>0.59524549999999998</v>
      </c>
      <c r="AL148">
        <v>1.5476383</v>
      </c>
      <c r="AM148">
        <v>1.0523617000000001</v>
      </c>
      <c r="AN148">
        <v>101.66614609606583</v>
      </c>
      <c r="AO148">
        <v>69.130854630635739</v>
      </c>
      <c r="AP148">
        <v>5.5331532732485741E-2</v>
      </c>
      <c r="AQ148">
        <v>3.7624285887706679E-2</v>
      </c>
      <c r="AR148">
        <v>0.13341858489683281</v>
      </c>
    </row>
    <row r="149" spans="1:44" customFormat="1" hidden="1" x14ac:dyDescent="0.5">
      <c r="A149">
        <v>1268</v>
      </c>
      <c r="B149">
        <v>87</v>
      </c>
      <c r="C149" s="226" t="s">
        <v>20</v>
      </c>
      <c r="D149" s="154">
        <v>54.868169999999999</v>
      </c>
      <c r="E149" s="238">
        <v>3.40917</v>
      </c>
      <c r="F149">
        <v>64.62</v>
      </c>
      <c r="G149">
        <f t="shared" si="3"/>
        <v>103995.80928000002</v>
      </c>
      <c r="H149" s="30" t="s">
        <v>614</v>
      </c>
      <c r="I149">
        <v>37</v>
      </c>
      <c r="J149">
        <v>0</v>
      </c>
      <c r="K149" s="26">
        <v>2014</v>
      </c>
      <c r="L149" t="s">
        <v>40</v>
      </c>
      <c r="M149" s="30">
        <v>11</v>
      </c>
      <c r="N149">
        <v>1.1060976250000001</v>
      </c>
      <c r="O149">
        <v>5</v>
      </c>
      <c r="P149" t="s">
        <v>23</v>
      </c>
      <c r="Q149">
        <v>95.5</v>
      </c>
      <c r="R149" t="s">
        <v>13</v>
      </c>
      <c r="S149" t="s">
        <v>14</v>
      </c>
      <c r="T149" t="s">
        <v>14</v>
      </c>
      <c r="U149" s="29">
        <v>0</v>
      </c>
      <c r="V149" s="29">
        <v>5</v>
      </c>
      <c r="W149" s="25">
        <v>2.5</v>
      </c>
      <c r="X149" s="25">
        <v>5</v>
      </c>
      <c r="Y149" s="244">
        <v>1.788789671</v>
      </c>
      <c r="Z149" t="s">
        <v>1104</v>
      </c>
      <c r="AA149" t="s">
        <v>622</v>
      </c>
      <c r="AB149">
        <v>1</v>
      </c>
      <c r="AC149">
        <v>1188.8</v>
      </c>
      <c r="AF149" t="s">
        <v>532</v>
      </c>
      <c r="AG149" s="30" t="s">
        <v>2404</v>
      </c>
      <c r="AH149" s="30" t="s">
        <v>671</v>
      </c>
      <c r="AI149" s="30" t="s">
        <v>1129</v>
      </c>
      <c r="AJ149" t="s">
        <v>1130</v>
      </c>
      <c r="AK149">
        <v>0.59524549999999998</v>
      </c>
      <c r="AL149">
        <v>707.62785039999994</v>
      </c>
      <c r="AM149">
        <v>481.17214960000001</v>
      </c>
      <c r="AN149">
        <v>819.58689498564945</v>
      </c>
      <c r="AO149">
        <v>557.30196009288443</v>
      </c>
      <c r="AP149">
        <v>1.4660685722372913</v>
      </c>
      <c r="AQ149">
        <v>0.99689598984220595</v>
      </c>
      <c r="AR149">
        <v>0.12856326403413854</v>
      </c>
    </row>
    <row r="150" spans="1:44" customFormat="1" hidden="1" x14ac:dyDescent="0.5">
      <c r="A150">
        <v>149</v>
      </c>
      <c r="B150">
        <v>9</v>
      </c>
      <c r="C150" s="226" t="s">
        <v>43</v>
      </c>
      <c r="D150" s="227">
        <v>42.465000000000003</v>
      </c>
      <c r="E150" s="228">
        <v>14.618556099999999</v>
      </c>
      <c r="F150">
        <v>13.08</v>
      </c>
      <c r="G150">
        <f t="shared" si="3"/>
        <v>21050.219520000002</v>
      </c>
      <c r="H150" t="s">
        <v>614</v>
      </c>
      <c r="I150">
        <v>100</v>
      </c>
      <c r="J150">
        <v>140.972027134494</v>
      </c>
      <c r="K150" s="26">
        <v>2015</v>
      </c>
      <c r="L150" t="s">
        <v>40</v>
      </c>
      <c r="M150" s="30">
        <v>1000</v>
      </c>
      <c r="N150">
        <v>130.61708849999999</v>
      </c>
      <c r="O150">
        <v>30</v>
      </c>
      <c r="P150" t="s">
        <v>17</v>
      </c>
      <c r="Q150">
        <v>100</v>
      </c>
      <c r="R150" t="s">
        <v>13</v>
      </c>
      <c r="S150" t="s">
        <v>14</v>
      </c>
      <c r="T150" t="s">
        <v>16</v>
      </c>
      <c r="U150" s="25">
        <v>0</v>
      </c>
      <c r="V150" s="25">
        <v>10</v>
      </c>
      <c r="W150" s="25">
        <v>5</v>
      </c>
      <c r="X150" s="25">
        <v>10</v>
      </c>
      <c r="Y150">
        <v>0.88629531800000005</v>
      </c>
      <c r="Z150" t="s">
        <v>1100</v>
      </c>
      <c r="AA150" t="s">
        <v>622</v>
      </c>
      <c r="AB150">
        <v>4</v>
      </c>
      <c r="AC150">
        <v>87</v>
      </c>
      <c r="AD150">
        <v>95</v>
      </c>
      <c r="AE150" t="s">
        <v>519</v>
      </c>
      <c r="AF150" t="s">
        <v>521</v>
      </c>
      <c r="AG150" s="30">
        <v>0.98161412153595506</v>
      </c>
      <c r="AH150" s="30">
        <v>0.69299999999999995</v>
      </c>
      <c r="AI150" s="30">
        <v>0.68025858622441682</v>
      </c>
      <c r="AJ150">
        <v>0.30135553531153825</v>
      </c>
      <c r="AK150">
        <v>0.69299999999999995</v>
      </c>
      <c r="AL150">
        <v>0.68025858622441682</v>
      </c>
      <c r="AM150">
        <v>0.30135553531153825</v>
      </c>
      <c r="AN150">
        <v>88.853395959759524</v>
      </c>
      <c r="AO150">
        <v>39.362182625752062</v>
      </c>
      <c r="AP150">
        <v>7.8750348827534983E-2</v>
      </c>
      <c r="AQ150">
        <v>3.4886518167465005E-2</v>
      </c>
      <c r="AR150">
        <v>0.12069918288496942</v>
      </c>
    </row>
    <row r="151" spans="1:44" customFormat="1" hidden="1" x14ac:dyDescent="0.5">
      <c r="A151">
        <v>150</v>
      </c>
      <c r="B151">
        <v>9</v>
      </c>
      <c r="C151" s="226" t="s">
        <v>43</v>
      </c>
      <c r="D151" s="227">
        <v>42.319000000000003</v>
      </c>
      <c r="E151" s="228">
        <v>15.823011899999999</v>
      </c>
      <c r="F151">
        <v>27.45</v>
      </c>
      <c r="G151">
        <f t="shared" si="3"/>
        <v>44176.4928</v>
      </c>
      <c r="H151" t="s">
        <v>614</v>
      </c>
      <c r="I151">
        <v>119</v>
      </c>
      <c r="J151">
        <v>113.50619939939099</v>
      </c>
      <c r="K151" s="26">
        <v>2015</v>
      </c>
      <c r="L151" t="s">
        <v>40</v>
      </c>
      <c r="M151" s="30">
        <v>1000</v>
      </c>
      <c r="N151">
        <v>130.61708849999999</v>
      </c>
      <c r="O151">
        <v>30</v>
      </c>
      <c r="P151" t="s">
        <v>17</v>
      </c>
      <c r="Q151">
        <v>100</v>
      </c>
      <c r="R151" t="s">
        <v>13</v>
      </c>
      <c r="S151" t="s">
        <v>14</v>
      </c>
      <c r="T151" t="s">
        <v>16</v>
      </c>
      <c r="U151" s="25">
        <v>0</v>
      </c>
      <c r="V151" s="25">
        <v>10</v>
      </c>
      <c r="W151" s="25">
        <v>5</v>
      </c>
      <c r="X151" s="25">
        <v>10</v>
      </c>
      <c r="Y151">
        <v>0.88629531800000005</v>
      </c>
      <c r="Z151" t="s">
        <v>1100</v>
      </c>
      <c r="AA151" t="s">
        <v>622</v>
      </c>
      <c r="AB151">
        <v>4</v>
      </c>
      <c r="AC151">
        <v>62</v>
      </c>
      <c r="AD151">
        <v>33</v>
      </c>
      <c r="AE151" t="s">
        <v>519</v>
      </c>
      <c r="AF151" t="s">
        <v>521</v>
      </c>
      <c r="AG151" s="30">
        <v>0.69954109810608289</v>
      </c>
      <c r="AH151" s="30">
        <v>0.69299999999999995</v>
      </c>
      <c r="AI151" s="30">
        <v>0.4847819809875154</v>
      </c>
      <c r="AJ151">
        <v>0.21475911711856749</v>
      </c>
      <c r="AK151">
        <v>0.69299999999999995</v>
      </c>
      <c r="AL151">
        <v>0.4847819809875154</v>
      </c>
      <c r="AM151">
        <v>0.21475911711856749</v>
      </c>
      <c r="AN151">
        <v>63.320810913851624</v>
      </c>
      <c r="AO151">
        <v>28.051210606857797</v>
      </c>
      <c r="AP151">
        <v>5.6120938244909997E-2</v>
      </c>
      <c r="AQ151">
        <v>2.4861656625090007E-2</v>
      </c>
      <c r="AR151">
        <v>0.11842327027123428</v>
      </c>
    </row>
    <row r="152" spans="1:44" customFormat="1" hidden="1" x14ac:dyDescent="0.5">
      <c r="A152">
        <v>151</v>
      </c>
      <c r="B152">
        <v>9</v>
      </c>
      <c r="C152" s="226" t="s">
        <v>43</v>
      </c>
      <c r="D152" s="227">
        <v>42.35</v>
      </c>
      <c r="E152" s="228">
        <v>15.7685225</v>
      </c>
      <c r="F152">
        <v>29.77</v>
      </c>
      <c r="G152">
        <f t="shared" si="3"/>
        <v>47910.170879999998</v>
      </c>
      <c r="H152" t="s">
        <v>614</v>
      </c>
      <c r="I152">
        <v>130</v>
      </c>
      <c r="J152">
        <v>113.714893109527</v>
      </c>
      <c r="K152" s="26">
        <v>2015</v>
      </c>
      <c r="L152" t="s">
        <v>40</v>
      </c>
      <c r="M152" s="30">
        <v>1000</v>
      </c>
      <c r="N152">
        <v>130.61708849999999</v>
      </c>
      <c r="O152">
        <v>30</v>
      </c>
      <c r="P152" t="s">
        <v>17</v>
      </c>
      <c r="Q152">
        <v>100</v>
      </c>
      <c r="R152" t="s">
        <v>13</v>
      </c>
      <c r="S152" t="s">
        <v>14</v>
      </c>
      <c r="T152" t="s">
        <v>16</v>
      </c>
      <c r="U152" s="25">
        <v>0</v>
      </c>
      <c r="V152" s="25">
        <v>10</v>
      </c>
      <c r="W152" s="25">
        <v>5</v>
      </c>
      <c r="X152" s="25">
        <v>10</v>
      </c>
      <c r="Y152">
        <v>0.88629531800000005</v>
      </c>
      <c r="Z152" t="s">
        <v>1100</v>
      </c>
      <c r="AA152" t="s">
        <v>622</v>
      </c>
      <c r="AB152">
        <v>4</v>
      </c>
      <c r="AC152">
        <v>59</v>
      </c>
      <c r="AD152">
        <v>46</v>
      </c>
      <c r="AE152" t="s">
        <v>519</v>
      </c>
      <c r="AF152" t="s">
        <v>521</v>
      </c>
      <c r="AG152" s="30">
        <v>0.66569233529449823</v>
      </c>
      <c r="AH152" s="30">
        <v>0.69299999999999995</v>
      </c>
      <c r="AI152" s="30">
        <v>0.46132478835908725</v>
      </c>
      <c r="AJ152">
        <v>0.20436754693541098</v>
      </c>
      <c r="AK152">
        <v>0.69299999999999995</v>
      </c>
      <c r="AL152">
        <v>0.46132478835908725</v>
      </c>
      <c r="AM152">
        <v>0.20436754693541098</v>
      </c>
      <c r="AN152">
        <v>60.256900708342663</v>
      </c>
      <c r="AO152">
        <v>26.693893964590483</v>
      </c>
      <c r="AP152">
        <v>5.3405408974994989E-2</v>
      </c>
      <c r="AQ152">
        <v>2.3658673240005004E-2</v>
      </c>
      <c r="AR152">
        <v>0.11712530369974029</v>
      </c>
    </row>
    <row r="153" spans="1:44" customFormat="1" hidden="1" x14ac:dyDescent="0.5">
      <c r="A153">
        <v>152</v>
      </c>
      <c r="B153">
        <v>9</v>
      </c>
      <c r="C153" s="226" t="s">
        <v>43</v>
      </c>
      <c r="D153" s="227">
        <v>42.357999999999997</v>
      </c>
      <c r="E153" s="228">
        <v>15.708801899999999</v>
      </c>
      <c r="F153">
        <v>30.93</v>
      </c>
      <c r="G153">
        <f t="shared" si="3"/>
        <v>49777.009920000004</v>
      </c>
      <c r="H153" t="s">
        <v>614</v>
      </c>
      <c r="I153">
        <v>132</v>
      </c>
      <c r="J153">
        <v>112.638841148673</v>
      </c>
      <c r="K153" s="26">
        <v>2015</v>
      </c>
      <c r="L153" t="s">
        <v>40</v>
      </c>
      <c r="M153" s="30">
        <v>1000</v>
      </c>
      <c r="N153">
        <v>130.61708849999999</v>
      </c>
      <c r="O153">
        <v>30</v>
      </c>
      <c r="P153" t="s">
        <v>17</v>
      </c>
      <c r="Q153">
        <v>100</v>
      </c>
      <c r="R153" t="s">
        <v>13</v>
      </c>
      <c r="S153" t="s">
        <v>14</v>
      </c>
      <c r="T153" t="s">
        <v>16</v>
      </c>
      <c r="U153" s="25">
        <v>0</v>
      </c>
      <c r="V153" s="25">
        <v>10</v>
      </c>
      <c r="W153" s="25">
        <v>5</v>
      </c>
      <c r="X153" s="25">
        <v>10</v>
      </c>
      <c r="Y153">
        <v>0.88629531800000005</v>
      </c>
      <c r="Z153" t="s">
        <v>1100</v>
      </c>
      <c r="AA153" t="s">
        <v>622</v>
      </c>
      <c r="AB153">
        <v>4</v>
      </c>
      <c r="AC153">
        <v>62</v>
      </c>
      <c r="AD153">
        <v>36</v>
      </c>
      <c r="AE153" t="s">
        <v>519</v>
      </c>
      <c r="AF153" t="s">
        <v>521</v>
      </c>
      <c r="AG153" s="30">
        <v>0.69954109810608289</v>
      </c>
      <c r="AH153" s="30">
        <v>0.69299999999999995</v>
      </c>
      <c r="AI153" s="30">
        <v>0.4847819809875154</v>
      </c>
      <c r="AJ153">
        <v>0.21475911711856749</v>
      </c>
      <c r="AK153">
        <v>0.69299999999999995</v>
      </c>
      <c r="AL153">
        <v>0.4847819809875154</v>
      </c>
      <c r="AM153">
        <v>0.21475911711856749</v>
      </c>
      <c r="AN153">
        <v>63.320810913851624</v>
      </c>
      <c r="AO153">
        <v>28.051210606857797</v>
      </c>
      <c r="AP153">
        <v>5.6120938244909997E-2</v>
      </c>
      <c r="AQ153">
        <v>2.4861656625090007E-2</v>
      </c>
      <c r="AR153">
        <v>0.11689084280778678</v>
      </c>
    </row>
    <row r="154" spans="1:44" customFormat="1" hidden="1" x14ac:dyDescent="0.5">
      <c r="A154">
        <v>153</v>
      </c>
      <c r="B154">
        <v>9</v>
      </c>
      <c r="C154" s="226" t="s">
        <v>43</v>
      </c>
      <c r="D154" s="227">
        <v>42.366</v>
      </c>
      <c r="E154" s="228">
        <v>15.6487178</v>
      </c>
      <c r="F154">
        <v>30.52</v>
      </c>
      <c r="G154">
        <f t="shared" si="3"/>
        <v>49117.178879999999</v>
      </c>
      <c r="H154" t="s">
        <v>614</v>
      </c>
      <c r="I154">
        <v>138</v>
      </c>
      <c r="J154">
        <v>117.927363120151</v>
      </c>
      <c r="K154" s="26">
        <v>2015</v>
      </c>
      <c r="L154" t="s">
        <v>40</v>
      </c>
      <c r="M154" s="30">
        <v>1000</v>
      </c>
      <c r="N154">
        <v>130.61708849999999</v>
      </c>
      <c r="O154">
        <v>30</v>
      </c>
      <c r="P154" t="s">
        <v>17</v>
      </c>
      <c r="Q154">
        <v>100</v>
      </c>
      <c r="R154" t="s">
        <v>13</v>
      </c>
      <c r="S154" t="s">
        <v>14</v>
      </c>
      <c r="T154" t="s">
        <v>16</v>
      </c>
      <c r="U154" s="25">
        <v>0</v>
      </c>
      <c r="V154" s="25">
        <v>10</v>
      </c>
      <c r="W154" s="25">
        <v>5</v>
      </c>
      <c r="X154" s="25">
        <v>10</v>
      </c>
      <c r="Y154">
        <v>0.88629531800000005</v>
      </c>
      <c r="Z154" t="s">
        <v>1100</v>
      </c>
      <c r="AA154" t="s">
        <v>622</v>
      </c>
      <c r="AB154">
        <v>4</v>
      </c>
      <c r="AC154">
        <v>32</v>
      </c>
      <c r="AD154">
        <v>19</v>
      </c>
      <c r="AE154" t="s">
        <v>519</v>
      </c>
      <c r="AF154" t="s">
        <v>521</v>
      </c>
      <c r="AG154" s="30">
        <v>0.36105346999023635</v>
      </c>
      <c r="AH154" s="30">
        <v>0.69299999999999995</v>
      </c>
      <c r="AI154" s="30">
        <v>0.25021005470323376</v>
      </c>
      <c r="AJ154">
        <v>0.11084341528700259</v>
      </c>
      <c r="AK154">
        <v>0.69299999999999995</v>
      </c>
      <c r="AL154">
        <v>0.25021005470323376</v>
      </c>
      <c r="AM154">
        <v>0.11084341528700259</v>
      </c>
      <c r="AN154">
        <v>32.681708858762121</v>
      </c>
      <c r="AO154">
        <v>14.478044184184668</v>
      </c>
      <c r="AP154">
        <v>2.8965645545759991E-2</v>
      </c>
      <c r="AQ154">
        <v>1.2831822774240002E-2</v>
      </c>
      <c r="AR154">
        <v>0.11619027243207801</v>
      </c>
    </row>
    <row r="155" spans="1:44" customFormat="1" hidden="1" x14ac:dyDescent="0.5">
      <c r="A155">
        <v>154</v>
      </c>
      <c r="B155">
        <v>9</v>
      </c>
      <c r="C155" s="226" t="s">
        <v>43</v>
      </c>
      <c r="D155" s="227">
        <v>42.374000000000002</v>
      </c>
      <c r="E155" s="228">
        <v>15.5888992</v>
      </c>
      <c r="F155">
        <v>30.83</v>
      </c>
      <c r="G155">
        <f t="shared" si="3"/>
        <v>49616.075519999999</v>
      </c>
      <c r="H155" t="s">
        <v>614</v>
      </c>
      <c r="I155">
        <v>142</v>
      </c>
      <c r="J155">
        <v>114.540116888752</v>
      </c>
      <c r="K155" s="26">
        <v>2015</v>
      </c>
      <c r="L155" t="s">
        <v>40</v>
      </c>
      <c r="M155" s="30">
        <v>1000</v>
      </c>
      <c r="N155">
        <v>130.61708849999999</v>
      </c>
      <c r="O155">
        <v>30</v>
      </c>
      <c r="P155" t="s">
        <v>17</v>
      </c>
      <c r="Q155">
        <v>100</v>
      </c>
      <c r="R155" t="s">
        <v>13</v>
      </c>
      <c r="S155" t="s">
        <v>14</v>
      </c>
      <c r="T155" t="s">
        <v>16</v>
      </c>
      <c r="U155" s="25">
        <v>0</v>
      </c>
      <c r="V155" s="25">
        <v>10</v>
      </c>
      <c r="W155" s="25">
        <v>5</v>
      </c>
      <c r="X155" s="25">
        <v>10</v>
      </c>
      <c r="Y155">
        <v>0.88629531800000005</v>
      </c>
      <c r="Z155" t="s">
        <v>1100</v>
      </c>
      <c r="AA155" t="s">
        <v>622</v>
      </c>
      <c r="AB155">
        <v>4</v>
      </c>
      <c r="AC155">
        <v>77</v>
      </c>
      <c r="AD155">
        <v>60</v>
      </c>
      <c r="AE155" t="s">
        <v>519</v>
      </c>
      <c r="AF155" t="s">
        <v>521</v>
      </c>
      <c r="AG155" s="30">
        <v>0.86878491216400622</v>
      </c>
      <c r="AH155" s="30">
        <v>0.69299999999999995</v>
      </c>
      <c r="AI155" s="30">
        <v>0.60206794412965625</v>
      </c>
      <c r="AJ155">
        <v>0.26671696803434997</v>
      </c>
      <c r="AK155">
        <v>0.69299999999999995</v>
      </c>
      <c r="AL155">
        <v>0.60206794412965625</v>
      </c>
      <c r="AM155">
        <v>0.26671696803434997</v>
      </c>
      <c r="AN155">
        <v>78.640361941396364</v>
      </c>
      <c r="AO155">
        <v>34.837793818194356</v>
      </c>
      <c r="AP155">
        <v>6.9698584594484997E-2</v>
      </c>
      <c r="AQ155">
        <v>3.0876573550515006E-2</v>
      </c>
      <c r="AR155">
        <v>0.1157255597266041</v>
      </c>
    </row>
    <row r="156" spans="1:44" customFormat="1" hidden="1" x14ac:dyDescent="0.5">
      <c r="A156" s="268">
        <v>794</v>
      </c>
      <c r="B156" s="268">
        <v>56</v>
      </c>
      <c r="C156" s="269" t="s">
        <v>20</v>
      </c>
      <c r="D156" s="270">
        <v>54.627960999999999</v>
      </c>
      <c r="E156" s="271">
        <v>19.863931000000001</v>
      </c>
      <c r="F156">
        <v>0</v>
      </c>
      <c r="G156">
        <f>F156*1609.344</f>
        <v>0</v>
      </c>
      <c r="H156" s="272" t="s">
        <v>614</v>
      </c>
      <c r="I156">
        <v>3</v>
      </c>
      <c r="J156">
        <v>116.273688172048</v>
      </c>
      <c r="K156" s="26">
        <v>2015</v>
      </c>
      <c r="L156" t="s">
        <v>40</v>
      </c>
      <c r="M156" s="272">
        <v>174</v>
      </c>
      <c r="N156">
        <v>20.53530245</v>
      </c>
      <c r="P156" t="s">
        <v>23</v>
      </c>
      <c r="Q156">
        <v>90</v>
      </c>
      <c r="R156" t="s">
        <v>13</v>
      </c>
      <c r="S156" t="s">
        <v>16</v>
      </c>
      <c r="T156" t="s">
        <v>14</v>
      </c>
      <c r="U156" s="273">
        <v>0</v>
      </c>
      <c r="V156" s="273">
        <v>10</v>
      </c>
      <c r="W156" s="25">
        <v>5</v>
      </c>
      <c r="X156" s="25">
        <v>10</v>
      </c>
      <c r="Y156" s="244">
        <v>0.54424737099999998</v>
      </c>
      <c r="Z156" t="s">
        <v>754</v>
      </c>
      <c r="AA156" t="s">
        <v>620</v>
      </c>
      <c r="AB156">
        <v>1</v>
      </c>
      <c r="AC156">
        <v>48.4</v>
      </c>
      <c r="AF156" t="s">
        <v>532</v>
      </c>
      <c r="AG156" s="272" t="s">
        <v>1964</v>
      </c>
      <c r="AH156" s="272" t="s">
        <v>1965</v>
      </c>
      <c r="AI156" s="272" t="s">
        <v>1966</v>
      </c>
      <c r="AJ156" s="268" t="s">
        <v>3114</v>
      </c>
      <c r="AK156" s="268">
        <v>0.93179999999999996</v>
      </c>
      <c r="AL156" s="268">
        <v>45.099119999999999</v>
      </c>
      <c r="AM156" s="268">
        <v>3.3008799999999994</v>
      </c>
      <c r="AN156" s="268">
        <v>1029.0267438098267</v>
      </c>
      <c r="AO156" s="268">
        <v>75.316187945728885</v>
      </c>
      <c r="AP156" s="268">
        <v>0.56004510000718866</v>
      </c>
      <c r="AQ156" s="268">
        <v>4.0990637283204838E-2</v>
      </c>
      <c r="AR156" s="268">
        <v>0.13301817039062197</v>
      </c>
    </row>
    <row r="157" spans="1:44" customFormat="1" hidden="1" x14ac:dyDescent="0.5">
      <c r="A157" s="268">
        <v>795</v>
      </c>
      <c r="B157" s="268">
        <v>56</v>
      </c>
      <c r="C157" s="269" t="s">
        <v>20</v>
      </c>
      <c r="D157" s="270">
        <v>54.62753</v>
      </c>
      <c r="E157" s="271">
        <v>19.857343</v>
      </c>
      <c r="F157">
        <v>0.39</v>
      </c>
      <c r="G157">
        <f>F157*1609.344</f>
        <v>627.64416000000006</v>
      </c>
      <c r="H157" s="272" t="s">
        <v>614</v>
      </c>
      <c r="I157">
        <v>5</v>
      </c>
      <c r="J157">
        <v>116.596401319504</v>
      </c>
      <c r="K157" s="26">
        <v>2015</v>
      </c>
      <c r="L157" t="s">
        <v>40</v>
      </c>
      <c r="M157" s="272">
        <v>174</v>
      </c>
      <c r="N157">
        <v>20.53530245</v>
      </c>
      <c r="P157" t="s">
        <v>23</v>
      </c>
      <c r="Q157">
        <v>90</v>
      </c>
      <c r="R157" t="s">
        <v>13</v>
      </c>
      <c r="S157" t="s">
        <v>16</v>
      </c>
      <c r="T157" t="s">
        <v>14</v>
      </c>
      <c r="U157" s="273">
        <v>0</v>
      </c>
      <c r="V157" s="273">
        <v>10</v>
      </c>
      <c r="W157" s="25">
        <v>5</v>
      </c>
      <c r="X157" s="25">
        <v>10</v>
      </c>
      <c r="Y157" s="244">
        <v>0.54424737099999998</v>
      </c>
      <c r="Z157" t="s">
        <v>754</v>
      </c>
      <c r="AA157" t="s">
        <v>620</v>
      </c>
      <c r="AB157">
        <v>1</v>
      </c>
      <c r="AC157">
        <v>40.4</v>
      </c>
      <c r="AF157" t="s">
        <v>532</v>
      </c>
      <c r="AG157" s="272" t="s">
        <v>1967</v>
      </c>
      <c r="AH157" s="272" t="s">
        <v>1968</v>
      </c>
      <c r="AI157" s="272" t="s">
        <v>1969</v>
      </c>
      <c r="AJ157" s="268" t="s">
        <v>3115</v>
      </c>
      <c r="AK157" s="268">
        <v>0.52969999999999995</v>
      </c>
      <c r="AL157" s="268">
        <v>21.399879999999996</v>
      </c>
      <c r="AM157" s="268">
        <v>19.000120000000003</v>
      </c>
      <c r="AN157" s="268">
        <v>488.28112021522878</v>
      </c>
      <c r="AO157" s="268">
        <v>433.52578976254892</v>
      </c>
      <c r="AP157" s="268">
        <v>0.26574571598607322</v>
      </c>
      <c r="AQ157" s="268">
        <v>0.23594527133896595</v>
      </c>
      <c r="AR157" s="268">
        <v>0.13275189523153463</v>
      </c>
    </row>
    <row r="158" spans="1:44" hidden="1" x14ac:dyDescent="0.5">
      <c r="A158" s="31">
        <v>157</v>
      </c>
      <c r="B158" s="31">
        <v>10</v>
      </c>
      <c r="C158" s="225" t="s">
        <v>43</v>
      </c>
      <c r="D158" s="44">
        <v>79.067499999999995</v>
      </c>
      <c r="E158" s="45">
        <v>3.4822222200000001</v>
      </c>
      <c r="F158">
        <v>98.73</v>
      </c>
      <c r="G158">
        <f>F158*1609.344</f>
        <v>158890.53312000001</v>
      </c>
      <c r="H158" s="32" t="s">
        <v>613</v>
      </c>
      <c r="I158">
        <v>4092</v>
      </c>
      <c r="J158">
        <v>0</v>
      </c>
      <c r="K158" s="26">
        <v>2015</v>
      </c>
      <c r="L158" t="s">
        <v>30</v>
      </c>
      <c r="M158" s="32">
        <v>11</v>
      </c>
      <c r="N158">
        <v>1.1060976250000001</v>
      </c>
      <c r="P158" t="s">
        <v>23</v>
      </c>
      <c r="Q158">
        <v>95.5</v>
      </c>
      <c r="R158" t="s">
        <v>13</v>
      </c>
      <c r="S158" t="s">
        <v>14</v>
      </c>
      <c r="T158" t="s">
        <v>16</v>
      </c>
      <c r="U158" s="34">
        <v>0</v>
      </c>
      <c r="V158" s="34">
        <v>5</v>
      </c>
      <c r="W158" s="25">
        <v>2.5</v>
      </c>
      <c r="X158" s="25">
        <v>5</v>
      </c>
      <c r="Y158">
        <v>0.75283199000000001</v>
      </c>
      <c r="Z158" t="s">
        <v>1101</v>
      </c>
      <c r="AA158" t="s">
        <v>622</v>
      </c>
      <c r="AB158">
        <v>1</v>
      </c>
      <c r="AC158">
        <v>3855.99</v>
      </c>
      <c r="AF158" t="s">
        <v>532</v>
      </c>
      <c r="AG158" s="32" t="s">
        <v>1222</v>
      </c>
      <c r="AH158" s="32" t="s">
        <v>671</v>
      </c>
      <c r="AI158" s="32" t="s">
        <v>1129</v>
      </c>
      <c r="AJ158" s="31" t="s">
        <v>1130</v>
      </c>
      <c r="AK158" s="31">
        <v>0.59524549999999998</v>
      </c>
      <c r="AL158" s="31">
        <v>2295.2606955449996</v>
      </c>
      <c r="AM158" s="31">
        <v>1560.7293044550001</v>
      </c>
      <c r="AN158" s="31">
        <v>2658.4108943436358</v>
      </c>
      <c r="AO158" s="31">
        <v>1807.6638501838509</v>
      </c>
      <c r="AP158" s="31">
        <v>2.0013367638263992</v>
      </c>
      <c r="AQ158" s="31">
        <v>1.3608671735849704</v>
      </c>
      <c r="AR158" s="31">
        <v>2.211593424366865E-3</v>
      </c>
    </row>
    <row r="159" spans="1:44" hidden="1" x14ac:dyDescent="0.5">
      <c r="A159" s="31">
        <v>158</v>
      </c>
      <c r="B159" s="31">
        <v>10</v>
      </c>
      <c r="C159" s="225" t="s">
        <v>43</v>
      </c>
      <c r="D159" s="44">
        <v>79.0738889</v>
      </c>
      <c r="E159" s="45">
        <v>3.33611111</v>
      </c>
      <c r="F159">
        <v>101.51</v>
      </c>
      <c r="G159">
        <f>F159*1609.344</f>
        <v>163364.50944000002</v>
      </c>
      <c r="H159" s="32" t="s">
        <v>613</v>
      </c>
      <c r="I159">
        <v>5108</v>
      </c>
      <c r="J159">
        <v>0</v>
      </c>
      <c r="K159" s="26">
        <v>2015</v>
      </c>
      <c r="L159" t="s">
        <v>30</v>
      </c>
      <c r="M159" s="32">
        <v>11</v>
      </c>
      <c r="N159">
        <v>1.1060976250000001</v>
      </c>
      <c r="P159" t="s">
        <v>23</v>
      </c>
      <c r="Q159">
        <v>95.5</v>
      </c>
      <c r="R159" t="s">
        <v>13</v>
      </c>
      <c r="S159" t="s">
        <v>14</v>
      </c>
      <c r="T159" t="s">
        <v>16</v>
      </c>
      <c r="U159" s="34">
        <v>0</v>
      </c>
      <c r="V159" s="34">
        <v>5</v>
      </c>
      <c r="W159" s="25">
        <v>2.5</v>
      </c>
      <c r="X159" s="25">
        <v>5</v>
      </c>
      <c r="Y159">
        <v>0.75283199000000001</v>
      </c>
      <c r="Z159" t="s">
        <v>1101</v>
      </c>
      <c r="AA159" t="s">
        <v>622</v>
      </c>
      <c r="AB159">
        <v>1</v>
      </c>
      <c r="AC159">
        <v>5390.67</v>
      </c>
      <c r="AF159" t="s">
        <v>532</v>
      </c>
      <c r="AG159" s="32" t="s">
        <v>1223</v>
      </c>
      <c r="AH159" s="32" t="s">
        <v>671</v>
      </c>
      <c r="AI159" s="32" t="s">
        <v>1129</v>
      </c>
      <c r="AJ159" s="31" t="s">
        <v>1130</v>
      </c>
      <c r="AK159" s="31">
        <v>0.59524549999999998</v>
      </c>
      <c r="AL159" s="31">
        <v>3208.7720594849998</v>
      </c>
      <c r="AM159" s="31">
        <v>2181.8979405150003</v>
      </c>
      <c r="AN159" s="31">
        <v>3716.4556588091282</v>
      </c>
      <c r="AO159" s="31">
        <v>2527.1121780063177</v>
      </c>
      <c r="AP159" s="31">
        <v>2.7978667093680367</v>
      </c>
      <c r="AQ159" s="31">
        <v>1.9024908899217303</v>
      </c>
      <c r="AR159" s="31">
        <v>7.9914092132675561E-4</v>
      </c>
    </row>
    <row r="160" spans="1:44" hidden="1" x14ac:dyDescent="0.5">
      <c r="A160" s="31">
        <v>159</v>
      </c>
      <c r="B160" s="31">
        <v>10</v>
      </c>
      <c r="C160" s="225" t="s">
        <v>43</v>
      </c>
      <c r="D160" s="44">
        <v>79.133888900000002</v>
      </c>
      <c r="E160" s="45">
        <v>2.8494444400000001</v>
      </c>
      <c r="F160">
        <v>105.98</v>
      </c>
      <c r="G160">
        <f>F160*1609.344</f>
        <v>170558.27712000001</v>
      </c>
      <c r="H160" s="32" t="s">
        <v>613</v>
      </c>
      <c r="I160">
        <v>5570</v>
      </c>
      <c r="J160">
        <v>0</v>
      </c>
      <c r="K160" s="26">
        <v>2015</v>
      </c>
      <c r="L160" t="s">
        <v>30</v>
      </c>
      <c r="M160" s="32">
        <v>11</v>
      </c>
      <c r="N160">
        <v>1.1060976250000001</v>
      </c>
      <c r="P160" t="s">
        <v>23</v>
      </c>
      <c r="Q160">
        <v>95.5</v>
      </c>
      <c r="R160" t="s">
        <v>13</v>
      </c>
      <c r="S160" t="s">
        <v>14</v>
      </c>
      <c r="T160" t="s">
        <v>16</v>
      </c>
      <c r="U160" s="34">
        <v>0</v>
      </c>
      <c r="V160" s="34">
        <v>5</v>
      </c>
      <c r="W160" s="25">
        <v>2.5</v>
      </c>
      <c r="X160" s="25">
        <v>5</v>
      </c>
      <c r="Y160">
        <v>0.75283199000000001</v>
      </c>
      <c r="Z160" t="s">
        <v>1101</v>
      </c>
      <c r="AA160" t="s">
        <v>622</v>
      </c>
      <c r="AB160">
        <v>1</v>
      </c>
      <c r="AC160">
        <v>41.76</v>
      </c>
      <c r="AF160" t="s">
        <v>532</v>
      </c>
      <c r="AG160" s="32" t="s">
        <v>1224</v>
      </c>
      <c r="AH160" s="32" t="s">
        <v>671</v>
      </c>
      <c r="AI160" s="32" t="s">
        <v>1129</v>
      </c>
      <c r="AJ160" s="31" t="s">
        <v>1130</v>
      </c>
      <c r="AK160" s="31">
        <v>0.59524549999999998</v>
      </c>
      <c r="AL160" s="31">
        <v>24.857452079999998</v>
      </c>
      <c r="AM160" s="31">
        <v>16.90254792</v>
      </c>
      <c r="AN160" s="31">
        <v>28.790333726952156</v>
      </c>
      <c r="AO160" s="31">
        <v>19.576825246869834</v>
      </c>
      <c r="AP160" s="31">
        <v>2.1674284232425508E-2</v>
      </c>
      <c r="AQ160" s="31">
        <v>1.4738060308483257E-2</v>
      </c>
      <c r="AR160" s="31">
        <v>5.0303468343897303E-4</v>
      </c>
    </row>
    <row r="161" spans="1:44" hidden="1" x14ac:dyDescent="0.5">
      <c r="A161" s="31">
        <v>160</v>
      </c>
      <c r="B161" s="31">
        <v>10</v>
      </c>
      <c r="C161" s="225" t="s">
        <v>43</v>
      </c>
      <c r="D161" s="35">
        <v>78.610555599999998</v>
      </c>
      <c r="E161" s="33">
        <v>5.06861111</v>
      </c>
      <c r="F161">
        <v>74.319999999999993</v>
      </c>
      <c r="G161">
        <f>F161*1609.344</f>
        <v>119606.44607999999</v>
      </c>
      <c r="H161" s="32" t="s">
        <v>612</v>
      </c>
      <c r="I161">
        <v>2342</v>
      </c>
      <c r="J161">
        <v>0</v>
      </c>
      <c r="K161" s="26">
        <v>2015</v>
      </c>
      <c r="L161" t="s">
        <v>30</v>
      </c>
      <c r="M161" s="32">
        <v>11</v>
      </c>
      <c r="N161">
        <v>1.1060976250000001</v>
      </c>
      <c r="P161" t="s">
        <v>23</v>
      </c>
      <c r="Q161">
        <v>95.5</v>
      </c>
      <c r="R161" t="s">
        <v>13</v>
      </c>
      <c r="S161" t="s">
        <v>14</v>
      </c>
      <c r="T161" t="s">
        <v>16</v>
      </c>
      <c r="U161" s="34">
        <v>0</v>
      </c>
      <c r="V161" s="34">
        <v>5</v>
      </c>
      <c r="W161" s="25">
        <v>2.5</v>
      </c>
      <c r="X161" s="25">
        <v>5</v>
      </c>
      <c r="Y161">
        <v>0.93194745000000001</v>
      </c>
      <c r="Z161" t="s">
        <v>1101</v>
      </c>
      <c r="AA161" t="s">
        <v>622</v>
      </c>
      <c r="AB161">
        <v>1</v>
      </c>
      <c r="AC161">
        <v>4520.22</v>
      </c>
      <c r="AF161" t="s">
        <v>532</v>
      </c>
      <c r="AG161" s="32" t="s">
        <v>1225</v>
      </c>
      <c r="AH161" s="32" t="s">
        <v>671</v>
      </c>
      <c r="AI161" s="32" t="s">
        <v>1129</v>
      </c>
      <c r="AJ161" s="31" t="s">
        <v>1130</v>
      </c>
      <c r="AK161" s="31">
        <v>0.59524549999999998</v>
      </c>
      <c r="AL161" s="31">
        <v>2690.6406140100003</v>
      </c>
      <c r="AM161" s="31">
        <v>1829.57938599</v>
      </c>
      <c r="AN161" s="31">
        <v>3116.3467988324642</v>
      </c>
      <c r="AO161" s="31">
        <v>2119.0506948612538</v>
      </c>
      <c r="AP161" s="31">
        <v>2.9042714524875781</v>
      </c>
      <c r="AQ161" s="31">
        <v>1.9748438914966737</v>
      </c>
      <c r="AR161" s="31">
        <v>1.2769247065926335E-2</v>
      </c>
    </row>
    <row r="162" spans="1:44" hidden="1" x14ac:dyDescent="0.5">
      <c r="A162" s="31">
        <v>161</v>
      </c>
      <c r="B162" s="31">
        <v>10</v>
      </c>
      <c r="C162" s="225" t="s">
        <v>43</v>
      </c>
      <c r="D162" s="35">
        <v>79.091944400000003</v>
      </c>
      <c r="E162" s="33">
        <v>4.1497222200000001</v>
      </c>
      <c r="F162">
        <v>88.46</v>
      </c>
      <c r="G162">
        <f>F162*1609.344</f>
        <v>142362.57024</v>
      </c>
      <c r="H162" s="32" t="s">
        <v>612</v>
      </c>
      <c r="I162">
        <v>2460</v>
      </c>
      <c r="J162">
        <v>0</v>
      </c>
      <c r="K162" s="26">
        <v>2015</v>
      </c>
      <c r="L162" t="s">
        <v>30</v>
      </c>
      <c r="M162" s="32">
        <v>11</v>
      </c>
      <c r="N162">
        <v>1.1060976250000001</v>
      </c>
      <c r="P162" t="s">
        <v>23</v>
      </c>
      <c r="Q162">
        <v>95.5</v>
      </c>
      <c r="R162" t="s">
        <v>13</v>
      </c>
      <c r="S162" t="s">
        <v>14</v>
      </c>
      <c r="T162" t="s">
        <v>16</v>
      </c>
      <c r="U162" s="34">
        <v>0</v>
      </c>
      <c r="V162" s="34">
        <v>5</v>
      </c>
      <c r="W162" s="25">
        <v>2.5</v>
      </c>
      <c r="X162" s="25">
        <v>5</v>
      </c>
      <c r="Y162">
        <v>1.3778179049999999</v>
      </c>
      <c r="Z162" t="s">
        <v>747</v>
      </c>
      <c r="AA162" t="s">
        <v>620</v>
      </c>
      <c r="AB162">
        <v>1</v>
      </c>
      <c r="AC162">
        <v>4049.87</v>
      </c>
      <c r="AF162" t="s">
        <v>532</v>
      </c>
      <c r="AG162" s="32" t="s">
        <v>1226</v>
      </c>
      <c r="AH162" s="32" t="s">
        <v>671</v>
      </c>
      <c r="AI162" s="32" t="s">
        <v>1129</v>
      </c>
      <c r="AJ162" s="31" t="s">
        <v>1130</v>
      </c>
      <c r="AK162" s="31">
        <v>0.59524549999999998</v>
      </c>
      <c r="AL162" s="31">
        <v>2410.6668930850001</v>
      </c>
      <c r="AM162" s="31">
        <v>1639.2031069149998</v>
      </c>
      <c r="AN162" s="31">
        <v>2792.0763613690551</v>
      </c>
      <c r="AO162" s="31">
        <v>1898.5535742945576</v>
      </c>
      <c r="AP162" s="31">
        <v>3.8469728028215338</v>
      </c>
      <c r="AQ162" s="31">
        <v>2.6158611082647889</v>
      </c>
      <c r="AR162" s="31">
        <v>1.1345434425173016E-2</v>
      </c>
    </row>
    <row r="163" spans="1:44" hidden="1" x14ac:dyDescent="0.5">
      <c r="A163" s="31">
        <v>162</v>
      </c>
      <c r="B163" s="31">
        <v>10</v>
      </c>
      <c r="C163" s="225" t="s">
        <v>43</v>
      </c>
      <c r="D163" s="44">
        <v>79.941111100000001</v>
      </c>
      <c r="E163" s="45">
        <v>3.2</v>
      </c>
      <c r="F163">
        <v>95.92</v>
      </c>
      <c r="G163">
        <f>F163*1609.344</f>
        <v>154368.27648</v>
      </c>
      <c r="H163" s="32" t="s">
        <v>612</v>
      </c>
      <c r="I163">
        <v>2549</v>
      </c>
      <c r="J163">
        <v>0</v>
      </c>
      <c r="K163" s="26">
        <v>2015</v>
      </c>
      <c r="L163" t="s">
        <v>30</v>
      </c>
      <c r="M163" s="32">
        <v>11</v>
      </c>
      <c r="N163">
        <v>1.1060976250000001</v>
      </c>
      <c r="P163" t="s">
        <v>23</v>
      </c>
      <c r="Q163">
        <v>95.5</v>
      </c>
      <c r="R163" t="s">
        <v>13</v>
      </c>
      <c r="S163" t="s">
        <v>14</v>
      </c>
      <c r="T163" t="s">
        <v>16</v>
      </c>
      <c r="U163" s="34">
        <v>0</v>
      </c>
      <c r="V163" s="34">
        <v>5</v>
      </c>
      <c r="W163" s="25">
        <v>2.5</v>
      </c>
      <c r="X163" s="25">
        <v>5</v>
      </c>
      <c r="Y163">
        <v>0.81149232000000004</v>
      </c>
      <c r="Z163" t="s">
        <v>1101</v>
      </c>
      <c r="AA163" t="s">
        <v>622</v>
      </c>
      <c r="AB163">
        <v>1</v>
      </c>
      <c r="AC163">
        <v>6348.27</v>
      </c>
      <c r="AF163" t="s">
        <v>532</v>
      </c>
      <c r="AG163" s="32" t="s">
        <v>1227</v>
      </c>
      <c r="AH163" s="32" t="s">
        <v>671</v>
      </c>
      <c r="AI163" s="32" t="s">
        <v>1129</v>
      </c>
      <c r="AJ163" s="31" t="s">
        <v>1130</v>
      </c>
      <c r="AK163" s="31">
        <v>0.59524549999999998</v>
      </c>
      <c r="AL163" s="31">
        <v>3778.779150285</v>
      </c>
      <c r="AM163" s="31">
        <v>2569.4908497150004</v>
      </c>
      <c r="AN163" s="31">
        <v>4376.6477942719966</v>
      </c>
      <c r="AO163" s="31">
        <v>2976.0290328052292</v>
      </c>
      <c r="AP163" s="31">
        <v>3.5516160723966657</v>
      </c>
      <c r="AQ163" s="31">
        <v>2.4150247042184718</v>
      </c>
      <c r="AR163" s="31">
        <v>1.0377564706861639E-2</v>
      </c>
    </row>
    <row r="164" spans="1:44" hidden="1" x14ac:dyDescent="0.5">
      <c r="A164" s="31">
        <v>163</v>
      </c>
      <c r="B164" s="31">
        <v>10</v>
      </c>
      <c r="C164" s="225" t="s">
        <v>43</v>
      </c>
      <c r="D164" s="44">
        <v>79.606944400000003</v>
      </c>
      <c r="E164" s="45">
        <v>5.1744444400000003</v>
      </c>
      <c r="F164">
        <v>69.010000000000005</v>
      </c>
      <c r="G164">
        <f>F164*1609.344</f>
        <v>111060.82944000002</v>
      </c>
      <c r="H164" s="32" t="s">
        <v>612</v>
      </c>
      <c r="I164">
        <v>2783</v>
      </c>
      <c r="J164">
        <v>0</v>
      </c>
      <c r="K164" s="26">
        <v>2015</v>
      </c>
      <c r="L164" t="s">
        <v>30</v>
      </c>
      <c r="M164" s="32">
        <v>11</v>
      </c>
      <c r="N164">
        <v>1.1060976250000001</v>
      </c>
      <c r="P164" t="s">
        <v>23</v>
      </c>
      <c r="Q164">
        <v>95.5</v>
      </c>
      <c r="R164" t="s">
        <v>13</v>
      </c>
      <c r="S164" t="s">
        <v>14</v>
      </c>
      <c r="T164" t="s">
        <v>16</v>
      </c>
      <c r="U164" s="34">
        <v>0</v>
      </c>
      <c r="V164" s="34">
        <v>5</v>
      </c>
      <c r="W164" s="25">
        <v>2.5</v>
      </c>
      <c r="X164" s="25">
        <v>5</v>
      </c>
      <c r="Y164">
        <v>1.0224703479999999</v>
      </c>
      <c r="Z164" t="s">
        <v>1099</v>
      </c>
      <c r="AA164" t="s">
        <v>622</v>
      </c>
      <c r="AB164">
        <v>1</v>
      </c>
      <c r="AC164">
        <v>6594.56</v>
      </c>
      <c r="AF164" t="s">
        <v>532</v>
      </c>
      <c r="AG164" s="32" t="s">
        <v>1228</v>
      </c>
      <c r="AH164" s="32" t="s">
        <v>671</v>
      </c>
      <c r="AI164" s="32" t="s">
        <v>1129</v>
      </c>
      <c r="AJ164" s="31" t="s">
        <v>1130</v>
      </c>
      <c r="AK164" s="31">
        <v>0.59524549999999998</v>
      </c>
      <c r="AL164" s="31">
        <v>3925.38216448</v>
      </c>
      <c r="AM164" s="31">
        <v>2669.1778355200004</v>
      </c>
      <c r="AN164" s="31">
        <v>4546.4459574331813</v>
      </c>
      <c r="AO164" s="31">
        <v>3091.4882351532074</v>
      </c>
      <c r="AP164" s="31">
        <v>4.6486061802598977</v>
      </c>
      <c r="AQ164" s="31">
        <v>3.1609550516350056</v>
      </c>
      <c r="AR164" s="31">
        <v>8.2087564397730975E-3</v>
      </c>
    </row>
    <row r="165" spans="1:44" hidden="1" x14ac:dyDescent="0.5">
      <c r="A165" s="31">
        <v>164</v>
      </c>
      <c r="B165" s="31">
        <v>10</v>
      </c>
      <c r="C165" s="225" t="s">
        <v>43</v>
      </c>
      <c r="D165" s="35">
        <v>79.072500000000005</v>
      </c>
      <c r="E165" s="33">
        <v>3.6627777799999999</v>
      </c>
      <c r="F165">
        <v>95.58</v>
      </c>
      <c r="G165">
        <f>F165*1609.344</f>
        <v>153821.09951999999</v>
      </c>
      <c r="H165" s="32" t="s">
        <v>612</v>
      </c>
      <c r="I165">
        <v>3127</v>
      </c>
      <c r="J165">
        <v>0</v>
      </c>
      <c r="K165" s="26">
        <v>2015</v>
      </c>
      <c r="L165" t="s">
        <v>30</v>
      </c>
      <c r="M165" s="32">
        <v>11</v>
      </c>
      <c r="N165">
        <v>1.1060976250000001</v>
      </c>
      <c r="P165" t="s">
        <v>23</v>
      </c>
      <c r="Q165">
        <v>95.5</v>
      </c>
      <c r="R165" t="s">
        <v>13</v>
      </c>
      <c r="S165" t="s">
        <v>14</v>
      </c>
      <c r="T165" t="s">
        <v>16</v>
      </c>
      <c r="U165" s="34">
        <v>0</v>
      </c>
      <c r="V165" s="34">
        <v>5</v>
      </c>
      <c r="W165" s="25">
        <v>2.5</v>
      </c>
      <c r="X165" s="25">
        <v>5</v>
      </c>
      <c r="Y165">
        <v>1.3778179049999999</v>
      </c>
      <c r="Z165" t="s">
        <v>747</v>
      </c>
      <c r="AA165" t="s">
        <v>620</v>
      </c>
      <c r="AB165">
        <v>1</v>
      </c>
      <c r="AC165">
        <v>5568.02</v>
      </c>
      <c r="AF165" t="s">
        <v>532</v>
      </c>
      <c r="AG165" s="32" t="s">
        <v>1229</v>
      </c>
      <c r="AH165" s="32" t="s">
        <v>671</v>
      </c>
      <c r="AI165" s="32" t="s">
        <v>1129</v>
      </c>
      <c r="AJ165" s="31" t="s">
        <v>1130</v>
      </c>
      <c r="AK165" s="31">
        <v>0.59524549999999998</v>
      </c>
      <c r="AL165" s="31">
        <v>3314.3388489100003</v>
      </c>
      <c r="AM165" s="31">
        <v>2253.6811510900002</v>
      </c>
      <c r="AN165" s="31">
        <v>3838.7249520676291</v>
      </c>
      <c r="AO165" s="31">
        <v>2610.2527421234718</v>
      </c>
      <c r="AP165" s="31">
        <v>5.2890639713290462</v>
      </c>
      <c r="AQ165" s="31">
        <v>3.5964529646730665</v>
      </c>
      <c r="AR165" s="31">
        <v>5.8156209182878985E-3</v>
      </c>
    </row>
    <row r="166" spans="1:44" hidden="1" x14ac:dyDescent="0.5">
      <c r="A166" s="31">
        <v>165</v>
      </c>
      <c r="B166" s="31">
        <v>10</v>
      </c>
      <c r="C166" s="225" t="s">
        <v>43</v>
      </c>
      <c r="D166" s="44">
        <v>79.066944399999997</v>
      </c>
      <c r="E166" s="45">
        <v>3.5938888900000001</v>
      </c>
      <c r="F166">
        <v>96.27</v>
      </c>
      <c r="G166">
        <f>F166*1609.344</f>
        <v>154931.54688000001</v>
      </c>
      <c r="H166" s="32" t="s">
        <v>612</v>
      </c>
      <c r="I166">
        <v>3430</v>
      </c>
      <c r="J166">
        <v>0</v>
      </c>
      <c r="K166" s="26">
        <v>2015</v>
      </c>
      <c r="L166" t="s">
        <v>30</v>
      </c>
      <c r="M166" s="32">
        <v>11</v>
      </c>
      <c r="N166">
        <v>1.1060976250000001</v>
      </c>
      <c r="P166" t="s">
        <v>23</v>
      </c>
      <c r="Q166">
        <v>95.5</v>
      </c>
      <c r="R166" t="s">
        <v>13</v>
      </c>
      <c r="S166" t="s">
        <v>14</v>
      </c>
      <c r="T166" t="s">
        <v>16</v>
      </c>
      <c r="U166" s="34">
        <v>0</v>
      </c>
      <c r="V166" s="34">
        <v>5</v>
      </c>
      <c r="W166" s="25">
        <v>2.5</v>
      </c>
      <c r="X166" s="25">
        <v>5</v>
      </c>
      <c r="Y166">
        <v>1.3778179049999999</v>
      </c>
      <c r="Z166" t="s">
        <v>747</v>
      </c>
      <c r="AA166" t="s">
        <v>620</v>
      </c>
      <c r="AB166">
        <v>1</v>
      </c>
      <c r="AC166">
        <v>2834.03</v>
      </c>
      <c r="AF166" t="s">
        <v>532</v>
      </c>
      <c r="AG166" s="32" t="s">
        <v>1230</v>
      </c>
      <c r="AH166" s="32" t="s">
        <v>671</v>
      </c>
      <c r="AI166" s="32" t="s">
        <v>1129</v>
      </c>
      <c r="AJ166" s="31" t="s">
        <v>1130</v>
      </c>
      <c r="AK166" s="31">
        <v>0.59524549999999998</v>
      </c>
      <c r="AL166" s="31">
        <v>1686.9436043650001</v>
      </c>
      <c r="AM166" s="31">
        <v>1147.0863956350001</v>
      </c>
      <c r="AN166" s="31">
        <v>1953.847449525724</v>
      </c>
      <c r="AO166" s="31">
        <v>1328.5754323368419</v>
      </c>
      <c r="AP166" s="31">
        <v>2.692045999595126</v>
      </c>
      <c r="AQ166" s="31">
        <v>1.8305350188168168</v>
      </c>
      <c r="AR166" s="31">
        <v>4.2929391238758973E-3</v>
      </c>
    </row>
    <row r="167" spans="1:44" hidden="1" x14ac:dyDescent="0.5">
      <c r="A167" s="31">
        <v>166</v>
      </c>
      <c r="B167" s="31">
        <v>11</v>
      </c>
      <c r="C167" s="225" t="s">
        <v>43</v>
      </c>
      <c r="D167" s="35">
        <v>54.435099999999998</v>
      </c>
      <c r="E167" s="33">
        <v>-11.079000000000001</v>
      </c>
      <c r="F167">
        <v>41.67</v>
      </c>
      <c r="G167">
        <f>F167*1609.344</f>
        <v>67061.364480000004</v>
      </c>
      <c r="H167" s="32" t="s">
        <v>611</v>
      </c>
      <c r="I167" s="7">
        <v>432</v>
      </c>
      <c r="J167">
        <v>11.7462607310368</v>
      </c>
      <c r="K167" s="26">
        <v>2014</v>
      </c>
      <c r="L167" t="s">
        <v>30</v>
      </c>
      <c r="M167" s="32">
        <v>250</v>
      </c>
      <c r="N167">
        <v>30.131484459999999</v>
      </c>
      <c r="O167">
        <v>5</v>
      </c>
      <c r="P167" t="s">
        <v>52</v>
      </c>
      <c r="Q167">
        <v>89</v>
      </c>
      <c r="R167" t="s">
        <v>13</v>
      </c>
      <c r="S167" t="s">
        <v>14</v>
      </c>
      <c r="T167" t="s">
        <v>14</v>
      </c>
      <c r="U167" s="34">
        <v>0</v>
      </c>
      <c r="V167" s="34">
        <v>0.5</v>
      </c>
      <c r="W167" s="25">
        <v>0.25</v>
      </c>
      <c r="X167" s="25">
        <v>0.5</v>
      </c>
      <c r="Y167">
        <v>1.5753479850000001</v>
      </c>
      <c r="Z167" t="s">
        <v>1102</v>
      </c>
      <c r="AA167" t="s">
        <v>622</v>
      </c>
      <c r="AB167">
        <v>1</v>
      </c>
      <c r="AC167">
        <v>0</v>
      </c>
      <c r="AF167" t="s">
        <v>667</v>
      </c>
      <c r="AG167" s="32">
        <v>0</v>
      </c>
      <c r="AH167" s="32" t="s">
        <v>671</v>
      </c>
      <c r="AI167" s="32" t="s">
        <v>1129</v>
      </c>
      <c r="AJ167" s="31" t="s">
        <v>1130</v>
      </c>
      <c r="AK167" s="31">
        <v>0.59524549999999998</v>
      </c>
      <c r="AL167" s="31">
        <v>0</v>
      </c>
      <c r="AM167" s="31">
        <v>0</v>
      </c>
      <c r="AN167" s="31">
        <v>0</v>
      </c>
      <c r="AO167" s="31">
        <v>0</v>
      </c>
      <c r="AP167" s="31">
        <v>0</v>
      </c>
      <c r="AQ167" s="31">
        <v>0</v>
      </c>
      <c r="AR167" s="31">
        <v>8.6545499736547821E-2</v>
      </c>
    </row>
    <row r="168" spans="1:44" hidden="1" x14ac:dyDescent="0.5">
      <c r="A168" s="31">
        <v>167</v>
      </c>
      <c r="B168" s="31">
        <v>11</v>
      </c>
      <c r="C168" s="225" t="s">
        <v>43</v>
      </c>
      <c r="D168" s="35">
        <v>54.435099999999998</v>
      </c>
      <c r="E168" s="33">
        <v>-11.079000000000001</v>
      </c>
      <c r="F168">
        <v>41.67</v>
      </c>
      <c r="G168">
        <f>F168*1609.344</f>
        <v>67061.364480000004</v>
      </c>
      <c r="H168" s="32" t="s">
        <v>611</v>
      </c>
      <c r="I168" s="7">
        <v>432</v>
      </c>
      <c r="J168">
        <v>11.7462607310368</v>
      </c>
      <c r="K168" s="26">
        <v>2014</v>
      </c>
      <c r="L168" t="s">
        <v>30</v>
      </c>
      <c r="M168" s="32">
        <v>250</v>
      </c>
      <c r="N168">
        <v>30.131484459999999</v>
      </c>
      <c r="O168">
        <v>5</v>
      </c>
      <c r="P168" t="s">
        <v>52</v>
      </c>
      <c r="Q168">
        <v>89</v>
      </c>
      <c r="R168" t="s">
        <v>13</v>
      </c>
      <c r="S168" t="s">
        <v>14</v>
      </c>
      <c r="T168" t="s">
        <v>14</v>
      </c>
      <c r="U168" s="34">
        <v>1</v>
      </c>
      <c r="V168" s="34">
        <v>1.5</v>
      </c>
      <c r="W168" s="25">
        <v>1.25</v>
      </c>
      <c r="X168" s="25">
        <v>0.5</v>
      </c>
      <c r="Y168">
        <v>1.5753479850000001</v>
      </c>
      <c r="Z168" t="s">
        <v>1102</v>
      </c>
      <c r="AA168" t="s">
        <v>622</v>
      </c>
      <c r="AB168">
        <v>1</v>
      </c>
      <c r="AC168">
        <v>0</v>
      </c>
      <c r="AF168" t="s">
        <v>667</v>
      </c>
      <c r="AG168" s="32">
        <v>0</v>
      </c>
      <c r="AH168" s="32" t="s">
        <v>671</v>
      </c>
      <c r="AI168" s="32" t="s">
        <v>1129</v>
      </c>
      <c r="AJ168" s="31" t="s">
        <v>1130</v>
      </c>
      <c r="AK168" s="31">
        <v>0.59524549999999998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8.6545499736547821E-2</v>
      </c>
    </row>
    <row r="169" spans="1:44" hidden="1" x14ac:dyDescent="0.5">
      <c r="A169" s="31">
        <v>168</v>
      </c>
      <c r="B169" s="31">
        <v>11</v>
      </c>
      <c r="C169" s="225" t="s">
        <v>43</v>
      </c>
      <c r="D169" s="35">
        <v>54.435099999999998</v>
      </c>
      <c r="E169" s="33">
        <v>-11.079000000000001</v>
      </c>
      <c r="F169">
        <v>41.67</v>
      </c>
      <c r="G169">
        <f>F169*1609.344</f>
        <v>67061.364480000004</v>
      </c>
      <c r="H169" s="32" t="s">
        <v>611</v>
      </c>
      <c r="I169" s="7">
        <v>432</v>
      </c>
      <c r="J169">
        <v>11.7462607310368</v>
      </c>
      <c r="K169" s="26">
        <v>2014</v>
      </c>
      <c r="L169" t="s">
        <v>30</v>
      </c>
      <c r="M169" s="32">
        <v>250</v>
      </c>
      <c r="N169">
        <v>30.131484459999999</v>
      </c>
      <c r="O169">
        <v>5</v>
      </c>
      <c r="P169" t="s">
        <v>52</v>
      </c>
      <c r="Q169">
        <v>89</v>
      </c>
      <c r="R169" t="s">
        <v>13</v>
      </c>
      <c r="S169" t="s">
        <v>14</v>
      </c>
      <c r="T169" t="s">
        <v>14</v>
      </c>
      <c r="U169" s="34">
        <v>2</v>
      </c>
      <c r="V169" s="34">
        <v>2.5</v>
      </c>
      <c r="W169" s="25">
        <v>2.25</v>
      </c>
      <c r="X169" s="25">
        <v>0.5</v>
      </c>
      <c r="Y169">
        <v>1.5753479850000001</v>
      </c>
      <c r="Z169" t="s">
        <v>1102</v>
      </c>
      <c r="AA169" t="s">
        <v>622</v>
      </c>
      <c r="AB169">
        <v>1</v>
      </c>
      <c r="AC169">
        <v>0</v>
      </c>
      <c r="AF169" t="s">
        <v>667</v>
      </c>
      <c r="AG169" s="32">
        <v>0</v>
      </c>
      <c r="AH169" s="32" t="s">
        <v>671</v>
      </c>
      <c r="AI169" s="32" t="s">
        <v>1129</v>
      </c>
      <c r="AJ169" s="31" t="s">
        <v>1130</v>
      </c>
      <c r="AK169" s="31">
        <v>0.59524549999999998</v>
      </c>
      <c r="AL169" s="31">
        <v>0</v>
      </c>
      <c r="AM169" s="31">
        <v>0</v>
      </c>
      <c r="AN169" s="31">
        <v>0</v>
      </c>
      <c r="AO169" s="31">
        <v>0</v>
      </c>
      <c r="AP169" s="31">
        <v>0</v>
      </c>
      <c r="AQ169" s="31">
        <v>0</v>
      </c>
      <c r="AR169" s="31">
        <v>8.6545499736547821E-2</v>
      </c>
    </row>
    <row r="170" spans="1:44" hidden="1" x14ac:dyDescent="0.5">
      <c r="A170" s="31">
        <v>169</v>
      </c>
      <c r="B170" s="31">
        <v>11</v>
      </c>
      <c r="C170" s="225" t="s">
        <v>43</v>
      </c>
      <c r="D170" s="35">
        <v>54.435099999999998</v>
      </c>
      <c r="E170" s="33">
        <v>-11.079000000000001</v>
      </c>
      <c r="F170">
        <v>41.67</v>
      </c>
      <c r="G170">
        <f>F170*1609.344</f>
        <v>67061.364480000004</v>
      </c>
      <c r="H170" s="32" t="s">
        <v>611</v>
      </c>
      <c r="I170" s="7">
        <v>432</v>
      </c>
      <c r="J170">
        <v>11.7462607310368</v>
      </c>
      <c r="K170" s="26">
        <v>2014</v>
      </c>
      <c r="L170" t="s">
        <v>30</v>
      </c>
      <c r="M170" s="32">
        <v>250</v>
      </c>
      <c r="N170">
        <v>30.131484459999999</v>
      </c>
      <c r="O170">
        <v>5</v>
      </c>
      <c r="P170" t="s">
        <v>52</v>
      </c>
      <c r="Q170">
        <v>89</v>
      </c>
      <c r="R170" t="s">
        <v>13</v>
      </c>
      <c r="S170" t="s">
        <v>14</v>
      </c>
      <c r="T170" t="s">
        <v>14</v>
      </c>
      <c r="U170" s="34">
        <v>3</v>
      </c>
      <c r="V170" s="34">
        <v>3.5</v>
      </c>
      <c r="W170" s="25">
        <v>3.25</v>
      </c>
      <c r="X170" s="25">
        <v>0.5</v>
      </c>
      <c r="Y170">
        <v>1.5753479850000001</v>
      </c>
      <c r="Z170" t="s">
        <v>1102</v>
      </c>
      <c r="AA170" t="s">
        <v>622</v>
      </c>
      <c r="AB170">
        <v>1</v>
      </c>
      <c r="AC170">
        <v>0</v>
      </c>
      <c r="AF170" t="s">
        <v>667</v>
      </c>
      <c r="AG170" s="32">
        <v>0</v>
      </c>
      <c r="AH170" s="32" t="s">
        <v>671</v>
      </c>
      <c r="AI170" s="32" t="s">
        <v>1129</v>
      </c>
      <c r="AJ170" s="31" t="s">
        <v>1130</v>
      </c>
      <c r="AK170" s="31">
        <v>0.59524549999999998</v>
      </c>
      <c r="AL170" s="31">
        <v>0</v>
      </c>
      <c r="AM170" s="31">
        <v>0</v>
      </c>
      <c r="AN170" s="31">
        <v>0</v>
      </c>
      <c r="AO170" s="31">
        <v>0</v>
      </c>
      <c r="AP170" s="31">
        <v>0</v>
      </c>
      <c r="AQ170" s="31">
        <v>0</v>
      </c>
      <c r="AR170" s="31">
        <v>8.6545499736547821E-2</v>
      </c>
    </row>
    <row r="171" spans="1:44" hidden="1" x14ac:dyDescent="0.5">
      <c r="A171" s="31">
        <v>170</v>
      </c>
      <c r="B171" s="31">
        <v>11</v>
      </c>
      <c r="C171" s="225" t="s">
        <v>43</v>
      </c>
      <c r="D171" s="35">
        <v>54.493000000000002</v>
      </c>
      <c r="E171" s="33">
        <v>-11.018000000000001</v>
      </c>
      <c r="F171">
        <v>39.06</v>
      </c>
      <c r="G171">
        <f>F171*1609.344</f>
        <v>62860.976640000008</v>
      </c>
      <c r="H171" s="32" t="s">
        <v>611</v>
      </c>
      <c r="I171" s="7">
        <v>496</v>
      </c>
      <c r="J171">
        <v>13.669535892257301</v>
      </c>
      <c r="K171" s="26">
        <v>2014</v>
      </c>
      <c r="L171" t="s">
        <v>30</v>
      </c>
      <c r="M171" s="32">
        <v>250</v>
      </c>
      <c r="N171">
        <v>30.131484459999999</v>
      </c>
      <c r="O171">
        <v>5</v>
      </c>
      <c r="P171" t="s">
        <v>52</v>
      </c>
      <c r="Q171">
        <v>89</v>
      </c>
      <c r="R171" t="s">
        <v>13</v>
      </c>
      <c r="S171" t="s">
        <v>14</v>
      </c>
      <c r="T171" t="s">
        <v>14</v>
      </c>
      <c r="U171" s="34">
        <v>1</v>
      </c>
      <c r="V171" s="34">
        <v>1.5</v>
      </c>
      <c r="W171" s="25">
        <v>1.25</v>
      </c>
      <c r="X171" s="25">
        <v>0.5</v>
      </c>
      <c r="Y171">
        <v>1.5753479850000001</v>
      </c>
      <c r="Z171" t="s">
        <v>1102</v>
      </c>
      <c r="AA171" t="s">
        <v>622</v>
      </c>
      <c r="AB171">
        <v>1</v>
      </c>
      <c r="AC171">
        <v>0</v>
      </c>
      <c r="AF171" t="s">
        <v>667</v>
      </c>
      <c r="AG171" s="32">
        <v>0</v>
      </c>
      <c r="AH171" s="32" t="s">
        <v>671</v>
      </c>
      <c r="AI171" s="32" t="s">
        <v>1129</v>
      </c>
      <c r="AJ171" s="31" t="s">
        <v>1130</v>
      </c>
      <c r="AK171" s="31">
        <v>0.59524549999999998</v>
      </c>
      <c r="AL171" s="31">
        <v>0</v>
      </c>
      <c r="AM171" s="31">
        <v>0</v>
      </c>
      <c r="AN171" s="31">
        <v>0</v>
      </c>
      <c r="AO171" s="31">
        <v>0</v>
      </c>
      <c r="AP171" s="31">
        <v>0</v>
      </c>
      <c r="AQ171" s="31">
        <v>0</v>
      </c>
      <c r="AR171" s="31">
        <v>8.1170236249143435E-2</v>
      </c>
    </row>
    <row r="172" spans="1:44" hidden="1" x14ac:dyDescent="0.5">
      <c r="A172" s="31">
        <v>171</v>
      </c>
      <c r="B172" s="31">
        <v>11</v>
      </c>
      <c r="C172" s="225" t="s">
        <v>43</v>
      </c>
      <c r="D172" s="35">
        <v>54.493000000000002</v>
      </c>
      <c r="E172" s="33">
        <v>-11.018000000000001</v>
      </c>
      <c r="F172">
        <v>39.06</v>
      </c>
      <c r="G172">
        <f>F172*1609.344</f>
        <v>62860.976640000008</v>
      </c>
      <c r="H172" s="32" t="s">
        <v>611</v>
      </c>
      <c r="I172" s="7">
        <v>496</v>
      </c>
      <c r="J172">
        <v>13.669535892257301</v>
      </c>
      <c r="K172" s="26">
        <v>2014</v>
      </c>
      <c r="L172" t="s">
        <v>30</v>
      </c>
      <c r="M172" s="32">
        <v>250</v>
      </c>
      <c r="N172">
        <v>30.131484459999999</v>
      </c>
      <c r="O172">
        <v>5</v>
      </c>
      <c r="P172" t="s">
        <v>52</v>
      </c>
      <c r="Q172">
        <v>89</v>
      </c>
      <c r="R172" t="s">
        <v>13</v>
      </c>
      <c r="S172" t="s">
        <v>14</v>
      </c>
      <c r="T172" t="s">
        <v>14</v>
      </c>
      <c r="U172" s="34">
        <v>2</v>
      </c>
      <c r="V172" s="34">
        <v>2.5</v>
      </c>
      <c r="W172" s="25">
        <v>2.25</v>
      </c>
      <c r="X172" s="25">
        <v>0.5</v>
      </c>
      <c r="Y172">
        <v>1.5753479850000001</v>
      </c>
      <c r="Z172" t="s">
        <v>1102</v>
      </c>
      <c r="AA172" t="s">
        <v>622</v>
      </c>
      <c r="AB172">
        <v>1</v>
      </c>
      <c r="AC172">
        <v>0</v>
      </c>
      <c r="AF172" t="s">
        <v>667</v>
      </c>
      <c r="AG172" s="32">
        <v>0</v>
      </c>
      <c r="AH172" s="32" t="s">
        <v>671</v>
      </c>
      <c r="AI172" s="32" t="s">
        <v>1129</v>
      </c>
      <c r="AJ172" s="31" t="s">
        <v>1130</v>
      </c>
      <c r="AK172" s="31">
        <v>0.59524549999999998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8.1170236249143435E-2</v>
      </c>
    </row>
    <row r="173" spans="1:44" hidden="1" x14ac:dyDescent="0.5">
      <c r="A173" s="31">
        <v>172</v>
      </c>
      <c r="B173" s="31">
        <v>11</v>
      </c>
      <c r="C173" s="225" t="s">
        <v>43</v>
      </c>
      <c r="D173" s="35">
        <v>54.493000000000002</v>
      </c>
      <c r="E173" s="33">
        <v>-11.018000000000001</v>
      </c>
      <c r="F173">
        <v>39.06</v>
      </c>
      <c r="G173">
        <f>F173*1609.344</f>
        <v>62860.976640000008</v>
      </c>
      <c r="H173" s="32" t="s">
        <v>611</v>
      </c>
      <c r="I173" s="7">
        <v>496</v>
      </c>
      <c r="J173">
        <v>13.669535892257301</v>
      </c>
      <c r="K173" s="26">
        <v>2014</v>
      </c>
      <c r="L173" t="s">
        <v>30</v>
      </c>
      <c r="M173" s="32">
        <v>250</v>
      </c>
      <c r="N173">
        <v>30.131484459999999</v>
      </c>
      <c r="O173">
        <v>5</v>
      </c>
      <c r="P173" t="s">
        <v>52</v>
      </c>
      <c r="Q173">
        <v>89</v>
      </c>
      <c r="R173" t="s">
        <v>13</v>
      </c>
      <c r="S173" t="s">
        <v>14</v>
      </c>
      <c r="T173" t="s">
        <v>14</v>
      </c>
      <c r="U173" s="34">
        <v>3</v>
      </c>
      <c r="V173" s="34">
        <v>3.5</v>
      </c>
      <c r="W173" s="25">
        <v>3.25</v>
      </c>
      <c r="X173" s="25">
        <v>0.5</v>
      </c>
      <c r="Y173">
        <v>1.5753479850000001</v>
      </c>
      <c r="Z173" t="s">
        <v>1102</v>
      </c>
      <c r="AA173" t="s">
        <v>622</v>
      </c>
      <c r="AB173">
        <v>1</v>
      </c>
      <c r="AC173">
        <v>0</v>
      </c>
      <c r="AF173" t="s">
        <v>667</v>
      </c>
      <c r="AG173" s="32">
        <v>0</v>
      </c>
      <c r="AH173" s="32" t="s">
        <v>671</v>
      </c>
      <c r="AI173" s="32" t="s">
        <v>1129</v>
      </c>
      <c r="AJ173" s="31" t="s">
        <v>1130</v>
      </c>
      <c r="AK173" s="31">
        <v>0.59524549999999998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8.1170236249143435E-2</v>
      </c>
    </row>
    <row r="174" spans="1:44" hidden="1" x14ac:dyDescent="0.5">
      <c r="A174" s="31">
        <v>173</v>
      </c>
      <c r="B174" s="31">
        <v>11</v>
      </c>
      <c r="C174" s="225" t="s">
        <v>43</v>
      </c>
      <c r="D174" s="35">
        <v>54.493000000000002</v>
      </c>
      <c r="E174" s="33">
        <v>-11.018000000000001</v>
      </c>
      <c r="F174">
        <v>39.06</v>
      </c>
      <c r="G174">
        <f>F174*1609.344</f>
        <v>62860.976640000008</v>
      </c>
      <c r="H174" s="32" t="s">
        <v>611</v>
      </c>
      <c r="I174" s="7">
        <v>496</v>
      </c>
      <c r="J174">
        <v>13.669535892257301</v>
      </c>
      <c r="K174" s="26">
        <v>2014</v>
      </c>
      <c r="L174" t="s">
        <v>30</v>
      </c>
      <c r="M174" s="32">
        <v>250</v>
      </c>
      <c r="N174">
        <v>30.131484459999999</v>
      </c>
      <c r="O174">
        <v>5</v>
      </c>
      <c r="P174" t="s">
        <v>52</v>
      </c>
      <c r="Q174">
        <v>89</v>
      </c>
      <c r="R174" t="s">
        <v>13</v>
      </c>
      <c r="S174" t="s">
        <v>14</v>
      </c>
      <c r="T174" t="s">
        <v>14</v>
      </c>
      <c r="U174" s="34">
        <v>0</v>
      </c>
      <c r="V174" s="34">
        <v>0.5</v>
      </c>
      <c r="W174" s="25">
        <v>0.25</v>
      </c>
      <c r="X174" s="25">
        <v>0.5</v>
      </c>
      <c r="Y174">
        <v>1.5753479850000001</v>
      </c>
      <c r="Z174" t="s">
        <v>1102</v>
      </c>
      <c r="AA174" t="s">
        <v>622</v>
      </c>
      <c r="AB174">
        <v>1</v>
      </c>
      <c r="AC174">
        <v>1</v>
      </c>
      <c r="AF174" t="s">
        <v>667</v>
      </c>
      <c r="AG174" s="32" t="s">
        <v>1231</v>
      </c>
      <c r="AH174" s="32" t="s">
        <v>1151</v>
      </c>
      <c r="AI174" s="32" t="s">
        <v>1232</v>
      </c>
      <c r="AJ174" s="31" t="s">
        <v>2755</v>
      </c>
      <c r="AK174" s="31">
        <v>0.85</v>
      </c>
      <c r="AL174" s="31">
        <v>31.739019236438729</v>
      </c>
      <c r="AM174" s="31">
        <v>5.6010033946656606</v>
      </c>
      <c r="AN174" s="31">
        <v>1074.5435560656119</v>
      </c>
      <c r="AO174" s="31">
        <v>189.62533342334336</v>
      </c>
      <c r="AP174" s="31">
        <v>1.6927800258426966</v>
      </c>
      <c r="AQ174" s="31">
        <v>0.29872588691341712</v>
      </c>
      <c r="AR174" s="31">
        <v>8.1170236249143435E-2</v>
      </c>
    </row>
    <row r="175" spans="1:44" hidden="1" x14ac:dyDescent="0.5">
      <c r="A175" s="31">
        <v>174</v>
      </c>
      <c r="B175" s="31">
        <v>11</v>
      </c>
      <c r="C175" s="225" t="s">
        <v>43</v>
      </c>
      <c r="D175" s="35">
        <v>54.545000000000002</v>
      </c>
      <c r="E175" s="33">
        <v>-11.031000000000001</v>
      </c>
      <c r="F175">
        <v>42.09</v>
      </c>
      <c r="G175">
        <f>F175*1609.344</f>
        <v>67737.288960000005</v>
      </c>
      <c r="H175" s="32" t="s">
        <v>611</v>
      </c>
      <c r="I175" s="7">
        <v>701</v>
      </c>
      <c r="J175">
        <v>11.1210129293677</v>
      </c>
      <c r="K175" s="26">
        <v>2014</v>
      </c>
      <c r="L175" t="s">
        <v>30</v>
      </c>
      <c r="M175" s="32">
        <v>250</v>
      </c>
      <c r="N175">
        <v>30.131484459999999</v>
      </c>
      <c r="O175">
        <v>5</v>
      </c>
      <c r="P175" t="s">
        <v>52</v>
      </c>
      <c r="Q175">
        <v>89</v>
      </c>
      <c r="R175" t="s">
        <v>13</v>
      </c>
      <c r="S175" t="s">
        <v>14</v>
      </c>
      <c r="T175" t="s">
        <v>14</v>
      </c>
      <c r="U175" s="34">
        <v>1</v>
      </c>
      <c r="V175" s="34">
        <v>1.5</v>
      </c>
      <c r="W175" s="25">
        <v>1.25</v>
      </c>
      <c r="X175" s="25">
        <v>0.5</v>
      </c>
      <c r="Y175">
        <v>1.5753479850000001</v>
      </c>
      <c r="Z175" t="s">
        <v>1102</v>
      </c>
      <c r="AA175" t="s">
        <v>622</v>
      </c>
      <c r="AB175">
        <v>1</v>
      </c>
      <c r="AC175">
        <v>0</v>
      </c>
      <c r="AF175" t="s">
        <v>667</v>
      </c>
      <c r="AG175" s="32">
        <v>0</v>
      </c>
      <c r="AH175" s="32" t="s">
        <v>671</v>
      </c>
      <c r="AI175" s="32" t="s">
        <v>1129</v>
      </c>
      <c r="AJ175" s="31" t="s">
        <v>1130</v>
      </c>
      <c r="AK175" s="31">
        <v>0.59524549999999998</v>
      </c>
      <c r="AL175" s="31">
        <v>0</v>
      </c>
      <c r="AM175" s="31">
        <v>0</v>
      </c>
      <c r="AN175" s="31">
        <v>0</v>
      </c>
      <c r="AO175" s="31">
        <v>0</v>
      </c>
      <c r="AP175" s="31">
        <v>0</v>
      </c>
      <c r="AQ175" s="31">
        <v>0</v>
      </c>
      <c r="AR175" s="31">
        <v>6.6099353227733013E-2</v>
      </c>
    </row>
    <row r="176" spans="1:44" hidden="1" x14ac:dyDescent="0.5">
      <c r="A176" s="31">
        <v>175</v>
      </c>
      <c r="B176" s="31">
        <v>11</v>
      </c>
      <c r="C176" s="225" t="s">
        <v>43</v>
      </c>
      <c r="D176" s="35">
        <v>54.545000000000002</v>
      </c>
      <c r="E176" s="33">
        <v>-11.031000000000001</v>
      </c>
      <c r="F176">
        <v>42.09</v>
      </c>
      <c r="G176">
        <f>F176*1609.344</f>
        <v>67737.288960000005</v>
      </c>
      <c r="H176" s="32" t="s">
        <v>611</v>
      </c>
      <c r="I176" s="7">
        <v>701</v>
      </c>
      <c r="J176">
        <v>11.1210129293677</v>
      </c>
      <c r="K176" s="26">
        <v>2014</v>
      </c>
      <c r="L176" t="s">
        <v>30</v>
      </c>
      <c r="M176" s="32">
        <v>250</v>
      </c>
      <c r="N176">
        <v>30.131484459999999</v>
      </c>
      <c r="O176">
        <v>5</v>
      </c>
      <c r="P176" t="s">
        <v>52</v>
      </c>
      <c r="Q176">
        <v>89</v>
      </c>
      <c r="R176" t="s">
        <v>13</v>
      </c>
      <c r="S176" t="s">
        <v>14</v>
      </c>
      <c r="T176" t="s">
        <v>14</v>
      </c>
      <c r="U176" s="34">
        <v>3</v>
      </c>
      <c r="V176" s="34">
        <v>3.5</v>
      </c>
      <c r="W176" s="25">
        <v>3.25</v>
      </c>
      <c r="X176" s="25">
        <v>0.5</v>
      </c>
      <c r="Y176">
        <v>1.5753479850000001</v>
      </c>
      <c r="Z176" t="s">
        <v>1102</v>
      </c>
      <c r="AA176" t="s">
        <v>622</v>
      </c>
      <c r="AB176">
        <v>1</v>
      </c>
      <c r="AC176">
        <v>0</v>
      </c>
      <c r="AF176" t="s">
        <v>667</v>
      </c>
      <c r="AG176" s="32">
        <v>0</v>
      </c>
      <c r="AH176" s="32" t="s">
        <v>671</v>
      </c>
      <c r="AI176" s="32" t="s">
        <v>1129</v>
      </c>
      <c r="AJ176" s="31" t="s">
        <v>1130</v>
      </c>
      <c r="AK176" s="31">
        <v>0.59524549999999998</v>
      </c>
      <c r="AL176" s="31">
        <v>0</v>
      </c>
      <c r="AM176" s="31">
        <v>0</v>
      </c>
      <c r="AN176" s="31">
        <v>0</v>
      </c>
      <c r="AO176" s="31">
        <v>0</v>
      </c>
      <c r="AP176" s="31">
        <v>0</v>
      </c>
      <c r="AQ176" s="31">
        <v>0</v>
      </c>
      <c r="AR176" s="31">
        <v>6.6099353227733013E-2</v>
      </c>
    </row>
    <row r="177" spans="1:44" hidden="1" x14ac:dyDescent="0.5">
      <c r="A177" s="31">
        <v>176</v>
      </c>
      <c r="B177" s="31">
        <v>11</v>
      </c>
      <c r="C177" s="225" t="s">
        <v>43</v>
      </c>
      <c r="D177" s="35">
        <v>54.545000000000002</v>
      </c>
      <c r="E177" s="33">
        <v>-11.031000000000001</v>
      </c>
      <c r="F177">
        <v>42.09</v>
      </c>
      <c r="G177">
        <f>F177*1609.344</f>
        <v>67737.288960000005</v>
      </c>
      <c r="H177" s="32" t="s">
        <v>611</v>
      </c>
      <c r="I177" s="7">
        <v>701</v>
      </c>
      <c r="J177">
        <v>11.1210129293677</v>
      </c>
      <c r="K177" s="26">
        <v>2014</v>
      </c>
      <c r="L177" t="s">
        <v>30</v>
      </c>
      <c r="M177" s="32">
        <v>250</v>
      </c>
      <c r="N177">
        <v>30.131484459999999</v>
      </c>
      <c r="O177">
        <v>5</v>
      </c>
      <c r="P177" t="s">
        <v>52</v>
      </c>
      <c r="Q177">
        <v>89</v>
      </c>
      <c r="R177" t="s">
        <v>13</v>
      </c>
      <c r="S177" t="s">
        <v>14</v>
      </c>
      <c r="T177" t="s">
        <v>14</v>
      </c>
      <c r="U177" s="34">
        <v>0</v>
      </c>
      <c r="V177" s="34">
        <v>0.5</v>
      </c>
      <c r="W177" s="25">
        <v>0.25</v>
      </c>
      <c r="X177" s="25">
        <v>0.5</v>
      </c>
      <c r="Y177">
        <v>1.5753479850000001</v>
      </c>
      <c r="Z177" t="s">
        <v>1102</v>
      </c>
      <c r="AA177" t="s">
        <v>622</v>
      </c>
      <c r="AB177">
        <v>1</v>
      </c>
      <c r="AC177">
        <v>1</v>
      </c>
      <c r="AF177" t="s">
        <v>667</v>
      </c>
      <c r="AG177" s="32" t="s">
        <v>1231</v>
      </c>
      <c r="AH177" s="32" t="s">
        <v>1151</v>
      </c>
      <c r="AI177" s="32" t="s">
        <v>1232</v>
      </c>
      <c r="AJ177" s="31" t="s">
        <v>2755</v>
      </c>
      <c r="AK177" s="31">
        <v>0.85</v>
      </c>
      <c r="AL177" s="31">
        <v>31.739019236438729</v>
      </c>
      <c r="AM177" s="31">
        <v>5.6010033946656606</v>
      </c>
      <c r="AN177" s="31">
        <v>1074.5435560656119</v>
      </c>
      <c r="AO177" s="31">
        <v>189.62533342334336</v>
      </c>
      <c r="AP177" s="31">
        <v>1.6927800258426966</v>
      </c>
      <c r="AQ177" s="31">
        <v>0.29872588691341712</v>
      </c>
      <c r="AR177" s="31">
        <v>6.6099353227733013E-2</v>
      </c>
    </row>
    <row r="178" spans="1:44" hidden="1" x14ac:dyDescent="0.5">
      <c r="A178" s="31">
        <v>177</v>
      </c>
      <c r="B178" s="31">
        <v>11</v>
      </c>
      <c r="C178" s="225" t="s">
        <v>43</v>
      </c>
      <c r="D178" s="35">
        <v>54.545000000000002</v>
      </c>
      <c r="E178" s="33">
        <v>-11.031000000000001</v>
      </c>
      <c r="F178">
        <v>42.09</v>
      </c>
      <c r="G178">
        <f>F178*1609.344</f>
        <v>67737.288960000005</v>
      </c>
      <c r="H178" s="32" t="s">
        <v>611</v>
      </c>
      <c r="I178" s="7">
        <v>701</v>
      </c>
      <c r="J178">
        <v>11.1210129293677</v>
      </c>
      <c r="K178" s="26">
        <v>2014</v>
      </c>
      <c r="L178" t="s">
        <v>30</v>
      </c>
      <c r="M178" s="32">
        <v>250</v>
      </c>
      <c r="N178">
        <v>30.131484459999999</v>
      </c>
      <c r="O178">
        <v>5</v>
      </c>
      <c r="P178" t="s">
        <v>52</v>
      </c>
      <c r="Q178">
        <v>89</v>
      </c>
      <c r="R178" t="s">
        <v>13</v>
      </c>
      <c r="S178" t="s">
        <v>14</v>
      </c>
      <c r="T178" t="s">
        <v>14</v>
      </c>
      <c r="U178" s="34">
        <v>2</v>
      </c>
      <c r="V178" s="34">
        <v>2.5</v>
      </c>
      <c r="W178" s="25">
        <v>2.25</v>
      </c>
      <c r="X178" s="25">
        <v>0.5</v>
      </c>
      <c r="Y178">
        <v>1.5753479850000001</v>
      </c>
      <c r="Z178" t="s">
        <v>1102</v>
      </c>
      <c r="AA178" t="s">
        <v>622</v>
      </c>
      <c r="AB178">
        <v>1</v>
      </c>
      <c r="AC178">
        <v>2</v>
      </c>
      <c r="AF178" t="s">
        <v>667</v>
      </c>
      <c r="AG178" s="32" t="s">
        <v>1233</v>
      </c>
      <c r="AH178" s="32" t="s">
        <v>1151</v>
      </c>
      <c r="AI178" s="32" t="s">
        <v>1234</v>
      </c>
      <c r="AJ178" s="31" t="s">
        <v>2756</v>
      </c>
      <c r="AK178" s="31">
        <v>0.85</v>
      </c>
      <c r="AL178" s="31">
        <v>63.478038472877458</v>
      </c>
      <c r="AM178" s="31">
        <v>11.202006789331321</v>
      </c>
      <c r="AN178" s="31">
        <v>2149.0871121312239</v>
      </c>
      <c r="AO178" s="31">
        <v>379.25066684668673</v>
      </c>
      <c r="AP178" s="31">
        <v>3.3855600516853932</v>
      </c>
      <c r="AQ178" s="31">
        <v>0.59745177382683423</v>
      </c>
      <c r="AR178" s="31">
        <v>6.6099353227733013E-2</v>
      </c>
    </row>
    <row r="179" spans="1:44" hidden="1" x14ac:dyDescent="0.5">
      <c r="A179" s="31">
        <v>276</v>
      </c>
      <c r="B179" s="31">
        <v>17</v>
      </c>
      <c r="C179" s="225" t="s">
        <v>25</v>
      </c>
      <c r="D179" s="35">
        <v>36.819732999999999</v>
      </c>
      <c r="E179" s="33">
        <v>10.208258000000001</v>
      </c>
      <c r="F179">
        <v>0.19</v>
      </c>
      <c r="G179">
        <f>F179*1609.344</f>
        <v>305.77536000000003</v>
      </c>
      <c r="H179" s="32" t="s">
        <v>614</v>
      </c>
      <c r="I179">
        <v>0</v>
      </c>
      <c r="J179">
        <v>298.35796132511302</v>
      </c>
      <c r="K179" s="26">
        <v>2017</v>
      </c>
      <c r="L179" t="s">
        <v>11</v>
      </c>
      <c r="M179" s="32">
        <v>100</v>
      </c>
      <c r="N179">
        <v>11.428783320000001</v>
      </c>
      <c r="O179">
        <v>5</v>
      </c>
      <c r="P179" t="s">
        <v>12</v>
      </c>
      <c r="Q179">
        <v>89</v>
      </c>
      <c r="R179" t="s">
        <v>13</v>
      </c>
      <c r="S179" t="s">
        <v>14</v>
      </c>
      <c r="T179" t="s">
        <v>14</v>
      </c>
      <c r="U179" s="34">
        <v>0</v>
      </c>
      <c r="V179" s="34">
        <v>3</v>
      </c>
      <c r="W179" s="25">
        <v>1.5</v>
      </c>
      <c r="X179" s="25">
        <v>3</v>
      </c>
      <c r="Y179">
        <v>1.3241679239999999</v>
      </c>
      <c r="Z179" t="s">
        <v>1103</v>
      </c>
      <c r="AA179" t="s">
        <v>622</v>
      </c>
      <c r="AB179">
        <v>3</v>
      </c>
      <c r="AC179">
        <v>249</v>
      </c>
      <c r="AD179">
        <v>20</v>
      </c>
      <c r="AE179" t="s">
        <v>519</v>
      </c>
      <c r="AF179" t="s">
        <v>532</v>
      </c>
      <c r="AG179" s="32">
        <v>249</v>
      </c>
      <c r="AH179" s="32" t="s">
        <v>1283</v>
      </c>
      <c r="AI179" s="32" t="s">
        <v>1284</v>
      </c>
      <c r="AJ179" s="31" t="s">
        <v>2784</v>
      </c>
      <c r="AK179" s="31">
        <v>0.87329999999999997</v>
      </c>
      <c r="AL179" s="31">
        <v>217.45169999999999</v>
      </c>
      <c r="AM179" s="31">
        <v>31.548300000000012</v>
      </c>
      <c r="AN179" s="31">
        <v>2792.3689459164539</v>
      </c>
      <c r="AO179" s="31">
        <v>405.12211776893957</v>
      </c>
      <c r="AP179" s="31">
        <v>3.6975653901562588</v>
      </c>
      <c r="AQ179" s="31">
        <v>0.53644971365258021</v>
      </c>
      <c r="AR179" s="31">
        <v>0.13341858489683281</v>
      </c>
    </row>
    <row r="180" spans="1:44" hidden="1" x14ac:dyDescent="0.5">
      <c r="A180" s="31">
        <v>277</v>
      </c>
      <c r="B180" s="31">
        <v>17</v>
      </c>
      <c r="C180" s="225" t="s">
        <v>25</v>
      </c>
      <c r="D180" s="35">
        <v>36.835898999999998</v>
      </c>
      <c r="E180" s="33">
        <v>10.325426999999999</v>
      </c>
      <c r="F180">
        <v>0.01</v>
      </c>
      <c r="G180">
        <f>F180*1609.344</f>
        <v>16.093440000000001</v>
      </c>
      <c r="H180" s="32" t="s">
        <v>614</v>
      </c>
      <c r="I180">
        <v>0</v>
      </c>
      <c r="J180">
        <v>326.35640679129</v>
      </c>
      <c r="K180" s="26">
        <v>2017</v>
      </c>
      <c r="L180" t="s">
        <v>11</v>
      </c>
      <c r="M180" s="32">
        <v>100</v>
      </c>
      <c r="N180">
        <v>11.428783320000001</v>
      </c>
      <c r="O180">
        <v>5</v>
      </c>
      <c r="P180" t="s">
        <v>12</v>
      </c>
      <c r="Q180">
        <v>89</v>
      </c>
      <c r="R180" t="s">
        <v>13</v>
      </c>
      <c r="S180" t="s">
        <v>14</v>
      </c>
      <c r="T180" t="s">
        <v>14</v>
      </c>
      <c r="U180" s="34">
        <v>0</v>
      </c>
      <c r="V180" s="34">
        <v>3</v>
      </c>
      <c r="W180" s="25">
        <v>1.5</v>
      </c>
      <c r="X180" s="25">
        <v>3</v>
      </c>
      <c r="Y180">
        <v>1.3241679239999999</v>
      </c>
      <c r="Z180" t="s">
        <v>1103</v>
      </c>
      <c r="AA180" t="s">
        <v>622</v>
      </c>
      <c r="AB180">
        <v>3</v>
      </c>
      <c r="AC180">
        <v>136</v>
      </c>
      <c r="AD180">
        <v>32</v>
      </c>
      <c r="AE180" t="s">
        <v>519</v>
      </c>
      <c r="AF180" t="s">
        <v>532</v>
      </c>
      <c r="AG180" s="32">
        <v>136</v>
      </c>
      <c r="AH180" s="32" t="s">
        <v>1285</v>
      </c>
      <c r="AI180" s="32" t="s">
        <v>1286</v>
      </c>
      <c r="AJ180" s="31" t="s">
        <v>2785</v>
      </c>
      <c r="AK180" s="31">
        <v>0.71009999999999995</v>
      </c>
      <c r="AL180" s="31">
        <v>96.573599999999999</v>
      </c>
      <c r="AM180" s="31">
        <v>39.426400000000001</v>
      </c>
      <c r="AN180" s="31">
        <v>1240.1334256543282</v>
      </c>
      <c r="AO180" s="31">
        <v>506.28739627825627</v>
      </c>
      <c r="AP180" s="31">
        <v>1.6421449037317</v>
      </c>
      <c r="AQ180" s="31">
        <v>0.67040953047714391</v>
      </c>
      <c r="AR180" s="31">
        <v>0.13341858489683281</v>
      </c>
    </row>
    <row r="181" spans="1:44" hidden="1" x14ac:dyDescent="0.5">
      <c r="A181" s="31">
        <v>278</v>
      </c>
      <c r="B181" s="31">
        <v>17</v>
      </c>
      <c r="C181" s="225" t="s">
        <v>25</v>
      </c>
      <c r="D181" s="35">
        <v>37.148169000000003</v>
      </c>
      <c r="E181" s="33">
        <v>9.815296</v>
      </c>
      <c r="F181">
        <v>0.35</v>
      </c>
      <c r="G181">
        <f>F181*1609.344</f>
        <v>563.2704</v>
      </c>
      <c r="H181" s="32" t="s">
        <v>614</v>
      </c>
      <c r="I181">
        <v>0</v>
      </c>
      <c r="J181">
        <v>307.99402405344398</v>
      </c>
      <c r="K181" s="26">
        <v>2017</v>
      </c>
      <c r="L181" t="s">
        <v>11</v>
      </c>
      <c r="M181" s="32">
        <v>100</v>
      </c>
      <c r="N181">
        <v>11.428783320000001</v>
      </c>
      <c r="O181">
        <v>5</v>
      </c>
      <c r="P181" t="s">
        <v>12</v>
      </c>
      <c r="Q181">
        <v>89</v>
      </c>
      <c r="R181" t="s">
        <v>13</v>
      </c>
      <c r="S181" t="s">
        <v>14</v>
      </c>
      <c r="T181" t="s">
        <v>14</v>
      </c>
      <c r="U181" s="34">
        <v>0</v>
      </c>
      <c r="V181" s="34">
        <v>3</v>
      </c>
      <c r="W181" s="25">
        <v>1.5</v>
      </c>
      <c r="X181" s="25">
        <v>3</v>
      </c>
      <c r="Y181">
        <v>1.3241679239999999</v>
      </c>
      <c r="Z181" t="s">
        <v>1103</v>
      </c>
      <c r="AA181" t="s">
        <v>622</v>
      </c>
      <c r="AB181">
        <v>3</v>
      </c>
      <c r="AC181">
        <v>461</v>
      </c>
      <c r="AD181">
        <v>29</v>
      </c>
      <c r="AE181" t="s">
        <v>519</v>
      </c>
      <c r="AF181" t="s">
        <v>532</v>
      </c>
      <c r="AG181" s="32">
        <v>461</v>
      </c>
      <c r="AH181" s="32" t="s">
        <v>1287</v>
      </c>
      <c r="AI181" s="32" t="s">
        <v>1288</v>
      </c>
      <c r="AJ181" s="31" t="s">
        <v>2786</v>
      </c>
      <c r="AK181" s="31">
        <v>0.11600000000000001</v>
      </c>
      <c r="AL181" s="31">
        <v>53.476000000000006</v>
      </c>
      <c r="AM181" s="31">
        <v>407.524</v>
      </c>
      <c r="AN181" s="31">
        <v>686.70294024755071</v>
      </c>
      <c r="AO181" s="31">
        <v>5233.1499929209895</v>
      </c>
      <c r="AP181" s="31">
        <v>0.90931000679229523</v>
      </c>
      <c r="AQ181" s="31">
        <v>6.9295693621068004</v>
      </c>
      <c r="AR181" s="31">
        <v>0.13341858489683281</v>
      </c>
    </row>
    <row r="182" spans="1:44" hidden="1" x14ac:dyDescent="0.5">
      <c r="A182" s="31">
        <v>333</v>
      </c>
      <c r="B182" s="31">
        <v>24</v>
      </c>
      <c r="C182" s="225" t="s">
        <v>44</v>
      </c>
      <c r="D182" s="35">
        <v>10.79</v>
      </c>
      <c r="E182" s="33">
        <v>142.06</v>
      </c>
      <c r="F182">
        <v>247.59</v>
      </c>
      <c r="G182">
        <f>F182*1609.344</f>
        <v>398457.48096000002</v>
      </c>
      <c r="H182" s="32" t="s">
        <v>613</v>
      </c>
      <c r="I182">
        <v>5423</v>
      </c>
      <c r="J182">
        <v>0</v>
      </c>
      <c r="K182" s="26">
        <v>2017</v>
      </c>
      <c r="L182" t="s">
        <v>30</v>
      </c>
      <c r="M182" s="32">
        <v>20</v>
      </c>
      <c r="N182">
        <v>2.0820431909999999</v>
      </c>
      <c r="O182">
        <v>5</v>
      </c>
      <c r="P182" t="s">
        <v>15</v>
      </c>
      <c r="Q182">
        <v>91.3</v>
      </c>
      <c r="R182" t="s">
        <v>13</v>
      </c>
      <c r="S182" t="s">
        <v>14</v>
      </c>
      <c r="T182" t="s">
        <v>14</v>
      </c>
      <c r="U182" s="34">
        <v>0</v>
      </c>
      <c r="V182" s="34">
        <v>6</v>
      </c>
      <c r="W182" s="25">
        <v>3</v>
      </c>
      <c r="X182" s="25">
        <v>6</v>
      </c>
      <c r="Y182">
        <v>0.79018339500000001</v>
      </c>
      <c r="Z182" t="s">
        <v>1110</v>
      </c>
      <c r="AA182" t="s">
        <v>622</v>
      </c>
      <c r="AB182">
        <v>1</v>
      </c>
      <c r="AC182">
        <v>1.54</v>
      </c>
      <c r="AD182">
        <v>0</v>
      </c>
      <c r="AE182" t="s">
        <v>519</v>
      </c>
      <c r="AF182" t="s">
        <v>524</v>
      </c>
      <c r="AG182" s="32">
        <v>1540</v>
      </c>
      <c r="AH182" s="32" t="s">
        <v>671</v>
      </c>
      <c r="AI182" s="32" t="s">
        <v>1129</v>
      </c>
      <c r="AJ182" s="31" t="s">
        <v>1130</v>
      </c>
      <c r="AK182" s="31">
        <v>0.59524549999999998</v>
      </c>
      <c r="AL182" s="31">
        <v>916.67806999999993</v>
      </c>
      <c r="AM182" s="31">
        <v>623.32193000000007</v>
      </c>
      <c r="AN182" s="31">
        <v>2090.4308148768032</v>
      </c>
      <c r="AO182" s="31">
        <v>1421.4492663280162</v>
      </c>
      <c r="AP182" s="31">
        <v>1.6518237183119691</v>
      </c>
      <c r="AQ182" s="31">
        <v>1.1232056070873311</v>
      </c>
      <c r="AR182" s="31">
        <v>5.8285505851198125E-4</v>
      </c>
    </row>
    <row r="183" spans="1:44" hidden="1" x14ac:dyDescent="0.5">
      <c r="A183" s="31">
        <v>334</v>
      </c>
      <c r="B183" s="31">
        <v>24</v>
      </c>
      <c r="C183" s="225" t="s">
        <v>44</v>
      </c>
      <c r="D183" s="41">
        <v>10.85</v>
      </c>
      <c r="E183" s="43">
        <v>141.94999999999999</v>
      </c>
      <c r="F183">
        <v>252.03</v>
      </c>
      <c r="G183">
        <f>F183*1609.344</f>
        <v>405602.96832000004</v>
      </c>
      <c r="H183" s="32" t="s">
        <v>613</v>
      </c>
      <c r="I183">
        <v>5455</v>
      </c>
      <c r="J183">
        <v>0</v>
      </c>
      <c r="K183" s="26">
        <v>2017</v>
      </c>
      <c r="L183" t="s">
        <v>30</v>
      </c>
      <c r="M183" s="32">
        <v>20</v>
      </c>
      <c r="N183">
        <v>2.0820431909999999</v>
      </c>
      <c r="O183">
        <v>5</v>
      </c>
      <c r="P183" t="s">
        <v>15</v>
      </c>
      <c r="Q183">
        <v>91.3</v>
      </c>
      <c r="R183" t="s">
        <v>13</v>
      </c>
      <c r="S183" t="s">
        <v>14</v>
      </c>
      <c r="T183" t="s">
        <v>14</v>
      </c>
      <c r="U183" s="34">
        <v>0</v>
      </c>
      <c r="V183" s="34">
        <v>6</v>
      </c>
      <c r="W183" s="25">
        <v>3</v>
      </c>
      <c r="X183" s="25">
        <v>6</v>
      </c>
      <c r="Y183">
        <v>0.79018339500000001</v>
      </c>
      <c r="Z183" t="s">
        <v>1110</v>
      </c>
      <c r="AA183" t="s">
        <v>622</v>
      </c>
      <c r="AB183">
        <v>1</v>
      </c>
      <c r="AC183">
        <v>0.99</v>
      </c>
      <c r="AD183">
        <v>0</v>
      </c>
      <c r="AE183" t="s">
        <v>519</v>
      </c>
      <c r="AF183" t="s">
        <v>524</v>
      </c>
      <c r="AG183" s="32">
        <v>990</v>
      </c>
      <c r="AH183" s="32" t="s">
        <v>671</v>
      </c>
      <c r="AI183" s="32" t="s">
        <v>1129</v>
      </c>
      <c r="AJ183" s="31" t="s">
        <v>1130</v>
      </c>
      <c r="AK183" s="31">
        <v>0.59524549999999998</v>
      </c>
      <c r="AL183" s="31">
        <v>589.29304500000001</v>
      </c>
      <c r="AM183" s="31">
        <v>400.70695499999999</v>
      </c>
      <c r="AN183" s="31">
        <v>1343.8483809922307</v>
      </c>
      <c r="AO183" s="31">
        <v>913.7888140680102</v>
      </c>
      <c r="AP183" s="31">
        <v>1.0618866760576942</v>
      </c>
      <c r="AQ183" s="31">
        <v>0.72206074741328408</v>
      </c>
      <c r="AR183" s="31">
        <v>5.6446462515970946E-4</v>
      </c>
    </row>
    <row r="184" spans="1:44" hidden="1" x14ac:dyDescent="0.5">
      <c r="A184" s="31">
        <v>335</v>
      </c>
      <c r="B184" s="31">
        <v>24</v>
      </c>
      <c r="C184" s="225" t="s">
        <v>44</v>
      </c>
      <c r="D184" s="41">
        <v>11.8</v>
      </c>
      <c r="E184" s="43">
        <v>141.97999999999999</v>
      </c>
      <c r="F184">
        <v>290.35000000000002</v>
      </c>
      <c r="G184">
        <f>F184*1609.344</f>
        <v>467273.03040000005</v>
      </c>
      <c r="H184" s="32" t="s">
        <v>613</v>
      </c>
      <c r="I184">
        <v>5455</v>
      </c>
      <c r="J184">
        <v>0</v>
      </c>
      <c r="K184" s="26">
        <v>2017</v>
      </c>
      <c r="L184" t="s">
        <v>30</v>
      </c>
      <c r="M184" s="32">
        <v>20</v>
      </c>
      <c r="N184">
        <v>2.0820431909999999</v>
      </c>
      <c r="O184">
        <v>5</v>
      </c>
      <c r="P184" t="s">
        <v>15</v>
      </c>
      <c r="Q184">
        <v>91.3</v>
      </c>
      <c r="R184" t="s">
        <v>13</v>
      </c>
      <c r="S184" t="s">
        <v>14</v>
      </c>
      <c r="T184" t="s">
        <v>14</v>
      </c>
      <c r="U184" s="34">
        <v>0</v>
      </c>
      <c r="V184" s="34">
        <v>6</v>
      </c>
      <c r="W184" s="25">
        <v>3</v>
      </c>
      <c r="X184" s="25">
        <v>6</v>
      </c>
      <c r="Y184">
        <v>0.79018339500000001</v>
      </c>
      <c r="Z184" t="s">
        <v>1110</v>
      </c>
      <c r="AA184" t="s">
        <v>622</v>
      </c>
      <c r="AB184">
        <v>1</v>
      </c>
      <c r="AC184">
        <v>0.55000000000000004</v>
      </c>
      <c r="AD184">
        <v>0</v>
      </c>
      <c r="AE184" t="s">
        <v>519</v>
      </c>
      <c r="AF184" t="s">
        <v>524</v>
      </c>
      <c r="AG184" s="32">
        <v>550</v>
      </c>
      <c r="AH184" s="32" t="s">
        <v>671</v>
      </c>
      <c r="AI184" s="32" t="s">
        <v>1129</v>
      </c>
      <c r="AJ184" s="31" t="s">
        <v>1130</v>
      </c>
      <c r="AK184" s="31">
        <v>0.59524549999999998</v>
      </c>
      <c r="AL184" s="31">
        <v>327.38502499999998</v>
      </c>
      <c r="AM184" s="31">
        <v>222.61497500000002</v>
      </c>
      <c r="AN184" s="31">
        <v>746.58243388457254</v>
      </c>
      <c r="AO184" s="31">
        <v>507.66045226000574</v>
      </c>
      <c r="AP184" s="31">
        <v>0.58993704225427457</v>
      </c>
      <c r="AQ184" s="31">
        <v>0.40114485967404678</v>
      </c>
      <c r="AR184" s="31">
        <v>5.6446462515970946E-4</v>
      </c>
    </row>
    <row r="185" spans="1:44" hidden="1" x14ac:dyDescent="0.5">
      <c r="A185" s="31">
        <v>336</v>
      </c>
      <c r="B185" s="31">
        <v>24</v>
      </c>
      <c r="C185" s="225" t="s">
        <v>44</v>
      </c>
      <c r="D185" s="41">
        <v>11.76</v>
      </c>
      <c r="E185" s="43">
        <v>141.97999999999999</v>
      </c>
      <c r="F185">
        <v>210.62</v>
      </c>
      <c r="G185">
        <f>F185*1609.344</f>
        <v>338960.03328000003</v>
      </c>
      <c r="H185" s="32" t="s">
        <v>613</v>
      </c>
      <c r="I185">
        <v>5481</v>
      </c>
      <c r="J185">
        <v>0</v>
      </c>
      <c r="K185" s="26">
        <v>2017</v>
      </c>
      <c r="L185" t="s">
        <v>30</v>
      </c>
      <c r="M185" s="32">
        <v>20</v>
      </c>
      <c r="N185">
        <v>2.0820431909999999</v>
      </c>
      <c r="O185">
        <v>5</v>
      </c>
      <c r="P185" t="s">
        <v>15</v>
      </c>
      <c r="Q185">
        <v>91.3</v>
      </c>
      <c r="R185" t="s">
        <v>13</v>
      </c>
      <c r="S185" t="s">
        <v>14</v>
      </c>
      <c r="T185" t="s">
        <v>14</v>
      </c>
      <c r="U185" s="34">
        <v>0</v>
      </c>
      <c r="V185" s="34">
        <v>6</v>
      </c>
      <c r="W185" s="25">
        <v>3</v>
      </c>
      <c r="X185" s="25">
        <v>6</v>
      </c>
      <c r="Y185">
        <v>0.79018339500000001</v>
      </c>
      <c r="Z185" t="s">
        <v>1110</v>
      </c>
      <c r="AA185" t="s">
        <v>622</v>
      </c>
      <c r="AB185">
        <v>1</v>
      </c>
      <c r="AC185">
        <v>2.25</v>
      </c>
      <c r="AD185">
        <v>0</v>
      </c>
      <c r="AE185" t="s">
        <v>519</v>
      </c>
      <c r="AF185" t="s">
        <v>524</v>
      </c>
      <c r="AG185" s="32">
        <v>2250</v>
      </c>
      <c r="AH185" s="32" t="s">
        <v>671</v>
      </c>
      <c r="AI185" s="32" t="s">
        <v>1129</v>
      </c>
      <c r="AJ185" s="31" t="s">
        <v>1130</v>
      </c>
      <c r="AK185" s="31">
        <v>0.59524549999999998</v>
      </c>
      <c r="AL185" s="31">
        <v>1339.302375</v>
      </c>
      <c r="AM185" s="31">
        <v>910.69762500000002</v>
      </c>
      <c r="AN185" s="31">
        <v>3054.2008658914328</v>
      </c>
      <c r="AO185" s="31">
        <v>2076.792759245478</v>
      </c>
      <c r="AP185" s="31">
        <v>2.4133788092220323</v>
      </c>
      <c r="AQ185" s="31">
        <v>1.6410471532120092</v>
      </c>
      <c r="AR185" s="31">
        <v>5.499505111031456E-4</v>
      </c>
    </row>
    <row r="186" spans="1:44" hidden="1" x14ac:dyDescent="0.5">
      <c r="A186" s="31">
        <v>337</v>
      </c>
      <c r="B186" s="31">
        <v>24</v>
      </c>
      <c r="C186" s="225" t="s">
        <v>44</v>
      </c>
      <c r="D186" s="41">
        <v>10.86</v>
      </c>
      <c r="E186" s="43">
        <v>141.97999999999999</v>
      </c>
      <c r="F186">
        <v>398.14</v>
      </c>
      <c r="G186">
        <f>F186*1609.344</f>
        <v>640744.22016000003</v>
      </c>
      <c r="H186" s="32" t="s">
        <v>613</v>
      </c>
      <c r="I186">
        <v>5525</v>
      </c>
      <c r="J186">
        <v>0</v>
      </c>
      <c r="K186" s="26">
        <v>2017</v>
      </c>
      <c r="L186" t="s">
        <v>30</v>
      </c>
      <c r="M186" s="32">
        <v>20</v>
      </c>
      <c r="N186">
        <v>2.0820431909999999</v>
      </c>
      <c r="O186">
        <v>5</v>
      </c>
      <c r="P186" t="s">
        <v>15</v>
      </c>
      <c r="Q186">
        <v>91.3</v>
      </c>
      <c r="R186" t="s">
        <v>13</v>
      </c>
      <c r="S186" t="s">
        <v>14</v>
      </c>
      <c r="T186" t="s">
        <v>14</v>
      </c>
      <c r="U186" s="34">
        <v>0</v>
      </c>
      <c r="V186" s="34">
        <v>6</v>
      </c>
      <c r="W186" s="25">
        <v>3</v>
      </c>
      <c r="X186" s="25">
        <v>6</v>
      </c>
      <c r="Y186">
        <v>0.79018339500000001</v>
      </c>
      <c r="Z186" t="s">
        <v>1110</v>
      </c>
      <c r="AA186" t="s">
        <v>622</v>
      </c>
      <c r="AB186">
        <v>2</v>
      </c>
      <c r="AC186">
        <v>1.1200000000000001</v>
      </c>
      <c r="AD186">
        <v>1.1499999999999999</v>
      </c>
      <c r="AE186" t="s">
        <v>519</v>
      </c>
      <c r="AF186" t="s">
        <v>524</v>
      </c>
      <c r="AG186" s="32">
        <v>1120</v>
      </c>
      <c r="AH186" s="32" t="s">
        <v>671</v>
      </c>
      <c r="AI186" s="32" t="s">
        <v>1129</v>
      </c>
      <c r="AJ186" s="31" t="s">
        <v>1130</v>
      </c>
      <c r="AK186" s="31">
        <v>0.59524549999999998</v>
      </c>
      <c r="AL186" s="31">
        <v>666.67495999999994</v>
      </c>
      <c r="AM186" s="31">
        <v>453.32504000000006</v>
      </c>
      <c r="AN186" s="31">
        <v>1520.3133199104022</v>
      </c>
      <c r="AO186" s="31">
        <v>1033.7812846021936</v>
      </c>
      <c r="AP186" s="31">
        <v>1.2013263405905228</v>
      </c>
      <c r="AQ186" s="31">
        <v>0.81687680515442262</v>
      </c>
      <c r="AR186" s="31">
        <v>5.2623330395207453E-4</v>
      </c>
    </row>
    <row r="187" spans="1:44" hidden="1" x14ac:dyDescent="0.5">
      <c r="A187" s="31">
        <v>186</v>
      </c>
      <c r="B187" s="31">
        <v>11</v>
      </c>
      <c r="C187" s="225" t="s">
        <v>43</v>
      </c>
      <c r="D187" s="33">
        <v>52.908999999999999</v>
      </c>
      <c r="E187" s="33">
        <v>-10.218999999999999</v>
      </c>
      <c r="F187">
        <v>22.69</v>
      </c>
      <c r="G187">
        <f>F187*1609.344</f>
        <v>36516.015360000005</v>
      </c>
      <c r="H187" s="32" t="s">
        <v>614</v>
      </c>
      <c r="I187" s="7">
        <v>108</v>
      </c>
      <c r="J187">
        <v>27.9517945509659</v>
      </c>
      <c r="K187" s="26">
        <v>2014</v>
      </c>
      <c r="L187" t="s">
        <v>30</v>
      </c>
      <c r="M187" s="32">
        <v>250</v>
      </c>
      <c r="N187">
        <v>30.131484459999999</v>
      </c>
      <c r="O187">
        <v>5</v>
      </c>
      <c r="P187" t="s">
        <v>52</v>
      </c>
      <c r="Q187">
        <v>89</v>
      </c>
      <c r="R187" t="s">
        <v>13</v>
      </c>
      <c r="S187" t="s">
        <v>14</v>
      </c>
      <c r="T187" t="s">
        <v>14</v>
      </c>
      <c r="U187" s="34">
        <v>1</v>
      </c>
      <c r="V187" s="34">
        <v>1.5</v>
      </c>
      <c r="W187" s="25">
        <v>1.25</v>
      </c>
      <c r="X187" s="25">
        <v>0.5</v>
      </c>
      <c r="Y187">
        <v>1.5753479850000001</v>
      </c>
      <c r="Z187" t="s">
        <v>1102</v>
      </c>
      <c r="AA187" t="s">
        <v>622</v>
      </c>
      <c r="AB187">
        <v>1</v>
      </c>
      <c r="AC187">
        <v>0</v>
      </c>
      <c r="AF187" t="s">
        <v>667</v>
      </c>
      <c r="AG187" s="32">
        <v>0</v>
      </c>
      <c r="AH187" s="32" t="s">
        <v>671</v>
      </c>
      <c r="AI187" s="32" t="s">
        <v>1129</v>
      </c>
      <c r="AJ187" s="31" t="s">
        <v>1130</v>
      </c>
      <c r="AK187" s="31">
        <v>0.59524549999999998</v>
      </c>
      <c r="AL187" s="31">
        <v>0</v>
      </c>
      <c r="AM187" s="31">
        <v>0</v>
      </c>
      <c r="AN187" s="31">
        <v>0</v>
      </c>
      <c r="AO187" s="31">
        <v>0</v>
      </c>
      <c r="AP187" s="31">
        <v>0</v>
      </c>
      <c r="AQ187" s="31">
        <v>0</v>
      </c>
      <c r="AR187" s="31">
        <v>0.11973562073047503</v>
      </c>
    </row>
    <row r="188" spans="1:44" hidden="1" x14ac:dyDescent="0.5">
      <c r="A188" s="31">
        <v>187</v>
      </c>
      <c r="B188" s="31">
        <v>11</v>
      </c>
      <c r="C188" s="225" t="s">
        <v>43</v>
      </c>
      <c r="D188" s="35">
        <v>52.908999999999999</v>
      </c>
      <c r="E188" s="33">
        <v>-10.218999999999999</v>
      </c>
      <c r="F188">
        <v>22.69</v>
      </c>
      <c r="G188">
        <f>F188*1609.344</f>
        <v>36516.015360000005</v>
      </c>
      <c r="H188" s="32" t="s">
        <v>614</v>
      </c>
      <c r="I188" s="7">
        <v>108</v>
      </c>
      <c r="J188">
        <v>27.9517945509659</v>
      </c>
      <c r="K188" s="26">
        <v>2014</v>
      </c>
      <c r="L188" t="s">
        <v>30</v>
      </c>
      <c r="M188" s="32">
        <v>250</v>
      </c>
      <c r="N188">
        <v>30.131484459999999</v>
      </c>
      <c r="O188">
        <v>5</v>
      </c>
      <c r="P188" t="s">
        <v>52</v>
      </c>
      <c r="Q188">
        <v>89</v>
      </c>
      <c r="R188" t="s">
        <v>13</v>
      </c>
      <c r="S188" t="s">
        <v>14</v>
      </c>
      <c r="T188" t="s">
        <v>14</v>
      </c>
      <c r="U188" s="34">
        <v>1</v>
      </c>
      <c r="V188" s="34">
        <v>1.5</v>
      </c>
      <c r="W188" s="25">
        <v>1.25</v>
      </c>
      <c r="X188" s="25">
        <v>0.5</v>
      </c>
      <c r="Y188">
        <v>1.5753479850000001</v>
      </c>
      <c r="Z188" t="s">
        <v>1102</v>
      </c>
      <c r="AA188" t="s">
        <v>622</v>
      </c>
      <c r="AB188">
        <v>1</v>
      </c>
      <c r="AC188">
        <v>0</v>
      </c>
      <c r="AF188" t="s">
        <v>667</v>
      </c>
      <c r="AG188" s="32">
        <v>0</v>
      </c>
      <c r="AH188" s="32" t="s">
        <v>671</v>
      </c>
      <c r="AI188" s="32" t="s">
        <v>1129</v>
      </c>
      <c r="AJ188" s="31" t="s">
        <v>1130</v>
      </c>
      <c r="AK188" s="31">
        <v>0.59524549999999998</v>
      </c>
      <c r="AL188" s="31">
        <v>0</v>
      </c>
      <c r="AM188" s="31">
        <v>0</v>
      </c>
      <c r="AN188" s="31">
        <v>0</v>
      </c>
      <c r="AO188" s="31">
        <v>0</v>
      </c>
      <c r="AP188" s="31">
        <v>0</v>
      </c>
      <c r="AQ188" s="31">
        <v>0</v>
      </c>
      <c r="AR188" s="31">
        <v>0.11973562073047503</v>
      </c>
    </row>
    <row r="189" spans="1:44" hidden="1" x14ac:dyDescent="0.5">
      <c r="A189" s="31">
        <v>188</v>
      </c>
      <c r="B189" s="31">
        <v>11</v>
      </c>
      <c r="C189" s="225" t="s">
        <v>43</v>
      </c>
      <c r="D189" s="33">
        <v>52.908999999999999</v>
      </c>
      <c r="E189" s="33">
        <v>-10.218999999999999</v>
      </c>
      <c r="F189">
        <v>22.69</v>
      </c>
      <c r="G189">
        <f>F189*1609.344</f>
        <v>36516.015360000005</v>
      </c>
      <c r="H189" s="32" t="s">
        <v>614</v>
      </c>
      <c r="I189" s="7">
        <v>108</v>
      </c>
      <c r="J189">
        <v>27.9517945509659</v>
      </c>
      <c r="K189" s="26">
        <v>2014</v>
      </c>
      <c r="L189" t="s">
        <v>30</v>
      </c>
      <c r="M189" s="32">
        <v>250</v>
      </c>
      <c r="N189">
        <v>30.131484459999999</v>
      </c>
      <c r="O189">
        <v>5</v>
      </c>
      <c r="P189" t="s">
        <v>52</v>
      </c>
      <c r="Q189">
        <v>89</v>
      </c>
      <c r="R189" t="s">
        <v>13</v>
      </c>
      <c r="S189" t="s">
        <v>14</v>
      </c>
      <c r="T189" t="s">
        <v>14</v>
      </c>
      <c r="U189" s="34">
        <v>2</v>
      </c>
      <c r="V189" s="34">
        <v>2.5</v>
      </c>
      <c r="W189" s="25">
        <v>2.25</v>
      </c>
      <c r="X189" s="25">
        <v>0.5</v>
      </c>
      <c r="Y189">
        <v>1.5753479850000001</v>
      </c>
      <c r="Z189" t="s">
        <v>1102</v>
      </c>
      <c r="AA189" t="s">
        <v>622</v>
      </c>
      <c r="AB189">
        <v>1</v>
      </c>
      <c r="AC189">
        <v>0</v>
      </c>
      <c r="AF189" t="s">
        <v>667</v>
      </c>
      <c r="AG189" s="32">
        <v>0</v>
      </c>
      <c r="AH189" s="32" t="s">
        <v>671</v>
      </c>
      <c r="AI189" s="32" t="s">
        <v>1129</v>
      </c>
      <c r="AJ189" s="31" t="s">
        <v>1130</v>
      </c>
      <c r="AK189" s="31">
        <v>0.59524549999999998</v>
      </c>
      <c r="AL189" s="31">
        <v>0</v>
      </c>
      <c r="AM189" s="31">
        <v>0</v>
      </c>
      <c r="AN189" s="31">
        <v>0</v>
      </c>
      <c r="AO189" s="31">
        <v>0</v>
      </c>
      <c r="AP189" s="31">
        <v>0</v>
      </c>
      <c r="AQ189" s="31">
        <v>0</v>
      </c>
      <c r="AR189" s="31">
        <v>0.11973562073047503</v>
      </c>
    </row>
    <row r="190" spans="1:44" hidden="1" x14ac:dyDescent="0.5">
      <c r="A190" s="31">
        <v>189</v>
      </c>
      <c r="B190" s="31">
        <v>11</v>
      </c>
      <c r="C190" s="225" t="s">
        <v>43</v>
      </c>
      <c r="D190" s="35">
        <v>52.908999999999999</v>
      </c>
      <c r="E190" s="33">
        <v>-10.218999999999999</v>
      </c>
      <c r="F190">
        <v>22.69</v>
      </c>
      <c r="G190">
        <f>F190*1609.344</f>
        <v>36516.015360000005</v>
      </c>
      <c r="H190" s="32" t="s">
        <v>614</v>
      </c>
      <c r="I190" s="7">
        <v>108</v>
      </c>
      <c r="J190">
        <v>27.9517945509659</v>
      </c>
      <c r="K190" s="26">
        <v>2014</v>
      </c>
      <c r="L190" t="s">
        <v>30</v>
      </c>
      <c r="M190" s="32">
        <v>250</v>
      </c>
      <c r="N190">
        <v>30.131484459999999</v>
      </c>
      <c r="O190">
        <v>5</v>
      </c>
      <c r="P190" t="s">
        <v>52</v>
      </c>
      <c r="Q190">
        <v>89</v>
      </c>
      <c r="R190" t="s">
        <v>13</v>
      </c>
      <c r="S190" t="s">
        <v>14</v>
      </c>
      <c r="T190" t="s">
        <v>14</v>
      </c>
      <c r="U190" s="34">
        <v>2</v>
      </c>
      <c r="V190" s="34">
        <v>2.5</v>
      </c>
      <c r="W190" s="25">
        <v>2.25</v>
      </c>
      <c r="X190" s="25">
        <v>0.5</v>
      </c>
      <c r="Y190">
        <v>1.5753479850000001</v>
      </c>
      <c r="Z190" t="s">
        <v>1102</v>
      </c>
      <c r="AA190" t="s">
        <v>622</v>
      </c>
      <c r="AB190">
        <v>1</v>
      </c>
      <c r="AC190">
        <v>0</v>
      </c>
      <c r="AF190" t="s">
        <v>667</v>
      </c>
      <c r="AG190" s="32">
        <v>0</v>
      </c>
      <c r="AH190" s="32" t="s">
        <v>671</v>
      </c>
      <c r="AI190" s="32" t="s">
        <v>1129</v>
      </c>
      <c r="AJ190" s="31" t="s">
        <v>1130</v>
      </c>
      <c r="AK190" s="31">
        <v>0.59524549999999998</v>
      </c>
      <c r="AL190" s="31">
        <v>0</v>
      </c>
      <c r="AM190" s="31">
        <v>0</v>
      </c>
      <c r="AN190" s="31">
        <v>0</v>
      </c>
      <c r="AO190" s="31">
        <v>0</v>
      </c>
      <c r="AP190" s="31">
        <v>0</v>
      </c>
      <c r="AQ190" s="31">
        <v>0</v>
      </c>
      <c r="AR190" s="31">
        <v>0.11973562073047503</v>
      </c>
    </row>
    <row r="191" spans="1:44" hidden="1" x14ac:dyDescent="0.5">
      <c r="A191" s="31">
        <v>190</v>
      </c>
      <c r="B191" s="31">
        <v>11</v>
      </c>
      <c r="C191" s="225" t="s">
        <v>43</v>
      </c>
      <c r="D191" s="33">
        <v>52.908999999999999</v>
      </c>
      <c r="E191" s="33">
        <v>-10.218999999999999</v>
      </c>
      <c r="F191">
        <v>22.69</v>
      </c>
      <c r="G191">
        <f>F191*1609.344</f>
        <v>36516.015360000005</v>
      </c>
      <c r="H191" s="32" t="s">
        <v>614</v>
      </c>
      <c r="I191" s="7">
        <v>108</v>
      </c>
      <c r="J191">
        <v>27.9517945509659</v>
      </c>
      <c r="K191" s="26">
        <v>2014</v>
      </c>
      <c r="L191" t="s">
        <v>30</v>
      </c>
      <c r="M191" s="32">
        <v>250</v>
      </c>
      <c r="N191">
        <v>30.131484459999999</v>
      </c>
      <c r="O191">
        <v>5</v>
      </c>
      <c r="P191" t="s">
        <v>52</v>
      </c>
      <c r="Q191">
        <v>89</v>
      </c>
      <c r="R191" t="s">
        <v>13</v>
      </c>
      <c r="S191" t="s">
        <v>14</v>
      </c>
      <c r="T191" t="s">
        <v>14</v>
      </c>
      <c r="U191" s="34">
        <v>3</v>
      </c>
      <c r="V191" s="34">
        <v>3.5</v>
      </c>
      <c r="W191" s="25">
        <v>3.25</v>
      </c>
      <c r="X191" s="25">
        <v>0.5</v>
      </c>
      <c r="Y191">
        <v>1.5753479850000001</v>
      </c>
      <c r="Z191" t="s">
        <v>1102</v>
      </c>
      <c r="AA191" t="s">
        <v>622</v>
      </c>
      <c r="AB191">
        <v>1</v>
      </c>
      <c r="AC191">
        <v>0</v>
      </c>
      <c r="AF191" t="s">
        <v>667</v>
      </c>
      <c r="AG191" s="32">
        <v>0</v>
      </c>
      <c r="AH191" s="32" t="s">
        <v>671</v>
      </c>
      <c r="AI191" s="32" t="s">
        <v>1129</v>
      </c>
      <c r="AJ191" s="31" t="s">
        <v>1130</v>
      </c>
      <c r="AK191" s="31">
        <v>0.59524549999999998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0</v>
      </c>
      <c r="AR191" s="31">
        <v>0.11973562073047503</v>
      </c>
    </row>
    <row r="192" spans="1:44" hidden="1" x14ac:dyDescent="0.5">
      <c r="A192" s="31">
        <v>191</v>
      </c>
      <c r="B192" s="31">
        <v>11</v>
      </c>
      <c r="C192" s="225" t="s">
        <v>43</v>
      </c>
      <c r="D192" s="35">
        <v>52.908999999999999</v>
      </c>
      <c r="E192" s="33">
        <v>-10.218999999999999</v>
      </c>
      <c r="F192">
        <v>22.69</v>
      </c>
      <c r="G192">
        <f>F192*1609.344</f>
        <v>36516.015360000005</v>
      </c>
      <c r="H192" s="32" t="s">
        <v>614</v>
      </c>
      <c r="I192" s="7">
        <v>108</v>
      </c>
      <c r="J192">
        <v>27.9517945509659</v>
      </c>
      <c r="K192" s="26">
        <v>2014</v>
      </c>
      <c r="L192" t="s">
        <v>30</v>
      </c>
      <c r="M192" s="32">
        <v>250</v>
      </c>
      <c r="N192">
        <v>30.131484459999999</v>
      </c>
      <c r="O192">
        <v>5</v>
      </c>
      <c r="P192" t="s">
        <v>52</v>
      </c>
      <c r="Q192">
        <v>89</v>
      </c>
      <c r="R192" t="s">
        <v>13</v>
      </c>
      <c r="S192" t="s">
        <v>14</v>
      </c>
      <c r="T192" t="s">
        <v>14</v>
      </c>
      <c r="U192" s="34">
        <v>3</v>
      </c>
      <c r="V192" s="34">
        <v>3.5</v>
      </c>
      <c r="W192" s="25">
        <v>3.25</v>
      </c>
      <c r="X192" s="25">
        <v>0.5</v>
      </c>
      <c r="Y192">
        <v>1.5753479850000001</v>
      </c>
      <c r="Z192" t="s">
        <v>1102</v>
      </c>
      <c r="AA192" t="s">
        <v>622</v>
      </c>
      <c r="AB192">
        <v>1</v>
      </c>
      <c r="AC192">
        <v>0</v>
      </c>
      <c r="AF192" t="s">
        <v>667</v>
      </c>
      <c r="AG192" s="32">
        <v>0</v>
      </c>
      <c r="AH192" s="32" t="s">
        <v>671</v>
      </c>
      <c r="AI192" s="32" t="s">
        <v>1129</v>
      </c>
      <c r="AJ192" s="31" t="s">
        <v>1130</v>
      </c>
      <c r="AK192" s="31">
        <v>0.59524549999999998</v>
      </c>
      <c r="AL192" s="31">
        <v>0</v>
      </c>
      <c r="AM192" s="31">
        <v>0</v>
      </c>
      <c r="AN192" s="31">
        <v>0</v>
      </c>
      <c r="AO192" s="31">
        <v>0</v>
      </c>
      <c r="AP192" s="31">
        <v>0</v>
      </c>
      <c r="AQ192" s="31">
        <v>0</v>
      </c>
      <c r="AR192" s="31">
        <v>0.11973562073047503</v>
      </c>
    </row>
    <row r="193" spans="1:44" hidden="1" x14ac:dyDescent="0.5">
      <c r="A193" s="31">
        <v>192</v>
      </c>
      <c r="B193" s="31">
        <v>11</v>
      </c>
      <c r="C193" s="225" t="s">
        <v>43</v>
      </c>
      <c r="D193" s="35">
        <v>52.908999999999999</v>
      </c>
      <c r="E193" s="33">
        <v>-10.218999999999999</v>
      </c>
      <c r="F193">
        <v>22.69</v>
      </c>
      <c r="G193">
        <f>F193*1609.344</f>
        <v>36516.015360000005</v>
      </c>
      <c r="H193" s="32" t="s">
        <v>614</v>
      </c>
      <c r="I193" s="7">
        <v>108</v>
      </c>
      <c r="J193">
        <v>27.9517945509659</v>
      </c>
      <c r="K193" s="26">
        <v>2014</v>
      </c>
      <c r="L193" t="s">
        <v>30</v>
      </c>
      <c r="M193" s="32">
        <v>250</v>
      </c>
      <c r="N193">
        <v>30.131484459999999</v>
      </c>
      <c r="O193">
        <v>5</v>
      </c>
      <c r="P193" t="s">
        <v>52</v>
      </c>
      <c r="Q193">
        <v>89</v>
      </c>
      <c r="R193" t="s">
        <v>13</v>
      </c>
      <c r="S193" t="s">
        <v>14</v>
      </c>
      <c r="T193" t="s">
        <v>14</v>
      </c>
      <c r="U193" s="34">
        <v>0</v>
      </c>
      <c r="V193" s="34">
        <v>0.5</v>
      </c>
      <c r="W193" s="25">
        <v>0.25</v>
      </c>
      <c r="X193" s="25">
        <v>0.5</v>
      </c>
      <c r="Y193">
        <v>1.5753479850000001</v>
      </c>
      <c r="Z193" t="s">
        <v>1102</v>
      </c>
      <c r="AA193" t="s">
        <v>622</v>
      </c>
      <c r="AB193">
        <v>1</v>
      </c>
      <c r="AC193">
        <v>2</v>
      </c>
      <c r="AF193" t="s">
        <v>667</v>
      </c>
      <c r="AG193" s="32" t="s">
        <v>1233</v>
      </c>
      <c r="AH193" s="32" t="s">
        <v>1151</v>
      </c>
      <c r="AI193" s="32" t="s">
        <v>1234</v>
      </c>
      <c r="AJ193" s="31" t="s">
        <v>2756</v>
      </c>
      <c r="AK193" s="31">
        <v>0.85</v>
      </c>
      <c r="AL193" s="31">
        <v>63.478038472877458</v>
      </c>
      <c r="AM193" s="31">
        <v>11.202006789331321</v>
      </c>
      <c r="AN193" s="31">
        <v>2149.0871121312239</v>
      </c>
      <c r="AO193" s="31">
        <v>379.25066684668673</v>
      </c>
      <c r="AP193" s="31">
        <v>3.3855600516853932</v>
      </c>
      <c r="AQ193" s="31">
        <v>0.59745177382683423</v>
      </c>
      <c r="AR193" s="31">
        <v>0.11973562073047503</v>
      </c>
    </row>
    <row r="194" spans="1:44" hidden="1" x14ac:dyDescent="0.5">
      <c r="A194" s="31">
        <v>193</v>
      </c>
      <c r="B194" s="31">
        <v>11</v>
      </c>
      <c r="C194" s="225" t="s">
        <v>43</v>
      </c>
      <c r="D194" s="33">
        <v>52.908999999999999</v>
      </c>
      <c r="E194" s="33">
        <v>-10.218999999999999</v>
      </c>
      <c r="F194">
        <v>22.69</v>
      </c>
      <c r="G194">
        <f>F194*1609.344</f>
        <v>36516.015360000005</v>
      </c>
      <c r="H194" s="32" t="s">
        <v>614</v>
      </c>
      <c r="I194" s="7">
        <v>108</v>
      </c>
      <c r="J194">
        <v>27.9517945509659</v>
      </c>
      <c r="K194" s="26">
        <v>2014</v>
      </c>
      <c r="L194" t="s">
        <v>30</v>
      </c>
      <c r="M194" s="32">
        <v>250</v>
      </c>
      <c r="N194">
        <v>30.131484459999999</v>
      </c>
      <c r="O194">
        <v>5</v>
      </c>
      <c r="P194" t="s">
        <v>52</v>
      </c>
      <c r="Q194">
        <v>89</v>
      </c>
      <c r="R194" t="s">
        <v>13</v>
      </c>
      <c r="S194" t="s">
        <v>14</v>
      </c>
      <c r="T194" t="s">
        <v>14</v>
      </c>
      <c r="U194" s="34">
        <v>0</v>
      </c>
      <c r="V194" s="34">
        <v>0.5</v>
      </c>
      <c r="W194" s="25">
        <v>0.25</v>
      </c>
      <c r="X194" s="25">
        <v>0.5</v>
      </c>
      <c r="Y194">
        <v>1.5753479850000001</v>
      </c>
      <c r="Z194" t="s">
        <v>1102</v>
      </c>
      <c r="AA194" t="s">
        <v>622</v>
      </c>
      <c r="AB194">
        <v>1</v>
      </c>
      <c r="AC194">
        <v>3</v>
      </c>
      <c r="AF194" t="s">
        <v>667</v>
      </c>
      <c r="AG194" s="32" t="s">
        <v>1235</v>
      </c>
      <c r="AH194" s="32" t="s">
        <v>1151</v>
      </c>
      <c r="AI194" s="32" t="s">
        <v>1236</v>
      </c>
      <c r="AJ194" s="31" t="s">
        <v>2757</v>
      </c>
      <c r="AK194" s="31">
        <v>0.85</v>
      </c>
      <c r="AL194" s="31">
        <v>95.217057709316208</v>
      </c>
      <c r="AM194" s="31">
        <v>16.803010183996975</v>
      </c>
      <c r="AN194" s="31">
        <v>3223.6306681968367</v>
      </c>
      <c r="AO194" s="31">
        <v>568.87600027002986</v>
      </c>
      <c r="AP194" s="31">
        <v>5.0783400775280905</v>
      </c>
      <c r="AQ194" s="31">
        <v>0.89617766074025096</v>
      </c>
      <c r="AR194" s="31">
        <v>0.11973562073047503</v>
      </c>
    </row>
    <row r="195" spans="1:44" hidden="1" x14ac:dyDescent="0.5">
      <c r="A195" s="31">
        <v>194</v>
      </c>
      <c r="B195" s="31">
        <v>11</v>
      </c>
      <c r="C195" s="225" t="s">
        <v>43</v>
      </c>
      <c r="D195" s="35">
        <v>52.915999999999997</v>
      </c>
      <c r="E195" s="33">
        <v>-9.9809999999999999</v>
      </c>
      <c r="F195">
        <v>26.23</v>
      </c>
      <c r="G195">
        <f>F195*1609.344</f>
        <v>42213.093120000005</v>
      </c>
      <c r="H195" s="32" t="s">
        <v>614</v>
      </c>
      <c r="I195" s="7">
        <v>100</v>
      </c>
      <c r="J195">
        <v>34.158837607987898</v>
      </c>
      <c r="K195" s="26">
        <v>2014</v>
      </c>
      <c r="L195" t="s">
        <v>30</v>
      </c>
      <c r="M195" s="32">
        <v>250</v>
      </c>
      <c r="N195">
        <v>30.131484459999999</v>
      </c>
      <c r="O195">
        <v>5</v>
      </c>
      <c r="P195" t="s">
        <v>52</v>
      </c>
      <c r="Q195">
        <v>89</v>
      </c>
      <c r="R195" t="s">
        <v>13</v>
      </c>
      <c r="S195" t="s">
        <v>14</v>
      </c>
      <c r="T195" t="s">
        <v>14</v>
      </c>
      <c r="U195" s="34">
        <v>0</v>
      </c>
      <c r="V195" s="34">
        <v>0.5</v>
      </c>
      <c r="W195" s="25">
        <v>0.25</v>
      </c>
      <c r="X195" s="25">
        <v>0.5</v>
      </c>
      <c r="Y195">
        <v>1.5753479850000001</v>
      </c>
      <c r="Z195" t="s">
        <v>1102</v>
      </c>
      <c r="AA195" t="s">
        <v>622</v>
      </c>
      <c r="AB195">
        <v>1</v>
      </c>
      <c r="AC195">
        <v>0</v>
      </c>
      <c r="AF195" t="s">
        <v>667</v>
      </c>
      <c r="AG195" s="32">
        <v>0</v>
      </c>
      <c r="AH195" s="32" t="s">
        <v>671</v>
      </c>
      <c r="AI195" s="32" t="s">
        <v>1129</v>
      </c>
      <c r="AJ195" s="31" t="s">
        <v>1130</v>
      </c>
      <c r="AK195" s="31">
        <v>0.59524549999999998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0.12069918288496942</v>
      </c>
    </row>
    <row r="196" spans="1:44" hidden="1" x14ac:dyDescent="0.5">
      <c r="A196" s="31">
        <v>195</v>
      </c>
      <c r="B196" s="31">
        <v>11</v>
      </c>
      <c r="C196" s="225" t="s">
        <v>43</v>
      </c>
      <c r="D196" s="35">
        <v>52.915999999999997</v>
      </c>
      <c r="E196" s="33">
        <v>-9.9809999999999999</v>
      </c>
      <c r="F196">
        <v>26.23</v>
      </c>
      <c r="G196">
        <f>F196*1609.344</f>
        <v>42213.093120000005</v>
      </c>
      <c r="H196" s="32" t="s">
        <v>614</v>
      </c>
      <c r="I196" s="7">
        <v>100</v>
      </c>
      <c r="J196">
        <v>34.158837607987898</v>
      </c>
      <c r="K196" s="26">
        <v>2014</v>
      </c>
      <c r="L196" t="s">
        <v>30</v>
      </c>
      <c r="M196" s="32">
        <v>250</v>
      </c>
      <c r="N196">
        <v>30.131484459999999</v>
      </c>
      <c r="O196">
        <v>5</v>
      </c>
      <c r="P196" t="s">
        <v>52</v>
      </c>
      <c r="Q196">
        <v>89</v>
      </c>
      <c r="R196" t="s">
        <v>13</v>
      </c>
      <c r="S196" t="s">
        <v>14</v>
      </c>
      <c r="T196" t="s">
        <v>14</v>
      </c>
      <c r="U196" s="34">
        <v>1</v>
      </c>
      <c r="V196" s="34">
        <v>1.5</v>
      </c>
      <c r="W196" s="25">
        <v>1.25</v>
      </c>
      <c r="X196" s="25">
        <v>0.5</v>
      </c>
      <c r="Y196">
        <v>1.5753479850000001</v>
      </c>
      <c r="Z196" t="s">
        <v>1102</v>
      </c>
      <c r="AA196" t="s">
        <v>622</v>
      </c>
      <c r="AB196">
        <v>1</v>
      </c>
      <c r="AC196">
        <v>0</v>
      </c>
      <c r="AF196" t="s">
        <v>667</v>
      </c>
      <c r="AG196" s="32">
        <v>0</v>
      </c>
      <c r="AH196" s="32" t="s">
        <v>671</v>
      </c>
      <c r="AI196" s="32" t="s">
        <v>1129</v>
      </c>
      <c r="AJ196" s="31" t="s">
        <v>1130</v>
      </c>
      <c r="AK196" s="31">
        <v>0.59524549999999998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0.12069918288496942</v>
      </c>
    </row>
    <row r="197" spans="1:44" hidden="1" x14ac:dyDescent="0.5">
      <c r="A197" s="31">
        <v>196</v>
      </c>
      <c r="B197" s="31">
        <v>11</v>
      </c>
      <c r="C197" s="225" t="s">
        <v>43</v>
      </c>
      <c r="D197" s="35">
        <v>52.915999999999997</v>
      </c>
      <c r="E197" s="33">
        <v>-9.9809999999999999</v>
      </c>
      <c r="F197">
        <v>26.23</v>
      </c>
      <c r="G197">
        <f>F197*1609.344</f>
        <v>42213.093120000005</v>
      </c>
      <c r="H197" s="32" t="s">
        <v>614</v>
      </c>
      <c r="I197" s="7">
        <v>100</v>
      </c>
      <c r="J197">
        <v>34.158837607987898</v>
      </c>
      <c r="K197" s="26">
        <v>2014</v>
      </c>
      <c r="L197" t="s">
        <v>30</v>
      </c>
      <c r="M197" s="32">
        <v>250</v>
      </c>
      <c r="N197">
        <v>30.131484459999999</v>
      </c>
      <c r="O197">
        <v>5</v>
      </c>
      <c r="P197" t="s">
        <v>52</v>
      </c>
      <c r="Q197">
        <v>89</v>
      </c>
      <c r="R197" t="s">
        <v>13</v>
      </c>
      <c r="S197" t="s">
        <v>14</v>
      </c>
      <c r="T197" t="s">
        <v>14</v>
      </c>
      <c r="U197" s="34">
        <v>1</v>
      </c>
      <c r="V197" s="34">
        <v>1.5</v>
      </c>
      <c r="W197" s="25">
        <v>1.25</v>
      </c>
      <c r="X197" s="25">
        <v>0.5</v>
      </c>
      <c r="Y197">
        <v>1.5753479850000001</v>
      </c>
      <c r="Z197" t="s">
        <v>1102</v>
      </c>
      <c r="AA197" t="s">
        <v>622</v>
      </c>
      <c r="AB197">
        <v>1</v>
      </c>
      <c r="AC197">
        <v>0</v>
      </c>
      <c r="AF197" t="s">
        <v>667</v>
      </c>
      <c r="AG197" s="32">
        <v>0</v>
      </c>
      <c r="AH197" s="32" t="s">
        <v>671</v>
      </c>
      <c r="AI197" s="32" t="s">
        <v>1129</v>
      </c>
      <c r="AJ197" s="31" t="s">
        <v>1130</v>
      </c>
      <c r="AK197" s="31">
        <v>0.59524549999999998</v>
      </c>
      <c r="AL197" s="31">
        <v>0</v>
      </c>
      <c r="AM197" s="31">
        <v>0</v>
      </c>
      <c r="AN197" s="31">
        <v>0</v>
      </c>
      <c r="AO197" s="31">
        <v>0</v>
      </c>
      <c r="AP197" s="31">
        <v>0</v>
      </c>
      <c r="AQ197" s="31">
        <v>0</v>
      </c>
      <c r="AR197" s="31">
        <v>0.12069918288496942</v>
      </c>
    </row>
    <row r="198" spans="1:44" hidden="1" x14ac:dyDescent="0.5">
      <c r="A198" s="31">
        <v>197</v>
      </c>
      <c r="B198" s="31">
        <v>11</v>
      </c>
      <c r="C198" s="225" t="s">
        <v>43</v>
      </c>
      <c r="D198" s="35">
        <v>52.915999999999997</v>
      </c>
      <c r="E198" s="33">
        <v>-9.9809999999999999</v>
      </c>
      <c r="F198">
        <v>26.23</v>
      </c>
      <c r="G198">
        <f>F198*1609.344</f>
        <v>42213.093120000005</v>
      </c>
      <c r="H198" s="32" t="s">
        <v>614</v>
      </c>
      <c r="I198" s="7">
        <v>100</v>
      </c>
      <c r="J198">
        <v>34.158837607987898</v>
      </c>
      <c r="K198" s="26">
        <v>2014</v>
      </c>
      <c r="L198" t="s">
        <v>30</v>
      </c>
      <c r="M198" s="32">
        <v>250</v>
      </c>
      <c r="N198">
        <v>30.131484459999999</v>
      </c>
      <c r="O198">
        <v>5</v>
      </c>
      <c r="P198" t="s">
        <v>52</v>
      </c>
      <c r="Q198">
        <v>89</v>
      </c>
      <c r="R198" t="s">
        <v>13</v>
      </c>
      <c r="S198" t="s">
        <v>14</v>
      </c>
      <c r="T198" t="s">
        <v>14</v>
      </c>
      <c r="U198" s="34">
        <v>2</v>
      </c>
      <c r="V198" s="34">
        <v>2.5</v>
      </c>
      <c r="W198" s="25">
        <v>2.25</v>
      </c>
      <c r="X198" s="25">
        <v>0.5</v>
      </c>
      <c r="Y198">
        <v>1.5753479850000001</v>
      </c>
      <c r="Z198" t="s">
        <v>1102</v>
      </c>
      <c r="AA198" t="s">
        <v>622</v>
      </c>
      <c r="AB198">
        <v>1</v>
      </c>
      <c r="AC198">
        <v>0</v>
      </c>
      <c r="AF198" t="s">
        <v>667</v>
      </c>
      <c r="AG198" s="32">
        <v>0</v>
      </c>
      <c r="AH198" s="32" t="s">
        <v>671</v>
      </c>
      <c r="AI198" s="32" t="s">
        <v>1129</v>
      </c>
      <c r="AJ198" s="31" t="s">
        <v>1130</v>
      </c>
      <c r="AK198" s="31">
        <v>0.59524549999999998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0.12069918288496942</v>
      </c>
    </row>
    <row r="199" spans="1:44" hidden="1" x14ac:dyDescent="0.5">
      <c r="A199" s="31">
        <v>198</v>
      </c>
      <c r="B199" s="31">
        <v>11</v>
      </c>
      <c r="C199" s="225" t="s">
        <v>43</v>
      </c>
      <c r="D199" s="35">
        <v>52.915999999999997</v>
      </c>
      <c r="E199" s="33">
        <v>-9.9809999999999999</v>
      </c>
      <c r="F199">
        <v>26.23</v>
      </c>
      <c r="G199">
        <f>F199*1609.344</f>
        <v>42213.093120000005</v>
      </c>
      <c r="H199" s="32" t="s">
        <v>614</v>
      </c>
      <c r="I199" s="7">
        <v>100</v>
      </c>
      <c r="J199">
        <v>34.158837607987898</v>
      </c>
      <c r="K199" s="26">
        <v>2014</v>
      </c>
      <c r="L199" t="s">
        <v>30</v>
      </c>
      <c r="M199" s="32">
        <v>250</v>
      </c>
      <c r="N199">
        <v>30.131484459999999</v>
      </c>
      <c r="O199">
        <v>5</v>
      </c>
      <c r="P199" t="s">
        <v>52</v>
      </c>
      <c r="Q199">
        <v>89</v>
      </c>
      <c r="R199" t="s">
        <v>13</v>
      </c>
      <c r="S199" t="s">
        <v>14</v>
      </c>
      <c r="T199" t="s">
        <v>14</v>
      </c>
      <c r="U199" s="34">
        <v>2</v>
      </c>
      <c r="V199" s="34">
        <v>2.5</v>
      </c>
      <c r="W199" s="25">
        <v>2.25</v>
      </c>
      <c r="X199" s="25">
        <v>0.5</v>
      </c>
      <c r="Y199">
        <v>1.5753479850000001</v>
      </c>
      <c r="Z199" t="s">
        <v>1102</v>
      </c>
      <c r="AA199" t="s">
        <v>622</v>
      </c>
      <c r="AB199">
        <v>1</v>
      </c>
      <c r="AC199">
        <v>0</v>
      </c>
      <c r="AF199" t="s">
        <v>667</v>
      </c>
      <c r="AG199" s="32">
        <v>0</v>
      </c>
      <c r="AH199" s="32" t="s">
        <v>671</v>
      </c>
      <c r="AI199" s="32" t="s">
        <v>1129</v>
      </c>
      <c r="AJ199" s="31" t="s">
        <v>1130</v>
      </c>
      <c r="AK199" s="31">
        <v>0.59524549999999998</v>
      </c>
      <c r="AL199" s="31">
        <v>0</v>
      </c>
      <c r="AM199" s="31">
        <v>0</v>
      </c>
      <c r="AN199" s="31">
        <v>0</v>
      </c>
      <c r="AO199" s="31">
        <v>0</v>
      </c>
      <c r="AP199" s="31">
        <v>0</v>
      </c>
      <c r="AQ199" s="31">
        <v>0</v>
      </c>
      <c r="AR199" s="31">
        <v>0.12069918288496942</v>
      </c>
    </row>
    <row r="200" spans="1:44" hidden="1" x14ac:dyDescent="0.5">
      <c r="A200" s="31">
        <v>199</v>
      </c>
      <c r="B200" s="31">
        <v>11</v>
      </c>
      <c r="C200" s="225" t="s">
        <v>43</v>
      </c>
      <c r="D200" s="35">
        <v>52.915999999999997</v>
      </c>
      <c r="E200" s="33">
        <v>-9.9809999999999999</v>
      </c>
      <c r="F200">
        <v>26.23</v>
      </c>
      <c r="G200">
        <f>F200*1609.344</f>
        <v>42213.093120000005</v>
      </c>
      <c r="H200" s="32" t="s">
        <v>614</v>
      </c>
      <c r="I200" s="7">
        <v>100</v>
      </c>
      <c r="J200">
        <v>34.158837607987898</v>
      </c>
      <c r="K200" s="26">
        <v>2014</v>
      </c>
      <c r="L200" t="s">
        <v>30</v>
      </c>
      <c r="M200" s="32">
        <v>250</v>
      </c>
      <c r="N200">
        <v>30.131484459999999</v>
      </c>
      <c r="O200">
        <v>5</v>
      </c>
      <c r="P200" t="s">
        <v>52</v>
      </c>
      <c r="Q200">
        <v>89</v>
      </c>
      <c r="R200" t="s">
        <v>13</v>
      </c>
      <c r="S200" t="s">
        <v>14</v>
      </c>
      <c r="T200" t="s">
        <v>14</v>
      </c>
      <c r="U200" s="34">
        <v>3</v>
      </c>
      <c r="V200" s="34">
        <v>3.5</v>
      </c>
      <c r="W200" s="25">
        <v>3.25</v>
      </c>
      <c r="X200" s="25">
        <v>0.5</v>
      </c>
      <c r="Y200">
        <v>1.5753479850000001</v>
      </c>
      <c r="Z200" t="s">
        <v>1102</v>
      </c>
      <c r="AA200" t="s">
        <v>622</v>
      </c>
      <c r="AB200">
        <v>1</v>
      </c>
      <c r="AC200">
        <v>0</v>
      </c>
      <c r="AF200" t="s">
        <v>667</v>
      </c>
      <c r="AG200" s="32">
        <v>0</v>
      </c>
      <c r="AH200" s="32" t="s">
        <v>671</v>
      </c>
      <c r="AI200" s="32" t="s">
        <v>1129</v>
      </c>
      <c r="AJ200" s="31" t="s">
        <v>1130</v>
      </c>
      <c r="AK200" s="31">
        <v>0.59524549999999998</v>
      </c>
      <c r="AL200" s="31">
        <v>0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0.12069918288496942</v>
      </c>
    </row>
    <row r="201" spans="1:44" hidden="1" x14ac:dyDescent="0.5">
      <c r="A201" s="31">
        <v>200</v>
      </c>
      <c r="B201" s="31">
        <v>11</v>
      </c>
      <c r="C201" s="225" t="s">
        <v>43</v>
      </c>
      <c r="D201" s="35">
        <v>52.915999999999997</v>
      </c>
      <c r="E201" s="33">
        <v>-9.9809999999999999</v>
      </c>
      <c r="F201">
        <v>26.23</v>
      </c>
      <c r="G201">
        <f>F201*1609.344</f>
        <v>42213.093120000005</v>
      </c>
      <c r="H201" s="32" t="s">
        <v>614</v>
      </c>
      <c r="I201" s="7">
        <v>100</v>
      </c>
      <c r="J201">
        <v>34.158837607987898</v>
      </c>
      <c r="K201" s="26">
        <v>2014</v>
      </c>
      <c r="L201" t="s">
        <v>30</v>
      </c>
      <c r="M201" s="32">
        <v>250</v>
      </c>
      <c r="N201">
        <v>30.131484459999999</v>
      </c>
      <c r="O201">
        <v>5</v>
      </c>
      <c r="P201" t="s">
        <v>52</v>
      </c>
      <c r="Q201">
        <v>89</v>
      </c>
      <c r="R201" t="s">
        <v>13</v>
      </c>
      <c r="S201" t="s">
        <v>14</v>
      </c>
      <c r="T201" t="s">
        <v>14</v>
      </c>
      <c r="U201" s="34">
        <v>3</v>
      </c>
      <c r="V201" s="34">
        <v>3.5</v>
      </c>
      <c r="W201" s="25">
        <v>3.25</v>
      </c>
      <c r="X201" s="25">
        <v>0.5</v>
      </c>
      <c r="Y201">
        <v>1.5753479850000001</v>
      </c>
      <c r="Z201" t="s">
        <v>1102</v>
      </c>
      <c r="AA201" t="s">
        <v>622</v>
      </c>
      <c r="AB201">
        <v>1</v>
      </c>
      <c r="AC201">
        <v>0</v>
      </c>
      <c r="AF201" t="s">
        <v>667</v>
      </c>
      <c r="AG201" s="32">
        <v>0</v>
      </c>
      <c r="AH201" s="32" t="s">
        <v>671</v>
      </c>
      <c r="AI201" s="32" t="s">
        <v>1129</v>
      </c>
      <c r="AJ201" s="31" t="s">
        <v>1130</v>
      </c>
      <c r="AK201" s="31">
        <v>0.59524549999999998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0.12069918288496942</v>
      </c>
    </row>
    <row r="202" spans="1:44" hidden="1" x14ac:dyDescent="0.5">
      <c r="A202" s="31">
        <v>201</v>
      </c>
      <c r="B202" s="31">
        <v>11</v>
      </c>
      <c r="C202" s="225" t="s">
        <v>43</v>
      </c>
      <c r="D202" s="35">
        <v>52.915999999999997</v>
      </c>
      <c r="E202" s="33">
        <v>-9.9809999999999999</v>
      </c>
      <c r="F202">
        <v>26.23</v>
      </c>
      <c r="G202">
        <f>F202*1609.344</f>
        <v>42213.093120000005</v>
      </c>
      <c r="H202" s="32" t="s">
        <v>614</v>
      </c>
      <c r="I202" s="7">
        <v>100</v>
      </c>
      <c r="J202">
        <v>34.158837607987898</v>
      </c>
      <c r="K202" s="26">
        <v>2014</v>
      </c>
      <c r="L202" t="s">
        <v>30</v>
      </c>
      <c r="M202" s="32">
        <v>250</v>
      </c>
      <c r="N202">
        <v>30.131484459999999</v>
      </c>
      <c r="O202">
        <v>5</v>
      </c>
      <c r="P202" t="s">
        <v>52</v>
      </c>
      <c r="Q202">
        <v>89</v>
      </c>
      <c r="R202" t="s">
        <v>13</v>
      </c>
      <c r="S202" t="s">
        <v>14</v>
      </c>
      <c r="T202" t="s">
        <v>14</v>
      </c>
      <c r="U202" s="34">
        <v>0</v>
      </c>
      <c r="V202" s="34">
        <v>0.5</v>
      </c>
      <c r="W202" s="25">
        <v>0.25</v>
      </c>
      <c r="X202" s="25">
        <v>0.5</v>
      </c>
      <c r="Y202">
        <v>1.5753479850000001</v>
      </c>
      <c r="Z202" t="s">
        <v>1102</v>
      </c>
      <c r="AA202" t="s">
        <v>622</v>
      </c>
      <c r="AB202">
        <v>1</v>
      </c>
      <c r="AC202">
        <v>3</v>
      </c>
      <c r="AF202" t="s">
        <v>667</v>
      </c>
      <c r="AG202" s="32" t="s">
        <v>1235</v>
      </c>
      <c r="AH202" s="32" t="s">
        <v>1151</v>
      </c>
      <c r="AI202" s="32" t="s">
        <v>1236</v>
      </c>
      <c r="AJ202" s="31" t="s">
        <v>2757</v>
      </c>
      <c r="AK202" s="31">
        <v>0.85</v>
      </c>
      <c r="AL202" s="31">
        <v>95.217057709316208</v>
      </c>
      <c r="AM202" s="31">
        <v>16.803010183996975</v>
      </c>
      <c r="AN202" s="31">
        <v>3223.6306681968367</v>
      </c>
      <c r="AO202" s="31">
        <v>568.87600027002986</v>
      </c>
      <c r="AP202" s="31">
        <v>5.0783400775280905</v>
      </c>
      <c r="AQ202" s="31">
        <v>0.89617766074025096</v>
      </c>
      <c r="AR202" s="31">
        <v>0.12069918288496942</v>
      </c>
    </row>
    <row r="203" spans="1:44" hidden="1" x14ac:dyDescent="0.5">
      <c r="A203" s="31">
        <v>338</v>
      </c>
      <c r="B203" s="31">
        <v>24</v>
      </c>
      <c r="C203" s="225" t="s">
        <v>44</v>
      </c>
      <c r="D203" s="35">
        <v>10.85</v>
      </c>
      <c r="E203" s="43">
        <v>141.96</v>
      </c>
      <c r="F203">
        <v>249.23</v>
      </c>
      <c r="G203">
        <f>F203*1609.344</f>
        <v>401096.80511999998</v>
      </c>
      <c r="H203" s="32" t="s">
        <v>613</v>
      </c>
      <c r="I203">
        <v>5557</v>
      </c>
      <c r="J203">
        <v>0</v>
      </c>
      <c r="K203" s="26">
        <v>2017</v>
      </c>
      <c r="L203" t="s">
        <v>30</v>
      </c>
      <c r="M203" s="32">
        <v>20</v>
      </c>
      <c r="N203">
        <v>2.0820431909999999</v>
      </c>
      <c r="O203">
        <v>5</v>
      </c>
      <c r="P203" t="s">
        <v>15</v>
      </c>
      <c r="Q203">
        <v>91.3</v>
      </c>
      <c r="R203" t="s">
        <v>13</v>
      </c>
      <c r="S203" t="s">
        <v>14</v>
      </c>
      <c r="T203" t="s">
        <v>14</v>
      </c>
      <c r="U203" s="34">
        <v>0</v>
      </c>
      <c r="V203" s="34">
        <v>6</v>
      </c>
      <c r="W203" s="25">
        <v>3</v>
      </c>
      <c r="X203" s="25">
        <v>6</v>
      </c>
      <c r="Y203">
        <v>0.79018339500000001</v>
      </c>
      <c r="Z203" t="s">
        <v>1110</v>
      </c>
      <c r="AA203" t="s">
        <v>622</v>
      </c>
      <c r="AB203">
        <v>1</v>
      </c>
      <c r="AC203">
        <v>1.1000000000000001</v>
      </c>
      <c r="AD203">
        <v>0</v>
      </c>
      <c r="AE203" t="s">
        <v>519</v>
      </c>
      <c r="AF203" t="s">
        <v>524</v>
      </c>
      <c r="AG203" s="32">
        <v>1100</v>
      </c>
      <c r="AH203" s="32" t="s">
        <v>671</v>
      </c>
      <c r="AI203" s="32" t="s">
        <v>1129</v>
      </c>
      <c r="AJ203" s="31" t="s">
        <v>1130</v>
      </c>
      <c r="AK203" s="31">
        <v>0.59524549999999998</v>
      </c>
      <c r="AL203" s="31">
        <v>654.77004999999997</v>
      </c>
      <c r="AM203" s="31">
        <v>445.22995000000003</v>
      </c>
      <c r="AN203" s="31">
        <v>1493.1648677691451</v>
      </c>
      <c r="AO203" s="31">
        <v>1015.3209045200115</v>
      </c>
      <c r="AP203" s="31">
        <v>1.1798740845085491</v>
      </c>
      <c r="AQ203" s="31">
        <v>0.80228971934809357</v>
      </c>
      <c r="AR203" s="31">
        <v>5.0962941871037567E-4</v>
      </c>
    </row>
    <row r="204" spans="1:44" hidden="1" x14ac:dyDescent="0.5">
      <c r="A204" s="31">
        <v>339</v>
      </c>
      <c r="B204" s="31">
        <v>24</v>
      </c>
      <c r="C204" s="225" t="s">
        <v>44</v>
      </c>
      <c r="D204" s="41">
        <v>11.8</v>
      </c>
      <c r="E204" s="43">
        <v>142.11000000000001</v>
      </c>
      <c r="F204">
        <v>200.54</v>
      </c>
      <c r="G204">
        <f>F204*1609.344</f>
        <v>322737.84576</v>
      </c>
      <c r="H204" s="32" t="s">
        <v>613</v>
      </c>
      <c r="I204">
        <v>5590</v>
      </c>
      <c r="J204">
        <v>0</v>
      </c>
      <c r="K204" s="26">
        <v>2017</v>
      </c>
      <c r="L204" t="s">
        <v>30</v>
      </c>
      <c r="M204" s="32">
        <v>20</v>
      </c>
      <c r="N204">
        <v>2.0820431909999999</v>
      </c>
      <c r="O204">
        <v>5</v>
      </c>
      <c r="P204" t="s">
        <v>15</v>
      </c>
      <c r="Q204">
        <v>91.3</v>
      </c>
      <c r="R204" t="s">
        <v>13</v>
      </c>
      <c r="S204" t="s">
        <v>14</v>
      </c>
      <c r="T204" t="s">
        <v>14</v>
      </c>
      <c r="U204" s="34">
        <v>0</v>
      </c>
      <c r="V204" s="34">
        <v>6</v>
      </c>
      <c r="W204" s="25">
        <v>3</v>
      </c>
      <c r="X204" s="25">
        <v>6</v>
      </c>
      <c r="Y204">
        <v>0.79018339500000001</v>
      </c>
      <c r="Z204" t="s">
        <v>1110</v>
      </c>
      <c r="AA204" t="s">
        <v>622</v>
      </c>
      <c r="AB204">
        <v>1</v>
      </c>
      <c r="AC204">
        <v>0.57999999999999996</v>
      </c>
      <c r="AD204">
        <v>0</v>
      </c>
      <c r="AE204" t="s">
        <v>519</v>
      </c>
      <c r="AF204" t="s">
        <v>524</v>
      </c>
      <c r="AG204" s="32">
        <v>580</v>
      </c>
      <c r="AH204" s="32" t="s">
        <v>671</v>
      </c>
      <c r="AI204" s="32" t="s">
        <v>1129</v>
      </c>
      <c r="AJ204" s="31" t="s">
        <v>1130</v>
      </c>
      <c r="AK204" s="31">
        <v>0.59524549999999998</v>
      </c>
      <c r="AL204" s="31">
        <v>345.24239</v>
      </c>
      <c r="AM204" s="31">
        <v>234.75761</v>
      </c>
      <c r="AN204" s="31">
        <v>787.30511209645829</v>
      </c>
      <c r="AO204" s="31">
        <v>535.35102238327875</v>
      </c>
      <c r="AP204" s="31">
        <v>0.62211542637723494</v>
      </c>
      <c r="AQ204" s="31">
        <v>0.42302548838354015</v>
      </c>
      <c r="AR204" s="31">
        <v>4.9305518473889102E-4</v>
      </c>
    </row>
    <row r="205" spans="1:44" hidden="1" x14ac:dyDescent="0.5">
      <c r="A205" s="31">
        <v>340</v>
      </c>
      <c r="B205" s="31">
        <v>24</v>
      </c>
      <c r="C205" s="225" t="s">
        <v>44</v>
      </c>
      <c r="D205" s="35">
        <v>10.52</v>
      </c>
      <c r="E205" s="43">
        <v>141.88</v>
      </c>
      <c r="F205">
        <v>267.88</v>
      </c>
      <c r="G205">
        <f>F205*1609.344</f>
        <v>431111.07072000002</v>
      </c>
      <c r="H205" s="32" t="s">
        <v>613</v>
      </c>
      <c r="I205">
        <v>5658</v>
      </c>
      <c r="J205">
        <v>0</v>
      </c>
      <c r="K205" s="26">
        <v>2017</v>
      </c>
      <c r="L205" t="s">
        <v>30</v>
      </c>
      <c r="M205" s="32">
        <v>20</v>
      </c>
      <c r="N205">
        <v>2.0820431909999999</v>
      </c>
      <c r="O205">
        <v>5</v>
      </c>
      <c r="P205" t="s">
        <v>15</v>
      </c>
      <c r="Q205">
        <v>91.3</v>
      </c>
      <c r="R205" t="s">
        <v>13</v>
      </c>
      <c r="S205" t="s">
        <v>14</v>
      </c>
      <c r="T205" t="s">
        <v>14</v>
      </c>
      <c r="U205" s="34">
        <v>0</v>
      </c>
      <c r="V205" s="34">
        <v>6</v>
      </c>
      <c r="W205" s="25">
        <v>3</v>
      </c>
      <c r="X205" s="25">
        <v>6</v>
      </c>
      <c r="Y205">
        <v>0.79018339500000001</v>
      </c>
      <c r="Z205" t="s">
        <v>1110</v>
      </c>
      <c r="AA205" t="s">
        <v>622</v>
      </c>
      <c r="AB205">
        <v>1</v>
      </c>
      <c r="AC205">
        <v>0.27</v>
      </c>
      <c r="AD205">
        <v>0</v>
      </c>
      <c r="AE205" t="s">
        <v>519</v>
      </c>
      <c r="AF205" t="s">
        <v>524</v>
      </c>
      <c r="AG205" s="32">
        <v>270</v>
      </c>
      <c r="AH205" s="32" t="s">
        <v>671</v>
      </c>
      <c r="AI205" s="32" t="s">
        <v>1129</v>
      </c>
      <c r="AJ205" s="31" t="s">
        <v>1130</v>
      </c>
      <c r="AK205" s="31">
        <v>0.59524549999999998</v>
      </c>
      <c r="AL205" s="31">
        <v>160.716285</v>
      </c>
      <c r="AM205" s="31">
        <v>109.283715</v>
      </c>
      <c r="AN205" s="31">
        <v>366.50410390697198</v>
      </c>
      <c r="AO205" s="31">
        <v>249.21513110945733</v>
      </c>
      <c r="AP205" s="31">
        <v>0.28960545710664387</v>
      </c>
      <c r="AQ205" s="31">
        <v>0.19692565838544113</v>
      </c>
      <c r="AR205" s="31">
        <v>4.6058243343632325E-4</v>
      </c>
    </row>
    <row r="206" spans="1:44" hidden="1" x14ac:dyDescent="0.5">
      <c r="A206" s="31">
        <v>342</v>
      </c>
      <c r="B206" s="31">
        <v>24</v>
      </c>
      <c r="C206" s="225" t="s">
        <v>44</v>
      </c>
      <c r="D206" s="41">
        <v>10.95</v>
      </c>
      <c r="E206" s="43">
        <v>141.94</v>
      </c>
      <c r="F206">
        <v>244.8</v>
      </c>
      <c r="G206">
        <f>F206*1609.344</f>
        <v>393967.41120000003</v>
      </c>
      <c r="H206" s="32" t="s">
        <v>59</v>
      </c>
      <c r="I206">
        <v>6517</v>
      </c>
      <c r="J206">
        <v>0</v>
      </c>
      <c r="K206" s="26">
        <v>2017</v>
      </c>
      <c r="L206" t="s">
        <v>30</v>
      </c>
      <c r="M206" s="32">
        <v>20</v>
      </c>
      <c r="N206">
        <v>2.0820431909999999</v>
      </c>
      <c r="O206">
        <v>5</v>
      </c>
      <c r="P206" t="s">
        <v>15</v>
      </c>
      <c r="Q206">
        <v>91.3</v>
      </c>
      <c r="R206" t="s">
        <v>13</v>
      </c>
      <c r="S206" t="s">
        <v>14</v>
      </c>
      <c r="T206" t="s">
        <v>14</v>
      </c>
      <c r="U206" s="34">
        <v>0</v>
      </c>
      <c r="V206" s="34">
        <v>6</v>
      </c>
      <c r="W206" s="25">
        <v>3</v>
      </c>
      <c r="X206" s="25">
        <v>6</v>
      </c>
      <c r="Y206">
        <v>1.5753479850000001</v>
      </c>
      <c r="Z206" t="s">
        <v>712</v>
      </c>
      <c r="AA206" t="s">
        <v>626</v>
      </c>
      <c r="AB206">
        <v>1</v>
      </c>
      <c r="AC206">
        <v>0.28999999999999998</v>
      </c>
      <c r="AD206">
        <v>0</v>
      </c>
      <c r="AE206" t="s">
        <v>519</v>
      </c>
      <c r="AF206" t="s">
        <v>524</v>
      </c>
      <c r="AG206" s="32">
        <v>290</v>
      </c>
      <c r="AH206" s="32" t="s">
        <v>671</v>
      </c>
      <c r="AI206" s="32" t="s">
        <v>1129</v>
      </c>
      <c r="AJ206" s="31" t="s">
        <v>1130</v>
      </c>
      <c r="AK206" s="31">
        <v>0.59524549999999998</v>
      </c>
      <c r="AL206" s="31">
        <v>172.621195</v>
      </c>
      <c r="AM206" s="31">
        <v>117.378805</v>
      </c>
      <c r="AN206" s="31">
        <v>393.65255604822914</v>
      </c>
      <c r="AO206" s="31">
        <v>267.67551119163937</v>
      </c>
      <c r="AP206" s="31">
        <v>0.62013976096067736</v>
      </c>
      <c r="AQ206" s="31">
        <v>0.421682077189594</v>
      </c>
      <c r="AR206" s="31">
        <v>1.9477772545914071E-4</v>
      </c>
    </row>
    <row r="207" spans="1:44" hidden="1" x14ac:dyDescent="0.5">
      <c r="A207" s="31">
        <v>343</v>
      </c>
      <c r="B207" s="31">
        <v>24</v>
      </c>
      <c r="C207" s="225" t="s">
        <v>44</v>
      </c>
      <c r="D207" s="35">
        <v>11.63</v>
      </c>
      <c r="E207" s="33">
        <v>142.13999999999999</v>
      </c>
      <c r="F207">
        <v>205.91</v>
      </c>
      <c r="G207">
        <f>F207*1609.344</f>
        <v>331380.02304</v>
      </c>
      <c r="H207" s="32" t="s">
        <v>59</v>
      </c>
      <c r="I207">
        <v>6523</v>
      </c>
      <c r="J207">
        <v>0</v>
      </c>
      <c r="K207" s="26">
        <v>2017</v>
      </c>
      <c r="L207" t="s">
        <v>30</v>
      </c>
      <c r="M207" s="32">
        <v>20</v>
      </c>
      <c r="N207">
        <v>2.0820431909999999</v>
      </c>
      <c r="O207">
        <v>5</v>
      </c>
      <c r="P207" t="s">
        <v>15</v>
      </c>
      <c r="Q207">
        <v>91.3</v>
      </c>
      <c r="R207" t="s">
        <v>13</v>
      </c>
      <c r="S207" t="s">
        <v>14</v>
      </c>
      <c r="T207" t="s">
        <v>14</v>
      </c>
      <c r="U207" s="34">
        <v>0</v>
      </c>
      <c r="V207" s="34">
        <v>6</v>
      </c>
      <c r="W207" s="25">
        <v>3</v>
      </c>
      <c r="X207" s="25">
        <v>6</v>
      </c>
      <c r="Y207">
        <v>1.5753479850000001</v>
      </c>
      <c r="Z207" t="s">
        <v>712</v>
      </c>
      <c r="AA207" t="s">
        <v>626</v>
      </c>
      <c r="AB207">
        <v>1</v>
      </c>
      <c r="AC207">
        <v>0.44</v>
      </c>
      <c r="AD207">
        <v>0</v>
      </c>
      <c r="AE207" t="s">
        <v>519</v>
      </c>
      <c r="AF207" t="s">
        <v>524</v>
      </c>
      <c r="AG207" s="32">
        <v>440</v>
      </c>
      <c r="AH207" s="32" t="s">
        <v>671</v>
      </c>
      <c r="AI207" s="32" t="s">
        <v>1129</v>
      </c>
      <c r="AJ207" s="31" t="s">
        <v>1130</v>
      </c>
      <c r="AK207" s="31">
        <v>0.59524549999999998</v>
      </c>
      <c r="AL207" s="31">
        <v>261.90801999999996</v>
      </c>
      <c r="AM207" s="31">
        <v>178.09198000000004</v>
      </c>
      <c r="AN207" s="31">
        <v>597.26594710765801</v>
      </c>
      <c r="AO207" s="31">
        <v>406.12836180800463</v>
      </c>
      <c r="AP207" s="31">
        <v>0.94090170628516567</v>
      </c>
      <c r="AQ207" s="31">
        <v>0.63979349642559102</v>
      </c>
      <c r="AR207" s="31">
        <v>1.9361034997422767E-4</v>
      </c>
    </row>
    <row r="208" spans="1:44" hidden="1" x14ac:dyDescent="0.5">
      <c r="A208" s="31">
        <v>344</v>
      </c>
      <c r="B208" s="31">
        <v>24</v>
      </c>
      <c r="C208" s="225" t="s">
        <v>44</v>
      </c>
      <c r="D208" s="35">
        <v>10.92</v>
      </c>
      <c r="E208" s="33">
        <v>141.69999999999999</v>
      </c>
      <c r="F208">
        <v>261.18</v>
      </c>
      <c r="G208">
        <f>F208*1609.344</f>
        <v>420328.46592000005</v>
      </c>
      <c r="H208" s="32" t="s">
        <v>59</v>
      </c>
      <c r="I208">
        <v>6647</v>
      </c>
      <c r="J208">
        <v>0</v>
      </c>
      <c r="K208" s="26">
        <v>2017</v>
      </c>
      <c r="L208" t="s">
        <v>30</v>
      </c>
      <c r="M208" s="32">
        <v>20</v>
      </c>
      <c r="N208">
        <v>2.0820431909999999</v>
      </c>
      <c r="O208">
        <v>5</v>
      </c>
      <c r="P208" t="s">
        <v>15</v>
      </c>
      <c r="Q208">
        <v>91.3</v>
      </c>
      <c r="R208" t="s">
        <v>13</v>
      </c>
      <c r="S208" t="s">
        <v>14</v>
      </c>
      <c r="T208" t="s">
        <v>14</v>
      </c>
      <c r="U208" s="34">
        <v>0</v>
      </c>
      <c r="V208" s="34">
        <v>6</v>
      </c>
      <c r="W208" s="25">
        <v>3</v>
      </c>
      <c r="X208" s="25">
        <v>6</v>
      </c>
      <c r="Y208">
        <v>1.5753479850000001</v>
      </c>
      <c r="Z208" t="s">
        <v>712</v>
      </c>
      <c r="AA208" t="s">
        <v>626</v>
      </c>
      <c r="AB208">
        <v>1</v>
      </c>
      <c r="AC208">
        <v>0.68</v>
      </c>
      <c r="AD208">
        <v>0</v>
      </c>
      <c r="AE208" t="s">
        <v>519</v>
      </c>
      <c r="AF208" t="s">
        <v>524</v>
      </c>
      <c r="AG208" s="32">
        <v>680</v>
      </c>
      <c r="AH208" s="32" t="s">
        <v>671</v>
      </c>
      <c r="AI208" s="32" t="s">
        <v>1129</v>
      </c>
      <c r="AJ208" s="31" t="s">
        <v>1130</v>
      </c>
      <c r="AK208" s="31">
        <v>0.59524549999999998</v>
      </c>
      <c r="AL208" s="31">
        <v>404.76693999999998</v>
      </c>
      <c r="AM208" s="31">
        <v>275.23306000000002</v>
      </c>
      <c r="AN208" s="31">
        <v>923.04737280274423</v>
      </c>
      <c r="AO208" s="31">
        <v>627.65292279418895</v>
      </c>
      <c r="AP208" s="31">
        <v>1.4541208188043468</v>
      </c>
      <c r="AQ208" s="31">
        <v>0.98877176720318616</v>
      </c>
      <c r="AR208" s="31">
        <v>1.7099117237667555E-4</v>
      </c>
    </row>
    <row r="209" spans="1:44" hidden="1" x14ac:dyDescent="0.5">
      <c r="A209" s="31">
        <v>345</v>
      </c>
      <c r="B209" s="31">
        <v>24</v>
      </c>
      <c r="C209" s="225" t="s">
        <v>44</v>
      </c>
      <c r="D209" s="35">
        <v>10.96</v>
      </c>
      <c r="E209" s="33">
        <v>141.97999999999999</v>
      </c>
      <c r="F209">
        <v>244.58</v>
      </c>
      <c r="G209">
        <f>F209*1609.344</f>
        <v>393613.35552000004</v>
      </c>
      <c r="H209" s="32" t="s">
        <v>59</v>
      </c>
      <c r="I209">
        <v>6675</v>
      </c>
      <c r="J209">
        <v>0</v>
      </c>
      <c r="K209" s="26">
        <v>2017</v>
      </c>
      <c r="L209" t="s">
        <v>30</v>
      </c>
      <c r="M209" s="32">
        <v>20</v>
      </c>
      <c r="N209">
        <v>2.0820431909999999</v>
      </c>
      <c r="O209">
        <v>5</v>
      </c>
      <c r="P209" t="s">
        <v>15</v>
      </c>
      <c r="Q209">
        <v>91.3</v>
      </c>
      <c r="R209" t="s">
        <v>13</v>
      </c>
      <c r="S209" t="s">
        <v>14</v>
      </c>
      <c r="T209" t="s">
        <v>14</v>
      </c>
      <c r="U209" s="34">
        <v>0</v>
      </c>
      <c r="V209" s="34">
        <v>6</v>
      </c>
      <c r="W209" s="25">
        <v>3</v>
      </c>
      <c r="X209" s="25">
        <v>6</v>
      </c>
      <c r="Y209">
        <v>1.5753479850000001</v>
      </c>
      <c r="Z209" t="s">
        <v>712</v>
      </c>
      <c r="AA209" t="s">
        <v>626</v>
      </c>
      <c r="AB209">
        <v>1</v>
      </c>
      <c r="AC209">
        <v>0.65</v>
      </c>
      <c r="AD209">
        <v>0</v>
      </c>
      <c r="AE209" t="s">
        <v>519</v>
      </c>
      <c r="AF209" t="s">
        <v>524</v>
      </c>
      <c r="AG209" s="32">
        <v>650</v>
      </c>
      <c r="AH209" s="32" t="s">
        <v>671</v>
      </c>
      <c r="AI209" s="32" t="s">
        <v>1129</v>
      </c>
      <c r="AJ209" s="31" t="s">
        <v>1130</v>
      </c>
      <c r="AK209" s="31">
        <v>0.59524549999999998</v>
      </c>
      <c r="AL209" s="31">
        <v>386.90957499999996</v>
      </c>
      <c r="AM209" s="31">
        <v>263.09042500000004</v>
      </c>
      <c r="AN209" s="31">
        <v>882.32469459085848</v>
      </c>
      <c r="AO209" s="31">
        <v>599.96235267091595</v>
      </c>
      <c r="AP209" s="31">
        <v>1.3899684297394495</v>
      </c>
      <c r="AQ209" s="31">
        <v>0.94514948335598681</v>
      </c>
      <c r="AR209" s="31">
        <v>1.6626097768156778E-4</v>
      </c>
    </row>
    <row r="210" spans="1:44" hidden="1" x14ac:dyDescent="0.5">
      <c r="A210" s="31">
        <v>346</v>
      </c>
      <c r="B210" s="31">
        <v>24</v>
      </c>
      <c r="C210" s="225" t="s">
        <v>44</v>
      </c>
      <c r="D210" s="35">
        <v>11.58</v>
      </c>
      <c r="E210" s="33">
        <v>141.88</v>
      </c>
      <c r="F210">
        <v>223.77</v>
      </c>
      <c r="G210">
        <f>F210*1609.344</f>
        <v>360122.90688000002</v>
      </c>
      <c r="H210" s="32" t="s">
        <v>59</v>
      </c>
      <c r="I210">
        <v>6695</v>
      </c>
      <c r="J210">
        <v>0</v>
      </c>
      <c r="K210" s="26">
        <v>2017</v>
      </c>
      <c r="L210" t="s">
        <v>30</v>
      </c>
      <c r="M210" s="32">
        <v>20</v>
      </c>
      <c r="N210">
        <v>2.0820431909999999</v>
      </c>
      <c r="O210">
        <v>5</v>
      </c>
      <c r="P210" t="s">
        <v>15</v>
      </c>
      <c r="Q210">
        <v>91.3</v>
      </c>
      <c r="R210" t="s">
        <v>13</v>
      </c>
      <c r="S210" t="s">
        <v>14</v>
      </c>
      <c r="T210" t="s">
        <v>14</v>
      </c>
      <c r="U210" s="34">
        <v>0</v>
      </c>
      <c r="V210" s="34">
        <v>6</v>
      </c>
      <c r="W210" s="25">
        <v>3</v>
      </c>
      <c r="X210" s="25">
        <v>6</v>
      </c>
      <c r="Y210">
        <v>1.5753479850000001</v>
      </c>
      <c r="Z210" t="s">
        <v>712</v>
      </c>
      <c r="AA210" t="s">
        <v>626</v>
      </c>
      <c r="AB210">
        <v>1</v>
      </c>
      <c r="AC210">
        <v>0.67</v>
      </c>
      <c r="AD210">
        <v>0</v>
      </c>
      <c r="AE210" t="s">
        <v>519</v>
      </c>
      <c r="AF210" t="s">
        <v>524</v>
      </c>
      <c r="AG210" s="32">
        <v>670</v>
      </c>
      <c r="AH210" s="32" t="s">
        <v>671</v>
      </c>
      <c r="AI210" s="32" t="s">
        <v>1129</v>
      </c>
      <c r="AJ210" s="31" t="s">
        <v>1130</v>
      </c>
      <c r="AK210" s="31">
        <v>0.59524549999999998</v>
      </c>
      <c r="AL210" s="31">
        <v>398.81448499999999</v>
      </c>
      <c r="AM210" s="31">
        <v>271.18551500000001</v>
      </c>
      <c r="AN210" s="31">
        <v>909.47314673211554</v>
      </c>
      <c r="AO210" s="31">
        <v>618.42273275309788</v>
      </c>
      <c r="AP210" s="31">
        <v>1.4327366891160476</v>
      </c>
      <c r="AQ210" s="31">
        <v>0.97423100592078626</v>
      </c>
      <c r="AR210" s="31">
        <v>1.6296259435876273E-4</v>
      </c>
    </row>
    <row r="211" spans="1:44" hidden="1" x14ac:dyDescent="0.5">
      <c r="A211" s="31">
        <v>210</v>
      </c>
      <c r="B211" s="31">
        <v>11</v>
      </c>
      <c r="C211" s="225" t="s">
        <v>43</v>
      </c>
      <c r="D211" s="35">
        <v>52.962000000000003</v>
      </c>
      <c r="E211" s="33">
        <v>-9.8640000000000008</v>
      </c>
      <c r="F211">
        <v>12.36</v>
      </c>
      <c r="G211">
        <f>F211*1609.344</f>
        <v>19891.491839999999</v>
      </c>
      <c r="H211" s="32" t="s">
        <v>614</v>
      </c>
      <c r="I211" s="7">
        <v>95</v>
      </c>
      <c r="J211">
        <v>42.351447040593598</v>
      </c>
      <c r="K211" s="26">
        <v>2014</v>
      </c>
      <c r="L211" t="s">
        <v>30</v>
      </c>
      <c r="M211" s="32">
        <v>250</v>
      </c>
      <c r="N211">
        <v>30.131484459999999</v>
      </c>
      <c r="O211">
        <v>5</v>
      </c>
      <c r="P211" t="s">
        <v>52</v>
      </c>
      <c r="Q211">
        <v>89</v>
      </c>
      <c r="R211" t="s">
        <v>13</v>
      </c>
      <c r="S211" t="s">
        <v>14</v>
      </c>
      <c r="T211" t="s">
        <v>14</v>
      </c>
      <c r="U211" s="34">
        <v>0</v>
      </c>
      <c r="V211" s="34">
        <v>0.5</v>
      </c>
      <c r="W211" s="25">
        <v>0.25</v>
      </c>
      <c r="X211" s="25">
        <v>0.5</v>
      </c>
      <c r="Y211">
        <v>1.5753479850000001</v>
      </c>
      <c r="Z211" t="s">
        <v>1102</v>
      </c>
      <c r="AA211" t="s">
        <v>622</v>
      </c>
      <c r="AB211">
        <v>1</v>
      </c>
      <c r="AC211">
        <v>0</v>
      </c>
      <c r="AF211" t="s">
        <v>667</v>
      </c>
      <c r="AG211" s="32">
        <v>0</v>
      </c>
      <c r="AH211" s="32" t="s">
        <v>671</v>
      </c>
      <c r="AI211" s="32" t="s">
        <v>1129</v>
      </c>
      <c r="AJ211" s="31" t="s">
        <v>1130</v>
      </c>
      <c r="AK211" s="31">
        <v>0.59524549999999998</v>
      </c>
      <c r="AL211" s="31">
        <v>0</v>
      </c>
      <c r="AM211" s="31">
        <v>0</v>
      </c>
      <c r="AN211" s="31">
        <v>0</v>
      </c>
      <c r="AO211" s="31">
        <v>0</v>
      </c>
      <c r="AP211" s="31">
        <v>0</v>
      </c>
      <c r="AQ211" s="31">
        <v>0</v>
      </c>
      <c r="AR211" s="31">
        <v>0.12130534295295936</v>
      </c>
    </row>
    <row r="212" spans="1:44" hidden="1" x14ac:dyDescent="0.5">
      <c r="A212" s="31">
        <v>211</v>
      </c>
      <c r="B212" s="31">
        <v>11</v>
      </c>
      <c r="C212" s="225" t="s">
        <v>43</v>
      </c>
      <c r="D212" s="35">
        <v>52.962000000000003</v>
      </c>
      <c r="E212" s="33">
        <v>-9.8640000000000008</v>
      </c>
      <c r="F212">
        <v>12.36</v>
      </c>
      <c r="G212">
        <f>F212*1609.344</f>
        <v>19891.491839999999</v>
      </c>
      <c r="H212" s="32" t="s">
        <v>614</v>
      </c>
      <c r="I212" s="7">
        <v>95</v>
      </c>
      <c r="J212">
        <v>42.351447040593598</v>
      </c>
      <c r="K212" s="26">
        <v>2014</v>
      </c>
      <c r="L212" t="s">
        <v>30</v>
      </c>
      <c r="M212" s="32">
        <v>250</v>
      </c>
      <c r="N212">
        <v>30.131484459999999</v>
      </c>
      <c r="O212">
        <v>5</v>
      </c>
      <c r="P212" t="s">
        <v>52</v>
      </c>
      <c r="Q212">
        <v>89</v>
      </c>
      <c r="R212" t="s">
        <v>13</v>
      </c>
      <c r="S212" t="s">
        <v>14</v>
      </c>
      <c r="T212" t="s">
        <v>14</v>
      </c>
      <c r="U212" s="34">
        <v>1</v>
      </c>
      <c r="V212" s="34">
        <v>1.5</v>
      </c>
      <c r="W212" s="25">
        <v>1.25</v>
      </c>
      <c r="X212" s="25">
        <v>0.5</v>
      </c>
      <c r="Y212">
        <v>1.5753479850000001</v>
      </c>
      <c r="Z212" t="s">
        <v>1102</v>
      </c>
      <c r="AA212" t="s">
        <v>622</v>
      </c>
      <c r="AB212">
        <v>1</v>
      </c>
      <c r="AC212">
        <v>0</v>
      </c>
      <c r="AF212" t="s">
        <v>667</v>
      </c>
      <c r="AG212" s="32">
        <v>0</v>
      </c>
      <c r="AH212" s="32" t="s">
        <v>671</v>
      </c>
      <c r="AI212" s="32" t="s">
        <v>1129</v>
      </c>
      <c r="AJ212" s="31" t="s">
        <v>1130</v>
      </c>
      <c r="AK212" s="31">
        <v>0.59524549999999998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0.12130534295295936</v>
      </c>
    </row>
    <row r="213" spans="1:44" hidden="1" x14ac:dyDescent="0.5">
      <c r="A213" s="31">
        <v>212</v>
      </c>
      <c r="B213" s="31">
        <v>11</v>
      </c>
      <c r="C213" s="225" t="s">
        <v>43</v>
      </c>
      <c r="D213" s="35">
        <v>52.962000000000003</v>
      </c>
      <c r="E213" s="33">
        <v>-9.8640000000000008</v>
      </c>
      <c r="F213">
        <v>12.36</v>
      </c>
      <c r="G213">
        <f>F213*1609.344</f>
        <v>19891.491839999999</v>
      </c>
      <c r="H213" s="32" t="s">
        <v>614</v>
      </c>
      <c r="I213" s="7">
        <v>95</v>
      </c>
      <c r="J213">
        <v>42.351447040593598</v>
      </c>
      <c r="K213" s="26">
        <v>2014</v>
      </c>
      <c r="L213" t="s">
        <v>30</v>
      </c>
      <c r="M213" s="32">
        <v>250</v>
      </c>
      <c r="N213">
        <v>30.131484459999999</v>
      </c>
      <c r="O213">
        <v>5</v>
      </c>
      <c r="P213" t="s">
        <v>52</v>
      </c>
      <c r="Q213">
        <v>89</v>
      </c>
      <c r="R213" t="s">
        <v>13</v>
      </c>
      <c r="S213" t="s">
        <v>14</v>
      </c>
      <c r="T213" t="s">
        <v>14</v>
      </c>
      <c r="U213" s="34">
        <v>2</v>
      </c>
      <c r="V213" s="34">
        <v>2.5</v>
      </c>
      <c r="W213" s="25">
        <v>2.25</v>
      </c>
      <c r="X213" s="25">
        <v>0.5</v>
      </c>
      <c r="Y213">
        <v>1.5753479850000001</v>
      </c>
      <c r="Z213" t="s">
        <v>1102</v>
      </c>
      <c r="AA213" t="s">
        <v>622</v>
      </c>
      <c r="AB213">
        <v>1</v>
      </c>
      <c r="AC213">
        <v>0</v>
      </c>
      <c r="AF213" t="s">
        <v>667</v>
      </c>
      <c r="AG213" s="32">
        <v>0</v>
      </c>
      <c r="AH213" s="32" t="s">
        <v>671</v>
      </c>
      <c r="AI213" s="32" t="s">
        <v>1129</v>
      </c>
      <c r="AJ213" s="31" t="s">
        <v>1130</v>
      </c>
      <c r="AK213" s="31">
        <v>0.59524549999999998</v>
      </c>
      <c r="AL213" s="31">
        <v>0</v>
      </c>
      <c r="AM213" s="31">
        <v>0</v>
      </c>
      <c r="AN213" s="31">
        <v>0</v>
      </c>
      <c r="AO213" s="31">
        <v>0</v>
      </c>
      <c r="AP213" s="31">
        <v>0</v>
      </c>
      <c r="AQ213" s="31">
        <v>0</v>
      </c>
      <c r="AR213" s="31">
        <v>0.12130534295295936</v>
      </c>
    </row>
    <row r="214" spans="1:44" hidden="1" x14ac:dyDescent="0.5">
      <c r="A214" s="31">
        <v>213</v>
      </c>
      <c r="B214" s="31">
        <v>11</v>
      </c>
      <c r="C214" s="225" t="s">
        <v>43</v>
      </c>
      <c r="D214" s="35">
        <v>52.962000000000003</v>
      </c>
      <c r="E214" s="33">
        <v>-9.8640000000000008</v>
      </c>
      <c r="F214">
        <v>12.36</v>
      </c>
      <c r="G214">
        <f>F214*1609.344</f>
        <v>19891.491839999999</v>
      </c>
      <c r="H214" s="32" t="s">
        <v>614</v>
      </c>
      <c r="I214" s="7">
        <v>95</v>
      </c>
      <c r="J214">
        <v>42.351447040593598</v>
      </c>
      <c r="K214" s="26">
        <v>2014</v>
      </c>
      <c r="L214" t="s">
        <v>30</v>
      </c>
      <c r="M214" s="32">
        <v>250</v>
      </c>
      <c r="N214">
        <v>30.131484459999999</v>
      </c>
      <c r="O214">
        <v>5</v>
      </c>
      <c r="P214" t="s">
        <v>52</v>
      </c>
      <c r="Q214">
        <v>89</v>
      </c>
      <c r="R214" t="s">
        <v>13</v>
      </c>
      <c r="S214" t="s">
        <v>14</v>
      </c>
      <c r="T214" t="s">
        <v>14</v>
      </c>
      <c r="U214" s="34">
        <v>2</v>
      </c>
      <c r="V214" s="34">
        <v>2.5</v>
      </c>
      <c r="W214" s="25">
        <v>2.25</v>
      </c>
      <c r="X214" s="25">
        <v>0.5</v>
      </c>
      <c r="Y214">
        <v>1.5753479850000001</v>
      </c>
      <c r="Z214" t="s">
        <v>1102</v>
      </c>
      <c r="AA214" t="s">
        <v>622</v>
      </c>
      <c r="AB214">
        <v>1</v>
      </c>
      <c r="AC214">
        <v>0</v>
      </c>
      <c r="AF214" t="s">
        <v>667</v>
      </c>
      <c r="AG214" s="32">
        <v>0</v>
      </c>
      <c r="AH214" s="32" t="s">
        <v>671</v>
      </c>
      <c r="AI214" s="32" t="s">
        <v>1129</v>
      </c>
      <c r="AJ214" s="31" t="s">
        <v>1130</v>
      </c>
      <c r="AK214" s="31">
        <v>0.59524549999999998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0.12130534295295936</v>
      </c>
    </row>
    <row r="215" spans="1:44" hidden="1" x14ac:dyDescent="0.5">
      <c r="A215" s="31">
        <v>214</v>
      </c>
      <c r="B215" s="31">
        <v>11</v>
      </c>
      <c r="C215" s="225" t="s">
        <v>43</v>
      </c>
      <c r="D215" s="35">
        <v>52.962000000000003</v>
      </c>
      <c r="E215" s="33">
        <v>-9.8640000000000008</v>
      </c>
      <c r="F215">
        <v>12.36</v>
      </c>
      <c r="G215">
        <f>F215*1609.344</f>
        <v>19891.491839999999</v>
      </c>
      <c r="H215" s="32" t="s">
        <v>614</v>
      </c>
      <c r="I215" s="7">
        <v>95</v>
      </c>
      <c r="J215">
        <v>42.351447040593598</v>
      </c>
      <c r="K215" s="26">
        <v>2014</v>
      </c>
      <c r="L215" t="s">
        <v>30</v>
      </c>
      <c r="M215" s="32">
        <v>250</v>
      </c>
      <c r="N215">
        <v>30.131484459999999</v>
      </c>
      <c r="O215">
        <v>5</v>
      </c>
      <c r="P215" t="s">
        <v>52</v>
      </c>
      <c r="Q215">
        <v>89</v>
      </c>
      <c r="R215" t="s">
        <v>13</v>
      </c>
      <c r="S215" t="s">
        <v>14</v>
      </c>
      <c r="T215" t="s">
        <v>14</v>
      </c>
      <c r="U215" s="34">
        <v>3</v>
      </c>
      <c r="V215" s="34">
        <v>3.5</v>
      </c>
      <c r="W215" s="25">
        <v>3.25</v>
      </c>
      <c r="X215" s="25">
        <v>0.5</v>
      </c>
      <c r="Y215">
        <v>1.5753479850000001</v>
      </c>
      <c r="Z215" t="s">
        <v>1102</v>
      </c>
      <c r="AA215" t="s">
        <v>622</v>
      </c>
      <c r="AB215">
        <v>1</v>
      </c>
      <c r="AC215">
        <v>0</v>
      </c>
      <c r="AF215" t="s">
        <v>667</v>
      </c>
      <c r="AG215" s="32">
        <v>0</v>
      </c>
      <c r="AH215" s="32" t="s">
        <v>671</v>
      </c>
      <c r="AI215" s="32" t="s">
        <v>1129</v>
      </c>
      <c r="AJ215" s="31" t="s">
        <v>1130</v>
      </c>
      <c r="AK215" s="31">
        <v>0.59524549999999998</v>
      </c>
      <c r="AL215" s="31">
        <v>0</v>
      </c>
      <c r="AM215" s="31">
        <v>0</v>
      </c>
      <c r="AN215" s="31">
        <v>0</v>
      </c>
      <c r="AO215" s="31">
        <v>0</v>
      </c>
      <c r="AP215" s="31">
        <v>0</v>
      </c>
      <c r="AQ215" s="31">
        <v>0</v>
      </c>
      <c r="AR215" s="31">
        <v>0.12130534295295936</v>
      </c>
    </row>
    <row r="216" spans="1:44" hidden="1" x14ac:dyDescent="0.5">
      <c r="A216" s="31">
        <v>215</v>
      </c>
      <c r="B216" s="31">
        <v>11</v>
      </c>
      <c r="C216" s="225" t="s">
        <v>43</v>
      </c>
      <c r="D216" s="35">
        <v>52.962000000000003</v>
      </c>
      <c r="E216" s="33">
        <v>-9.8640000000000008</v>
      </c>
      <c r="F216">
        <v>12.36</v>
      </c>
      <c r="G216">
        <f>F216*1609.344</f>
        <v>19891.491839999999</v>
      </c>
      <c r="H216" s="32" t="s">
        <v>614</v>
      </c>
      <c r="I216" s="7">
        <v>95</v>
      </c>
      <c r="J216">
        <v>42.351447040593598</v>
      </c>
      <c r="K216" s="26">
        <v>2014</v>
      </c>
      <c r="L216" t="s">
        <v>30</v>
      </c>
      <c r="M216" s="32">
        <v>250</v>
      </c>
      <c r="N216">
        <v>30.131484459999999</v>
      </c>
      <c r="O216">
        <v>5</v>
      </c>
      <c r="P216" t="s">
        <v>52</v>
      </c>
      <c r="Q216">
        <v>89</v>
      </c>
      <c r="R216" t="s">
        <v>13</v>
      </c>
      <c r="S216" t="s">
        <v>14</v>
      </c>
      <c r="T216" t="s">
        <v>14</v>
      </c>
      <c r="U216" s="34">
        <v>3</v>
      </c>
      <c r="V216" s="34">
        <v>3.5</v>
      </c>
      <c r="W216" s="25">
        <v>3.25</v>
      </c>
      <c r="X216" s="25">
        <v>0.5</v>
      </c>
      <c r="Y216">
        <v>1.5753479850000001</v>
      </c>
      <c r="Z216" t="s">
        <v>1102</v>
      </c>
      <c r="AA216" t="s">
        <v>622</v>
      </c>
      <c r="AB216">
        <v>1</v>
      </c>
      <c r="AC216">
        <v>0</v>
      </c>
      <c r="AF216" t="s">
        <v>667</v>
      </c>
      <c r="AG216" s="32">
        <v>0</v>
      </c>
      <c r="AH216" s="32" t="s">
        <v>671</v>
      </c>
      <c r="AI216" s="32" t="s">
        <v>1129</v>
      </c>
      <c r="AJ216" s="31" t="s">
        <v>1130</v>
      </c>
      <c r="AK216" s="31">
        <v>0.59524549999999998</v>
      </c>
      <c r="AL216" s="31">
        <v>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0.12130534295295936</v>
      </c>
    </row>
    <row r="217" spans="1:44" hidden="1" x14ac:dyDescent="0.5">
      <c r="A217" s="31">
        <v>216</v>
      </c>
      <c r="B217" s="31">
        <v>11</v>
      </c>
      <c r="C217" s="225" t="s">
        <v>43</v>
      </c>
      <c r="D217" s="35">
        <v>52.962000000000003</v>
      </c>
      <c r="E217" s="33">
        <v>-9.8640000000000008</v>
      </c>
      <c r="F217">
        <v>12.36</v>
      </c>
      <c r="G217">
        <f>F217*1609.344</f>
        <v>19891.491839999999</v>
      </c>
      <c r="H217" s="32" t="s">
        <v>614</v>
      </c>
      <c r="I217" s="7">
        <v>95</v>
      </c>
      <c r="J217">
        <v>42.351447040593598</v>
      </c>
      <c r="K217" s="26">
        <v>2014</v>
      </c>
      <c r="L217" t="s">
        <v>30</v>
      </c>
      <c r="M217" s="32">
        <v>250</v>
      </c>
      <c r="N217">
        <v>30.131484459999999</v>
      </c>
      <c r="O217">
        <v>5</v>
      </c>
      <c r="P217" t="s">
        <v>52</v>
      </c>
      <c r="Q217">
        <v>89</v>
      </c>
      <c r="R217" t="s">
        <v>13</v>
      </c>
      <c r="S217" t="s">
        <v>14</v>
      </c>
      <c r="T217" t="s">
        <v>14</v>
      </c>
      <c r="U217" s="34">
        <v>0</v>
      </c>
      <c r="V217" s="34">
        <v>0.5</v>
      </c>
      <c r="W217" s="25">
        <v>0.25</v>
      </c>
      <c r="X217" s="25">
        <v>0.5</v>
      </c>
      <c r="Y217">
        <v>1.5753479850000001</v>
      </c>
      <c r="Z217" t="s">
        <v>1102</v>
      </c>
      <c r="AA217" t="s">
        <v>622</v>
      </c>
      <c r="AB217">
        <v>1</v>
      </c>
      <c r="AC217">
        <v>2</v>
      </c>
      <c r="AF217" t="s">
        <v>667</v>
      </c>
      <c r="AG217" s="32" t="s">
        <v>1233</v>
      </c>
      <c r="AH217" s="32" t="s">
        <v>1151</v>
      </c>
      <c r="AI217" s="32" t="s">
        <v>1234</v>
      </c>
      <c r="AJ217" s="31" t="s">
        <v>2756</v>
      </c>
      <c r="AK217" s="31">
        <v>0.85</v>
      </c>
      <c r="AL217" s="31">
        <v>63.478038472877458</v>
      </c>
      <c r="AM217" s="31">
        <v>11.202006789331321</v>
      </c>
      <c r="AN217" s="31">
        <v>2149.0871121312239</v>
      </c>
      <c r="AO217" s="31">
        <v>379.25066684668673</v>
      </c>
      <c r="AP217" s="31">
        <v>3.3855600516853932</v>
      </c>
      <c r="AQ217" s="31">
        <v>0.59745177382683423</v>
      </c>
      <c r="AR217" s="31">
        <v>0.12130534295295936</v>
      </c>
    </row>
    <row r="218" spans="1:44" hidden="1" x14ac:dyDescent="0.5">
      <c r="A218" s="31">
        <v>217</v>
      </c>
      <c r="B218" s="31">
        <v>11</v>
      </c>
      <c r="C218" s="225" t="s">
        <v>43</v>
      </c>
      <c r="D218" s="35">
        <v>52.962000000000003</v>
      </c>
      <c r="E218" s="33">
        <v>-9.8640000000000008</v>
      </c>
      <c r="F218">
        <v>12.36</v>
      </c>
      <c r="G218">
        <f>F218*1609.344</f>
        <v>19891.491839999999</v>
      </c>
      <c r="H218" s="32" t="s">
        <v>614</v>
      </c>
      <c r="I218" s="7">
        <v>95</v>
      </c>
      <c r="J218">
        <v>42.351447040593598</v>
      </c>
      <c r="K218" s="26">
        <v>2014</v>
      </c>
      <c r="L218" t="s">
        <v>30</v>
      </c>
      <c r="M218" s="32">
        <v>250</v>
      </c>
      <c r="N218">
        <v>30.131484459999999</v>
      </c>
      <c r="O218">
        <v>5</v>
      </c>
      <c r="P218" t="s">
        <v>52</v>
      </c>
      <c r="Q218">
        <v>89</v>
      </c>
      <c r="R218" t="s">
        <v>13</v>
      </c>
      <c r="S218" t="s">
        <v>14</v>
      </c>
      <c r="T218" t="s">
        <v>14</v>
      </c>
      <c r="U218" s="34">
        <v>1</v>
      </c>
      <c r="V218" s="34">
        <v>1.5</v>
      </c>
      <c r="W218" s="25">
        <v>1.25</v>
      </c>
      <c r="X218" s="25">
        <v>0.5</v>
      </c>
      <c r="Y218">
        <v>1.5753479850000001</v>
      </c>
      <c r="Z218" t="s">
        <v>1102</v>
      </c>
      <c r="AA218" t="s">
        <v>622</v>
      </c>
      <c r="AB218">
        <v>1</v>
      </c>
      <c r="AC218">
        <v>7</v>
      </c>
      <c r="AF218" t="s">
        <v>667</v>
      </c>
      <c r="AG218" s="32" t="s">
        <v>1237</v>
      </c>
      <c r="AH218" s="32" t="s">
        <v>1151</v>
      </c>
      <c r="AI218" s="32" t="s">
        <v>1238</v>
      </c>
      <c r="AJ218" s="31" t="s">
        <v>2758</v>
      </c>
      <c r="AK218" s="31">
        <v>0.85</v>
      </c>
      <c r="AL218" s="31">
        <v>222.17313465507112</v>
      </c>
      <c r="AM218" s="31">
        <v>39.207023762659617</v>
      </c>
      <c r="AN218" s="31">
        <v>7521.804892459284</v>
      </c>
      <c r="AO218" s="31">
        <v>1327.3773339634033</v>
      </c>
      <c r="AP218" s="31">
        <v>11.849460180898875</v>
      </c>
      <c r="AQ218" s="31">
        <v>2.0910812083939199</v>
      </c>
      <c r="AR218" s="31">
        <v>0.12130534295295936</v>
      </c>
    </row>
    <row r="219" spans="1:44" hidden="1" x14ac:dyDescent="0.5">
      <c r="A219" s="31">
        <v>347</v>
      </c>
      <c r="B219" s="31">
        <v>24</v>
      </c>
      <c r="C219" s="225" t="s">
        <v>44</v>
      </c>
      <c r="D219" s="35">
        <v>10.99</v>
      </c>
      <c r="E219" s="33">
        <v>141.96</v>
      </c>
      <c r="F219">
        <v>244.1</v>
      </c>
      <c r="G219">
        <f>F219*1609.344</f>
        <v>392840.87040000001</v>
      </c>
      <c r="H219" s="32" t="s">
        <v>59</v>
      </c>
      <c r="I219">
        <v>6980</v>
      </c>
      <c r="J219">
        <v>0</v>
      </c>
      <c r="K219" s="26">
        <v>2017</v>
      </c>
      <c r="L219" t="s">
        <v>30</v>
      </c>
      <c r="M219" s="32">
        <v>20</v>
      </c>
      <c r="N219">
        <v>2.0820431909999999</v>
      </c>
      <c r="O219">
        <v>5</v>
      </c>
      <c r="P219" t="s">
        <v>15</v>
      </c>
      <c r="Q219">
        <v>91.3</v>
      </c>
      <c r="R219" t="s">
        <v>13</v>
      </c>
      <c r="S219" t="s">
        <v>14</v>
      </c>
      <c r="T219" t="s">
        <v>14</v>
      </c>
      <c r="U219" s="34">
        <v>0</v>
      </c>
      <c r="V219" s="34">
        <v>6</v>
      </c>
      <c r="W219" s="25">
        <v>3</v>
      </c>
      <c r="X219" s="25">
        <v>6</v>
      </c>
      <c r="Y219">
        <v>1.5753479850000001</v>
      </c>
      <c r="Z219" t="s">
        <v>712</v>
      </c>
      <c r="AA219" t="s">
        <v>626</v>
      </c>
      <c r="AB219">
        <v>3</v>
      </c>
      <c r="AC219">
        <v>1.1200000000000001</v>
      </c>
      <c r="AD219">
        <v>1.04</v>
      </c>
      <c r="AE219" t="s">
        <v>519</v>
      </c>
      <c r="AF219" t="s">
        <v>524</v>
      </c>
      <c r="AG219" s="32">
        <v>1120</v>
      </c>
      <c r="AH219" s="32" t="s">
        <v>671</v>
      </c>
      <c r="AI219" s="32" t="s">
        <v>1129</v>
      </c>
      <c r="AJ219" s="31" t="s">
        <v>1130</v>
      </c>
      <c r="AK219" s="31">
        <v>0.59524549999999998</v>
      </c>
      <c r="AL219" s="31">
        <v>666.67495999999994</v>
      </c>
      <c r="AM219" s="31">
        <v>453.32504000000006</v>
      </c>
      <c r="AN219" s="31">
        <v>1520.3133199104022</v>
      </c>
      <c r="AO219" s="31">
        <v>1033.7812846021936</v>
      </c>
      <c r="AP219" s="31">
        <v>2.3950225250895127</v>
      </c>
      <c r="AQ219" s="31">
        <v>1.6285652636287773</v>
      </c>
      <c r="AR219" s="31">
        <v>1.2248382209047518E-4</v>
      </c>
    </row>
    <row r="220" spans="1:44" hidden="1" x14ac:dyDescent="0.5">
      <c r="A220" s="31">
        <v>348</v>
      </c>
      <c r="B220" s="31">
        <v>24</v>
      </c>
      <c r="C220" s="225" t="s">
        <v>44</v>
      </c>
      <c r="D220" s="35">
        <v>11.04</v>
      </c>
      <c r="E220" s="33">
        <v>142.30000000000001</v>
      </c>
      <c r="F220">
        <v>224.81</v>
      </c>
      <c r="G220">
        <f>F220*1609.344</f>
        <v>361796.62463999999</v>
      </c>
      <c r="H220" s="32" t="s">
        <v>59</v>
      </c>
      <c r="I220">
        <v>7022</v>
      </c>
      <c r="J220">
        <v>0</v>
      </c>
      <c r="K220" s="26">
        <v>2017</v>
      </c>
      <c r="L220" t="s">
        <v>30</v>
      </c>
      <c r="M220" s="32">
        <v>20</v>
      </c>
      <c r="N220">
        <v>2.0820431909999999</v>
      </c>
      <c r="O220">
        <v>5</v>
      </c>
      <c r="P220" t="s">
        <v>15</v>
      </c>
      <c r="Q220">
        <v>91.3</v>
      </c>
      <c r="R220" t="s">
        <v>13</v>
      </c>
      <c r="S220" t="s">
        <v>14</v>
      </c>
      <c r="T220" t="s">
        <v>14</v>
      </c>
      <c r="U220" s="34">
        <v>0</v>
      </c>
      <c r="V220" s="34">
        <v>6</v>
      </c>
      <c r="W220" s="25">
        <v>3</v>
      </c>
      <c r="X220" s="25">
        <v>6</v>
      </c>
      <c r="Y220">
        <v>1.5753479850000001</v>
      </c>
      <c r="Z220" t="s">
        <v>712</v>
      </c>
      <c r="AA220" t="s">
        <v>626</v>
      </c>
      <c r="AB220">
        <v>3</v>
      </c>
      <c r="AC220">
        <v>1.51</v>
      </c>
      <c r="AD220">
        <v>1.1000000000000001</v>
      </c>
      <c r="AE220" t="s">
        <v>519</v>
      </c>
      <c r="AF220" t="s">
        <v>524</v>
      </c>
      <c r="AG220" s="32">
        <v>1510</v>
      </c>
      <c r="AH220" s="32" t="s">
        <v>671</v>
      </c>
      <c r="AI220" s="32" t="s">
        <v>1129</v>
      </c>
      <c r="AJ220" s="31" t="s">
        <v>1130</v>
      </c>
      <c r="AK220" s="31">
        <v>0.59524549999999998</v>
      </c>
      <c r="AL220" s="31">
        <v>898.82070499999998</v>
      </c>
      <c r="AM220" s="31">
        <v>611.17929500000002</v>
      </c>
      <c r="AN220" s="31">
        <v>2049.7081366649172</v>
      </c>
      <c r="AO220" s="31">
        <v>1393.758696204743</v>
      </c>
      <c r="AP220" s="31">
        <v>3.2290035829331818</v>
      </c>
      <c r="AQ220" s="31">
        <v>2.1956549536423693</v>
      </c>
      <c r="AR220" s="31">
        <v>1.1743665971941833E-4</v>
      </c>
    </row>
    <row r="221" spans="1:44" hidden="1" x14ac:dyDescent="0.5">
      <c r="A221" s="31">
        <v>349</v>
      </c>
      <c r="B221" s="31">
        <v>24</v>
      </c>
      <c r="C221" s="225" t="s">
        <v>44</v>
      </c>
      <c r="D221" s="35">
        <v>10.92</v>
      </c>
      <c r="E221" s="33">
        <v>141.80000000000001</v>
      </c>
      <c r="F221">
        <v>255.5</v>
      </c>
      <c r="G221">
        <f>F221*1609.344</f>
        <v>411187.39199999999</v>
      </c>
      <c r="H221" s="32" t="s">
        <v>59</v>
      </c>
      <c r="I221">
        <v>7061</v>
      </c>
      <c r="J221">
        <v>0</v>
      </c>
      <c r="K221" s="26">
        <v>2017</v>
      </c>
      <c r="L221" t="s">
        <v>30</v>
      </c>
      <c r="M221" s="32">
        <v>20</v>
      </c>
      <c r="N221">
        <v>2.0820431909999999</v>
      </c>
      <c r="O221">
        <v>5</v>
      </c>
      <c r="P221" t="s">
        <v>15</v>
      </c>
      <c r="Q221">
        <v>91.3</v>
      </c>
      <c r="R221" t="s">
        <v>13</v>
      </c>
      <c r="S221" t="s">
        <v>14</v>
      </c>
      <c r="T221" t="s">
        <v>14</v>
      </c>
      <c r="U221" s="34">
        <v>0</v>
      </c>
      <c r="V221" s="34">
        <v>6</v>
      </c>
      <c r="W221" s="25">
        <v>3</v>
      </c>
      <c r="X221" s="25">
        <v>6</v>
      </c>
      <c r="Y221">
        <v>1.5753479850000001</v>
      </c>
      <c r="Z221" t="s">
        <v>712</v>
      </c>
      <c r="AA221" t="s">
        <v>626</v>
      </c>
      <c r="AB221">
        <v>3</v>
      </c>
      <c r="AC221">
        <v>0.69</v>
      </c>
      <c r="AD221">
        <v>0.28000000000000003</v>
      </c>
      <c r="AE221" t="s">
        <v>519</v>
      </c>
      <c r="AF221" t="s">
        <v>524</v>
      </c>
      <c r="AG221" s="32">
        <v>690</v>
      </c>
      <c r="AH221" s="32" t="s">
        <v>671</v>
      </c>
      <c r="AI221" s="32" t="s">
        <v>1129</v>
      </c>
      <c r="AJ221" s="31" t="s">
        <v>1130</v>
      </c>
      <c r="AK221" s="31">
        <v>0.59524549999999998</v>
      </c>
      <c r="AL221" s="31">
        <v>410.71939499999996</v>
      </c>
      <c r="AM221" s="31">
        <v>279.28060500000004</v>
      </c>
      <c r="AN221" s="31">
        <v>936.62159887337282</v>
      </c>
      <c r="AO221" s="31">
        <v>636.88311283527992</v>
      </c>
      <c r="AP221" s="31">
        <v>1.4755049484926461</v>
      </c>
      <c r="AQ221" s="31">
        <v>1.0033125284855857</v>
      </c>
      <c r="AR221" s="31">
        <v>1.12936418229355E-4</v>
      </c>
    </row>
    <row r="222" spans="1:44" hidden="1" x14ac:dyDescent="0.5">
      <c r="A222" s="31">
        <v>350</v>
      </c>
      <c r="B222" s="31">
        <v>24</v>
      </c>
      <c r="C222" s="225" t="s">
        <v>44</v>
      </c>
      <c r="D222" s="35">
        <v>10.99</v>
      </c>
      <c r="E222" s="33">
        <v>141.99</v>
      </c>
      <c r="F222">
        <v>242.85</v>
      </c>
      <c r="G222">
        <f>F222*1609.344</f>
        <v>390829.19040000002</v>
      </c>
      <c r="H222" s="32" t="s">
        <v>59</v>
      </c>
      <c r="I222">
        <v>7121</v>
      </c>
      <c r="J222">
        <v>0</v>
      </c>
      <c r="K222" s="26">
        <v>2017</v>
      </c>
      <c r="L222" t="s">
        <v>30</v>
      </c>
      <c r="M222" s="32">
        <v>20</v>
      </c>
      <c r="N222">
        <v>2.0820431909999999</v>
      </c>
      <c r="O222">
        <v>5</v>
      </c>
      <c r="P222" t="s">
        <v>15</v>
      </c>
      <c r="Q222">
        <v>91.3</v>
      </c>
      <c r="R222" t="s">
        <v>13</v>
      </c>
      <c r="S222" t="s">
        <v>14</v>
      </c>
      <c r="T222" t="s">
        <v>14</v>
      </c>
      <c r="U222" s="34">
        <v>0</v>
      </c>
      <c r="V222" s="34">
        <v>6</v>
      </c>
      <c r="W222" s="25">
        <v>3</v>
      </c>
      <c r="X222" s="25">
        <v>6</v>
      </c>
      <c r="Y222">
        <v>1.5753479850000001</v>
      </c>
      <c r="Z222" t="s">
        <v>712</v>
      </c>
      <c r="AA222" t="s">
        <v>626</v>
      </c>
      <c r="AB222">
        <v>3</v>
      </c>
      <c r="AC222">
        <v>1.24</v>
      </c>
      <c r="AD222">
        <v>0.66</v>
      </c>
      <c r="AE222" t="s">
        <v>519</v>
      </c>
      <c r="AF222" t="s">
        <v>524</v>
      </c>
      <c r="AG222" s="32">
        <v>1240</v>
      </c>
      <c r="AH222" s="32" t="s">
        <v>671</v>
      </c>
      <c r="AI222" s="32" t="s">
        <v>1129</v>
      </c>
      <c r="AJ222" s="31" t="s">
        <v>1130</v>
      </c>
      <c r="AK222" s="31">
        <v>0.59524549999999998</v>
      </c>
      <c r="AL222" s="31">
        <v>738.10442</v>
      </c>
      <c r="AM222" s="31">
        <v>501.89558</v>
      </c>
      <c r="AN222" s="31">
        <v>1683.2040327579457</v>
      </c>
      <c r="AO222" s="31">
        <v>1144.5435650952857</v>
      </c>
      <c r="AP222" s="31">
        <v>2.6516320813491037</v>
      </c>
      <c r="AQ222" s="31">
        <v>1.8030543990175749</v>
      </c>
      <c r="AR222" s="31">
        <v>1.0634738367660343E-4</v>
      </c>
    </row>
    <row r="223" spans="1:44" hidden="1" x14ac:dyDescent="0.5">
      <c r="A223" s="31">
        <v>351</v>
      </c>
      <c r="B223" s="31">
        <v>24</v>
      </c>
      <c r="C223" s="225" t="s">
        <v>44</v>
      </c>
      <c r="D223" s="35">
        <v>11.6</v>
      </c>
      <c r="E223" s="33">
        <v>142.22999999999999</v>
      </c>
      <c r="F223">
        <v>203.98</v>
      </c>
      <c r="G223">
        <f>F223*1609.344</f>
        <v>328273.98911999998</v>
      </c>
      <c r="H223" s="32" t="s">
        <v>59</v>
      </c>
      <c r="I223">
        <v>7143</v>
      </c>
      <c r="J223">
        <v>0</v>
      </c>
      <c r="K223" s="26">
        <v>2017</v>
      </c>
      <c r="L223" t="s">
        <v>30</v>
      </c>
      <c r="M223" s="32">
        <v>20</v>
      </c>
      <c r="N223">
        <v>2.0820431909999999</v>
      </c>
      <c r="O223">
        <v>5</v>
      </c>
      <c r="P223" t="s">
        <v>15</v>
      </c>
      <c r="Q223">
        <v>91.3</v>
      </c>
      <c r="R223" t="s">
        <v>13</v>
      </c>
      <c r="S223" t="s">
        <v>14</v>
      </c>
      <c r="T223" t="s">
        <v>14</v>
      </c>
      <c r="U223" s="34">
        <v>0</v>
      </c>
      <c r="V223" s="34">
        <v>6</v>
      </c>
      <c r="W223" s="25">
        <v>3</v>
      </c>
      <c r="X223" s="25">
        <v>6</v>
      </c>
      <c r="Y223">
        <v>1.5753479850000001</v>
      </c>
      <c r="Z223" t="s">
        <v>712</v>
      </c>
      <c r="AA223" t="s">
        <v>626</v>
      </c>
      <c r="AB223">
        <v>2</v>
      </c>
      <c r="AC223">
        <v>3.73</v>
      </c>
      <c r="AD223">
        <v>1.51</v>
      </c>
      <c r="AE223" t="s">
        <v>519</v>
      </c>
      <c r="AF223" t="s">
        <v>524</v>
      </c>
      <c r="AG223" s="32">
        <v>3730</v>
      </c>
      <c r="AH223" s="32" t="s">
        <v>671</v>
      </c>
      <c r="AI223" s="32" t="s">
        <v>1129</v>
      </c>
      <c r="AJ223" s="31" t="s">
        <v>1130</v>
      </c>
      <c r="AK223" s="31">
        <v>0.59524549999999998</v>
      </c>
      <c r="AL223" s="31">
        <v>2220.265715</v>
      </c>
      <c r="AM223" s="31">
        <v>1509.734285</v>
      </c>
      <c r="AN223" s="31">
        <v>5063.186324344465</v>
      </c>
      <c r="AO223" s="31">
        <v>3442.8608853269479</v>
      </c>
      <c r="AP223" s="31">
        <v>7.9762803737356096</v>
      </c>
      <c r="AQ223" s="31">
        <v>5.4237039583351239</v>
      </c>
      <c r="AR223" s="31">
        <v>1.0402893921461658E-4</v>
      </c>
    </row>
    <row r="224" spans="1:44" hidden="1" x14ac:dyDescent="0.5">
      <c r="A224" s="31">
        <v>352</v>
      </c>
      <c r="B224" s="31">
        <v>24</v>
      </c>
      <c r="C224" s="225" t="s">
        <v>44</v>
      </c>
      <c r="D224" s="35">
        <v>10.92</v>
      </c>
      <c r="E224" s="33">
        <v>141.62</v>
      </c>
      <c r="F224">
        <v>264.33</v>
      </c>
      <c r="G224">
        <f>F224*1609.344</f>
        <v>425397.89951999998</v>
      </c>
      <c r="H224" s="32" t="s">
        <v>59</v>
      </c>
      <c r="I224">
        <v>7180</v>
      </c>
      <c r="J224">
        <v>0</v>
      </c>
      <c r="K224" s="26">
        <v>2017</v>
      </c>
      <c r="L224" t="s">
        <v>30</v>
      </c>
      <c r="M224" s="32">
        <v>20</v>
      </c>
      <c r="N224">
        <v>2.0820431909999999</v>
      </c>
      <c r="O224">
        <v>5</v>
      </c>
      <c r="P224" t="s">
        <v>15</v>
      </c>
      <c r="Q224">
        <v>91.3</v>
      </c>
      <c r="R224" t="s">
        <v>13</v>
      </c>
      <c r="S224" t="s">
        <v>14</v>
      </c>
      <c r="T224" t="s">
        <v>14</v>
      </c>
      <c r="U224" s="34">
        <v>0</v>
      </c>
      <c r="V224" s="34">
        <v>6</v>
      </c>
      <c r="W224" s="25">
        <v>3</v>
      </c>
      <c r="X224" s="25">
        <v>6</v>
      </c>
      <c r="Y224">
        <v>1.5753479850000001</v>
      </c>
      <c r="Z224" t="s">
        <v>712</v>
      </c>
      <c r="AA224" t="s">
        <v>626</v>
      </c>
      <c r="AB224">
        <v>1</v>
      </c>
      <c r="AC224">
        <v>3.9</v>
      </c>
      <c r="AD224">
        <v>0</v>
      </c>
      <c r="AE224" t="s">
        <v>519</v>
      </c>
      <c r="AF224" t="s">
        <v>524</v>
      </c>
      <c r="AG224" s="32">
        <v>3900</v>
      </c>
      <c r="AH224" s="32" t="s">
        <v>671</v>
      </c>
      <c r="AI224" s="32" t="s">
        <v>1129</v>
      </c>
      <c r="AJ224" s="31" t="s">
        <v>1130</v>
      </c>
      <c r="AK224" s="31">
        <v>0.59524549999999998</v>
      </c>
      <c r="AL224" s="31">
        <v>2321.4574499999999</v>
      </c>
      <c r="AM224" s="31">
        <v>1578.5425500000001</v>
      </c>
      <c r="AN224" s="31">
        <v>5293.9481675451507</v>
      </c>
      <c r="AO224" s="31">
        <v>3599.7741160254955</v>
      </c>
      <c r="AP224" s="31">
        <v>8.3398105784366958</v>
      </c>
      <c r="AQ224" s="31">
        <v>5.6708969001359204</v>
      </c>
      <c r="AR224" s="31">
        <v>1.0024315570264724E-4</v>
      </c>
    </row>
    <row r="225" spans="1:44" hidden="1" x14ac:dyDescent="0.5">
      <c r="A225" s="31">
        <v>353</v>
      </c>
      <c r="B225" s="31">
        <v>24</v>
      </c>
      <c r="C225" s="225" t="s">
        <v>44</v>
      </c>
      <c r="D225" s="35">
        <v>11.19</v>
      </c>
      <c r="E225" s="33">
        <v>141.81</v>
      </c>
      <c r="F225">
        <v>243.57</v>
      </c>
      <c r="G225">
        <f>F225*1609.344</f>
        <v>391987.91807999997</v>
      </c>
      <c r="H225" s="32" t="s">
        <v>59</v>
      </c>
      <c r="I225">
        <v>8638</v>
      </c>
      <c r="J225">
        <v>0</v>
      </c>
      <c r="K225" s="26">
        <v>2017</v>
      </c>
      <c r="L225" t="s">
        <v>30</v>
      </c>
      <c r="M225" s="32">
        <v>20</v>
      </c>
      <c r="N225">
        <v>2.0820431909999999</v>
      </c>
      <c r="O225">
        <v>5</v>
      </c>
      <c r="P225" t="s">
        <v>15</v>
      </c>
      <c r="Q225">
        <v>91.3</v>
      </c>
      <c r="R225" t="s">
        <v>13</v>
      </c>
      <c r="S225" t="s">
        <v>14</v>
      </c>
      <c r="T225" t="s">
        <v>14</v>
      </c>
      <c r="U225" s="34">
        <v>0</v>
      </c>
      <c r="V225" s="34">
        <v>6</v>
      </c>
      <c r="W225" s="25">
        <v>3</v>
      </c>
      <c r="X225" s="25">
        <v>6</v>
      </c>
      <c r="Y225">
        <v>1.5753479850000001</v>
      </c>
      <c r="Z225" t="s">
        <v>712</v>
      </c>
      <c r="AA225" t="s">
        <v>626</v>
      </c>
      <c r="AB225">
        <v>2</v>
      </c>
      <c r="AC225">
        <v>1.17</v>
      </c>
      <c r="AD225">
        <v>0.5</v>
      </c>
      <c r="AE225" t="s">
        <v>519</v>
      </c>
      <c r="AF225" t="s">
        <v>524</v>
      </c>
      <c r="AG225" s="32">
        <v>1170</v>
      </c>
      <c r="AH225" s="32" t="s">
        <v>671</v>
      </c>
      <c r="AI225" s="32" t="s">
        <v>1129</v>
      </c>
      <c r="AJ225" s="31" t="s">
        <v>1130</v>
      </c>
      <c r="AK225" s="31">
        <v>0.59524549999999998</v>
      </c>
      <c r="AL225" s="31">
        <v>696.43723499999999</v>
      </c>
      <c r="AM225" s="31">
        <v>473.56276500000001</v>
      </c>
      <c r="AN225" s="31">
        <v>1588.1844502635452</v>
      </c>
      <c r="AO225" s="31">
        <v>1079.9322348076485</v>
      </c>
      <c r="AP225" s="31">
        <v>2.5019431735310085</v>
      </c>
      <c r="AQ225" s="31">
        <v>1.701269070040776</v>
      </c>
      <c r="AR225" s="31">
        <v>2.3262145616595518E-5</v>
      </c>
    </row>
    <row r="226" spans="1:44" hidden="1" x14ac:dyDescent="0.5">
      <c r="A226" s="31">
        <v>354</v>
      </c>
      <c r="B226" s="31">
        <v>24</v>
      </c>
      <c r="C226" s="225" t="s">
        <v>44</v>
      </c>
      <c r="D226" s="35">
        <v>11.19</v>
      </c>
      <c r="E226" s="33">
        <v>141.81</v>
      </c>
      <c r="F226">
        <v>243.84</v>
      </c>
      <c r="G226">
        <f>F226*1609.344</f>
        <v>392422.44096000004</v>
      </c>
      <c r="H226" s="32" t="s">
        <v>59</v>
      </c>
      <c r="I226">
        <v>8638</v>
      </c>
      <c r="J226">
        <v>0</v>
      </c>
      <c r="K226" s="26">
        <v>2017</v>
      </c>
      <c r="L226" t="s">
        <v>30</v>
      </c>
      <c r="M226" s="32">
        <v>20</v>
      </c>
      <c r="N226">
        <v>2.0820431909999999</v>
      </c>
      <c r="O226">
        <v>5</v>
      </c>
      <c r="P226" t="s">
        <v>15</v>
      </c>
      <c r="Q226">
        <v>91.3</v>
      </c>
      <c r="R226" t="s">
        <v>13</v>
      </c>
      <c r="S226" t="s">
        <v>14</v>
      </c>
      <c r="T226" t="s">
        <v>14</v>
      </c>
      <c r="U226" s="34">
        <v>0</v>
      </c>
      <c r="V226" s="34">
        <v>6</v>
      </c>
      <c r="W226" s="25">
        <v>3</v>
      </c>
      <c r="X226" s="25">
        <v>6</v>
      </c>
      <c r="Y226">
        <v>1.5753479850000001</v>
      </c>
      <c r="Z226" t="s">
        <v>712</v>
      </c>
      <c r="AA226" t="s">
        <v>626</v>
      </c>
      <c r="AB226">
        <v>1</v>
      </c>
      <c r="AC226">
        <v>6.2</v>
      </c>
      <c r="AD226">
        <v>0</v>
      </c>
      <c r="AE226" t="s">
        <v>519</v>
      </c>
      <c r="AF226" t="s">
        <v>524</v>
      </c>
      <c r="AG226" s="32">
        <v>6200</v>
      </c>
      <c r="AH226" s="32" t="s">
        <v>671</v>
      </c>
      <c r="AI226" s="32" t="s">
        <v>1129</v>
      </c>
      <c r="AJ226" s="31" t="s">
        <v>1130</v>
      </c>
      <c r="AK226" s="31">
        <v>0.59524549999999998</v>
      </c>
      <c r="AL226" s="31">
        <v>3690.5220999999997</v>
      </c>
      <c r="AM226" s="31">
        <v>2509.4779000000003</v>
      </c>
      <c r="AN226" s="31">
        <v>8416.0201637897262</v>
      </c>
      <c r="AO226" s="31">
        <v>5722.7178254764285</v>
      </c>
      <c r="AP226" s="31">
        <v>13.258160406745516</v>
      </c>
      <c r="AQ226" s="31">
        <v>9.0152719950878737</v>
      </c>
      <c r="AR226" s="31">
        <v>2.3262145616595518E-5</v>
      </c>
    </row>
    <row r="227" spans="1:44" hidden="1" x14ac:dyDescent="0.5">
      <c r="A227" s="31">
        <v>355</v>
      </c>
      <c r="B227" s="31">
        <v>24</v>
      </c>
      <c r="C227" s="225" t="s">
        <v>44</v>
      </c>
      <c r="D227" s="35">
        <v>11.23</v>
      </c>
      <c r="E227" s="33">
        <v>142.01</v>
      </c>
      <c r="F227">
        <v>231.25</v>
      </c>
      <c r="G227">
        <f>F227*1609.344</f>
        <v>372160.8</v>
      </c>
      <c r="H227" s="32" t="s">
        <v>59</v>
      </c>
      <c r="I227">
        <v>9373</v>
      </c>
      <c r="J227">
        <v>0</v>
      </c>
      <c r="K227" s="26">
        <v>2017</v>
      </c>
      <c r="L227" t="s">
        <v>30</v>
      </c>
      <c r="M227" s="32">
        <v>20</v>
      </c>
      <c r="N227">
        <v>2.0820431909999999</v>
      </c>
      <c r="O227">
        <v>5</v>
      </c>
      <c r="P227" t="s">
        <v>15</v>
      </c>
      <c r="Q227">
        <v>91.3</v>
      </c>
      <c r="R227" t="s">
        <v>13</v>
      </c>
      <c r="S227" t="s">
        <v>14</v>
      </c>
      <c r="T227" t="s">
        <v>14</v>
      </c>
      <c r="U227" s="34">
        <v>0</v>
      </c>
      <c r="V227" s="34">
        <v>6</v>
      </c>
      <c r="W227" s="25">
        <v>3</v>
      </c>
      <c r="X227" s="25">
        <v>6</v>
      </c>
      <c r="Y227">
        <v>1.5753479850000001</v>
      </c>
      <c r="Z227" t="s">
        <v>712</v>
      </c>
      <c r="AA227" t="s">
        <v>626</v>
      </c>
      <c r="AB227">
        <v>1</v>
      </c>
      <c r="AC227">
        <v>2.4900000000000002</v>
      </c>
      <c r="AD227">
        <v>0</v>
      </c>
      <c r="AE227" t="s">
        <v>519</v>
      </c>
      <c r="AF227" t="s">
        <v>524</v>
      </c>
      <c r="AG227" s="32">
        <v>2490</v>
      </c>
      <c r="AH227" s="32" t="s">
        <v>671</v>
      </c>
      <c r="AI227" s="32" t="s">
        <v>1129</v>
      </c>
      <c r="AJ227" s="31" t="s">
        <v>1130</v>
      </c>
      <c r="AK227" s="31">
        <v>0.59524549999999998</v>
      </c>
      <c r="AL227" s="31">
        <v>1482.1612949999999</v>
      </c>
      <c r="AM227" s="31">
        <v>1007.8387050000001</v>
      </c>
      <c r="AN227" s="31">
        <v>3379.9822915865193</v>
      </c>
      <c r="AO227" s="31">
        <v>2298.3173202316625</v>
      </c>
      <c r="AP227" s="31">
        <v>5.3246482923865059</v>
      </c>
      <c r="AQ227" s="31">
        <v>3.6206495593175494</v>
      </c>
      <c r="AR227" s="31">
        <v>1.1138752906526024E-5</v>
      </c>
    </row>
    <row r="228" spans="1:44" hidden="1" x14ac:dyDescent="0.5">
      <c r="A228" s="31">
        <v>356</v>
      </c>
      <c r="B228" s="31">
        <v>24</v>
      </c>
      <c r="C228" s="225" t="s">
        <v>44</v>
      </c>
      <c r="D228" s="35">
        <v>11.33</v>
      </c>
      <c r="E228" s="33">
        <v>142.19999999999999</v>
      </c>
      <c r="F228">
        <v>216.94</v>
      </c>
      <c r="G228">
        <f>F228*1609.344</f>
        <v>349131.08736</v>
      </c>
      <c r="H228" s="32" t="s">
        <v>59</v>
      </c>
      <c r="I228">
        <v>10822</v>
      </c>
      <c r="J228">
        <v>0</v>
      </c>
      <c r="K228" s="26">
        <v>2017</v>
      </c>
      <c r="L228" t="s">
        <v>60</v>
      </c>
      <c r="M228" s="32">
        <v>20</v>
      </c>
      <c r="N228">
        <v>2.0820431909999999</v>
      </c>
      <c r="O228">
        <v>5</v>
      </c>
      <c r="P228" t="s">
        <v>15</v>
      </c>
      <c r="Q228">
        <v>91.3</v>
      </c>
      <c r="R228" t="s">
        <v>13</v>
      </c>
      <c r="S228" t="s">
        <v>14</v>
      </c>
      <c r="T228" t="s">
        <v>14</v>
      </c>
      <c r="U228" s="34">
        <v>0</v>
      </c>
      <c r="V228" s="34">
        <v>6</v>
      </c>
      <c r="W228" s="25">
        <v>3</v>
      </c>
      <c r="X228" s="25">
        <v>6</v>
      </c>
      <c r="Y228">
        <v>1.5753479850000001</v>
      </c>
      <c r="Z228" t="s">
        <v>712</v>
      </c>
      <c r="AA228" t="s">
        <v>626</v>
      </c>
      <c r="AB228">
        <v>1</v>
      </c>
      <c r="AC228">
        <v>2.78</v>
      </c>
      <c r="AD228">
        <v>0</v>
      </c>
      <c r="AE228" t="s">
        <v>519</v>
      </c>
      <c r="AF228" t="s">
        <v>524</v>
      </c>
      <c r="AG228" s="32">
        <v>2780</v>
      </c>
      <c r="AH228" s="32" t="s">
        <v>671</v>
      </c>
      <c r="AI228" s="32" t="s">
        <v>1129</v>
      </c>
      <c r="AJ228" s="31" t="s">
        <v>1130</v>
      </c>
      <c r="AK228" s="31">
        <v>0.59524549999999998</v>
      </c>
      <c r="AL228" s="31">
        <v>1654.7824900000001</v>
      </c>
      <c r="AM228" s="31">
        <v>1125.2175099999999</v>
      </c>
      <c r="AN228" s="31">
        <v>3773.6348476347489</v>
      </c>
      <c r="AO228" s="31">
        <v>2565.9928314233016</v>
      </c>
      <c r="AP228" s="31">
        <v>5.9447880533471844</v>
      </c>
      <c r="AQ228" s="31">
        <v>4.0423316365071438</v>
      </c>
      <c r="AR228" s="31">
        <v>2.608240834966141E-6</v>
      </c>
    </row>
    <row r="229" spans="1:44" hidden="1" x14ac:dyDescent="0.5">
      <c r="A229" s="31">
        <v>357</v>
      </c>
      <c r="B229" s="31">
        <v>24</v>
      </c>
      <c r="C229" s="225" t="s">
        <v>44</v>
      </c>
      <c r="D229" s="35">
        <v>11.32</v>
      </c>
      <c r="E229" s="33">
        <v>142.19</v>
      </c>
      <c r="F229">
        <v>217.96</v>
      </c>
      <c r="G229">
        <f>F229*1609.344</f>
        <v>350772.61824000004</v>
      </c>
      <c r="H229" s="32" t="s">
        <v>59</v>
      </c>
      <c r="I229">
        <v>10908</v>
      </c>
      <c r="J229">
        <v>0</v>
      </c>
      <c r="K229" s="26">
        <v>2017</v>
      </c>
      <c r="L229" t="s">
        <v>60</v>
      </c>
      <c r="M229" s="32">
        <v>20</v>
      </c>
      <c r="N229">
        <v>2.0820431909999999</v>
      </c>
      <c r="O229">
        <v>5</v>
      </c>
      <c r="P229" t="s">
        <v>15</v>
      </c>
      <c r="Q229">
        <v>91.3</v>
      </c>
      <c r="R229" t="s">
        <v>13</v>
      </c>
      <c r="S229" t="s">
        <v>14</v>
      </c>
      <c r="T229" t="s">
        <v>14</v>
      </c>
      <c r="U229" s="34">
        <v>0</v>
      </c>
      <c r="V229" s="34">
        <v>6</v>
      </c>
      <c r="W229" s="25">
        <v>3</v>
      </c>
      <c r="X229" s="25">
        <v>6</v>
      </c>
      <c r="Y229">
        <v>1.5753479850000001</v>
      </c>
      <c r="Z229" t="s">
        <v>712</v>
      </c>
      <c r="AA229" t="s">
        <v>626</v>
      </c>
      <c r="AB229">
        <v>1</v>
      </c>
      <c r="AC229">
        <v>3.37</v>
      </c>
      <c r="AD229">
        <v>0</v>
      </c>
      <c r="AE229" t="s">
        <v>519</v>
      </c>
      <c r="AF229" t="s">
        <v>524</v>
      </c>
      <c r="AG229" s="32">
        <v>3370</v>
      </c>
      <c r="AH229" s="32" t="s">
        <v>671</v>
      </c>
      <c r="AI229" s="32" t="s">
        <v>1129</v>
      </c>
      <c r="AJ229" s="31" t="s">
        <v>1130</v>
      </c>
      <c r="AK229" s="31">
        <v>0.59524549999999998</v>
      </c>
      <c r="AL229" s="31">
        <v>2005.977335</v>
      </c>
      <c r="AM229" s="31">
        <v>1364.022665</v>
      </c>
      <c r="AN229" s="31">
        <v>4574.514185801836</v>
      </c>
      <c r="AO229" s="31">
        <v>3110.574043847671</v>
      </c>
      <c r="AP229" s="31">
        <v>7.2064517049568382</v>
      </c>
      <c r="AQ229" s="31">
        <v>4.9002365521687308</v>
      </c>
      <c r="AR229" s="31">
        <v>2.3929155395102824E-6</v>
      </c>
    </row>
    <row r="230" spans="1:44" hidden="1" x14ac:dyDescent="0.5">
      <c r="A230" s="31">
        <v>796</v>
      </c>
      <c r="B230" s="31">
        <v>56</v>
      </c>
      <c r="C230" s="225" t="s">
        <v>20</v>
      </c>
      <c r="D230" s="39">
        <v>54.638492999999997</v>
      </c>
      <c r="E230" s="40">
        <v>19.815564999999999</v>
      </c>
      <c r="F230">
        <v>2.36</v>
      </c>
      <c r="G230">
        <f>F230*1609.344</f>
        <v>3798.0518400000001</v>
      </c>
      <c r="H230" s="32" t="s">
        <v>614</v>
      </c>
      <c r="I230">
        <v>10</v>
      </c>
      <c r="J230">
        <v>121.164246346925</v>
      </c>
      <c r="K230" s="26">
        <v>2015</v>
      </c>
      <c r="L230" t="s">
        <v>40</v>
      </c>
      <c r="M230" s="32">
        <v>174</v>
      </c>
      <c r="N230">
        <v>20.53530245</v>
      </c>
      <c r="P230" t="s">
        <v>23</v>
      </c>
      <c r="Q230">
        <v>90</v>
      </c>
      <c r="R230" t="s">
        <v>13</v>
      </c>
      <c r="S230" t="s">
        <v>16</v>
      </c>
      <c r="T230" t="s">
        <v>14</v>
      </c>
      <c r="U230" s="34">
        <v>0</v>
      </c>
      <c r="V230" s="34">
        <v>10</v>
      </c>
      <c r="W230" s="25">
        <v>5</v>
      </c>
      <c r="X230" s="25">
        <v>10</v>
      </c>
      <c r="Y230" s="244">
        <v>0.54424737099999998</v>
      </c>
      <c r="Z230" t="s">
        <v>754</v>
      </c>
      <c r="AA230" t="s">
        <v>620</v>
      </c>
      <c r="AB230">
        <v>1</v>
      </c>
      <c r="AC230">
        <v>34.700000000000003</v>
      </c>
      <c r="AF230" t="s">
        <v>532</v>
      </c>
      <c r="AG230" s="32" t="s">
        <v>1970</v>
      </c>
      <c r="AH230" s="32" t="s">
        <v>1971</v>
      </c>
      <c r="AI230" s="32" t="s">
        <v>1972</v>
      </c>
      <c r="AJ230" s="31" t="s">
        <v>3116</v>
      </c>
      <c r="AK230" s="31">
        <v>0.90780000000000005</v>
      </c>
      <c r="AL230" s="31">
        <v>31.500660000000003</v>
      </c>
      <c r="AM230" s="31">
        <v>3.1993399999999994</v>
      </c>
      <c r="AN230" s="31">
        <v>718.75064497179676</v>
      </c>
      <c r="AO230" s="31">
        <v>72.99934948931444</v>
      </c>
      <c r="AP230" s="31">
        <v>0.39117814893045472</v>
      </c>
      <c r="AQ230" s="31">
        <v>3.9729704044269579E-2</v>
      </c>
      <c r="AR230" s="31">
        <v>0.13208853699948581</v>
      </c>
    </row>
    <row r="231" spans="1:44" hidden="1" x14ac:dyDescent="0.5">
      <c r="A231" s="31">
        <v>485</v>
      </c>
      <c r="B231" s="31">
        <v>33</v>
      </c>
      <c r="C231" s="225" t="s">
        <v>20</v>
      </c>
      <c r="D231" s="35">
        <v>54.634284999999998</v>
      </c>
      <c r="E231" s="33">
        <v>19.876138000000001</v>
      </c>
      <c r="F231">
        <v>0</v>
      </c>
      <c r="G231">
        <f>F231*1609.344</f>
        <v>0</v>
      </c>
      <c r="H231" s="32" t="s">
        <v>10</v>
      </c>
      <c r="I231">
        <v>0</v>
      </c>
      <c r="J231">
        <v>114.957454784394</v>
      </c>
      <c r="K231" s="26">
        <v>2016</v>
      </c>
      <c r="L231" t="s">
        <v>30</v>
      </c>
      <c r="M231" s="32">
        <v>100</v>
      </c>
      <c r="N231">
        <v>11.428783320000001</v>
      </c>
      <c r="O231">
        <v>5</v>
      </c>
      <c r="P231" t="s">
        <v>23</v>
      </c>
      <c r="Q231">
        <v>99.65</v>
      </c>
      <c r="R231" t="s">
        <v>24</v>
      </c>
      <c r="S231" t="s">
        <v>16</v>
      </c>
      <c r="T231" t="s">
        <v>16</v>
      </c>
      <c r="U231" s="34">
        <v>19</v>
      </c>
      <c r="V231" s="34">
        <v>27</v>
      </c>
      <c r="W231" s="25">
        <v>23</v>
      </c>
      <c r="X231" s="25">
        <v>8</v>
      </c>
      <c r="Y231" s="244">
        <v>0.54424737099999998</v>
      </c>
      <c r="Z231" t="s">
        <v>754</v>
      </c>
      <c r="AA231" t="s">
        <v>620</v>
      </c>
      <c r="AB231">
        <v>1</v>
      </c>
      <c r="AC231">
        <v>8</v>
      </c>
      <c r="AF231" t="s">
        <v>532</v>
      </c>
      <c r="AG231" s="32">
        <v>8</v>
      </c>
      <c r="AH231" s="32">
        <v>1</v>
      </c>
      <c r="AI231" s="32">
        <v>8</v>
      </c>
      <c r="AJ231" s="31">
        <v>0</v>
      </c>
      <c r="AK231" s="31">
        <v>1</v>
      </c>
      <c r="AL231" s="31">
        <v>8</v>
      </c>
      <c r="AM231" s="31">
        <v>0</v>
      </c>
      <c r="AN231" s="31">
        <v>91.751396447566478</v>
      </c>
      <c r="AO231" s="31">
        <v>0</v>
      </c>
      <c r="AP231" s="31">
        <v>4.9935456302166795E-2</v>
      </c>
      <c r="AQ231" s="31">
        <v>0</v>
      </c>
      <c r="AR231" s="31">
        <v>0.13341858489683281</v>
      </c>
    </row>
    <row r="232" spans="1:44" hidden="1" x14ac:dyDescent="0.5">
      <c r="A232" s="31">
        <v>486</v>
      </c>
      <c r="B232" s="31">
        <v>33</v>
      </c>
      <c r="C232" s="225" t="s">
        <v>20</v>
      </c>
      <c r="D232" s="35">
        <v>54.634284999999998</v>
      </c>
      <c r="E232" s="33">
        <v>19.876138000000001</v>
      </c>
      <c r="F232">
        <v>0</v>
      </c>
      <c r="G232">
        <f>F232*1609.344</f>
        <v>0</v>
      </c>
      <c r="H232" s="32" t="s">
        <v>10</v>
      </c>
      <c r="I232">
        <v>0</v>
      </c>
      <c r="J232">
        <v>114.957454784394</v>
      </c>
      <c r="K232" s="26">
        <v>2016</v>
      </c>
      <c r="L232" t="s">
        <v>30</v>
      </c>
      <c r="M232" s="32">
        <v>100</v>
      </c>
      <c r="N232">
        <v>11.428783320000001</v>
      </c>
      <c r="O232">
        <v>5</v>
      </c>
      <c r="P232" t="s">
        <v>23</v>
      </c>
      <c r="Q232">
        <v>99.65</v>
      </c>
      <c r="R232" t="s">
        <v>24</v>
      </c>
      <c r="S232" t="s">
        <v>16</v>
      </c>
      <c r="T232" t="s">
        <v>16</v>
      </c>
      <c r="U232" s="34">
        <v>85.5</v>
      </c>
      <c r="V232" s="34">
        <v>93.5</v>
      </c>
      <c r="W232" s="25">
        <v>89.5</v>
      </c>
      <c r="X232" s="25">
        <v>8</v>
      </c>
      <c r="Y232" s="244">
        <v>0.54424737099999998</v>
      </c>
      <c r="Z232" t="s">
        <v>754</v>
      </c>
      <c r="AA232" t="s">
        <v>620</v>
      </c>
      <c r="AB232">
        <v>1</v>
      </c>
      <c r="AC232">
        <v>13</v>
      </c>
      <c r="AF232" t="s">
        <v>532</v>
      </c>
      <c r="AG232" s="32">
        <v>13</v>
      </c>
      <c r="AH232" s="32" t="s">
        <v>1504</v>
      </c>
      <c r="AI232" s="32" t="s">
        <v>1505</v>
      </c>
      <c r="AJ232" s="31" t="s">
        <v>2908</v>
      </c>
      <c r="AK232" s="31">
        <v>0.92300000000000004</v>
      </c>
      <c r="AL232" s="31">
        <v>11.999000000000001</v>
      </c>
      <c r="AM232" s="31">
        <v>1.0009999999999994</v>
      </c>
      <c r="AN232" s="31">
        <v>137.6156257467938</v>
      </c>
      <c r="AO232" s="31">
        <v>11.480393480501752</v>
      </c>
      <c r="AP232" s="31">
        <v>7.4896942521212428E-2</v>
      </c>
      <c r="AQ232" s="31">
        <v>6.2481739698086181E-3</v>
      </c>
      <c r="AR232" s="31">
        <v>0.13341858489683281</v>
      </c>
    </row>
    <row r="233" spans="1:44" hidden="1" x14ac:dyDescent="0.5">
      <c r="A233" s="31">
        <v>1150</v>
      </c>
      <c r="B233" s="31">
        <v>80</v>
      </c>
      <c r="C233" s="225" t="s">
        <v>32</v>
      </c>
      <c r="D233" s="32">
        <v>-22.965350999999998</v>
      </c>
      <c r="E233" s="38">
        <v>-43.132494000000001</v>
      </c>
      <c r="F233">
        <v>1.48</v>
      </c>
      <c r="G233">
        <f>F233*1609.344</f>
        <v>2381.8291199999999</v>
      </c>
      <c r="H233" s="32" t="s">
        <v>614</v>
      </c>
      <c r="I233">
        <v>16</v>
      </c>
      <c r="J233">
        <v>823.10528629754197</v>
      </c>
      <c r="K233" s="27">
        <v>2017</v>
      </c>
      <c r="L233" t="s">
        <v>40</v>
      </c>
      <c r="M233" s="32">
        <v>200</v>
      </c>
      <c r="N233">
        <v>23.79522055</v>
      </c>
      <c r="O233">
        <v>3</v>
      </c>
      <c r="P233" t="s">
        <v>12</v>
      </c>
      <c r="Q233">
        <v>89</v>
      </c>
      <c r="R233" t="s">
        <v>13</v>
      </c>
      <c r="S233" t="s">
        <v>16</v>
      </c>
      <c r="T233" t="s">
        <v>16</v>
      </c>
      <c r="U233" s="34">
        <v>0</v>
      </c>
      <c r="V233" s="34">
        <v>10</v>
      </c>
      <c r="W233" s="25">
        <v>5</v>
      </c>
      <c r="X233" s="25">
        <v>10</v>
      </c>
      <c r="Y233">
        <v>1.373883272</v>
      </c>
      <c r="Z233" t="s">
        <v>1124</v>
      </c>
      <c r="AA233" t="s">
        <v>622</v>
      </c>
      <c r="AC233">
        <v>6</v>
      </c>
      <c r="AF233" t="s">
        <v>534</v>
      </c>
      <c r="AG233" s="32">
        <v>600</v>
      </c>
      <c r="AH233" s="32" t="s">
        <v>2194</v>
      </c>
      <c r="AI233" s="32" t="s">
        <v>2195</v>
      </c>
      <c r="AJ233" s="31" t="s">
        <v>3213</v>
      </c>
      <c r="AK233" s="31">
        <v>0.47799999999999998</v>
      </c>
      <c r="AL233" s="31">
        <v>286.8</v>
      </c>
      <c r="AM233" s="31">
        <v>313.2</v>
      </c>
      <c r="AN233" s="31">
        <v>7667.9429817303371</v>
      </c>
      <c r="AO233" s="31">
        <v>8373.7787373707852</v>
      </c>
      <c r="AP233" s="31">
        <v>10.534858593249112</v>
      </c>
      <c r="AQ233" s="31">
        <v>11.504594530703002</v>
      </c>
      <c r="AR233" s="31">
        <v>0.13129688117966493</v>
      </c>
    </row>
    <row r="234" spans="1:44" ht="15" hidden="1" customHeight="1" x14ac:dyDescent="0.5">
      <c r="A234" s="31">
        <v>1151</v>
      </c>
      <c r="B234" s="31">
        <v>80</v>
      </c>
      <c r="C234" s="225" t="s">
        <v>32</v>
      </c>
      <c r="D234" s="47">
        <v>-23.024595999999999</v>
      </c>
      <c r="E234" s="47">
        <v>-43.132145000000001</v>
      </c>
      <c r="F234">
        <v>4.41</v>
      </c>
      <c r="G234">
        <f>F234*1609.344</f>
        <v>7097.2070400000002</v>
      </c>
      <c r="H234" s="32" t="s">
        <v>614</v>
      </c>
      <c r="I234">
        <v>32</v>
      </c>
      <c r="J234">
        <v>884.84208196741304</v>
      </c>
      <c r="K234" s="27">
        <v>2017</v>
      </c>
      <c r="L234" t="s">
        <v>40</v>
      </c>
      <c r="M234" s="32">
        <v>200</v>
      </c>
      <c r="N234">
        <v>23.79522055</v>
      </c>
      <c r="O234">
        <v>3</v>
      </c>
      <c r="P234" t="s">
        <v>12</v>
      </c>
      <c r="Q234">
        <v>89</v>
      </c>
      <c r="R234" t="s">
        <v>13</v>
      </c>
      <c r="S234" t="s">
        <v>16</v>
      </c>
      <c r="T234" t="s">
        <v>16</v>
      </c>
      <c r="U234" s="34">
        <v>0</v>
      </c>
      <c r="V234" s="34">
        <v>10</v>
      </c>
      <c r="W234" s="25">
        <v>5</v>
      </c>
      <c r="X234" s="25">
        <v>10</v>
      </c>
      <c r="Y234">
        <v>1.373883272</v>
      </c>
      <c r="Z234" t="s">
        <v>1124</v>
      </c>
      <c r="AA234" t="s">
        <v>622</v>
      </c>
      <c r="AC234">
        <v>6</v>
      </c>
      <c r="AF234" t="s">
        <v>534</v>
      </c>
      <c r="AG234" s="32">
        <v>600</v>
      </c>
      <c r="AH234" s="32" t="s">
        <v>2194</v>
      </c>
      <c r="AI234" s="32" t="s">
        <v>2195</v>
      </c>
      <c r="AJ234" s="31" t="s">
        <v>3213</v>
      </c>
      <c r="AK234" s="31">
        <v>0.47799999999999998</v>
      </c>
      <c r="AL234" s="31">
        <v>286.8</v>
      </c>
      <c r="AM234" s="31">
        <v>313.2</v>
      </c>
      <c r="AN234" s="31">
        <v>7667.9429817303371</v>
      </c>
      <c r="AO234" s="31">
        <v>8373.7787373707852</v>
      </c>
      <c r="AP234" s="31">
        <v>10.534858593249112</v>
      </c>
      <c r="AQ234" s="31">
        <v>11.504594530703002</v>
      </c>
      <c r="AR234" s="31">
        <v>0.12920891808916402</v>
      </c>
    </row>
    <row r="235" spans="1:44" hidden="1" x14ac:dyDescent="0.5">
      <c r="A235" s="31">
        <v>234</v>
      </c>
      <c r="B235" s="31">
        <v>12</v>
      </c>
      <c r="C235" s="225" t="s">
        <v>25</v>
      </c>
      <c r="D235" s="35">
        <v>37.222000000000001</v>
      </c>
      <c r="E235" s="33">
        <v>9.9169999999999998</v>
      </c>
      <c r="F235">
        <v>0.36</v>
      </c>
      <c r="G235">
        <f>F235*1609.344</f>
        <v>579.36383999999998</v>
      </c>
      <c r="H235" s="32" t="s">
        <v>48</v>
      </c>
      <c r="I235">
        <v>0</v>
      </c>
      <c r="J235">
        <v>338.27849650061199</v>
      </c>
      <c r="K235" s="26">
        <v>2016</v>
      </c>
      <c r="L235" t="s">
        <v>11</v>
      </c>
      <c r="M235" s="32">
        <v>300</v>
      </c>
      <c r="N235">
        <v>36.542166029999997</v>
      </c>
      <c r="O235">
        <v>5</v>
      </c>
      <c r="P235" t="s">
        <v>12</v>
      </c>
      <c r="Q235">
        <v>89</v>
      </c>
      <c r="R235" t="s">
        <v>13</v>
      </c>
      <c r="S235" t="s">
        <v>16</v>
      </c>
      <c r="T235" t="s">
        <v>14</v>
      </c>
      <c r="U235" s="34">
        <v>0</v>
      </c>
      <c r="V235" s="34">
        <v>3</v>
      </c>
      <c r="W235" s="25">
        <v>1.5</v>
      </c>
      <c r="X235" s="25">
        <v>3</v>
      </c>
      <c r="Y235">
        <v>1.3241679239999999</v>
      </c>
      <c r="Z235" t="s">
        <v>1103</v>
      </c>
      <c r="AA235" t="s">
        <v>622</v>
      </c>
      <c r="AB235">
        <v>3</v>
      </c>
      <c r="AC235">
        <v>3.6219999999999999</v>
      </c>
      <c r="AD235">
        <v>0.84499999999999997</v>
      </c>
      <c r="AE235" t="s">
        <v>519</v>
      </c>
      <c r="AF235" t="s">
        <v>524</v>
      </c>
      <c r="AG235" s="32">
        <v>3622</v>
      </c>
      <c r="AH235" s="32" t="s">
        <v>1131</v>
      </c>
      <c r="AI235" s="32" t="s">
        <v>1241</v>
      </c>
      <c r="AJ235" s="31" t="s">
        <v>2760</v>
      </c>
      <c r="AK235" s="31">
        <v>0.91</v>
      </c>
      <c r="AL235" s="31">
        <v>3296.02</v>
      </c>
      <c r="AM235" s="31">
        <v>325.98</v>
      </c>
      <c r="AN235" s="31">
        <v>135330.01132382089</v>
      </c>
      <c r="AO235" s="31">
        <v>13384.286834224042</v>
      </c>
      <c r="AP235" s="31">
        <v>179.19966014956037</v>
      </c>
      <c r="AQ235" s="31">
        <v>17.72304331149498</v>
      </c>
      <c r="AR235" s="31">
        <v>0.13341858489683281</v>
      </c>
    </row>
    <row r="236" spans="1:44" hidden="1" x14ac:dyDescent="0.5">
      <c r="A236" s="31">
        <v>235</v>
      </c>
      <c r="B236" s="31">
        <v>12</v>
      </c>
      <c r="C236" s="225" t="s">
        <v>25</v>
      </c>
      <c r="D236" s="35">
        <v>37.226999999999997</v>
      </c>
      <c r="E236" s="33">
        <v>9.8160000000000007</v>
      </c>
      <c r="F236">
        <v>0.31</v>
      </c>
      <c r="G236">
        <f>F236*1609.344</f>
        <v>498.89663999999999</v>
      </c>
      <c r="H236" s="32" t="s">
        <v>48</v>
      </c>
      <c r="I236">
        <v>0</v>
      </c>
      <c r="J236">
        <v>332.22035154264597</v>
      </c>
      <c r="K236" s="26">
        <v>2016</v>
      </c>
      <c r="L236" t="s">
        <v>11</v>
      </c>
      <c r="M236" s="32">
        <v>300</v>
      </c>
      <c r="N236">
        <v>36.542166029999997</v>
      </c>
      <c r="O236">
        <v>5</v>
      </c>
      <c r="P236" t="s">
        <v>12</v>
      </c>
      <c r="Q236">
        <v>89</v>
      </c>
      <c r="R236" t="s">
        <v>13</v>
      </c>
      <c r="S236" t="s">
        <v>16</v>
      </c>
      <c r="T236" t="s">
        <v>14</v>
      </c>
      <c r="U236" s="34">
        <v>0</v>
      </c>
      <c r="V236" s="34">
        <v>3</v>
      </c>
      <c r="W236" s="25">
        <v>1.5</v>
      </c>
      <c r="X236" s="25">
        <v>3</v>
      </c>
      <c r="Y236">
        <v>1.3241679239999999</v>
      </c>
      <c r="Z236" t="s">
        <v>1103</v>
      </c>
      <c r="AA236" t="s">
        <v>622</v>
      </c>
      <c r="AB236">
        <v>3</v>
      </c>
      <c r="AC236">
        <v>3.4</v>
      </c>
      <c r="AD236">
        <v>0.2</v>
      </c>
      <c r="AE236" t="s">
        <v>519</v>
      </c>
      <c r="AF236" t="s">
        <v>524</v>
      </c>
      <c r="AG236" s="32">
        <v>3400</v>
      </c>
      <c r="AH236" s="32" t="s">
        <v>1242</v>
      </c>
      <c r="AI236" s="32" t="s">
        <v>1243</v>
      </c>
      <c r="AJ236" s="31" t="s">
        <v>2761</v>
      </c>
      <c r="AK236" s="31">
        <v>0.82350000000000001</v>
      </c>
      <c r="AL236" s="31">
        <v>2799.9</v>
      </c>
      <c r="AM236" s="31">
        <v>600.09999999999991</v>
      </c>
      <c r="AN236" s="31">
        <v>114960.01198583932</v>
      </c>
      <c r="AO236" s="31">
        <v>24639.273971464037</v>
      </c>
      <c r="AP236" s="31">
        <v>152.22636041430397</v>
      </c>
      <c r="AQ236" s="31">
        <v>32.626536263660768</v>
      </c>
      <c r="AR236" s="31">
        <v>0.13341858489683281</v>
      </c>
    </row>
    <row r="237" spans="1:44" hidden="1" x14ac:dyDescent="0.5">
      <c r="A237" s="31">
        <v>236</v>
      </c>
      <c r="B237" s="31">
        <v>12</v>
      </c>
      <c r="C237" s="225" t="s">
        <v>25</v>
      </c>
      <c r="D237" s="35">
        <v>37.228000000000002</v>
      </c>
      <c r="E237" s="33">
        <v>9.86</v>
      </c>
      <c r="F237">
        <v>0.36</v>
      </c>
      <c r="G237">
        <f>F237*1609.344</f>
        <v>579.36383999999998</v>
      </c>
      <c r="H237" s="32" t="s">
        <v>48</v>
      </c>
      <c r="I237">
        <v>0</v>
      </c>
      <c r="J237">
        <v>335.035239957199</v>
      </c>
      <c r="K237" s="26">
        <v>2016</v>
      </c>
      <c r="L237" t="s">
        <v>11</v>
      </c>
      <c r="M237" s="32">
        <v>300</v>
      </c>
      <c r="N237">
        <v>36.542166029999997</v>
      </c>
      <c r="O237">
        <v>5</v>
      </c>
      <c r="P237" t="s">
        <v>12</v>
      </c>
      <c r="Q237">
        <v>89</v>
      </c>
      <c r="R237" t="s">
        <v>13</v>
      </c>
      <c r="S237" t="s">
        <v>16</v>
      </c>
      <c r="T237" t="s">
        <v>14</v>
      </c>
      <c r="U237" s="34">
        <v>0</v>
      </c>
      <c r="V237" s="34">
        <v>3</v>
      </c>
      <c r="W237" s="25">
        <v>1.5</v>
      </c>
      <c r="X237" s="25">
        <v>3</v>
      </c>
      <c r="Y237">
        <v>1.3241679239999999</v>
      </c>
      <c r="Z237" t="s">
        <v>1103</v>
      </c>
      <c r="AA237" t="s">
        <v>622</v>
      </c>
      <c r="AB237">
        <v>3</v>
      </c>
      <c r="AC237">
        <v>18</v>
      </c>
      <c r="AD237">
        <v>2</v>
      </c>
      <c r="AE237" t="s">
        <v>519</v>
      </c>
      <c r="AF237" t="s">
        <v>524</v>
      </c>
      <c r="AG237" s="32">
        <v>18000</v>
      </c>
      <c r="AH237" s="32" t="s">
        <v>1244</v>
      </c>
      <c r="AI237" s="32">
        <v>15984</v>
      </c>
      <c r="AJ237" s="31">
        <v>2016</v>
      </c>
      <c r="AK237" s="31">
        <v>0.88800000000000001</v>
      </c>
      <c r="AL237" s="31">
        <v>15984</v>
      </c>
      <c r="AM237" s="31">
        <v>2016</v>
      </c>
      <c r="AN237" s="31">
        <v>656280.87845339312</v>
      </c>
      <c r="AO237" s="31">
        <v>82774.164849977518</v>
      </c>
      <c r="AP237" s="31">
        <v>869.02608838252593</v>
      </c>
      <c r="AQ237" s="31">
        <v>109.6068940302285</v>
      </c>
      <c r="AR237" s="31">
        <v>0.13341858489683281</v>
      </c>
    </row>
    <row r="238" spans="1:44" hidden="1" x14ac:dyDescent="0.5">
      <c r="A238" s="31">
        <v>237</v>
      </c>
      <c r="B238" s="31">
        <v>12</v>
      </c>
      <c r="C238" s="225" t="s">
        <v>25</v>
      </c>
      <c r="D238" s="35">
        <v>37.26</v>
      </c>
      <c r="E238" s="33">
        <v>9.8650000000000002</v>
      </c>
      <c r="F238">
        <v>0.27</v>
      </c>
      <c r="G238">
        <f>F238*1609.344</f>
        <v>434.52288000000004</v>
      </c>
      <c r="H238" s="32" t="s">
        <v>48</v>
      </c>
      <c r="I238">
        <v>0</v>
      </c>
      <c r="J238">
        <v>346.61230321529001</v>
      </c>
      <c r="K238" s="26">
        <v>2016</v>
      </c>
      <c r="L238" t="s">
        <v>11</v>
      </c>
      <c r="M238" s="32">
        <v>300</v>
      </c>
      <c r="N238">
        <v>36.542166029999997</v>
      </c>
      <c r="O238">
        <v>5</v>
      </c>
      <c r="P238" t="s">
        <v>12</v>
      </c>
      <c r="Q238">
        <v>89</v>
      </c>
      <c r="R238" t="s">
        <v>13</v>
      </c>
      <c r="S238" t="s">
        <v>16</v>
      </c>
      <c r="T238" t="s">
        <v>14</v>
      </c>
      <c r="U238" s="34">
        <v>0</v>
      </c>
      <c r="V238" s="34">
        <v>3</v>
      </c>
      <c r="W238" s="25">
        <v>1.5</v>
      </c>
      <c r="X238" s="25">
        <v>3</v>
      </c>
      <c r="Y238">
        <v>1.3241679239999999</v>
      </c>
      <c r="Z238" t="s">
        <v>1103</v>
      </c>
      <c r="AA238" t="s">
        <v>622</v>
      </c>
      <c r="AB238">
        <v>3</v>
      </c>
      <c r="AC238">
        <v>3.05</v>
      </c>
      <c r="AD238">
        <v>0.41899999999999998</v>
      </c>
      <c r="AE238" t="s">
        <v>519</v>
      </c>
      <c r="AF238" t="s">
        <v>524</v>
      </c>
      <c r="AG238" s="32">
        <v>3050</v>
      </c>
      <c r="AH238" s="32" t="s">
        <v>1245</v>
      </c>
      <c r="AI238" s="32" t="s">
        <v>1246</v>
      </c>
      <c r="AJ238" s="31" t="s">
        <v>2762</v>
      </c>
      <c r="AK238" s="31">
        <v>0.21049999999999999</v>
      </c>
      <c r="AL238" s="31">
        <v>642.02499999999998</v>
      </c>
      <c r="AM238" s="31">
        <v>2407.9749999999999</v>
      </c>
      <c r="AN238" s="31">
        <v>26360.656343158145</v>
      </c>
      <c r="AO238" s="31">
        <v>98868.114883246351</v>
      </c>
      <c r="AP238" s="31">
        <v>34.905935585197149</v>
      </c>
      <c r="AQ238" s="31">
        <v>130.91798643474181</v>
      </c>
      <c r="AR238" s="31">
        <v>0.13341858489683281</v>
      </c>
    </row>
    <row r="239" spans="1:44" hidden="1" x14ac:dyDescent="0.5">
      <c r="A239" s="31">
        <v>238</v>
      </c>
      <c r="B239" s="31">
        <v>13</v>
      </c>
      <c r="C239" s="225" t="s">
        <v>9</v>
      </c>
      <c r="D239" s="35">
        <v>30.959</v>
      </c>
      <c r="E239" s="33">
        <v>122.113</v>
      </c>
      <c r="F239">
        <v>9.0299999999999994</v>
      </c>
      <c r="G239">
        <f>F239*1609.344</f>
        <v>14532.376319999999</v>
      </c>
      <c r="H239" s="32" t="s">
        <v>45</v>
      </c>
      <c r="I239" s="7">
        <v>4</v>
      </c>
      <c r="J239">
        <v>3497.4142954378499</v>
      </c>
      <c r="K239" s="26">
        <v>2015</v>
      </c>
      <c r="L239" t="s">
        <v>11</v>
      </c>
      <c r="M239" s="32">
        <v>47</v>
      </c>
      <c r="N239">
        <v>5.1413779750000002</v>
      </c>
      <c r="O239">
        <v>5</v>
      </c>
      <c r="P239" t="s">
        <v>12</v>
      </c>
      <c r="Q239">
        <v>89</v>
      </c>
      <c r="R239" t="s">
        <v>13</v>
      </c>
      <c r="S239" t="s">
        <v>14</v>
      </c>
      <c r="T239" t="s">
        <v>14</v>
      </c>
      <c r="U239" s="34">
        <v>5</v>
      </c>
      <c r="V239" s="34">
        <v>10</v>
      </c>
      <c r="W239" s="25">
        <v>7.5</v>
      </c>
      <c r="X239" s="25">
        <v>5</v>
      </c>
      <c r="Y239">
        <v>0.61037440930769205</v>
      </c>
      <c r="Z239" t="s">
        <v>812</v>
      </c>
      <c r="AA239" t="s">
        <v>619</v>
      </c>
      <c r="AB239">
        <v>12</v>
      </c>
      <c r="AC239">
        <v>8.1999999999999993</v>
      </c>
      <c r="AD239">
        <v>3.4</v>
      </c>
      <c r="AE239" t="s">
        <v>519</v>
      </c>
      <c r="AF239" t="s">
        <v>568</v>
      </c>
      <c r="AG239" s="32">
        <v>82</v>
      </c>
      <c r="AH239" s="32" t="s">
        <v>1247</v>
      </c>
      <c r="AI239" s="32" t="s">
        <v>1248</v>
      </c>
      <c r="AJ239" s="31" t="s">
        <v>2763</v>
      </c>
      <c r="AK239" s="31">
        <v>0.93</v>
      </c>
      <c r="AL239" s="31">
        <v>76.260000000000005</v>
      </c>
      <c r="AM239" s="31">
        <v>5.7399999999999949</v>
      </c>
      <c r="AN239" s="31">
        <v>440.54099367808988</v>
      </c>
      <c r="AO239" s="31">
        <v>33.158999524157274</v>
      </c>
      <c r="AP239" s="31">
        <v>0.26889494879208781</v>
      </c>
      <c r="AQ239" s="31">
        <v>2.023940474779154E-2</v>
      </c>
      <c r="AR239" s="31">
        <v>0.13288496611575845</v>
      </c>
    </row>
    <row r="240" spans="1:44" ht="24.75" hidden="1" customHeight="1" x14ac:dyDescent="0.5">
      <c r="A240" s="31">
        <v>239</v>
      </c>
      <c r="B240" s="31">
        <v>13</v>
      </c>
      <c r="C240" s="225" t="s">
        <v>9</v>
      </c>
      <c r="D240" s="35">
        <v>31.402999999999999</v>
      </c>
      <c r="E240" s="33">
        <v>121.56100000000001</v>
      </c>
      <c r="F240">
        <v>1.98</v>
      </c>
      <c r="G240">
        <f>F240*1609.344</f>
        <v>3186.5011199999999</v>
      </c>
      <c r="H240" s="32" t="s">
        <v>45</v>
      </c>
      <c r="I240" s="7">
        <v>14</v>
      </c>
      <c r="J240">
        <v>2420.6621274291501</v>
      </c>
      <c r="K240" s="26">
        <v>2015</v>
      </c>
      <c r="L240" t="s">
        <v>11</v>
      </c>
      <c r="M240" s="32">
        <v>47</v>
      </c>
      <c r="N240">
        <v>5.1413779750000002</v>
      </c>
      <c r="O240">
        <v>5</v>
      </c>
      <c r="P240" t="s">
        <v>12</v>
      </c>
      <c r="Q240">
        <v>89</v>
      </c>
      <c r="R240" t="s">
        <v>13</v>
      </c>
      <c r="S240" t="s">
        <v>14</v>
      </c>
      <c r="T240" t="s">
        <v>14</v>
      </c>
      <c r="U240" s="34">
        <v>5</v>
      </c>
      <c r="V240" s="34">
        <v>10</v>
      </c>
      <c r="W240" s="25">
        <v>7.5</v>
      </c>
      <c r="X240" s="25">
        <v>5</v>
      </c>
      <c r="Y240">
        <v>0.61037440930769205</v>
      </c>
      <c r="Z240" t="s">
        <v>812</v>
      </c>
      <c r="AA240" t="s">
        <v>619</v>
      </c>
      <c r="AB240">
        <v>36</v>
      </c>
      <c r="AC240">
        <v>16.899999999999999</v>
      </c>
      <c r="AD240">
        <v>7.9</v>
      </c>
      <c r="AE240" t="s">
        <v>519</v>
      </c>
      <c r="AF240" t="s">
        <v>568</v>
      </c>
      <c r="AG240" s="32">
        <v>169</v>
      </c>
      <c r="AH240" s="32" t="s">
        <v>1247</v>
      </c>
      <c r="AI240" s="32" t="s">
        <v>1249</v>
      </c>
      <c r="AJ240" s="31" t="s">
        <v>2764</v>
      </c>
      <c r="AK240" s="31">
        <v>0.93</v>
      </c>
      <c r="AL240" s="31">
        <v>157.17000000000002</v>
      </c>
      <c r="AM240" s="31">
        <v>11.829999999999984</v>
      </c>
      <c r="AN240" s="31">
        <v>907.94424306825863</v>
      </c>
      <c r="AO240" s="31">
        <v>68.339889263202153</v>
      </c>
      <c r="AP240" s="31">
        <v>0.55418593104710789</v>
      </c>
      <c r="AQ240" s="31">
        <v>4.1712919541180102E-2</v>
      </c>
      <c r="AR240" s="31">
        <v>0.13156023785613885</v>
      </c>
    </row>
    <row r="241" spans="1:44" ht="21" hidden="1" customHeight="1" x14ac:dyDescent="0.5">
      <c r="A241" s="31">
        <v>240</v>
      </c>
      <c r="B241" s="31">
        <v>13</v>
      </c>
      <c r="C241" s="225" t="s">
        <v>43</v>
      </c>
      <c r="D241" s="35">
        <v>31.423999999999999</v>
      </c>
      <c r="E241" s="33">
        <v>122.34</v>
      </c>
      <c r="F241">
        <v>22.28</v>
      </c>
      <c r="G241">
        <f>F241*1609.344</f>
        <v>35856.18432</v>
      </c>
      <c r="H241" s="32" t="s">
        <v>45</v>
      </c>
      <c r="I241" s="7">
        <v>12</v>
      </c>
      <c r="J241">
        <v>3730.2580848023299</v>
      </c>
      <c r="K241" s="26">
        <v>2015</v>
      </c>
      <c r="L241" t="s">
        <v>11</v>
      </c>
      <c r="M241" s="32">
        <v>47</v>
      </c>
      <c r="N241">
        <v>5.1413779750000002</v>
      </c>
      <c r="O241">
        <v>5</v>
      </c>
      <c r="P241" t="s">
        <v>12</v>
      </c>
      <c r="Q241">
        <v>89</v>
      </c>
      <c r="R241" t="s">
        <v>13</v>
      </c>
      <c r="S241" t="s">
        <v>14</v>
      </c>
      <c r="T241" t="s">
        <v>14</v>
      </c>
      <c r="U241" s="34">
        <v>5</v>
      </c>
      <c r="V241" s="34">
        <v>10</v>
      </c>
      <c r="W241" s="25">
        <v>7.5</v>
      </c>
      <c r="X241" s="25">
        <v>5</v>
      </c>
      <c r="Y241">
        <v>0.61037440930769205</v>
      </c>
      <c r="Z241" t="s">
        <v>812</v>
      </c>
      <c r="AA241" t="s">
        <v>619</v>
      </c>
      <c r="AB241">
        <v>78</v>
      </c>
      <c r="AC241">
        <v>11.8</v>
      </c>
      <c r="AD241">
        <v>6.8</v>
      </c>
      <c r="AE241" t="s">
        <v>519</v>
      </c>
      <c r="AF241" t="s">
        <v>568</v>
      </c>
      <c r="AG241" s="32">
        <v>118</v>
      </c>
      <c r="AH241" s="32" t="s">
        <v>1247</v>
      </c>
      <c r="AI241" s="32" t="s">
        <v>1250</v>
      </c>
      <c r="AJ241" s="31" t="s">
        <v>2765</v>
      </c>
      <c r="AK241" s="31">
        <v>0.93</v>
      </c>
      <c r="AL241" s="31">
        <v>109.74000000000001</v>
      </c>
      <c r="AM241" s="31">
        <v>8.2599999999999909</v>
      </c>
      <c r="AN241" s="31">
        <v>633.94923480505622</v>
      </c>
      <c r="AO241" s="31">
        <v>47.716609071348266</v>
      </c>
      <c r="AP241" s="31">
        <v>0.38694638972519957</v>
      </c>
      <c r="AQ241" s="31">
        <v>2.9124997076090259E-2</v>
      </c>
      <c r="AR241" s="31">
        <v>0.1318241227762269</v>
      </c>
    </row>
    <row r="242" spans="1:44" ht="3.75" hidden="1" customHeight="1" x14ac:dyDescent="0.5">
      <c r="A242" s="31">
        <v>241</v>
      </c>
      <c r="B242" s="31">
        <v>13</v>
      </c>
      <c r="C242" s="225" t="s">
        <v>9</v>
      </c>
      <c r="D242" s="35">
        <v>31.72</v>
      </c>
      <c r="E242" s="33">
        <v>121.623</v>
      </c>
      <c r="F242">
        <v>1.45</v>
      </c>
      <c r="G242">
        <f>F242*1609.344</f>
        <v>2333.5488</v>
      </c>
      <c r="H242" s="32" t="s">
        <v>45</v>
      </c>
      <c r="I242" s="7">
        <v>2</v>
      </c>
      <c r="J242">
        <v>2337.9545974621301</v>
      </c>
      <c r="K242" s="26">
        <v>2015</v>
      </c>
      <c r="L242" t="s">
        <v>11</v>
      </c>
      <c r="M242" s="32">
        <v>47</v>
      </c>
      <c r="N242">
        <v>5.1413779750000002</v>
      </c>
      <c r="O242">
        <v>5</v>
      </c>
      <c r="P242" t="s">
        <v>12</v>
      </c>
      <c r="Q242">
        <v>89</v>
      </c>
      <c r="R242" t="s">
        <v>13</v>
      </c>
      <c r="S242" t="s">
        <v>14</v>
      </c>
      <c r="T242" t="s">
        <v>14</v>
      </c>
      <c r="U242" s="34">
        <v>5</v>
      </c>
      <c r="V242" s="34">
        <v>10</v>
      </c>
      <c r="W242" s="25">
        <v>7.5</v>
      </c>
      <c r="X242" s="25">
        <v>5</v>
      </c>
      <c r="Y242">
        <v>0.61037440930769205</v>
      </c>
      <c r="Z242" t="s">
        <v>812</v>
      </c>
      <c r="AA242" t="s">
        <v>619</v>
      </c>
      <c r="AB242">
        <v>33</v>
      </c>
      <c r="AC242">
        <v>8.9</v>
      </c>
      <c r="AD242">
        <v>2.9</v>
      </c>
      <c r="AE242" t="s">
        <v>519</v>
      </c>
      <c r="AF242" t="s">
        <v>568</v>
      </c>
      <c r="AG242" s="32">
        <v>89</v>
      </c>
      <c r="AH242" s="32" t="s">
        <v>1247</v>
      </c>
      <c r="AI242" s="32" t="s">
        <v>1251</v>
      </c>
      <c r="AJ242" s="31" t="s">
        <v>2766</v>
      </c>
      <c r="AK242" s="31">
        <v>0.93</v>
      </c>
      <c r="AL242" s="31">
        <v>82.77000000000001</v>
      </c>
      <c r="AM242" s="31">
        <v>6.2299999999999898</v>
      </c>
      <c r="AN242" s="31">
        <v>478.14815167500012</v>
      </c>
      <c r="AO242" s="31">
        <v>35.98964582499994</v>
      </c>
      <c r="AP242" s="31">
        <v>0.29184939564019297</v>
      </c>
      <c r="AQ242" s="31">
        <v>2.196715881162738E-2</v>
      </c>
      <c r="AR242" s="31">
        <v>0.13315150818983643</v>
      </c>
    </row>
    <row r="243" spans="1:44" hidden="1" x14ac:dyDescent="0.5">
      <c r="A243" s="31">
        <v>1152</v>
      </c>
      <c r="B243" s="31">
        <v>80</v>
      </c>
      <c r="C243" s="225" t="s">
        <v>32</v>
      </c>
      <c r="D243" s="32">
        <v>-23.050357999999999</v>
      </c>
      <c r="E243" s="38">
        <v>-43.114297999999998</v>
      </c>
      <c r="F243">
        <v>6.17</v>
      </c>
      <c r="G243">
        <f>F243*1609.344</f>
        <v>9929.6524800000007</v>
      </c>
      <c r="H243" s="32" t="s">
        <v>614</v>
      </c>
      <c r="I243">
        <v>37</v>
      </c>
      <c r="J243">
        <v>915.05997263713198</v>
      </c>
      <c r="K243" s="27">
        <v>2017</v>
      </c>
      <c r="L243" t="s">
        <v>40</v>
      </c>
      <c r="M243" s="32">
        <v>200</v>
      </c>
      <c r="N243">
        <v>23.79522055</v>
      </c>
      <c r="O243">
        <v>3</v>
      </c>
      <c r="P243" t="s">
        <v>12</v>
      </c>
      <c r="Q243">
        <v>89</v>
      </c>
      <c r="R243" t="s">
        <v>13</v>
      </c>
      <c r="S243" t="s">
        <v>16</v>
      </c>
      <c r="T243" t="s">
        <v>16</v>
      </c>
      <c r="U243" s="34">
        <v>0</v>
      </c>
      <c r="V243" s="34">
        <v>10</v>
      </c>
      <c r="W243" s="25">
        <v>5</v>
      </c>
      <c r="X243" s="25">
        <v>10</v>
      </c>
      <c r="Y243">
        <v>1.373883272</v>
      </c>
      <c r="Z243" t="s">
        <v>1124</v>
      </c>
      <c r="AA243" t="s">
        <v>622</v>
      </c>
      <c r="AC243">
        <v>217</v>
      </c>
      <c r="AF243" t="s">
        <v>534</v>
      </c>
      <c r="AG243" s="32">
        <v>21700</v>
      </c>
      <c r="AH243" s="32" t="s">
        <v>2194</v>
      </c>
      <c r="AI243" s="32" t="s">
        <v>2196</v>
      </c>
      <c r="AJ243" s="31" t="s">
        <v>3214</v>
      </c>
      <c r="AK243" s="31">
        <v>0.47799999999999998</v>
      </c>
      <c r="AL243" s="31">
        <v>10372.6</v>
      </c>
      <c r="AM243" s="31">
        <v>11327.4</v>
      </c>
      <c r="AN243" s="31">
        <v>277323.93783924723</v>
      </c>
      <c r="AO243" s="31">
        <v>302851.66433491011</v>
      </c>
      <c r="AP243" s="31">
        <v>381.01071912250956</v>
      </c>
      <c r="AQ243" s="31">
        <v>416.08283552709196</v>
      </c>
      <c r="AR243" s="31">
        <v>0.12856326403413854</v>
      </c>
    </row>
    <row r="244" spans="1:44" hidden="1" x14ac:dyDescent="0.5">
      <c r="A244" s="31">
        <v>1209</v>
      </c>
      <c r="B244" s="31">
        <v>84</v>
      </c>
      <c r="C244" s="225" t="s">
        <v>32</v>
      </c>
      <c r="D244" s="32">
        <v>-22.867056999999999</v>
      </c>
      <c r="E244" s="38">
        <v>-43.166145999999998</v>
      </c>
      <c r="F244">
        <v>1.93</v>
      </c>
      <c r="G244">
        <f>F244*1609.344</f>
        <v>3106.0339199999999</v>
      </c>
      <c r="H244" s="32" t="s">
        <v>47</v>
      </c>
      <c r="I244" s="7">
        <v>0</v>
      </c>
      <c r="J244">
        <v>737.57085446709698</v>
      </c>
      <c r="K244" s="26">
        <v>2017</v>
      </c>
      <c r="L244" t="s">
        <v>40</v>
      </c>
      <c r="M244" s="32">
        <v>15</v>
      </c>
      <c r="N244">
        <v>1.535693518</v>
      </c>
      <c r="O244">
        <v>5</v>
      </c>
      <c r="P244" t="s">
        <v>12</v>
      </c>
      <c r="Q244">
        <v>89</v>
      </c>
      <c r="R244" t="s">
        <v>13</v>
      </c>
      <c r="S244" t="s">
        <v>14</v>
      </c>
      <c r="T244" t="s">
        <v>14</v>
      </c>
      <c r="U244" s="34">
        <v>0</v>
      </c>
      <c r="V244" s="34">
        <v>5</v>
      </c>
      <c r="W244" s="25">
        <v>2.5</v>
      </c>
      <c r="X244" s="25">
        <v>5</v>
      </c>
      <c r="Y244">
        <v>1.373883272</v>
      </c>
      <c r="Z244" t="s">
        <v>1124</v>
      </c>
      <c r="AA244" t="s">
        <v>622</v>
      </c>
      <c r="AB244">
        <v>12</v>
      </c>
      <c r="AC244">
        <v>817.678</v>
      </c>
      <c r="AD244">
        <v>64.364977949999997</v>
      </c>
      <c r="AE244" t="s">
        <v>525</v>
      </c>
      <c r="AF244" t="s">
        <v>532</v>
      </c>
      <c r="AG244" s="32">
        <v>817.7</v>
      </c>
      <c r="AH244" s="32" t="s">
        <v>1136</v>
      </c>
      <c r="AI244" s="32" t="s">
        <v>2305</v>
      </c>
      <c r="AJ244" s="31" t="s">
        <v>3251</v>
      </c>
      <c r="AK244" s="31">
        <v>0.81</v>
      </c>
      <c r="AL244" s="31">
        <v>662.3370000000001</v>
      </c>
      <c r="AM244" s="31">
        <v>155.36299999999994</v>
      </c>
      <c r="AN244" s="31">
        <v>1142.8613905972654</v>
      </c>
      <c r="AO244" s="31">
        <v>268.07859779442009</v>
      </c>
      <c r="AP244" s="31">
        <v>1.5701581467562409</v>
      </c>
      <c r="AQ244" s="31">
        <v>0.36830870109096991</v>
      </c>
      <c r="AR244" s="31">
        <v>0.13341858489683281</v>
      </c>
    </row>
    <row r="245" spans="1:44" hidden="1" x14ac:dyDescent="0.5">
      <c r="A245" s="31">
        <v>1210</v>
      </c>
      <c r="B245" s="31">
        <v>84</v>
      </c>
      <c r="C245" s="225" t="s">
        <v>32</v>
      </c>
      <c r="D245" s="32">
        <v>-22.839504999999999</v>
      </c>
      <c r="E245" s="38">
        <v>-43.114111000000001</v>
      </c>
      <c r="F245">
        <v>0.26</v>
      </c>
      <c r="G245">
        <f>F245*1609.344</f>
        <v>418.42944</v>
      </c>
      <c r="H245" s="32" t="s">
        <v>47</v>
      </c>
      <c r="I245" s="7">
        <v>0</v>
      </c>
      <c r="J245">
        <v>716.08567507968598</v>
      </c>
      <c r="K245" s="26">
        <v>2017</v>
      </c>
      <c r="L245" t="s">
        <v>40</v>
      </c>
      <c r="M245" s="32">
        <v>15</v>
      </c>
      <c r="N245">
        <v>1.535693518</v>
      </c>
      <c r="O245">
        <v>5</v>
      </c>
      <c r="P245" t="s">
        <v>12</v>
      </c>
      <c r="Q245">
        <v>89</v>
      </c>
      <c r="R245" t="s">
        <v>13</v>
      </c>
      <c r="S245" t="s">
        <v>14</v>
      </c>
      <c r="T245" t="s">
        <v>14</v>
      </c>
      <c r="U245" s="34">
        <v>0</v>
      </c>
      <c r="V245" s="34">
        <v>5</v>
      </c>
      <c r="W245" s="25">
        <v>2.5</v>
      </c>
      <c r="X245" s="25">
        <v>5</v>
      </c>
      <c r="Y245">
        <v>1.373883272</v>
      </c>
      <c r="Z245" t="s">
        <v>1124</v>
      </c>
      <c r="AA245" t="s">
        <v>622</v>
      </c>
      <c r="AB245">
        <v>12</v>
      </c>
      <c r="AC245">
        <v>696.41700000000003</v>
      </c>
      <c r="AD245">
        <v>55.646105749999997</v>
      </c>
      <c r="AE245" t="s">
        <v>525</v>
      </c>
      <c r="AF245" t="s">
        <v>532</v>
      </c>
      <c r="AG245" s="32">
        <v>696.4</v>
      </c>
      <c r="AH245" s="32" t="s">
        <v>1136</v>
      </c>
      <c r="AI245" s="32" t="s">
        <v>2306</v>
      </c>
      <c r="AJ245" s="31" t="s">
        <v>3252</v>
      </c>
      <c r="AK245" s="31">
        <v>0.81</v>
      </c>
      <c r="AL245" s="31">
        <v>564.08400000000006</v>
      </c>
      <c r="AM245" s="31">
        <v>132.31599999999992</v>
      </c>
      <c r="AN245" s="31">
        <v>973.32600270506975</v>
      </c>
      <c r="AO245" s="31">
        <v>228.3110376715594</v>
      </c>
      <c r="AP245" s="31">
        <v>1.3372363133191221</v>
      </c>
      <c r="AQ245" s="31">
        <v>0.31367271546991732</v>
      </c>
      <c r="AR245" s="31">
        <v>0.13341858489683281</v>
      </c>
    </row>
    <row r="246" spans="1:44" hidden="1" x14ac:dyDescent="0.5">
      <c r="A246" s="31">
        <v>1211</v>
      </c>
      <c r="B246" s="31">
        <v>84</v>
      </c>
      <c r="C246" s="225" t="s">
        <v>32</v>
      </c>
      <c r="D246" s="32">
        <v>-22.838940999999998</v>
      </c>
      <c r="E246" s="38">
        <v>-43.215114</v>
      </c>
      <c r="F246">
        <v>0.73</v>
      </c>
      <c r="G246">
        <f>F246*1609.344</f>
        <v>1174.8211200000001</v>
      </c>
      <c r="H246" s="32" t="s">
        <v>47</v>
      </c>
      <c r="I246" s="7">
        <v>0</v>
      </c>
      <c r="J246">
        <v>723.95031991989401</v>
      </c>
      <c r="K246" s="26">
        <v>2017</v>
      </c>
      <c r="L246" t="s">
        <v>40</v>
      </c>
      <c r="M246" s="32">
        <v>15</v>
      </c>
      <c r="N246">
        <v>1.535693518</v>
      </c>
      <c r="O246">
        <v>5</v>
      </c>
      <c r="P246" t="s">
        <v>12</v>
      </c>
      <c r="Q246">
        <v>89</v>
      </c>
      <c r="R246" t="s">
        <v>13</v>
      </c>
      <c r="S246" t="s">
        <v>14</v>
      </c>
      <c r="T246" t="s">
        <v>14</v>
      </c>
      <c r="U246" s="34">
        <v>0</v>
      </c>
      <c r="V246" s="34">
        <v>5</v>
      </c>
      <c r="W246" s="25">
        <v>2.5</v>
      </c>
      <c r="X246" s="25">
        <v>5</v>
      </c>
      <c r="Y246">
        <v>1.373883272</v>
      </c>
      <c r="Z246" t="s">
        <v>1124</v>
      </c>
      <c r="AA246" t="s">
        <v>622</v>
      </c>
      <c r="AB246">
        <v>12</v>
      </c>
      <c r="AC246">
        <v>916.05899999999997</v>
      </c>
      <c r="AD246">
        <v>56.299055600000003</v>
      </c>
      <c r="AE246" t="s">
        <v>525</v>
      </c>
      <c r="AF246" t="s">
        <v>532</v>
      </c>
      <c r="AG246" s="32">
        <v>916.1</v>
      </c>
      <c r="AH246" s="32" t="s">
        <v>1136</v>
      </c>
      <c r="AI246" s="32" t="s">
        <v>2307</v>
      </c>
      <c r="AJ246" s="31" t="s">
        <v>3253</v>
      </c>
      <c r="AK246" s="31">
        <v>0.81</v>
      </c>
      <c r="AL246" s="31">
        <v>742.04100000000005</v>
      </c>
      <c r="AM246" s="31">
        <v>174.05899999999997</v>
      </c>
      <c r="AN246" s="31">
        <v>1280.390509876672</v>
      </c>
      <c r="AO246" s="31">
        <v>300.33851466242919</v>
      </c>
      <c r="AP246" s="31">
        <v>1.7591071031471104</v>
      </c>
      <c r="AQ246" s="31">
        <v>0.41263006123203816</v>
      </c>
      <c r="AR246" s="31">
        <v>0.13341858489683281</v>
      </c>
    </row>
    <row r="247" spans="1:44" hidden="1" x14ac:dyDescent="0.5">
      <c r="A247" s="31">
        <v>1212</v>
      </c>
      <c r="B247" s="31">
        <v>84</v>
      </c>
      <c r="C247" s="225" t="s">
        <v>32</v>
      </c>
      <c r="D247" s="32">
        <v>-22.722804</v>
      </c>
      <c r="E247" s="38">
        <v>-43.077064</v>
      </c>
      <c r="F247">
        <v>2.85</v>
      </c>
      <c r="G247">
        <f>F247*1609.344</f>
        <v>4586.6304</v>
      </c>
      <c r="H247" s="32" t="s">
        <v>47</v>
      </c>
      <c r="I247" s="7">
        <v>0</v>
      </c>
      <c r="J247">
        <v>650.17202803999498</v>
      </c>
      <c r="K247" s="26">
        <v>2017</v>
      </c>
      <c r="L247" t="s">
        <v>40</v>
      </c>
      <c r="M247" s="32">
        <v>15</v>
      </c>
      <c r="N247">
        <v>1.535693518</v>
      </c>
      <c r="O247">
        <v>5</v>
      </c>
      <c r="P247" t="s">
        <v>12</v>
      </c>
      <c r="Q247">
        <v>89</v>
      </c>
      <c r="R247" t="s">
        <v>13</v>
      </c>
      <c r="S247" t="s">
        <v>14</v>
      </c>
      <c r="T247" t="s">
        <v>14</v>
      </c>
      <c r="U247" s="34">
        <v>0</v>
      </c>
      <c r="V247" s="34">
        <v>5</v>
      </c>
      <c r="W247" s="25">
        <v>2.5</v>
      </c>
      <c r="X247" s="25">
        <v>5</v>
      </c>
      <c r="Y247">
        <v>1.373883272</v>
      </c>
      <c r="Z247" t="s">
        <v>1124</v>
      </c>
      <c r="AA247" t="s">
        <v>622</v>
      </c>
      <c r="AB247">
        <v>12</v>
      </c>
      <c r="AC247">
        <v>640.327</v>
      </c>
      <c r="AD247">
        <v>47.058148009999996</v>
      </c>
      <c r="AE247" t="s">
        <v>525</v>
      </c>
      <c r="AF247" t="s">
        <v>532</v>
      </c>
      <c r="AG247" s="32">
        <v>640.29999999999995</v>
      </c>
      <c r="AH247" s="32" t="s">
        <v>1136</v>
      </c>
      <c r="AI247" s="32" t="s">
        <v>2308</v>
      </c>
      <c r="AJ247" s="31" t="s">
        <v>3254</v>
      </c>
      <c r="AK247" s="31">
        <v>0.81</v>
      </c>
      <c r="AL247" s="31">
        <v>518.64300000000003</v>
      </c>
      <c r="AM247" s="31">
        <v>121.65699999999993</v>
      </c>
      <c r="AN247" s="31">
        <v>894.91763287199331</v>
      </c>
      <c r="AO247" s="31">
        <v>209.9189509205909</v>
      </c>
      <c r="AP247" s="31">
        <v>1.229512365620669</v>
      </c>
      <c r="AQ247" s="31">
        <v>0.28840413514558882</v>
      </c>
      <c r="AR247" s="31">
        <v>0.13341858489683281</v>
      </c>
    </row>
    <row r="248" spans="1:44" hidden="1" x14ac:dyDescent="0.5">
      <c r="A248" s="31">
        <v>1403</v>
      </c>
      <c r="B248" s="31">
        <v>100</v>
      </c>
      <c r="C248" s="225" t="s">
        <v>42</v>
      </c>
      <c r="D248" s="41">
        <v>-37.071666999999998</v>
      </c>
      <c r="E248" s="45">
        <v>149.908389</v>
      </c>
      <c r="G248">
        <f>F248*1609.344</f>
        <v>0</v>
      </c>
      <c r="H248" s="32" t="s">
        <v>614</v>
      </c>
      <c r="I248" s="7">
        <v>0</v>
      </c>
      <c r="J248">
        <v>3.79415371753743</v>
      </c>
      <c r="K248" s="26">
        <v>2017</v>
      </c>
      <c r="L248" t="s">
        <v>40</v>
      </c>
      <c r="M248" s="32">
        <v>50</v>
      </c>
      <c r="N248">
        <v>5.4892152799999998</v>
      </c>
      <c r="O248">
        <v>4.9000000000000004</v>
      </c>
      <c r="P248" t="s">
        <v>15</v>
      </c>
      <c r="Q248">
        <v>99</v>
      </c>
      <c r="R248" t="s">
        <v>13</v>
      </c>
      <c r="S248" t="s">
        <v>14</v>
      </c>
      <c r="T248" t="s">
        <v>14</v>
      </c>
      <c r="U248" s="34">
        <v>0</v>
      </c>
      <c r="V248" s="34">
        <v>5</v>
      </c>
      <c r="W248" s="25">
        <v>2.5</v>
      </c>
      <c r="X248" s="25">
        <v>5</v>
      </c>
      <c r="Y248">
        <v>1.0774796689999999</v>
      </c>
      <c r="Z248" t="s">
        <v>773</v>
      </c>
      <c r="AA248" t="s">
        <v>644</v>
      </c>
      <c r="AB248">
        <v>4</v>
      </c>
      <c r="AC248">
        <v>350</v>
      </c>
      <c r="AD248">
        <v>62.594990000000003</v>
      </c>
      <c r="AE248" t="s">
        <v>525</v>
      </c>
      <c r="AF248" t="s">
        <v>532</v>
      </c>
      <c r="AG248" s="32">
        <v>350</v>
      </c>
      <c r="AH248" s="32" t="s">
        <v>2483</v>
      </c>
      <c r="AI248" s="32" t="s">
        <v>2484</v>
      </c>
      <c r="AJ248" s="31" t="s">
        <v>3334</v>
      </c>
      <c r="AK248" s="31">
        <v>0.11899999999999999</v>
      </c>
      <c r="AL248" s="31">
        <v>41.65</v>
      </c>
      <c r="AM248" s="31">
        <v>308.35000000000002</v>
      </c>
      <c r="AN248" s="31">
        <v>230.9351680929293</v>
      </c>
      <c r="AO248" s="31">
        <v>1709.6964965535353</v>
      </c>
      <c r="AP248" s="31">
        <v>0.24882794847722881</v>
      </c>
      <c r="AQ248" s="31">
        <v>1.8421632151969627</v>
      </c>
      <c r="AR248" s="31">
        <v>0.13341858489683281</v>
      </c>
    </row>
    <row r="249" spans="1:44" hidden="1" x14ac:dyDescent="0.5">
      <c r="A249" s="31">
        <v>1404</v>
      </c>
      <c r="B249" s="31">
        <v>100</v>
      </c>
      <c r="C249" s="225" t="s">
        <v>42</v>
      </c>
      <c r="D249" s="41">
        <v>-37.070749999999997</v>
      </c>
      <c r="E249" s="45">
        <v>149.91066699999999</v>
      </c>
      <c r="G249">
        <f>F249*1609.344</f>
        <v>0</v>
      </c>
      <c r="H249" s="32" t="s">
        <v>614</v>
      </c>
      <c r="I249" s="7">
        <v>0</v>
      </c>
      <c r="J249">
        <v>3.80730120064299</v>
      </c>
      <c r="K249" s="26">
        <v>2017</v>
      </c>
      <c r="L249" t="s">
        <v>40</v>
      </c>
      <c r="M249" s="32">
        <v>50</v>
      </c>
      <c r="N249">
        <v>5.4892152799999998</v>
      </c>
      <c r="O249">
        <v>4.9000000000000004</v>
      </c>
      <c r="P249" t="s">
        <v>15</v>
      </c>
      <c r="Q249">
        <v>99</v>
      </c>
      <c r="R249" t="s">
        <v>13</v>
      </c>
      <c r="S249" t="s">
        <v>14</v>
      </c>
      <c r="T249" t="s">
        <v>14</v>
      </c>
      <c r="U249" s="34">
        <v>0</v>
      </c>
      <c r="V249" s="34">
        <v>5</v>
      </c>
      <c r="W249" s="25">
        <v>2.5</v>
      </c>
      <c r="X249" s="25">
        <v>5</v>
      </c>
      <c r="Y249">
        <v>1.0774796689999999</v>
      </c>
      <c r="Z249" t="s">
        <v>773</v>
      </c>
      <c r="AA249" t="s">
        <v>644</v>
      </c>
      <c r="AB249">
        <v>2</v>
      </c>
      <c r="AC249">
        <v>97</v>
      </c>
      <c r="AD249">
        <v>6.78</v>
      </c>
      <c r="AE249" t="s">
        <v>525</v>
      </c>
      <c r="AF249" t="s">
        <v>532</v>
      </c>
      <c r="AG249" s="32">
        <v>97</v>
      </c>
      <c r="AH249" s="32" t="s">
        <v>2483</v>
      </c>
      <c r="AI249" s="32" t="s">
        <v>2485</v>
      </c>
      <c r="AJ249" s="31" t="s">
        <v>3335</v>
      </c>
      <c r="AK249" s="31">
        <v>0.11899999999999999</v>
      </c>
      <c r="AL249" s="31">
        <v>11.542999999999999</v>
      </c>
      <c r="AM249" s="31">
        <v>85.456999999999994</v>
      </c>
      <c r="AN249" s="31">
        <v>64.002032300040383</v>
      </c>
      <c r="AO249" s="31">
        <v>473.83017190197972</v>
      </c>
      <c r="AP249" s="31">
        <v>6.8960888577974819E-2</v>
      </c>
      <c r="AQ249" s="31">
        <v>0.51054237678315817</v>
      </c>
      <c r="AR249" s="31">
        <v>0.13341858489683281</v>
      </c>
    </row>
    <row r="250" spans="1:44" hidden="1" x14ac:dyDescent="0.5">
      <c r="A250" s="31">
        <v>1405</v>
      </c>
      <c r="B250" s="31">
        <v>100</v>
      </c>
      <c r="C250" s="225" t="s">
        <v>42</v>
      </c>
      <c r="D250" s="41">
        <v>-34.471389000000002</v>
      </c>
      <c r="E250" s="45">
        <v>150.90527800000001</v>
      </c>
      <c r="G250">
        <f>F250*1609.344</f>
        <v>0</v>
      </c>
      <c r="H250" s="32" t="s">
        <v>614</v>
      </c>
      <c r="I250" s="7">
        <v>2</v>
      </c>
      <c r="J250">
        <v>285.91733658947902</v>
      </c>
      <c r="K250" s="26">
        <v>2017</v>
      </c>
      <c r="L250" t="s">
        <v>40</v>
      </c>
      <c r="M250" s="32">
        <v>50</v>
      </c>
      <c r="N250">
        <v>5.4892152799999998</v>
      </c>
      <c r="O250">
        <v>4.9000000000000004</v>
      </c>
      <c r="P250" t="s">
        <v>15</v>
      </c>
      <c r="Q250">
        <v>99</v>
      </c>
      <c r="R250" t="s">
        <v>13</v>
      </c>
      <c r="S250" t="s">
        <v>14</v>
      </c>
      <c r="T250" t="s">
        <v>14</v>
      </c>
      <c r="U250" s="34">
        <v>0</v>
      </c>
      <c r="V250" s="34">
        <v>5</v>
      </c>
      <c r="W250" s="25">
        <v>2.5</v>
      </c>
      <c r="X250" s="25">
        <v>5</v>
      </c>
      <c r="Y250">
        <v>1.0774796689999999</v>
      </c>
      <c r="Z250" t="s">
        <v>773</v>
      </c>
      <c r="AA250" t="s">
        <v>644</v>
      </c>
      <c r="AB250">
        <v>4</v>
      </c>
      <c r="AC250">
        <v>205</v>
      </c>
      <c r="AD250">
        <v>25.573969999999999</v>
      </c>
      <c r="AE250" t="s">
        <v>525</v>
      </c>
      <c r="AF250" t="s">
        <v>532</v>
      </c>
      <c r="AG250" s="32">
        <v>205</v>
      </c>
      <c r="AH250" s="32" t="s">
        <v>2486</v>
      </c>
      <c r="AI250" s="32" t="s">
        <v>2487</v>
      </c>
      <c r="AJ250" s="31" t="s">
        <v>3336</v>
      </c>
      <c r="AK250" s="31">
        <v>0.23899999999999999</v>
      </c>
      <c r="AL250" s="31">
        <v>48.994999999999997</v>
      </c>
      <c r="AM250" s="31">
        <v>156.005</v>
      </c>
      <c r="AN250" s="31">
        <v>271.66070974101012</v>
      </c>
      <c r="AO250" s="31">
        <v>864.99497955191919</v>
      </c>
      <c r="AP250" s="31">
        <v>0.29270889161204866</v>
      </c>
      <c r="AQ250" s="31">
        <v>0.93201450425426358</v>
      </c>
      <c r="AR250" s="31">
        <v>0.13315150818983643</v>
      </c>
    </row>
    <row r="251" spans="1:44" hidden="1" x14ac:dyDescent="0.5">
      <c r="A251" s="31">
        <v>1406</v>
      </c>
      <c r="B251" s="31">
        <v>100</v>
      </c>
      <c r="C251" s="225" t="s">
        <v>42</v>
      </c>
      <c r="D251" s="41">
        <v>-34.424250000000001</v>
      </c>
      <c r="E251" s="45">
        <v>150.906417</v>
      </c>
      <c r="G251">
        <f>F251*1609.344</f>
        <v>0</v>
      </c>
      <c r="H251" s="32" t="s">
        <v>614</v>
      </c>
      <c r="I251" s="7">
        <v>0</v>
      </c>
      <c r="J251">
        <v>279.62710045352702</v>
      </c>
      <c r="K251" s="26">
        <v>2017</v>
      </c>
      <c r="L251" t="s">
        <v>40</v>
      </c>
      <c r="M251" s="32">
        <v>50</v>
      </c>
      <c r="N251">
        <v>5.4892152799999998</v>
      </c>
      <c r="O251">
        <v>4.9000000000000004</v>
      </c>
      <c r="P251" t="s">
        <v>15</v>
      </c>
      <c r="Q251">
        <v>99</v>
      </c>
      <c r="R251" t="s">
        <v>13</v>
      </c>
      <c r="S251" t="s">
        <v>14</v>
      </c>
      <c r="T251" t="s">
        <v>14</v>
      </c>
      <c r="U251" s="34">
        <v>0</v>
      </c>
      <c r="V251" s="34">
        <v>5</v>
      </c>
      <c r="W251" s="25">
        <v>2.5</v>
      </c>
      <c r="X251" s="25">
        <v>5</v>
      </c>
      <c r="Y251">
        <v>1.0774796689999999</v>
      </c>
      <c r="Z251" t="s">
        <v>773</v>
      </c>
      <c r="AA251" t="s">
        <v>644</v>
      </c>
      <c r="AB251">
        <v>2</v>
      </c>
      <c r="AC251">
        <v>281</v>
      </c>
      <c r="AD251">
        <v>22.3</v>
      </c>
      <c r="AE251" t="s">
        <v>525</v>
      </c>
      <c r="AF251" t="s">
        <v>532</v>
      </c>
      <c r="AG251" s="32">
        <v>281</v>
      </c>
      <c r="AH251" s="32" t="s">
        <v>2486</v>
      </c>
      <c r="AI251" s="32" t="s">
        <v>2488</v>
      </c>
      <c r="AJ251" s="31" t="s">
        <v>3337</v>
      </c>
      <c r="AK251" s="31">
        <v>0.23899999999999999</v>
      </c>
      <c r="AL251" s="31">
        <v>67.158999999999992</v>
      </c>
      <c r="AM251" s="31">
        <v>213.84100000000001</v>
      </c>
      <c r="AN251" s="31">
        <v>372.37394847426259</v>
      </c>
      <c r="AO251" s="31">
        <v>1185.6760451418991</v>
      </c>
      <c r="AP251" s="31">
        <v>0.40122535874627147</v>
      </c>
      <c r="AQ251" s="31">
        <v>1.2775418326607224</v>
      </c>
      <c r="AR251" s="31">
        <v>0.13341858489683281</v>
      </c>
    </row>
    <row r="252" spans="1:44" hidden="1" x14ac:dyDescent="0.5">
      <c r="A252" s="31">
        <v>1407</v>
      </c>
      <c r="B252" s="31">
        <v>100</v>
      </c>
      <c r="C252" s="225" t="s">
        <v>42</v>
      </c>
      <c r="D252" s="45">
        <v>-33.987527999999998</v>
      </c>
      <c r="E252" s="45">
        <v>151.23136099999999</v>
      </c>
      <c r="G252">
        <f>F252*1609.344</f>
        <v>0</v>
      </c>
      <c r="H252" s="32" t="s">
        <v>614</v>
      </c>
      <c r="I252" s="7">
        <v>0</v>
      </c>
      <c r="J252">
        <v>343.071210538608</v>
      </c>
      <c r="K252" s="26">
        <v>2017</v>
      </c>
      <c r="L252" t="s">
        <v>40</v>
      </c>
      <c r="M252" s="32">
        <v>50</v>
      </c>
      <c r="N252">
        <v>5.4892152799999998</v>
      </c>
      <c r="O252">
        <v>4.9000000000000004</v>
      </c>
      <c r="P252" t="s">
        <v>15</v>
      </c>
      <c r="Q252">
        <v>99</v>
      </c>
      <c r="R252" t="s">
        <v>13</v>
      </c>
      <c r="S252" t="s">
        <v>14</v>
      </c>
      <c r="T252" t="s">
        <v>14</v>
      </c>
      <c r="U252" s="34">
        <v>0</v>
      </c>
      <c r="V252" s="34">
        <v>5</v>
      </c>
      <c r="W252" s="25">
        <v>2.5</v>
      </c>
      <c r="X252" s="25">
        <v>5</v>
      </c>
      <c r="Y252">
        <v>1.0774796689999999</v>
      </c>
      <c r="Z252" t="s">
        <v>773</v>
      </c>
      <c r="AA252" t="s">
        <v>644</v>
      </c>
      <c r="AB252">
        <v>2</v>
      </c>
      <c r="AC252">
        <v>165</v>
      </c>
      <c r="AD252">
        <v>12.17</v>
      </c>
      <c r="AE252" t="s">
        <v>525</v>
      </c>
      <c r="AF252" t="s">
        <v>532</v>
      </c>
      <c r="AG252" s="32">
        <v>165</v>
      </c>
      <c r="AH252" s="32" t="s">
        <v>2489</v>
      </c>
      <c r="AI252" s="32" t="s">
        <v>2490</v>
      </c>
      <c r="AJ252" s="31" t="s">
        <v>3338</v>
      </c>
      <c r="AK252" s="31">
        <v>0.23</v>
      </c>
      <c r="AL252" s="31">
        <v>37.950000000000003</v>
      </c>
      <c r="AM252" s="31">
        <v>127.05</v>
      </c>
      <c r="AN252" s="31">
        <v>210.41991906666669</v>
      </c>
      <c r="AO252" s="31">
        <v>704.4492942666667</v>
      </c>
      <c r="AP252" s="31">
        <v>0.22672318474695879</v>
      </c>
      <c r="AQ252" s="31">
        <v>0.75902979241373159</v>
      </c>
      <c r="AR252" s="31">
        <v>0.13341858489683281</v>
      </c>
    </row>
    <row r="253" spans="1:44" x14ac:dyDescent="0.5">
      <c r="A253" s="31">
        <v>252</v>
      </c>
      <c r="B253" s="31">
        <v>15</v>
      </c>
      <c r="C253" s="225" t="s">
        <v>9</v>
      </c>
      <c r="D253" s="39">
        <v>13.41777778</v>
      </c>
      <c r="E253" s="40">
        <v>100.58277778</v>
      </c>
      <c r="F253">
        <v>6.78</v>
      </c>
      <c r="G253">
        <f>F253*1609.344</f>
        <v>10911.35232</v>
      </c>
      <c r="H253" s="32" t="s">
        <v>614</v>
      </c>
      <c r="I253">
        <v>11</v>
      </c>
      <c r="J253">
        <v>910.38358340643003</v>
      </c>
      <c r="K253" s="26">
        <v>2004</v>
      </c>
      <c r="L253" t="s">
        <v>30</v>
      </c>
      <c r="M253" s="32">
        <v>315</v>
      </c>
      <c r="N253">
        <v>38.478006610000001</v>
      </c>
      <c r="O253">
        <v>5</v>
      </c>
      <c r="P253" t="s">
        <v>15</v>
      </c>
      <c r="Q253">
        <v>91.3</v>
      </c>
      <c r="R253" t="s">
        <v>31</v>
      </c>
      <c r="S253" t="s">
        <v>14</v>
      </c>
      <c r="T253" t="s">
        <v>14</v>
      </c>
      <c r="U253" s="34">
        <v>78</v>
      </c>
      <c r="V253" s="34">
        <v>79</v>
      </c>
      <c r="W253" s="25">
        <v>78.5</v>
      </c>
      <c r="X253" s="25">
        <v>1</v>
      </c>
      <c r="Y253">
        <v>1.3837435549999999</v>
      </c>
      <c r="Z253" t="s">
        <v>750</v>
      </c>
      <c r="AA253" t="s">
        <v>620</v>
      </c>
      <c r="AB253">
        <v>1</v>
      </c>
      <c r="AC253">
        <v>0</v>
      </c>
      <c r="AF253" t="s">
        <v>532</v>
      </c>
      <c r="AG253" s="32">
        <v>0</v>
      </c>
      <c r="AH253" s="32" t="s">
        <v>671</v>
      </c>
      <c r="AI253" s="32" t="s">
        <v>1129</v>
      </c>
      <c r="AJ253" s="31" t="s">
        <v>1130</v>
      </c>
      <c r="AK253" s="31">
        <v>0.59524549999999998</v>
      </c>
      <c r="AL253" s="31">
        <v>0</v>
      </c>
      <c r="AM253" s="31">
        <v>0</v>
      </c>
      <c r="AN253" s="31">
        <v>0</v>
      </c>
      <c r="AO253" s="31">
        <v>0</v>
      </c>
      <c r="AP253" s="31">
        <v>0</v>
      </c>
      <c r="AQ253" s="31">
        <v>0</v>
      </c>
      <c r="AR253" s="31">
        <v>0.13195626365865479</v>
      </c>
    </row>
    <row r="254" spans="1:44" x14ac:dyDescent="0.5">
      <c r="A254" s="31">
        <v>253</v>
      </c>
      <c r="B254" s="31">
        <v>15</v>
      </c>
      <c r="C254" s="225" t="s">
        <v>9</v>
      </c>
      <c r="D254" s="39">
        <v>13.41777778</v>
      </c>
      <c r="E254" s="40">
        <v>100.58277778</v>
      </c>
      <c r="F254">
        <v>6.78</v>
      </c>
      <c r="G254">
        <f>F254*1609.344</f>
        <v>10911.35232</v>
      </c>
      <c r="H254" s="32" t="s">
        <v>614</v>
      </c>
      <c r="I254">
        <v>11</v>
      </c>
      <c r="J254">
        <v>910.38358340643003</v>
      </c>
      <c r="K254" s="26">
        <v>2004</v>
      </c>
      <c r="L254" t="s">
        <v>30</v>
      </c>
      <c r="M254" s="32">
        <v>315</v>
      </c>
      <c r="N254">
        <v>38.478006610000001</v>
      </c>
      <c r="O254">
        <v>5</v>
      </c>
      <c r="P254" t="s">
        <v>15</v>
      </c>
      <c r="Q254">
        <v>91.3</v>
      </c>
      <c r="R254" t="s">
        <v>31</v>
      </c>
      <c r="S254" t="s">
        <v>14</v>
      </c>
      <c r="T254" t="s">
        <v>14</v>
      </c>
      <c r="U254" s="34">
        <v>8</v>
      </c>
      <c r="V254" s="34">
        <v>10</v>
      </c>
      <c r="W254" s="25">
        <v>9</v>
      </c>
      <c r="X254" s="25">
        <v>2</v>
      </c>
      <c r="Y254">
        <v>1.3837435549999999</v>
      </c>
      <c r="Z254" t="s">
        <v>750</v>
      </c>
      <c r="AA254" t="s">
        <v>620</v>
      </c>
      <c r="AB254">
        <v>1</v>
      </c>
      <c r="AC254">
        <v>165</v>
      </c>
      <c r="AF254" t="s">
        <v>532</v>
      </c>
      <c r="AG254" s="32">
        <v>165</v>
      </c>
      <c r="AH254" s="32" t="s">
        <v>1273</v>
      </c>
      <c r="AI254" s="32" t="s">
        <v>1274</v>
      </c>
      <c r="AJ254" s="31" t="s">
        <v>2777</v>
      </c>
      <c r="AK254" s="31">
        <v>0.15</v>
      </c>
      <c r="AL254" s="31">
        <v>24.75</v>
      </c>
      <c r="AM254" s="31">
        <v>140.25</v>
      </c>
      <c r="AN254" s="31">
        <v>1043.078492439759</v>
      </c>
      <c r="AO254" s="31">
        <v>5910.7781238253019</v>
      </c>
      <c r="AP254" s="31">
        <v>1.4433531412726326</v>
      </c>
      <c r="AQ254" s="31">
        <v>8.179001133878252</v>
      </c>
      <c r="AR254" s="31">
        <v>0.13195626365865479</v>
      </c>
    </row>
    <row r="255" spans="1:44" x14ac:dyDescent="0.5">
      <c r="A255" s="31">
        <v>254</v>
      </c>
      <c r="B255" s="31">
        <v>15</v>
      </c>
      <c r="C255" s="225" t="s">
        <v>9</v>
      </c>
      <c r="D255" s="39">
        <v>13.41777778</v>
      </c>
      <c r="E255" s="40">
        <v>100.58277778</v>
      </c>
      <c r="F255">
        <v>6.78</v>
      </c>
      <c r="G255">
        <f>F255*1609.344</f>
        <v>10911.35232</v>
      </c>
      <c r="H255" s="32" t="s">
        <v>614</v>
      </c>
      <c r="I255">
        <v>11</v>
      </c>
      <c r="J255">
        <v>910.38358340643003</v>
      </c>
      <c r="K255" s="26">
        <v>2004</v>
      </c>
      <c r="L255" t="s">
        <v>30</v>
      </c>
      <c r="M255" s="32">
        <v>315</v>
      </c>
      <c r="N255">
        <v>38.478006610000001</v>
      </c>
      <c r="O255">
        <v>5</v>
      </c>
      <c r="P255" t="s">
        <v>15</v>
      </c>
      <c r="Q255">
        <v>91.3</v>
      </c>
      <c r="R255" t="s">
        <v>31</v>
      </c>
      <c r="S255" t="s">
        <v>14</v>
      </c>
      <c r="T255" t="s">
        <v>14</v>
      </c>
      <c r="U255" s="34">
        <v>0</v>
      </c>
      <c r="V255" s="34">
        <v>6</v>
      </c>
      <c r="W255" s="25">
        <v>3</v>
      </c>
      <c r="X255" s="25">
        <v>6</v>
      </c>
      <c r="Y255">
        <v>1.3837435549999999</v>
      </c>
      <c r="Z255" t="s">
        <v>750</v>
      </c>
      <c r="AA255" t="s">
        <v>620</v>
      </c>
      <c r="AB255">
        <v>1</v>
      </c>
      <c r="AC255">
        <v>248</v>
      </c>
      <c r="AF255" t="s">
        <v>532</v>
      </c>
      <c r="AG255" s="32">
        <v>248</v>
      </c>
      <c r="AH255" s="32" t="s">
        <v>1273</v>
      </c>
      <c r="AI255" s="32" t="s">
        <v>1275</v>
      </c>
      <c r="AJ255" s="31" t="s">
        <v>2778</v>
      </c>
      <c r="AK255" s="31">
        <v>0.15</v>
      </c>
      <c r="AL255" s="31">
        <v>37.199999999999996</v>
      </c>
      <c r="AM255" s="31">
        <v>210.8</v>
      </c>
      <c r="AN255" s="31">
        <v>1567.7785825761225</v>
      </c>
      <c r="AO255" s="31">
        <v>8884.0786345980305</v>
      </c>
      <c r="AP255" s="31">
        <v>2.1694035093067447</v>
      </c>
      <c r="AQ255" s="31">
        <v>12.293286552738223</v>
      </c>
      <c r="AR255" s="31">
        <v>0.13195626365865479</v>
      </c>
    </row>
    <row r="256" spans="1:44" x14ac:dyDescent="0.5">
      <c r="A256" s="31">
        <v>255</v>
      </c>
      <c r="B256" s="31">
        <v>15</v>
      </c>
      <c r="C256" s="225" t="s">
        <v>9</v>
      </c>
      <c r="D256" s="39">
        <v>13.324999999999999</v>
      </c>
      <c r="E256" s="40">
        <v>100.07916667000001</v>
      </c>
      <c r="F256">
        <v>4.4400000000000004</v>
      </c>
      <c r="G256">
        <f>F256*1609.344</f>
        <v>7145.487360000001</v>
      </c>
      <c r="H256" s="32" t="s">
        <v>614</v>
      </c>
      <c r="I256">
        <v>13</v>
      </c>
      <c r="J256">
        <v>811.120684928537</v>
      </c>
      <c r="K256" s="26">
        <v>2004</v>
      </c>
      <c r="L256" t="s">
        <v>30</v>
      </c>
      <c r="M256" s="32">
        <v>315</v>
      </c>
      <c r="N256">
        <v>38.478006610000001</v>
      </c>
      <c r="O256">
        <v>5</v>
      </c>
      <c r="P256" t="s">
        <v>15</v>
      </c>
      <c r="Q256">
        <v>91.3</v>
      </c>
      <c r="R256" t="s">
        <v>31</v>
      </c>
      <c r="S256" t="s">
        <v>14</v>
      </c>
      <c r="T256" t="s">
        <v>14</v>
      </c>
      <c r="U256" s="34">
        <v>8</v>
      </c>
      <c r="V256" s="34">
        <v>10</v>
      </c>
      <c r="W256" s="25">
        <v>9</v>
      </c>
      <c r="X256" s="25">
        <v>2</v>
      </c>
      <c r="Y256">
        <v>1.3837435549999999</v>
      </c>
      <c r="Z256" t="s">
        <v>750</v>
      </c>
      <c r="AA256" t="s">
        <v>620</v>
      </c>
      <c r="AB256">
        <v>1</v>
      </c>
      <c r="AC256">
        <v>0</v>
      </c>
      <c r="AF256" t="s">
        <v>532</v>
      </c>
      <c r="AG256" s="32">
        <v>0</v>
      </c>
      <c r="AH256" s="32" t="s">
        <v>671</v>
      </c>
      <c r="AI256" s="32" t="s">
        <v>1129</v>
      </c>
      <c r="AJ256" s="31" t="s">
        <v>1130</v>
      </c>
      <c r="AK256" s="31">
        <v>0.59524549999999998</v>
      </c>
      <c r="AL256" s="31">
        <v>0</v>
      </c>
      <c r="AM256" s="31">
        <v>0</v>
      </c>
      <c r="AN256" s="31">
        <v>0</v>
      </c>
      <c r="AO256" s="31">
        <v>0</v>
      </c>
      <c r="AP256" s="31">
        <v>0</v>
      </c>
      <c r="AQ256" s="31">
        <v>0</v>
      </c>
      <c r="AR256" s="31">
        <v>0.13169211421955859</v>
      </c>
    </row>
    <row r="257" spans="1:44" x14ac:dyDescent="0.5">
      <c r="A257" s="31">
        <v>256</v>
      </c>
      <c r="B257" s="31">
        <v>15</v>
      </c>
      <c r="C257" s="225" t="s">
        <v>9</v>
      </c>
      <c r="D257" s="39">
        <v>13.324999999999999</v>
      </c>
      <c r="E257" s="40">
        <v>100.07916667000001</v>
      </c>
      <c r="F257">
        <v>4.4400000000000004</v>
      </c>
      <c r="G257">
        <f>F257*1609.344</f>
        <v>7145.487360000001</v>
      </c>
      <c r="H257" s="32" t="s">
        <v>614</v>
      </c>
      <c r="I257">
        <v>13</v>
      </c>
      <c r="J257">
        <v>811.120684928537</v>
      </c>
      <c r="K257" s="26">
        <v>2004</v>
      </c>
      <c r="L257" t="s">
        <v>30</v>
      </c>
      <c r="M257" s="32">
        <v>315</v>
      </c>
      <c r="N257">
        <v>38.478006610000001</v>
      </c>
      <c r="O257">
        <v>5</v>
      </c>
      <c r="P257" t="s">
        <v>15</v>
      </c>
      <c r="Q257">
        <v>91.3</v>
      </c>
      <c r="R257" t="s">
        <v>31</v>
      </c>
      <c r="S257" t="s">
        <v>14</v>
      </c>
      <c r="T257" t="s">
        <v>14</v>
      </c>
      <c r="U257" s="34">
        <v>0</v>
      </c>
      <c r="V257" s="34">
        <v>6</v>
      </c>
      <c r="W257" s="25">
        <v>3</v>
      </c>
      <c r="X257" s="25">
        <v>6</v>
      </c>
      <c r="Y257">
        <v>1.3837435549999999</v>
      </c>
      <c r="Z257" t="s">
        <v>750</v>
      </c>
      <c r="AA257" t="s">
        <v>620</v>
      </c>
      <c r="AB257">
        <v>1</v>
      </c>
      <c r="AC257">
        <v>165</v>
      </c>
      <c r="AF257" t="s">
        <v>532</v>
      </c>
      <c r="AG257" s="32">
        <v>165</v>
      </c>
      <c r="AH257" s="32" t="s">
        <v>1273</v>
      </c>
      <c r="AI257" s="32" t="s">
        <v>1274</v>
      </c>
      <c r="AJ257" s="31" t="s">
        <v>2777</v>
      </c>
      <c r="AK257" s="31">
        <v>0.15</v>
      </c>
      <c r="AL257" s="31">
        <v>24.75</v>
      </c>
      <c r="AM257" s="31">
        <v>140.25</v>
      </c>
      <c r="AN257" s="31">
        <v>1043.078492439759</v>
      </c>
      <c r="AO257" s="31">
        <v>5910.7781238253019</v>
      </c>
      <c r="AP257" s="31">
        <v>1.4433531412726326</v>
      </c>
      <c r="AQ257" s="31">
        <v>8.179001133878252</v>
      </c>
      <c r="AR257" s="31">
        <v>0.13169211421955859</v>
      </c>
    </row>
    <row r="258" spans="1:44" x14ac:dyDescent="0.5">
      <c r="A258" s="31">
        <v>257</v>
      </c>
      <c r="B258" s="31">
        <v>15</v>
      </c>
      <c r="C258" s="225" t="s">
        <v>9</v>
      </c>
      <c r="D258" s="36">
        <v>1.4753609999999999</v>
      </c>
      <c r="E258" s="37">
        <v>103.830889</v>
      </c>
      <c r="F258">
        <v>0.34</v>
      </c>
      <c r="G258">
        <f>F258*1609.344</f>
        <v>547.17696000000001</v>
      </c>
      <c r="H258" s="32" t="s">
        <v>614</v>
      </c>
      <c r="I258">
        <v>14</v>
      </c>
      <c r="J258">
        <v>568.97897272510795</v>
      </c>
      <c r="K258" s="26">
        <v>2006</v>
      </c>
      <c r="L258" t="s">
        <v>30</v>
      </c>
      <c r="M258" s="32">
        <v>315</v>
      </c>
      <c r="N258">
        <v>38.478006610000001</v>
      </c>
      <c r="O258">
        <v>5</v>
      </c>
      <c r="P258" t="s">
        <v>15</v>
      </c>
      <c r="Q258">
        <v>91.3</v>
      </c>
      <c r="R258" t="s">
        <v>31</v>
      </c>
      <c r="S258" t="s">
        <v>14</v>
      </c>
      <c r="T258" t="s">
        <v>14</v>
      </c>
      <c r="U258" s="34">
        <v>48</v>
      </c>
      <c r="V258" s="34">
        <v>50</v>
      </c>
      <c r="W258" s="25">
        <v>49</v>
      </c>
      <c r="X258" s="25">
        <v>2</v>
      </c>
      <c r="Y258">
        <v>0.69148334600000005</v>
      </c>
      <c r="Z258" t="s">
        <v>719</v>
      </c>
      <c r="AA258" t="s">
        <v>623</v>
      </c>
      <c r="AB258">
        <v>1</v>
      </c>
      <c r="AC258">
        <v>100</v>
      </c>
      <c r="AF258" t="s">
        <v>532</v>
      </c>
      <c r="AG258" s="32">
        <v>100</v>
      </c>
      <c r="AH258" s="32" t="s">
        <v>1273</v>
      </c>
      <c r="AI258" s="32">
        <v>15</v>
      </c>
      <c r="AJ258" s="31">
        <v>85</v>
      </c>
      <c r="AK258" s="31">
        <v>0.15</v>
      </c>
      <c r="AL258" s="31">
        <v>15</v>
      </c>
      <c r="AM258" s="31">
        <v>85</v>
      </c>
      <c r="AN258" s="31">
        <v>632.16878329682368</v>
      </c>
      <c r="AO258" s="31">
        <v>3582.2897720153342</v>
      </c>
      <c r="AP258" s="31">
        <v>0.4371341855108366</v>
      </c>
      <c r="AQ258" s="31">
        <v>2.4770937178947405</v>
      </c>
      <c r="AR258" s="31">
        <v>0.13156023785613885</v>
      </c>
    </row>
    <row r="259" spans="1:44" x14ac:dyDescent="0.5">
      <c r="A259" s="31">
        <v>258</v>
      </c>
      <c r="B259" s="31">
        <v>15</v>
      </c>
      <c r="C259" s="225" t="s">
        <v>9</v>
      </c>
      <c r="D259" s="36">
        <v>1.4753609999999999</v>
      </c>
      <c r="E259" s="37">
        <v>103.830889</v>
      </c>
      <c r="F259">
        <v>0.34</v>
      </c>
      <c r="G259">
        <f>F259*1609.344</f>
        <v>547.17696000000001</v>
      </c>
      <c r="H259" s="32" t="s">
        <v>614</v>
      </c>
      <c r="I259">
        <v>14</v>
      </c>
      <c r="J259">
        <v>568.97897272510795</v>
      </c>
      <c r="K259" s="26">
        <v>2006</v>
      </c>
      <c r="L259" t="s">
        <v>30</v>
      </c>
      <c r="M259" s="32">
        <v>315</v>
      </c>
      <c r="N259">
        <v>38.478006610000001</v>
      </c>
      <c r="O259">
        <v>5</v>
      </c>
      <c r="P259" t="s">
        <v>15</v>
      </c>
      <c r="Q259">
        <v>91.3</v>
      </c>
      <c r="R259" t="s">
        <v>31</v>
      </c>
      <c r="S259" t="s">
        <v>14</v>
      </c>
      <c r="T259" t="s">
        <v>14</v>
      </c>
      <c r="U259" s="34">
        <v>2</v>
      </c>
      <c r="V259" s="34">
        <v>4</v>
      </c>
      <c r="W259" s="25">
        <v>3</v>
      </c>
      <c r="X259" s="25">
        <v>2</v>
      </c>
      <c r="Y259">
        <v>0.69148334600000005</v>
      </c>
      <c r="Z259" t="s">
        <v>719</v>
      </c>
      <c r="AA259" t="s">
        <v>623</v>
      </c>
      <c r="AB259">
        <v>1</v>
      </c>
      <c r="AC259">
        <v>300</v>
      </c>
      <c r="AF259" t="s">
        <v>532</v>
      </c>
      <c r="AG259" s="32">
        <v>300</v>
      </c>
      <c r="AH259" s="32" t="s">
        <v>1273</v>
      </c>
      <c r="AI259" s="32">
        <v>45</v>
      </c>
      <c r="AJ259" s="31">
        <v>255</v>
      </c>
      <c r="AK259" s="31">
        <v>0.15</v>
      </c>
      <c r="AL259" s="31">
        <v>45</v>
      </c>
      <c r="AM259" s="31">
        <v>255</v>
      </c>
      <c r="AN259" s="31">
        <v>1896.5063498904713</v>
      </c>
      <c r="AO259" s="31">
        <v>10746.869316046004</v>
      </c>
      <c r="AP259" s="31">
        <v>1.31140255653251</v>
      </c>
      <c r="AQ259" s="31">
        <v>7.4312811536842229</v>
      </c>
      <c r="AR259" s="31">
        <v>0.13156023785613885</v>
      </c>
    </row>
    <row r="260" spans="1:44" x14ac:dyDescent="0.5">
      <c r="A260" s="31">
        <v>259</v>
      </c>
      <c r="B260" s="31">
        <v>15</v>
      </c>
      <c r="C260" s="225" t="s">
        <v>9</v>
      </c>
      <c r="D260" s="39">
        <v>13.37388889</v>
      </c>
      <c r="E260" s="40">
        <v>100.58333333</v>
      </c>
      <c r="F260">
        <v>6.78</v>
      </c>
      <c r="G260">
        <f>F260*1609.344</f>
        <v>10911.35232</v>
      </c>
      <c r="H260" s="32" t="s">
        <v>614</v>
      </c>
      <c r="I260">
        <v>14</v>
      </c>
      <c r="J260">
        <v>925.17644169255902</v>
      </c>
      <c r="K260" s="26">
        <v>2004</v>
      </c>
      <c r="L260" t="s">
        <v>30</v>
      </c>
      <c r="M260" s="32">
        <v>315</v>
      </c>
      <c r="N260">
        <v>38.478006610000001</v>
      </c>
      <c r="O260">
        <v>5</v>
      </c>
      <c r="P260" t="s">
        <v>15</v>
      </c>
      <c r="Q260">
        <v>91.3</v>
      </c>
      <c r="R260" t="s">
        <v>31</v>
      </c>
      <c r="S260" t="s">
        <v>14</v>
      </c>
      <c r="T260" t="s">
        <v>14</v>
      </c>
      <c r="U260" s="34">
        <v>44</v>
      </c>
      <c r="V260" s="34">
        <v>46</v>
      </c>
      <c r="W260" s="25">
        <v>45</v>
      </c>
      <c r="X260" s="25">
        <v>2</v>
      </c>
      <c r="Y260">
        <v>1.3837435549999999</v>
      </c>
      <c r="Z260" t="s">
        <v>750</v>
      </c>
      <c r="AA260" t="s">
        <v>620</v>
      </c>
      <c r="AB260">
        <v>1</v>
      </c>
      <c r="AC260">
        <v>0</v>
      </c>
      <c r="AF260" t="s">
        <v>532</v>
      </c>
      <c r="AG260" s="32">
        <v>0</v>
      </c>
      <c r="AH260" s="32" t="s">
        <v>671</v>
      </c>
      <c r="AI260" s="32" t="s">
        <v>1129</v>
      </c>
      <c r="AJ260" s="31" t="s">
        <v>1130</v>
      </c>
      <c r="AK260" s="31">
        <v>0.59524549999999998</v>
      </c>
      <c r="AL260" s="31">
        <v>0</v>
      </c>
      <c r="AM260" s="31">
        <v>0</v>
      </c>
      <c r="AN260" s="31">
        <v>0</v>
      </c>
      <c r="AO260" s="31">
        <v>0</v>
      </c>
      <c r="AP260" s="31">
        <v>0</v>
      </c>
      <c r="AQ260" s="31">
        <v>0</v>
      </c>
      <c r="AR260" s="31">
        <v>0.13156023785613885</v>
      </c>
    </row>
    <row r="261" spans="1:44" x14ac:dyDescent="0.5">
      <c r="A261" s="31">
        <v>260</v>
      </c>
      <c r="B261" s="31">
        <v>15</v>
      </c>
      <c r="C261" s="225" t="s">
        <v>9</v>
      </c>
      <c r="D261" s="39">
        <v>13.37388889</v>
      </c>
      <c r="E261" s="40">
        <v>100.58333333</v>
      </c>
      <c r="F261">
        <v>6.78</v>
      </c>
      <c r="G261">
        <f>F261*1609.344</f>
        <v>10911.35232</v>
      </c>
      <c r="H261" s="32" t="s">
        <v>614</v>
      </c>
      <c r="I261">
        <v>14</v>
      </c>
      <c r="J261">
        <v>925.17644169255902</v>
      </c>
      <c r="K261" s="26">
        <v>2004</v>
      </c>
      <c r="L261" t="s">
        <v>30</v>
      </c>
      <c r="M261" s="32">
        <v>315</v>
      </c>
      <c r="N261">
        <v>38.478006610000001</v>
      </c>
      <c r="O261">
        <v>5</v>
      </c>
      <c r="P261" t="s">
        <v>15</v>
      </c>
      <c r="Q261">
        <v>91.3</v>
      </c>
      <c r="R261" t="s">
        <v>31</v>
      </c>
      <c r="S261" t="s">
        <v>14</v>
      </c>
      <c r="T261" t="s">
        <v>14</v>
      </c>
      <c r="U261" s="34">
        <v>6</v>
      </c>
      <c r="V261" s="34">
        <v>12</v>
      </c>
      <c r="W261" s="25">
        <v>9</v>
      </c>
      <c r="X261" s="25">
        <v>6</v>
      </c>
      <c r="Y261">
        <v>1.3837435549999999</v>
      </c>
      <c r="Z261" t="s">
        <v>750</v>
      </c>
      <c r="AA261" t="s">
        <v>620</v>
      </c>
      <c r="AB261">
        <v>1</v>
      </c>
      <c r="AC261">
        <v>82</v>
      </c>
      <c r="AF261" t="s">
        <v>532</v>
      </c>
      <c r="AG261" s="32">
        <v>82</v>
      </c>
      <c r="AH261" s="32" t="s">
        <v>1273</v>
      </c>
      <c r="AI261" s="32" t="s">
        <v>1276</v>
      </c>
      <c r="AJ261" s="31" t="s">
        <v>2779</v>
      </c>
      <c r="AK261" s="31">
        <v>0.15</v>
      </c>
      <c r="AL261" s="31">
        <v>12.299999999999999</v>
      </c>
      <c r="AM261" s="31">
        <v>69.7</v>
      </c>
      <c r="AN261" s="31">
        <v>518.37840230339532</v>
      </c>
      <c r="AO261" s="31">
        <v>2937.4776130525747</v>
      </c>
      <c r="AP261" s="31">
        <v>0.71730277323852032</v>
      </c>
      <c r="AQ261" s="31">
        <v>4.0647157150182842</v>
      </c>
      <c r="AR261" s="31">
        <v>0.13156023785613885</v>
      </c>
    </row>
    <row r="262" spans="1:44" x14ac:dyDescent="0.5">
      <c r="A262" s="31">
        <v>261</v>
      </c>
      <c r="B262" s="31">
        <v>15</v>
      </c>
      <c r="C262" s="225" t="s">
        <v>9</v>
      </c>
      <c r="D262" s="39">
        <v>13.37388889</v>
      </c>
      <c r="E262" s="40">
        <v>100.58333333</v>
      </c>
      <c r="F262">
        <v>6.78</v>
      </c>
      <c r="G262">
        <f>F262*1609.344</f>
        <v>10911.35232</v>
      </c>
      <c r="H262" s="32" t="s">
        <v>614</v>
      </c>
      <c r="I262">
        <v>14</v>
      </c>
      <c r="J262">
        <v>925.17644169255902</v>
      </c>
      <c r="K262" s="26">
        <v>2004</v>
      </c>
      <c r="L262" t="s">
        <v>30</v>
      </c>
      <c r="M262" s="32">
        <v>315</v>
      </c>
      <c r="N262">
        <v>38.478006610000001</v>
      </c>
      <c r="O262">
        <v>5</v>
      </c>
      <c r="P262" t="s">
        <v>15</v>
      </c>
      <c r="Q262">
        <v>91.3</v>
      </c>
      <c r="R262" t="s">
        <v>31</v>
      </c>
      <c r="S262" t="s">
        <v>14</v>
      </c>
      <c r="T262" t="s">
        <v>14</v>
      </c>
      <c r="U262" s="34">
        <v>0</v>
      </c>
      <c r="V262" s="34">
        <v>6</v>
      </c>
      <c r="W262" s="25">
        <v>3</v>
      </c>
      <c r="X262" s="25">
        <v>6</v>
      </c>
      <c r="Y262">
        <v>1.3837435549999999</v>
      </c>
      <c r="Z262" t="s">
        <v>750</v>
      </c>
      <c r="AA262" t="s">
        <v>620</v>
      </c>
      <c r="AB262">
        <v>1</v>
      </c>
      <c r="AC262">
        <v>328</v>
      </c>
      <c r="AF262" t="s">
        <v>532</v>
      </c>
      <c r="AG262" s="32">
        <v>328</v>
      </c>
      <c r="AH262" s="32" t="s">
        <v>1273</v>
      </c>
      <c r="AI262" s="32" t="s">
        <v>1277</v>
      </c>
      <c r="AJ262" s="31" t="s">
        <v>2780</v>
      </c>
      <c r="AK262" s="31">
        <v>0.15</v>
      </c>
      <c r="AL262" s="31">
        <v>49.199999999999996</v>
      </c>
      <c r="AM262" s="31">
        <v>278.8</v>
      </c>
      <c r="AN262" s="31">
        <v>2073.5136092135813</v>
      </c>
      <c r="AO262" s="31">
        <v>11749.910452210299</v>
      </c>
      <c r="AP262" s="31">
        <v>2.8692110929540813</v>
      </c>
      <c r="AQ262" s="31">
        <v>16.258862860073137</v>
      </c>
      <c r="AR262" s="31">
        <v>0.13156023785613885</v>
      </c>
    </row>
    <row r="263" spans="1:44" x14ac:dyDescent="0.5">
      <c r="A263" s="31">
        <v>262</v>
      </c>
      <c r="B263" s="31">
        <v>15</v>
      </c>
      <c r="C263" s="225" t="s">
        <v>9</v>
      </c>
      <c r="D263" s="36">
        <v>13.232778</v>
      </c>
      <c r="E263" s="37">
        <v>100.57305599999999</v>
      </c>
      <c r="F263">
        <v>4.4400000000000004</v>
      </c>
      <c r="G263">
        <f>F263*1609.344</f>
        <v>7145.487360000001</v>
      </c>
      <c r="H263" s="32" t="s">
        <v>614</v>
      </c>
      <c r="I263">
        <v>18</v>
      </c>
      <c r="J263">
        <v>986.86138480918601</v>
      </c>
      <c r="K263" s="26">
        <v>2004</v>
      </c>
      <c r="L263" t="s">
        <v>30</v>
      </c>
      <c r="M263" s="32">
        <v>315</v>
      </c>
      <c r="N263">
        <v>38.478006610000001</v>
      </c>
      <c r="O263">
        <v>5</v>
      </c>
      <c r="P263" t="s">
        <v>15</v>
      </c>
      <c r="Q263">
        <v>91.3</v>
      </c>
      <c r="R263" t="s">
        <v>31</v>
      </c>
      <c r="S263" t="s">
        <v>14</v>
      </c>
      <c r="T263" t="s">
        <v>14</v>
      </c>
      <c r="U263" s="34">
        <v>8</v>
      </c>
      <c r="V263" s="34">
        <v>10</v>
      </c>
      <c r="W263" s="25">
        <v>9</v>
      </c>
      <c r="X263" s="25">
        <v>2</v>
      </c>
      <c r="Y263">
        <v>1.3837435549999999</v>
      </c>
      <c r="Z263" t="s">
        <v>750</v>
      </c>
      <c r="AA263" t="s">
        <v>620</v>
      </c>
      <c r="AB263">
        <v>1</v>
      </c>
      <c r="AC263">
        <v>0</v>
      </c>
      <c r="AF263" t="s">
        <v>532</v>
      </c>
      <c r="AG263" s="32">
        <v>0</v>
      </c>
      <c r="AH263" s="32" t="s">
        <v>671</v>
      </c>
      <c r="AI263" s="32" t="s">
        <v>1129</v>
      </c>
      <c r="AJ263" s="31" t="s">
        <v>1130</v>
      </c>
      <c r="AK263" s="31">
        <v>0.59524549999999998</v>
      </c>
      <c r="AL263" s="31">
        <v>0</v>
      </c>
      <c r="AM263" s="31">
        <v>0</v>
      </c>
      <c r="AN263" s="31">
        <v>0</v>
      </c>
      <c r="AO263" s="31">
        <v>0</v>
      </c>
      <c r="AP263" s="31">
        <v>0</v>
      </c>
      <c r="AQ263" s="31">
        <v>0</v>
      </c>
      <c r="AR263" s="31">
        <v>0.13103405168936957</v>
      </c>
    </row>
    <row r="264" spans="1:44" x14ac:dyDescent="0.5">
      <c r="A264" s="31">
        <v>263</v>
      </c>
      <c r="B264" s="31">
        <v>15</v>
      </c>
      <c r="C264" s="225" t="s">
        <v>9</v>
      </c>
      <c r="D264" s="36">
        <v>13.232778</v>
      </c>
      <c r="E264" s="37">
        <v>100.57305599999999</v>
      </c>
      <c r="F264">
        <v>4.4400000000000004</v>
      </c>
      <c r="G264">
        <f>F264*1609.344</f>
        <v>7145.487360000001</v>
      </c>
      <c r="H264" s="32" t="s">
        <v>614</v>
      </c>
      <c r="I264">
        <v>18</v>
      </c>
      <c r="J264">
        <v>986.86138480918601</v>
      </c>
      <c r="K264" s="26">
        <v>2004</v>
      </c>
      <c r="L264" t="s">
        <v>30</v>
      </c>
      <c r="M264" s="32">
        <v>315</v>
      </c>
      <c r="N264">
        <v>38.478006610000001</v>
      </c>
      <c r="O264">
        <v>5</v>
      </c>
      <c r="P264" t="s">
        <v>15</v>
      </c>
      <c r="Q264">
        <v>91.3</v>
      </c>
      <c r="R264" t="s">
        <v>31</v>
      </c>
      <c r="S264" t="s">
        <v>14</v>
      </c>
      <c r="T264" t="s">
        <v>14</v>
      </c>
      <c r="U264" s="34">
        <v>0</v>
      </c>
      <c r="V264" s="34">
        <v>6</v>
      </c>
      <c r="W264" s="25">
        <v>3</v>
      </c>
      <c r="X264" s="25">
        <v>6</v>
      </c>
      <c r="Y264">
        <v>1.3837435549999999</v>
      </c>
      <c r="Z264" t="s">
        <v>750</v>
      </c>
      <c r="AA264" t="s">
        <v>620</v>
      </c>
      <c r="AB264">
        <v>1</v>
      </c>
      <c r="AC264">
        <v>83</v>
      </c>
      <c r="AF264" t="s">
        <v>532</v>
      </c>
      <c r="AG264" s="32">
        <v>83</v>
      </c>
      <c r="AH264" s="32" t="s">
        <v>1273</v>
      </c>
      <c r="AI264" s="32" t="s">
        <v>1278</v>
      </c>
      <c r="AJ264" s="31" t="s">
        <v>2781</v>
      </c>
      <c r="AK264" s="31">
        <v>0.15</v>
      </c>
      <c r="AL264" s="31">
        <v>12.45</v>
      </c>
      <c r="AM264" s="31">
        <v>70.55</v>
      </c>
      <c r="AN264" s="31">
        <v>524.70009013636366</v>
      </c>
      <c r="AO264" s="31">
        <v>2973.3005107727276</v>
      </c>
      <c r="AP264" s="31">
        <v>0.72605036803411227</v>
      </c>
      <c r="AQ264" s="31">
        <v>4.1142854188599696</v>
      </c>
      <c r="AR264" s="31">
        <v>0.13103405168936957</v>
      </c>
    </row>
    <row r="265" spans="1:44" hidden="1" x14ac:dyDescent="0.5">
      <c r="A265" s="31">
        <v>264</v>
      </c>
      <c r="B265" s="31">
        <v>15</v>
      </c>
      <c r="C265" s="225" t="s">
        <v>9</v>
      </c>
      <c r="D265" s="36">
        <v>-29.889721999999999</v>
      </c>
      <c r="E265" s="37">
        <v>31.0075</v>
      </c>
      <c r="F265">
        <v>0.04</v>
      </c>
      <c r="G265">
        <f>F265*1609.344</f>
        <v>64.373760000000004</v>
      </c>
      <c r="H265" s="32" t="s">
        <v>47</v>
      </c>
      <c r="I265">
        <v>3</v>
      </c>
      <c r="J265">
        <v>342.09760260618702</v>
      </c>
      <c r="K265" s="26">
        <v>2012</v>
      </c>
      <c r="L265" t="s">
        <v>30</v>
      </c>
      <c r="M265" s="32">
        <v>315</v>
      </c>
      <c r="N265">
        <v>38.478006610000001</v>
      </c>
      <c r="O265">
        <v>5</v>
      </c>
      <c r="P265" t="s">
        <v>15</v>
      </c>
      <c r="Q265">
        <v>91.3</v>
      </c>
      <c r="R265" t="s">
        <v>31</v>
      </c>
      <c r="S265" t="s">
        <v>14</v>
      </c>
      <c r="T265" t="s">
        <v>14</v>
      </c>
      <c r="U265" s="34">
        <v>20</v>
      </c>
      <c r="V265" s="34">
        <v>22.5</v>
      </c>
      <c r="W265" s="25">
        <v>21.25</v>
      </c>
      <c r="X265" s="25">
        <v>2.5</v>
      </c>
      <c r="Y265">
        <v>2.1577600669999999</v>
      </c>
      <c r="Z265" t="s">
        <v>776</v>
      </c>
      <c r="AA265" t="s">
        <v>636</v>
      </c>
      <c r="AB265">
        <v>1</v>
      </c>
      <c r="AC265">
        <v>400</v>
      </c>
      <c r="AF265" t="s">
        <v>532</v>
      </c>
      <c r="AG265" s="32">
        <v>400</v>
      </c>
      <c r="AH265" s="32" t="s">
        <v>1273</v>
      </c>
      <c r="AI265" s="32">
        <v>60</v>
      </c>
      <c r="AJ265" s="31">
        <v>340</v>
      </c>
      <c r="AK265" s="31">
        <v>0.15</v>
      </c>
      <c r="AL265" s="31">
        <v>60</v>
      </c>
      <c r="AM265" s="31">
        <v>340</v>
      </c>
      <c r="AN265" s="31">
        <v>2528.6751331872947</v>
      </c>
      <c r="AO265" s="31">
        <v>14329.159088061337</v>
      </c>
      <c r="AP265" s="31">
        <v>5.4562742248074505</v>
      </c>
      <c r="AQ265" s="31">
        <v>30.918887273908886</v>
      </c>
      <c r="AR265" s="31">
        <v>0.13301817039062197</v>
      </c>
    </row>
    <row r="266" spans="1:44" hidden="1" x14ac:dyDescent="0.5">
      <c r="A266" s="31">
        <v>265</v>
      </c>
      <c r="B266" s="31">
        <v>15</v>
      </c>
      <c r="C266" s="225" t="s">
        <v>9</v>
      </c>
      <c r="D266" s="36">
        <v>-29.889721999999999</v>
      </c>
      <c r="E266" s="37">
        <v>31.0075</v>
      </c>
      <c r="F266">
        <v>0.04</v>
      </c>
      <c r="G266">
        <f>F266*1609.344</f>
        <v>64.373760000000004</v>
      </c>
      <c r="H266" s="32" t="s">
        <v>47</v>
      </c>
      <c r="I266">
        <v>3</v>
      </c>
      <c r="J266">
        <v>342.09760260618702</v>
      </c>
      <c r="K266" s="26">
        <v>2012</v>
      </c>
      <c r="L266" t="s">
        <v>30</v>
      </c>
      <c r="M266" s="32">
        <v>315</v>
      </c>
      <c r="N266">
        <v>38.478006610000001</v>
      </c>
      <c r="O266">
        <v>5</v>
      </c>
      <c r="P266" t="s">
        <v>15</v>
      </c>
      <c r="Q266">
        <v>91.3</v>
      </c>
      <c r="R266" t="s">
        <v>31</v>
      </c>
      <c r="S266" t="s">
        <v>14</v>
      </c>
      <c r="T266" t="s">
        <v>14</v>
      </c>
      <c r="U266" s="34">
        <v>2.5</v>
      </c>
      <c r="V266" s="34">
        <v>5</v>
      </c>
      <c r="W266" s="25">
        <v>3.75</v>
      </c>
      <c r="X266" s="25">
        <v>2.5</v>
      </c>
      <c r="Y266">
        <v>2.1577600669999999</v>
      </c>
      <c r="Z266" t="s">
        <v>776</v>
      </c>
      <c r="AA266" t="s">
        <v>636</v>
      </c>
      <c r="AB266">
        <v>1</v>
      </c>
      <c r="AC266">
        <v>1600</v>
      </c>
      <c r="AF266" t="s">
        <v>532</v>
      </c>
      <c r="AG266" s="32">
        <v>1600</v>
      </c>
      <c r="AH266" s="32" t="s">
        <v>1273</v>
      </c>
      <c r="AI266" s="32">
        <v>240</v>
      </c>
      <c r="AJ266" s="31">
        <v>1360</v>
      </c>
      <c r="AK266" s="31">
        <v>0.15</v>
      </c>
      <c r="AL266" s="31">
        <v>240</v>
      </c>
      <c r="AM266" s="31">
        <v>1360</v>
      </c>
      <c r="AN266" s="31">
        <v>10114.700532749179</v>
      </c>
      <c r="AO266" s="31">
        <v>57316.636352245347</v>
      </c>
      <c r="AP266" s="31">
        <v>21.825096899229802</v>
      </c>
      <c r="AQ266" s="31">
        <v>123.67554909563555</v>
      </c>
      <c r="AR266" s="31">
        <v>0.13301817039062197</v>
      </c>
    </row>
    <row r="267" spans="1:44" hidden="1" x14ac:dyDescent="0.5">
      <c r="A267" s="31">
        <v>266</v>
      </c>
      <c r="B267" s="31">
        <v>15</v>
      </c>
      <c r="C267" s="225" t="s">
        <v>9</v>
      </c>
      <c r="D267" s="36">
        <v>-29.889721999999999</v>
      </c>
      <c r="E267" s="37">
        <v>31.0075</v>
      </c>
      <c r="F267">
        <v>0.04</v>
      </c>
      <c r="G267">
        <f>F267*1609.344</f>
        <v>64.373760000000004</v>
      </c>
      <c r="H267" s="32" t="s">
        <v>47</v>
      </c>
      <c r="I267">
        <v>3</v>
      </c>
      <c r="J267">
        <v>342.09760260618702</v>
      </c>
      <c r="K267" s="26">
        <v>2012</v>
      </c>
      <c r="L267" t="s">
        <v>30</v>
      </c>
      <c r="M267" s="32">
        <v>315</v>
      </c>
      <c r="N267">
        <v>38.478006610000001</v>
      </c>
      <c r="O267">
        <v>5</v>
      </c>
      <c r="P267" t="s">
        <v>15</v>
      </c>
      <c r="Q267">
        <v>91.3</v>
      </c>
      <c r="R267" t="s">
        <v>31</v>
      </c>
      <c r="S267" t="s">
        <v>14</v>
      </c>
      <c r="T267" t="s">
        <v>14</v>
      </c>
      <c r="U267" s="34">
        <v>2.5</v>
      </c>
      <c r="V267" s="34">
        <v>5</v>
      </c>
      <c r="W267" s="25">
        <v>3.75</v>
      </c>
      <c r="X267" s="25">
        <v>2.5</v>
      </c>
      <c r="Y267">
        <v>2.1577600669999999</v>
      </c>
      <c r="Z267" t="s">
        <v>776</v>
      </c>
      <c r="AA267" t="s">
        <v>636</v>
      </c>
      <c r="AB267">
        <v>1</v>
      </c>
      <c r="AC267">
        <v>1900</v>
      </c>
      <c r="AF267" t="s">
        <v>532</v>
      </c>
      <c r="AG267" s="32">
        <v>1900</v>
      </c>
      <c r="AH267" s="32" t="s">
        <v>1273</v>
      </c>
      <c r="AI267" s="32">
        <v>285</v>
      </c>
      <c r="AJ267" s="31">
        <v>1615</v>
      </c>
      <c r="AK267" s="31">
        <v>0.15</v>
      </c>
      <c r="AL267" s="31">
        <v>285</v>
      </c>
      <c r="AM267" s="31">
        <v>1615</v>
      </c>
      <c r="AN267" s="31">
        <v>12011.20688263965</v>
      </c>
      <c r="AO267" s="31">
        <v>68063.505668291356</v>
      </c>
      <c r="AP267" s="31">
        <v>25.917302567835392</v>
      </c>
      <c r="AQ267" s="31">
        <v>146.86471455106724</v>
      </c>
      <c r="AR267" s="31">
        <v>0.13301817039062197</v>
      </c>
    </row>
    <row r="268" spans="1:44" customFormat="1" x14ac:dyDescent="0.5">
      <c r="A268">
        <v>267</v>
      </c>
      <c r="B268">
        <v>16</v>
      </c>
      <c r="C268" s="226" t="s">
        <v>9</v>
      </c>
      <c r="D268" s="227">
        <v>1.21</v>
      </c>
      <c r="E268" s="228">
        <v>103.76</v>
      </c>
      <c r="F268">
        <v>0.04</v>
      </c>
      <c r="G268">
        <f>F268*1609.344</f>
        <v>64.373760000000004</v>
      </c>
      <c r="H268" t="s">
        <v>49</v>
      </c>
      <c r="I268">
        <v>0</v>
      </c>
      <c r="J268">
        <v>567.25915480200297</v>
      </c>
      <c r="K268" s="26">
        <v>2012</v>
      </c>
      <c r="L268" t="s">
        <v>11</v>
      </c>
      <c r="M268" s="30"/>
      <c r="N268">
        <v>1</v>
      </c>
      <c r="P268" t="s">
        <v>12</v>
      </c>
      <c r="Q268">
        <v>89</v>
      </c>
      <c r="R268" t="s">
        <v>13</v>
      </c>
      <c r="S268" t="s">
        <v>14</v>
      </c>
      <c r="T268" t="s">
        <v>14</v>
      </c>
      <c r="U268" s="25">
        <v>0</v>
      </c>
      <c r="V268" s="25">
        <v>4</v>
      </c>
      <c r="W268" s="25">
        <v>2</v>
      </c>
      <c r="X268" s="25">
        <v>4</v>
      </c>
      <c r="Y268">
        <v>1.6356766886</v>
      </c>
      <c r="Z268" t="s">
        <v>836</v>
      </c>
      <c r="AA268" t="s">
        <v>659</v>
      </c>
      <c r="AB268">
        <v>3</v>
      </c>
      <c r="AC268">
        <v>21.2</v>
      </c>
      <c r="AD268">
        <v>20.399999999999999</v>
      </c>
      <c r="AE268" t="s">
        <v>519</v>
      </c>
      <c r="AF268" t="s">
        <v>532</v>
      </c>
      <c r="AG268" s="30">
        <v>21.2</v>
      </c>
      <c r="AH268" s="30">
        <v>0.72</v>
      </c>
      <c r="AI268" s="30">
        <v>15.263999999999999</v>
      </c>
      <c r="AJ268">
        <v>5.9359999999999999</v>
      </c>
      <c r="AK268">
        <v>0.72</v>
      </c>
      <c r="AL268">
        <v>15.263999999999999</v>
      </c>
      <c r="AM268">
        <v>5.9359999999999999</v>
      </c>
      <c r="AN268">
        <v>17.150561797752808</v>
      </c>
      <c r="AO268">
        <v>6.6696629213483138</v>
      </c>
      <c r="AP268">
        <v>2.8052774128977973E-2</v>
      </c>
      <c r="AQ268">
        <v>1.0909412161269212E-2</v>
      </c>
      <c r="AR268">
        <v>0.55269999999999997</v>
      </c>
    </row>
    <row r="269" spans="1:44" customFormat="1" x14ac:dyDescent="0.5">
      <c r="A269">
        <v>268</v>
      </c>
      <c r="B269">
        <v>16</v>
      </c>
      <c r="C269" s="226" t="s">
        <v>9</v>
      </c>
      <c r="D269" s="227">
        <v>1.26</v>
      </c>
      <c r="E269" s="228">
        <v>103.79</v>
      </c>
      <c r="F269">
        <v>0.03</v>
      </c>
      <c r="G269">
        <f>F269*1609.344</f>
        <v>48.280320000000003</v>
      </c>
      <c r="H269" t="s">
        <v>49</v>
      </c>
      <c r="I269">
        <v>0</v>
      </c>
      <c r="J269">
        <v>576.84135625003501</v>
      </c>
      <c r="K269" s="26">
        <v>2012</v>
      </c>
      <c r="L269" t="s">
        <v>11</v>
      </c>
      <c r="M269" s="30"/>
      <c r="N269">
        <v>1</v>
      </c>
      <c r="P269" t="s">
        <v>12</v>
      </c>
      <c r="Q269">
        <v>89</v>
      </c>
      <c r="R269" t="s">
        <v>13</v>
      </c>
      <c r="S269" t="s">
        <v>14</v>
      </c>
      <c r="T269" t="s">
        <v>14</v>
      </c>
      <c r="U269" s="25">
        <v>0</v>
      </c>
      <c r="V269" s="25">
        <v>4</v>
      </c>
      <c r="W269" s="25">
        <v>2</v>
      </c>
      <c r="X269" s="25">
        <v>4</v>
      </c>
      <c r="Y269">
        <v>1.6356766886</v>
      </c>
      <c r="Z269" t="s">
        <v>836</v>
      </c>
      <c r="AA269" t="s">
        <v>659</v>
      </c>
      <c r="AB269">
        <v>3</v>
      </c>
      <c r="AC269">
        <v>57.2</v>
      </c>
      <c r="AD269">
        <v>11.6</v>
      </c>
      <c r="AE269" t="s">
        <v>519</v>
      </c>
      <c r="AF269" t="s">
        <v>532</v>
      </c>
      <c r="AG269" s="30">
        <v>57.2</v>
      </c>
      <c r="AH269" s="30">
        <v>0.72</v>
      </c>
      <c r="AI269" s="30">
        <v>41.183999999999997</v>
      </c>
      <c r="AJ269">
        <v>16.016000000000005</v>
      </c>
      <c r="AK269">
        <v>0.72</v>
      </c>
      <c r="AL269">
        <v>41.183999999999997</v>
      </c>
      <c r="AM269">
        <v>16.016000000000005</v>
      </c>
      <c r="AN269">
        <v>46.274157303370785</v>
      </c>
      <c r="AO269">
        <v>17.995505617977532</v>
      </c>
      <c r="AP269">
        <v>7.5689560385733032E-2</v>
      </c>
      <c r="AQ269">
        <v>2.9434829038896188E-2</v>
      </c>
      <c r="AR269">
        <v>0.55269999999999997</v>
      </c>
    </row>
    <row r="270" spans="1:44" customFormat="1" x14ac:dyDescent="0.5">
      <c r="A270">
        <v>269</v>
      </c>
      <c r="B270">
        <v>16</v>
      </c>
      <c r="C270" s="226" t="s">
        <v>9</v>
      </c>
      <c r="D270" s="227">
        <v>1.37</v>
      </c>
      <c r="E270" s="228">
        <v>103.95</v>
      </c>
      <c r="F270">
        <v>0</v>
      </c>
      <c r="G270">
        <f>F270*1609.344</f>
        <v>0</v>
      </c>
      <c r="H270" t="s">
        <v>49</v>
      </c>
      <c r="I270">
        <v>0</v>
      </c>
      <c r="J270">
        <v>628.44892758696597</v>
      </c>
      <c r="K270" s="26">
        <v>2012</v>
      </c>
      <c r="L270" t="s">
        <v>11</v>
      </c>
      <c r="M270" s="30"/>
      <c r="N270">
        <v>1</v>
      </c>
      <c r="P270" t="s">
        <v>12</v>
      </c>
      <c r="Q270">
        <v>89</v>
      </c>
      <c r="R270" t="s">
        <v>13</v>
      </c>
      <c r="S270" t="s">
        <v>14</v>
      </c>
      <c r="T270" t="s">
        <v>14</v>
      </c>
      <c r="U270" s="25">
        <v>0</v>
      </c>
      <c r="V270" s="25">
        <v>4</v>
      </c>
      <c r="W270" s="25">
        <v>2</v>
      </c>
      <c r="X270" s="25">
        <v>4</v>
      </c>
      <c r="Y270">
        <v>1.6356766886</v>
      </c>
      <c r="Z270" t="s">
        <v>836</v>
      </c>
      <c r="AA270" t="s">
        <v>659</v>
      </c>
      <c r="AB270">
        <v>3</v>
      </c>
      <c r="AC270">
        <v>28</v>
      </c>
      <c r="AD270">
        <v>17.600000000000001</v>
      </c>
      <c r="AE270" t="s">
        <v>519</v>
      </c>
      <c r="AF270" t="s">
        <v>532</v>
      </c>
      <c r="AG270" s="30">
        <v>28</v>
      </c>
      <c r="AH270" s="30">
        <v>0.72</v>
      </c>
      <c r="AI270" s="30">
        <v>20.16</v>
      </c>
      <c r="AJ270">
        <v>7.84</v>
      </c>
      <c r="AK270">
        <v>0.72</v>
      </c>
      <c r="AL270">
        <v>20.16</v>
      </c>
      <c r="AM270">
        <v>7.84</v>
      </c>
      <c r="AN270">
        <v>22.651685393258429</v>
      </c>
      <c r="AO270">
        <v>8.808988764044944</v>
      </c>
      <c r="AP270">
        <v>3.7050833755253941E-2</v>
      </c>
      <c r="AQ270">
        <v>1.440865757148764E-2</v>
      </c>
      <c r="AR270">
        <v>0.55269999999999997</v>
      </c>
    </row>
    <row r="271" spans="1:44" customFormat="1" x14ac:dyDescent="0.5">
      <c r="A271">
        <v>270</v>
      </c>
      <c r="B271">
        <v>16</v>
      </c>
      <c r="C271" s="226" t="s">
        <v>9</v>
      </c>
      <c r="D271" s="227">
        <v>1.39</v>
      </c>
      <c r="E271" s="228">
        <v>103.98</v>
      </c>
      <c r="F271">
        <v>0.01</v>
      </c>
      <c r="G271">
        <f>F271*1609.344</f>
        <v>16.093440000000001</v>
      </c>
      <c r="H271" t="s">
        <v>49</v>
      </c>
      <c r="I271">
        <v>0</v>
      </c>
      <c r="J271">
        <v>634.20995500364199</v>
      </c>
      <c r="K271" s="26">
        <v>2012</v>
      </c>
      <c r="L271" t="s">
        <v>11</v>
      </c>
      <c r="M271" s="30"/>
      <c r="N271">
        <v>1</v>
      </c>
      <c r="P271" t="s">
        <v>12</v>
      </c>
      <c r="Q271">
        <v>89</v>
      </c>
      <c r="R271" t="s">
        <v>13</v>
      </c>
      <c r="S271" t="s">
        <v>14</v>
      </c>
      <c r="T271" t="s">
        <v>14</v>
      </c>
      <c r="U271" s="25">
        <v>0</v>
      </c>
      <c r="V271" s="25">
        <v>4</v>
      </c>
      <c r="W271" s="25">
        <v>2</v>
      </c>
      <c r="X271" s="25">
        <v>4</v>
      </c>
      <c r="Y271">
        <v>1.6356766886</v>
      </c>
      <c r="Z271" t="s">
        <v>836</v>
      </c>
      <c r="AA271" t="s">
        <v>659</v>
      </c>
      <c r="AB271">
        <v>3</v>
      </c>
      <c r="AC271">
        <v>38.799999999999997</v>
      </c>
      <c r="AD271">
        <v>22.8</v>
      </c>
      <c r="AE271" t="s">
        <v>519</v>
      </c>
      <c r="AF271" t="s">
        <v>532</v>
      </c>
      <c r="AG271" s="30">
        <v>38.799999999999997</v>
      </c>
      <c r="AH271" s="30">
        <v>0.72</v>
      </c>
      <c r="AI271" s="30">
        <v>27.935999999999996</v>
      </c>
      <c r="AJ271">
        <v>10.864000000000001</v>
      </c>
      <c r="AK271">
        <v>0.72</v>
      </c>
      <c r="AL271">
        <v>27.935999999999996</v>
      </c>
      <c r="AM271">
        <v>10.864000000000001</v>
      </c>
      <c r="AN271">
        <v>31.388764044943819</v>
      </c>
      <c r="AO271">
        <v>12.206741573033709</v>
      </c>
      <c r="AP271">
        <v>5.1341869632280449E-2</v>
      </c>
      <c r="AQ271">
        <v>1.9966282634775734E-2</v>
      </c>
      <c r="AR271">
        <v>0.55269999999999997</v>
      </c>
    </row>
    <row r="272" spans="1:44" customFormat="1" x14ac:dyDescent="0.5">
      <c r="A272">
        <v>271</v>
      </c>
      <c r="B272">
        <v>16</v>
      </c>
      <c r="C272" s="226" t="s">
        <v>9</v>
      </c>
      <c r="D272" s="227">
        <v>1.4</v>
      </c>
      <c r="E272" s="228">
        <v>103.97</v>
      </c>
      <c r="F272">
        <v>0</v>
      </c>
      <c r="G272">
        <f>F272*1609.344</f>
        <v>0</v>
      </c>
      <c r="H272" t="s">
        <v>49</v>
      </c>
      <c r="I272">
        <v>0</v>
      </c>
      <c r="J272">
        <v>627.40940843762905</v>
      </c>
      <c r="K272" s="26">
        <v>2012</v>
      </c>
      <c r="L272" t="s">
        <v>11</v>
      </c>
      <c r="M272" s="30"/>
      <c r="N272">
        <v>1</v>
      </c>
      <c r="P272" t="s">
        <v>12</v>
      </c>
      <c r="Q272">
        <v>89</v>
      </c>
      <c r="R272" t="s">
        <v>13</v>
      </c>
      <c r="S272" t="s">
        <v>14</v>
      </c>
      <c r="T272" t="s">
        <v>14</v>
      </c>
      <c r="U272" s="25">
        <v>0</v>
      </c>
      <c r="V272" s="25">
        <v>4</v>
      </c>
      <c r="W272" s="25">
        <v>2</v>
      </c>
      <c r="X272" s="25">
        <v>4</v>
      </c>
      <c r="Y272">
        <v>1.6356766886</v>
      </c>
      <c r="Z272" t="s">
        <v>836</v>
      </c>
      <c r="AA272" t="s">
        <v>659</v>
      </c>
      <c r="AB272">
        <v>3</v>
      </c>
      <c r="AC272">
        <v>12</v>
      </c>
      <c r="AD272">
        <v>8</v>
      </c>
      <c r="AE272" t="s">
        <v>519</v>
      </c>
      <c r="AF272" t="s">
        <v>532</v>
      </c>
      <c r="AG272" s="30">
        <v>12</v>
      </c>
      <c r="AH272" s="30">
        <v>0.72</v>
      </c>
      <c r="AI272" s="30">
        <v>8.64</v>
      </c>
      <c r="AJ272">
        <v>3.3599999999999994</v>
      </c>
      <c r="AK272">
        <v>0.72</v>
      </c>
      <c r="AL272">
        <v>8.64</v>
      </c>
      <c r="AM272">
        <v>3.3599999999999994</v>
      </c>
      <c r="AN272">
        <v>9.7078651685393265</v>
      </c>
      <c r="AO272">
        <v>3.7752808988764039</v>
      </c>
      <c r="AP272">
        <v>1.5878928752251685E-2</v>
      </c>
      <c r="AQ272">
        <v>6.1751389592089884E-3</v>
      </c>
      <c r="AR272">
        <v>0.55269999999999997</v>
      </c>
    </row>
    <row r="273" spans="1:44" customFormat="1" x14ac:dyDescent="0.5">
      <c r="A273">
        <v>272</v>
      </c>
      <c r="B273">
        <v>16</v>
      </c>
      <c r="C273" s="226" t="s">
        <v>9</v>
      </c>
      <c r="D273" s="227">
        <v>1.44</v>
      </c>
      <c r="E273" s="228">
        <v>103.73</v>
      </c>
      <c r="F273">
        <v>0.15</v>
      </c>
      <c r="G273">
        <f>F273*1609.344</f>
        <v>241.4016</v>
      </c>
      <c r="H273" t="s">
        <v>49</v>
      </c>
      <c r="I273">
        <v>0</v>
      </c>
      <c r="J273">
        <v>543.839867876531</v>
      </c>
      <c r="K273" s="26">
        <v>2012</v>
      </c>
      <c r="L273" t="s">
        <v>11</v>
      </c>
      <c r="M273" s="30"/>
      <c r="N273">
        <v>1</v>
      </c>
      <c r="P273" t="s">
        <v>12</v>
      </c>
      <c r="Q273">
        <v>89</v>
      </c>
      <c r="R273" t="s">
        <v>13</v>
      </c>
      <c r="S273" t="s">
        <v>14</v>
      </c>
      <c r="T273" t="s">
        <v>14</v>
      </c>
      <c r="U273" s="25">
        <v>0</v>
      </c>
      <c r="V273" s="25">
        <v>4</v>
      </c>
      <c r="W273" s="25">
        <v>2</v>
      </c>
      <c r="X273" s="25">
        <v>4</v>
      </c>
      <c r="Y273">
        <v>1.6356766886</v>
      </c>
      <c r="Z273" t="s">
        <v>836</v>
      </c>
      <c r="AA273" t="s">
        <v>659</v>
      </c>
      <c r="AB273">
        <v>3</v>
      </c>
      <c r="AC273">
        <v>37.200000000000003</v>
      </c>
      <c r="AD273">
        <v>16</v>
      </c>
      <c r="AE273" t="s">
        <v>519</v>
      </c>
      <c r="AF273" t="s">
        <v>532</v>
      </c>
      <c r="AG273" s="30">
        <v>37.200000000000003</v>
      </c>
      <c r="AH273" s="30">
        <v>0.72</v>
      </c>
      <c r="AI273" s="30">
        <v>26.784000000000002</v>
      </c>
      <c r="AJ273">
        <v>10.416</v>
      </c>
      <c r="AK273">
        <v>0.72</v>
      </c>
      <c r="AL273">
        <v>26.784000000000002</v>
      </c>
      <c r="AM273">
        <v>10.416</v>
      </c>
      <c r="AN273">
        <v>30.094382022471912</v>
      </c>
      <c r="AO273">
        <v>11.703370786516855</v>
      </c>
      <c r="AP273">
        <v>4.9224679131980233E-2</v>
      </c>
      <c r="AQ273">
        <v>1.9142930773547867E-2</v>
      </c>
      <c r="AR273">
        <v>0.55269999999999997</v>
      </c>
    </row>
    <row r="274" spans="1:44" customFormat="1" x14ac:dyDescent="0.5">
      <c r="A274">
        <v>273</v>
      </c>
      <c r="B274">
        <v>16</v>
      </c>
      <c r="C274" s="226" t="s">
        <v>9</v>
      </c>
      <c r="D274" s="227">
        <v>1.44</v>
      </c>
      <c r="E274" s="228">
        <v>103.67</v>
      </c>
      <c r="F274">
        <v>0.01</v>
      </c>
      <c r="G274">
        <f>F274*1609.344</f>
        <v>16.093440000000001</v>
      </c>
      <c r="H274" t="s">
        <v>49</v>
      </c>
      <c r="I274">
        <v>0</v>
      </c>
      <c r="J274">
        <v>525.30403293291397</v>
      </c>
      <c r="K274" s="26">
        <v>2012</v>
      </c>
      <c r="L274" t="s">
        <v>11</v>
      </c>
      <c r="M274" s="30"/>
      <c r="N274">
        <v>1</v>
      </c>
      <c r="P274" t="s">
        <v>12</v>
      </c>
      <c r="Q274">
        <v>89</v>
      </c>
      <c r="R274" t="s">
        <v>13</v>
      </c>
      <c r="S274" t="s">
        <v>14</v>
      </c>
      <c r="T274" t="s">
        <v>14</v>
      </c>
      <c r="U274" s="25">
        <v>0</v>
      </c>
      <c r="V274" s="25">
        <v>4</v>
      </c>
      <c r="W274" s="25">
        <v>2</v>
      </c>
      <c r="X274" s="25">
        <v>4</v>
      </c>
      <c r="Y274">
        <v>1.6356766886</v>
      </c>
      <c r="Z274" t="s">
        <v>836</v>
      </c>
      <c r="AA274" t="s">
        <v>659</v>
      </c>
      <c r="AB274">
        <v>3</v>
      </c>
      <c r="AC274">
        <v>62.8</v>
      </c>
      <c r="AD274">
        <v>27.2</v>
      </c>
      <c r="AE274" t="s">
        <v>519</v>
      </c>
      <c r="AF274" t="s">
        <v>532</v>
      </c>
      <c r="AG274" s="30">
        <v>62.8</v>
      </c>
      <c r="AH274" s="30">
        <v>0.72</v>
      </c>
      <c r="AI274" s="30">
        <v>45.215999999999994</v>
      </c>
      <c r="AJ274">
        <v>17.584000000000003</v>
      </c>
      <c r="AK274">
        <v>0.72</v>
      </c>
      <c r="AL274">
        <v>45.215999999999994</v>
      </c>
      <c r="AM274">
        <v>17.584000000000003</v>
      </c>
      <c r="AN274">
        <v>50.804494382022469</v>
      </c>
      <c r="AO274">
        <v>19.75730337078652</v>
      </c>
      <c r="AP274">
        <v>8.3099727136783819E-2</v>
      </c>
      <c r="AQ274">
        <v>3.2316560553193714E-2</v>
      </c>
      <c r="AR274">
        <v>0.55269999999999997</v>
      </c>
    </row>
    <row r="275" spans="1:44" hidden="1" x14ac:dyDescent="0.5">
      <c r="A275" s="31">
        <v>1408</v>
      </c>
      <c r="B275" s="31">
        <v>100</v>
      </c>
      <c r="C275" s="225" t="s">
        <v>42</v>
      </c>
      <c r="D275" s="41">
        <v>-33.982111000000003</v>
      </c>
      <c r="E275" s="45">
        <v>151.19833299999999</v>
      </c>
      <c r="G275">
        <f>F275*1609.344</f>
        <v>0</v>
      </c>
      <c r="H275" s="32" t="s">
        <v>614</v>
      </c>
      <c r="I275" s="7">
        <v>10</v>
      </c>
      <c r="J275">
        <v>329.03688263897902</v>
      </c>
      <c r="K275" s="26">
        <v>2017</v>
      </c>
      <c r="L275" t="s">
        <v>40</v>
      </c>
      <c r="M275" s="32">
        <v>50</v>
      </c>
      <c r="N275">
        <v>5.4892152799999998</v>
      </c>
      <c r="O275">
        <v>4.9000000000000004</v>
      </c>
      <c r="P275" t="s">
        <v>15</v>
      </c>
      <c r="Q275">
        <v>99</v>
      </c>
      <c r="R275" t="s">
        <v>13</v>
      </c>
      <c r="S275" t="s">
        <v>14</v>
      </c>
      <c r="T275" t="s">
        <v>14</v>
      </c>
      <c r="U275" s="34">
        <v>0</v>
      </c>
      <c r="V275" s="34">
        <v>5</v>
      </c>
      <c r="W275" s="25">
        <v>2.5</v>
      </c>
      <c r="X275" s="25">
        <v>5</v>
      </c>
      <c r="Y275">
        <v>1.0774796689999999</v>
      </c>
      <c r="Z275" t="s">
        <v>773</v>
      </c>
      <c r="AA275" t="s">
        <v>644</v>
      </c>
      <c r="AB275">
        <v>4</v>
      </c>
      <c r="AC275">
        <v>155</v>
      </c>
      <c r="AD275">
        <v>9.0467899999999997</v>
      </c>
      <c r="AE275" t="s">
        <v>525</v>
      </c>
      <c r="AF275" t="s">
        <v>532</v>
      </c>
      <c r="AG275" s="32">
        <v>155</v>
      </c>
      <c r="AH275" s="32" t="s">
        <v>2489</v>
      </c>
      <c r="AI275" s="32" t="s">
        <v>2491</v>
      </c>
      <c r="AJ275" s="31" t="s">
        <v>3339</v>
      </c>
      <c r="AK275" s="31">
        <v>0.23</v>
      </c>
      <c r="AL275" s="31">
        <v>35.65</v>
      </c>
      <c r="AM275" s="31">
        <v>119.35</v>
      </c>
      <c r="AN275" s="31">
        <v>197.66719669898987</v>
      </c>
      <c r="AO275" s="31">
        <v>661.75539764444443</v>
      </c>
      <c r="AP275" s="31">
        <v>0.21298238567138547</v>
      </c>
      <c r="AQ275" s="31">
        <v>0.71302798681289936</v>
      </c>
      <c r="AR275" s="31">
        <v>0.13208853699948581</v>
      </c>
    </row>
    <row r="276" spans="1:44" hidden="1" x14ac:dyDescent="0.5">
      <c r="A276" s="31">
        <v>1409</v>
      </c>
      <c r="B276" s="31">
        <v>100</v>
      </c>
      <c r="C276" s="225" t="s">
        <v>42</v>
      </c>
      <c r="D276" s="41">
        <v>-33.858888999999998</v>
      </c>
      <c r="E276" s="45">
        <v>151.21166700000001</v>
      </c>
      <c r="G276">
        <f>F276*1609.344</f>
        <v>0</v>
      </c>
      <c r="H276" s="32" t="s">
        <v>614</v>
      </c>
      <c r="I276" s="7">
        <v>0</v>
      </c>
      <c r="J276">
        <v>316.93957258879999</v>
      </c>
      <c r="K276" s="26">
        <v>2017</v>
      </c>
      <c r="L276" t="s">
        <v>40</v>
      </c>
      <c r="M276" s="32">
        <v>50</v>
      </c>
      <c r="N276">
        <v>5.4892152799999998</v>
      </c>
      <c r="O276">
        <v>4.9000000000000004</v>
      </c>
      <c r="P276" t="s">
        <v>15</v>
      </c>
      <c r="Q276">
        <v>99</v>
      </c>
      <c r="R276" t="s">
        <v>13</v>
      </c>
      <c r="S276" t="s">
        <v>14</v>
      </c>
      <c r="T276" t="s">
        <v>14</v>
      </c>
      <c r="U276" s="34">
        <v>0</v>
      </c>
      <c r="V276" s="34">
        <v>5</v>
      </c>
      <c r="W276" s="25">
        <v>2.5</v>
      </c>
      <c r="X276" s="25">
        <v>5</v>
      </c>
      <c r="Y276">
        <v>1.0774796689999999</v>
      </c>
      <c r="Z276" t="s">
        <v>773</v>
      </c>
      <c r="AA276" t="s">
        <v>644</v>
      </c>
      <c r="AB276">
        <v>4</v>
      </c>
      <c r="AC276">
        <v>96</v>
      </c>
      <c r="AD276">
        <v>11.892340000000001</v>
      </c>
      <c r="AE276" t="s">
        <v>525</v>
      </c>
      <c r="AF276" t="s">
        <v>532</v>
      </c>
      <c r="AG276" s="32">
        <v>96</v>
      </c>
      <c r="AH276" s="32" t="s">
        <v>2492</v>
      </c>
      <c r="AI276" s="32" t="s">
        <v>2493</v>
      </c>
      <c r="AJ276" s="31" t="s">
        <v>3340</v>
      </c>
      <c r="AK276" s="31">
        <v>0.501</v>
      </c>
      <c r="AL276" s="31">
        <v>48.096000000000004</v>
      </c>
      <c r="AM276" s="31">
        <v>47.903999999999996</v>
      </c>
      <c r="AN276" s="31">
        <v>266.67605869381822</v>
      </c>
      <c r="AO276" s="31">
        <v>265.61148360921209</v>
      </c>
      <c r="AP276" s="31">
        <v>0.28733803145163983</v>
      </c>
      <c r="AQ276" s="31">
        <v>0.28619097344185279</v>
      </c>
      <c r="AR276" s="31">
        <v>0.13341858489683281</v>
      </c>
    </row>
    <row r="277" spans="1:44" hidden="1" x14ac:dyDescent="0.5">
      <c r="A277" s="31">
        <v>1410</v>
      </c>
      <c r="B277" s="31">
        <v>100</v>
      </c>
      <c r="C277" s="225" t="s">
        <v>42</v>
      </c>
      <c r="D277" s="45">
        <v>-33.850183000000001</v>
      </c>
      <c r="E277" s="45">
        <v>151.267111</v>
      </c>
      <c r="G277">
        <f>F277*1609.344</f>
        <v>0</v>
      </c>
      <c r="H277" s="32" t="s">
        <v>614</v>
      </c>
      <c r="I277" s="7">
        <v>0</v>
      </c>
      <c r="J277">
        <v>337.994703375379</v>
      </c>
      <c r="K277" s="26">
        <v>2017</v>
      </c>
      <c r="L277" t="s">
        <v>40</v>
      </c>
      <c r="M277" s="32">
        <v>50</v>
      </c>
      <c r="N277">
        <v>5.4892152799999998</v>
      </c>
      <c r="O277">
        <v>4.9000000000000004</v>
      </c>
      <c r="P277" t="s">
        <v>15</v>
      </c>
      <c r="Q277">
        <v>99</v>
      </c>
      <c r="R277" t="s">
        <v>13</v>
      </c>
      <c r="S277" t="s">
        <v>14</v>
      </c>
      <c r="T277" t="s">
        <v>14</v>
      </c>
      <c r="U277" s="34">
        <v>0</v>
      </c>
      <c r="V277" s="34">
        <v>5</v>
      </c>
      <c r="W277" s="25">
        <v>2.5</v>
      </c>
      <c r="X277" s="25">
        <v>5</v>
      </c>
      <c r="Y277">
        <v>1.0774796689999999</v>
      </c>
      <c r="Z277" t="s">
        <v>773</v>
      </c>
      <c r="AA277" t="s">
        <v>644</v>
      </c>
      <c r="AB277">
        <v>2</v>
      </c>
      <c r="AC277">
        <v>60</v>
      </c>
      <c r="AD277">
        <v>4.74</v>
      </c>
      <c r="AE277" t="s">
        <v>525</v>
      </c>
      <c r="AF277" t="s">
        <v>532</v>
      </c>
      <c r="AG277" s="32">
        <v>60</v>
      </c>
      <c r="AH277" s="32" t="s">
        <v>2492</v>
      </c>
      <c r="AI277" s="32" t="s">
        <v>2494</v>
      </c>
      <c r="AJ277" s="31" t="s">
        <v>3341</v>
      </c>
      <c r="AK277" s="31">
        <v>0.501</v>
      </c>
      <c r="AL277" s="31">
        <v>30.06</v>
      </c>
      <c r="AM277" s="31">
        <v>29.94</v>
      </c>
      <c r="AN277" s="31">
        <v>166.67253668363634</v>
      </c>
      <c r="AO277" s="31">
        <v>166.00717725575757</v>
      </c>
      <c r="AP277" s="31">
        <v>0.17958626965727481</v>
      </c>
      <c r="AQ277" s="31">
        <v>0.17886935840115797</v>
      </c>
      <c r="AR277" s="31">
        <v>0.13341858489683281</v>
      </c>
    </row>
    <row r="278" spans="1:44" hidden="1" x14ac:dyDescent="0.5">
      <c r="A278" s="31">
        <v>1411</v>
      </c>
      <c r="B278" s="31">
        <v>100</v>
      </c>
      <c r="C278" s="225" t="s">
        <v>42</v>
      </c>
      <c r="D278" s="41">
        <v>-32.924722000000003</v>
      </c>
      <c r="E278" s="45">
        <v>151.79300000000001</v>
      </c>
      <c r="G278">
        <f>F278*1609.344</f>
        <v>0</v>
      </c>
      <c r="H278" s="32" t="s">
        <v>614</v>
      </c>
      <c r="I278" s="7">
        <v>7</v>
      </c>
      <c r="J278">
        <v>70.417453340384796</v>
      </c>
      <c r="K278" s="26">
        <v>2017</v>
      </c>
      <c r="L278" t="s">
        <v>40</v>
      </c>
      <c r="M278" s="32">
        <v>50</v>
      </c>
      <c r="N278">
        <v>5.4892152799999998</v>
      </c>
      <c r="O278">
        <v>4.9000000000000004</v>
      </c>
      <c r="P278" t="s">
        <v>15</v>
      </c>
      <c r="Q278">
        <v>99</v>
      </c>
      <c r="R278" t="s">
        <v>13</v>
      </c>
      <c r="S278" t="s">
        <v>14</v>
      </c>
      <c r="T278" t="s">
        <v>14</v>
      </c>
      <c r="U278" s="34">
        <v>0</v>
      </c>
      <c r="V278" s="34">
        <v>5</v>
      </c>
      <c r="W278" s="25">
        <v>2.5</v>
      </c>
      <c r="X278" s="25">
        <v>5</v>
      </c>
      <c r="Y278">
        <v>1.0774796689999999</v>
      </c>
      <c r="Z278" t="s">
        <v>773</v>
      </c>
      <c r="AA278" t="s">
        <v>644</v>
      </c>
      <c r="AB278">
        <v>2</v>
      </c>
      <c r="AC278">
        <v>59</v>
      </c>
      <c r="AD278">
        <v>3.8</v>
      </c>
      <c r="AE278" t="s">
        <v>525</v>
      </c>
      <c r="AF278" t="s">
        <v>532</v>
      </c>
      <c r="AG278" s="32">
        <v>59</v>
      </c>
      <c r="AH278" s="32" t="s">
        <v>2495</v>
      </c>
      <c r="AI278" s="32" t="s">
        <v>2496</v>
      </c>
      <c r="AJ278" s="31" t="s">
        <v>3342</v>
      </c>
      <c r="AK278" s="31">
        <v>0.39600000000000002</v>
      </c>
      <c r="AL278" s="31">
        <v>23.364000000000001</v>
      </c>
      <c r="AM278" s="31">
        <v>35.635999999999996</v>
      </c>
      <c r="AN278" s="31">
        <v>129.54548060799999</v>
      </c>
      <c r="AO278" s="31">
        <v>197.589571432404</v>
      </c>
      <c r="AP278" s="31">
        <v>0.13958262156595375</v>
      </c>
      <c r="AQ278" s="31">
        <v>0.21289874602483849</v>
      </c>
      <c r="AR278" s="31">
        <v>0.13248615310083081</v>
      </c>
    </row>
    <row r="279" spans="1:44" hidden="1" x14ac:dyDescent="0.5">
      <c r="A279" s="31">
        <v>1412</v>
      </c>
      <c r="B279" s="31">
        <v>100</v>
      </c>
      <c r="C279" s="225" t="s">
        <v>42</v>
      </c>
      <c r="D279" s="41">
        <v>-32.924166999999997</v>
      </c>
      <c r="E279" s="45">
        <v>151.77500000000001</v>
      </c>
      <c r="G279">
        <f>F279*1609.344</f>
        <v>0</v>
      </c>
      <c r="H279" s="32" t="s">
        <v>614</v>
      </c>
      <c r="I279" s="7">
        <v>0</v>
      </c>
      <c r="J279">
        <v>71.012413867202298</v>
      </c>
      <c r="K279" s="26">
        <v>2017</v>
      </c>
      <c r="L279" t="s">
        <v>40</v>
      </c>
      <c r="M279" s="32">
        <v>50</v>
      </c>
      <c r="N279">
        <v>5.4892152799999998</v>
      </c>
      <c r="O279">
        <v>4.9000000000000004</v>
      </c>
      <c r="P279" t="s">
        <v>15</v>
      </c>
      <c r="Q279">
        <v>99</v>
      </c>
      <c r="R279" t="s">
        <v>13</v>
      </c>
      <c r="S279" t="s">
        <v>14</v>
      </c>
      <c r="T279" t="s">
        <v>14</v>
      </c>
      <c r="U279" s="34">
        <v>0</v>
      </c>
      <c r="V279" s="34">
        <v>5</v>
      </c>
      <c r="W279" s="25">
        <v>2.5</v>
      </c>
      <c r="X279" s="25">
        <v>5</v>
      </c>
      <c r="Y279">
        <v>1.0774796689999999</v>
      </c>
      <c r="Z279" t="s">
        <v>773</v>
      </c>
      <c r="AA279" t="s">
        <v>644</v>
      </c>
      <c r="AB279">
        <v>4</v>
      </c>
      <c r="AC279">
        <v>83</v>
      </c>
      <c r="AD279">
        <v>8.6396999999999995</v>
      </c>
      <c r="AE279" t="s">
        <v>525</v>
      </c>
      <c r="AF279" t="s">
        <v>532</v>
      </c>
      <c r="AG279" s="32">
        <v>83</v>
      </c>
      <c r="AH279" s="32" t="s">
        <v>2495</v>
      </c>
      <c r="AI279" s="32" t="s">
        <v>2497</v>
      </c>
      <c r="AJ279" s="31" t="s">
        <v>3343</v>
      </c>
      <c r="AK279" s="31">
        <v>0.39600000000000002</v>
      </c>
      <c r="AL279" s="31">
        <v>32.868000000000002</v>
      </c>
      <c r="AM279" s="31">
        <v>50.131999999999998</v>
      </c>
      <c r="AN279" s="31">
        <v>182.24194729600001</v>
      </c>
      <c r="AO279" s="31">
        <v>277.96499032016163</v>
      </c>
      <c r="AP279" s="31">
        <v>0.19636199305040952</v>
      </c>
      <c r="AQ279" s="31">
        <v>0.29950162576375594</v>
      </c>
      <c r="AR279" s="31">
        <v>0.13341858489683281</v>
      </c>
    </row>
    <row r="280" spans="1:44" hidden="1" x14ac:dyDescent="0.5">
      <c r="A280" s="31">
        <v>1413</v>
      </c>
      <c r="B280" s="31">
        <v>100</v>
      </c>
      <c r="C280" s="225" t="s">
        <v>42</v>
      </c>
      <c r="D280" s="41">
        <v>-29.434305999999999</v>
      </c>
      <c r="E280" s="45">
        <v>153.34538900000001</v>
      </c>
      <c r="G280">
        <f>F280*1609.344</f>
        <v>0</v>
      </c>
      <c r="H280" s="32" t="s">
        <v>614</v>
      </c>
      <c r="I280" s="7">
        <v>0</v>
      </c>
      <c r="J280">
        <v>16.893634131373702</v>
      </c>
      <c r="K280" s="26">
        <v>2017</v>
      </c>
      <c r="L280" t="s">
        <v>40</v>
      </c>
      <c r="M280" s="32">
        <v>50</v>
      </c>
      <c r="N280">
        <v>5.4892152799999998</v>
      </c>
      <c r="O280">
        <v>4.9000000000000004</v>
      </c>
      <c r="P280" t="s">
        <v>15</v>
      </c>
      <c r="Q280">
        <v>99</v>
      </c>
      <c r="R280" t="s">
        <v>13</v>
      </c>
      <c r="S280" t="s">
        <v>14</v>
      </c>
      <c r="T280" t="s">
        <v>14</v>
      </c>
      <c r="U280" s="34">
        <v>0</v>
      </c>
      <c r="V280" s="34">
        <v>5</v>
      </c>
      <c r="W280" s="25">
        <v>2.5</v>
      </c>
      <c r="X280" s="25">
        <v>5</v>
      </c>
      <c r="Y280">
        <v>0.82293429299999998</v>
      </c>
      <c r="Z280" t="s">
        <v>773</v>
      </c>
      <c r="AA280" t="s">
        <v>645</v>
      </c>
      <c r="AB280">
        <v>4</v>
      </c>
      <c r="AC280">
        <v>224</v>
      </c>
      <c r="AD280">
        <v>39.877870000000001</v>
      </c>
      <c r="AE280" t="s">
        <v>525</v>
      </c>
      <c r="AF280" t="s">
        <v>532</v>
      </c>
      <c r="AG280" s="32">
        <v>224</v>
      </c>
      <c r="AH280" s="32" t="s">
        <v>2498</v>
      </c>
      <c r="AI280" s="32" t="s">
        <v>2499</v>
      </c>
      <c r="AJ280" s="31" t="s">
        <v>3344</v>
      </c>
      <c r="AK280" s="31">
        <v>0.105</v>
      </c>
      <c r="AL280" s="31">
        <v>23.52</v>
      </c>
      <c r="AM280" s="31">
        <v>200.48</v>
      </c>
      <c r="AN280" s="31">
        <v>130.4104478642424</v>
      </c>
      <c r="AO280" s="31">
        <v>1111.5938175094948</v>
      </c>
      <c r="AP280" s="31">
        <v>0.10731922971297368</v>
      </c>
      <c r="AQ280" s="31">
        <v>0.91476867231534709</v>
      </c>
      <c r="AR280" s="31">
        <v>0.13341858489683281</v>
      </c>
    </row>
    <row r="281" spans="1:44" hidden="1" x14ac:dyDescent="0.5">
      <c r="A281" s="31">
        <v>1414</v>
      </c>
      <c r="B281" s="31">
        <v>100</v>
      </c>
      <c r="C281" s="225" t="s">
        <v>42</v>
      </c>
      <c r="D281" s="41">
        <v>-29.420583000000001</v>
      </c>
      <c r="E281" s="45">
        <v>153.33888899999999</v>
      </c>
      <c r="G281">
        <f>F281*1609.344</f>
        <v>0</v>
      </c>
      <c r="H281" s="32" t="s">
        <v>614</v>
      </c>
      <c r="I281" s="7">
        <v>0</v>
      </c>
      <c r="J281">
        <v>16.741662424003199</v>
      </c>
      <c r="K281" s="26">
        <v>2017</v>
      </c>
      <c r="L281" t="s">
        <v>40</v>
      </c>
      <c r="M281" s="32">
        <v>50</v>
      </c>
      <c r="N281">
        <v>5.4892152799999998</v>
      </c>
      <c r="O281">
        <v>4.9000000000000004</v>
      </c>
      <c r="P281" t="s">
        <v>15</v>
      </c>
      <c r="Q281">
        <v>99</v>
      </c>
      <c r="R281" t="s">
        <v>13</v>
      </c>
      <c r="S281" t="s">
        <v>14</v>
      </c>
      <c r="T281" t="s">
        <v>14</v>
      </c>
      <c r="U281" s="34">
        <v>0</v>
      </c>
      <c r="V281" s="34">
        <v>5</v>
      </c>
      <c r="W281" s="25">
        <v>2.5</v>
      </c>
      <c r="X281" s="25">
        <v>5</v>
      </c>
      <c r="Y281">
        <v>0.82293429299999998</v>
      </c>
      <c r="Z281" t="s">
        <v>773</v>
      </c>
      <c r="AA281" t="s">
        <v>645</v>
      </c>
      <c r="AB281">
        <v>2</v>
      </c>
      <c r="AC281">
        <v>293</v>
      </c>
      <c r="AD281">
        <v>17.84</v>
      </c>
      <c r="AE281" t="s">
        <v>525</v>
      </c>
      <c r="AF281" t="s">
        <v>532</v>
      </c>
      <c r="AG281" s="32">
        <v>293</v>
      </c>
      <c r="AH281" s="32" t="s">
        <v>2498</v>
      </c>
      <c r="AI281" s="32" t="s">
        <v>2500</v>
      </c>
      <c r="AJ281" s="31" t="s">
        <v>3345</v>
      </c>
      <c r="AK281" s="31">
        <v>0.105</v>
      </c>
      <c r="AL281" s="31">
        <v>30.765000000000001</v>
      </c>
      <c r="AM281" s="31">
        <v>262.23500000000001</v>
      </c>
      <c r="AN281" s="31">
        <v>170.58152332242423</v>
      </c>
      <c r="AO281" s="31">
        <v>1454.0044130816161</v>
      </c>
      <c r="AP281" s="31">
        <v>0.14037738529420221</v>
      </c>
      <c r="AQ281" s="31">
        <v>1.1965500936981996</v>
      </c>
      <c r="AR281" s="31">
        <v>0.13341858489683281</v>
      </c>
    </row>
    <row r="282" spans="1:44" hidden="1" x14ac:dyDescent="0.5">
      <c r="A282" s="31">
        <v>487</v>
      </c>
      <c r="B282" s="31">
        <v>33</v>
      </c>
      <c r="C282" s="225" t="s">
        <v>20</v>
      </c>
      <c r="D282" s="35">
        <v>54.634284999999998</v>
      </c>
      <c r="E282" s="33">
        <v>19.876138000000001</v>
      </c>
      <c r="F282">
        <v>0</v>
      </c>
      <c r="G282">
        <f>F282*1609.344</f>
        <v>0</v>
      </c>
      <c r="H282" s="32" t="s">
        <v>10</v>
      </c>
      <c r="I282">
        <v>0</v>
      </c>
      <c r="J282">
        <v>114.957454784394</v>
      </c>
      <c r="K282" s="26">
        <v>2016</v>
      </c>
      <c r="L282" t="s">
        <v>30</v>
      </c>
      <c r="M282" s="32">
        <v>100</v>
      </c>
      <c r="N282">
        <v>11.428783320000001</v>
      </c>
      <c r="O282">
        <v>5</v>
      </c>
      <c r="P282" t="s">
        <v>23</v>
      </c>
      <c r="Q282">
        <v>99.65</v>
      </c>
      <c r="R282" t="s">
        <v>24</v>
      </c>
      <c r="S282" t="s">
        <v>16</v>
      </c>
      <c r="T282" t="s">
        <v>16</v>
      </c>
      <c r="U282" s="34">
        <v>28.5</v>
      </c>
      <c r="V282" s="34">
        <v>36.5</v>
      </c>
      <c r="W282" s="25">
        <v>32.5</v>
      </c>
      <c r="X282" s="25">
        <v>8</v>
      </c>
      <c r="Y282" s="244">
        <v>0.54424737099999998</v>
      </c>
      <c r="Z282" t="s">
        <v>754</v>
      </c>
      <c r="AA282" t="s">
        <v>620</v>
      </c>
      <c r="AB282">
        <v>1</v>
      </c>
      <c r="AC282">
        <v>14</v>
      </c>
      <c r="AF282" t="s">
        <v>532</v>
      </c>
      <c r="AG282" s="32">
        <v>14</v>
      </c>
      <c r="AH282" s="32" t="s">
        <v>1506</v>
      </c>
      <c r="AI282" s="32" t="s">
        <v>1507</v>
      </c>
      <c r="AJ282" s="31" t="s">
        <v>2909</v>
      </c>
      <c r="AK282" s="31">
        <v>0.85709999999999997</v>
      </c>
      <c r="AL282" s="31">
        <v>11.9994</v>
      </c>
      <c r="AM282" s="31">
        <v>2.0006000000000004</v>
      </c>
      <c r="AN282" s="31">
        <v>137.62021331661614</v>
      </c>
      <c r="AO282" s="31">
        <v>22.944730466625192</v>
      </c>
      <c r="AP282" s="31">
        <v>7.4899439294027523E-2</v>
      </c>
      <c r="AQ282" s="31">
        <v>1.2487609234764364E-2</v>
      </c>
      <c r="AR282" s="31">
        <v>0.13341858489683281</v>
      </c>
    </row>
    <row r="283" spans="1:44" hidden="1" x14ac:dyDescent="0.5">
      <c r="A283" s="31">
        <v>488</v>
      </c>
      <c r="B283" s="31">
        <v>33</v>
      </c>
      <c r="C283" s="225" t="s">
        <v>20</v>
      </c>
      <c r="D283" s="35">
        <v>54.634284999999998</v>
      </c>
      <c r="E283" s="33">
        <v>19.876138000000001</v>
      </c>
      <c r="F283">
        <v>0</v>
      </c>
      <c r="G283">
        <f>F283*1609.344</f>
        <v>0</v>
      </c>
      <c r="H283" s="32" t="s">
        <v>10</v>
      </c>
      <c r="I283">
        <v>0</v>
      </c>
      <c r="J283">
        <v>114.957454784394</v>
      </c>
      <c r="K283" s="26">
        <v>2016</v>
      </c>
      <c r="L283" t="s">
        <v>30</v>
      </c>
      <c r="M283" s="32">
        <v>100</v>
      </c>
      <c r="N283">
        <v>11.428783320000001</v>
      </c>
      <c r="O283">
        <v>5</v>
      </c>
      <c r="P283" t="s">
        <v>23</v>
      </c>
      <c r="Q283">
        <v>99.65</v>
      </c>
      <c r="R283" t="s">
        <v>24</v>
      </c>
      <c r="S283" t="s">
        <v>16</v>
      </c>
      <c r="T283" t="s">
        <v>16</v>
      </c>
      <c r="U283" s="34">
        <v>47.5</v>
      </c>
      <c r="V283" s="34">
        <v>55.5</v>
      </c>
      <c r="W283" s="25">
        <v>51.5</v>
      </c>
      <c r="X283" s="25">
        <v>8</v>
      </c>
      <c r="Y283" s="244">
        <v>0.54424737099999998</v>
      </c>
      <c r="Z283" t="s">
        <v>754</v>
      </c>
      <c r="AA283" t="s">
        <v>620</v>
      </c>
      <c r="AB283">
        <v>1</v>
      </c>
      <c r="AC283">
        <v>15</v>
      </c>
      <c r="AF283" t="s">
        <v>532</v>
      </c>
      <c r="AG283" s="32">
        <v>15</v>
      </c>
      <c r="AH283" s="32">
        <v>1</v>
      </c>
      <c r="AI283" s="32">
        <v>15</v>
      </c>
      <c r="AJ283" s="31">
        <v>0</v>
      </c>
      <c r="AK283" s="31">
        <v>1</v>
      </c>
      <c r="AL283" s="31">
        <v>15</v>
      </c>
      <c r="AM283" s="31">
        <v>0</v>
      </c>
      <c r="AN283" s="31">
        <v>172.03386833918714</v>
      </c>
      <c r="AO283" s="31">
        <v>0</v>
      </c>
      <c r="AP283" s="31">
        <v>9.3628980566562728E-2</v>
      </c>
      <c r="AQ283" s="31">
        <v>0</v>
      </c>
      <c r="AR283" s="31">
        <v>0.13341858489683281</v>
      </c>
    </row>
    <row r="284" spans="1:44" hidden="1" x14ac:dyDescent="0.5">
      <c r="A284" s="31">
        <v>489</v>
      </c>
      <c r="B284" s="31">
        <v>33</v>
      </c>
      <c r="C284" s="225" t="s">
        <v>20</v>
      </c>
      <c r="D284" s="35">
        <v>54.634284999999998</v>
      </c>
      <c r="E284" s="33">
        <v>19.876138000000001</v>
      </c>
      <c r="F284">
        <v>0</v>
      </c>
      <c r="G284">
        <f>F284*1609.344</f>
        <v>0</v>
      </c>
      <c r="H284" s="32" t="s">
        <v>10</v>
      </c>
      <c r="I284">
        <v>0</v>
      </c>
      <c r="J284">
        <v>114.957454784394</v>
      </c>
      <c r="K284" s="26">
        <v>2016</v>
      </c>
      <c r="L284" t="s">
        <v>30</v>
      </c>
      <c r="M284" s="32">
        <v>100</v>
      </c>
      <c r="N284">
        <v>11.428783320000001</v>
      </c>
      <c r="O284">
        <v>5</v>
      </c>
      <c r="P284" t="s">
        <v>23</v>
      </c>
      <c r="Q284">
        <v>99.65</v>
      </c>
      <c r="R284" t="s">
        <v>24</v>
      </c>
      <c r="S284" t="s">
        <v>16</v>
      </c>
      <c r="T284" t="s">
        <v>16</v>
      </c>
      <c r="U284" s="34">
        <v>0</v>
      </c>
      <c r="V284" s="34">
        <v>8</v>
      </c>
      <c r="W284" s="25">
        <v>4</v>
      </c>
      <c r="X284" s="25">
        <v>8</v>
      </c>
      <c r="Y284" s="244">
        <v>0.54424737099999998</v>
      </c>
      <c r="Z284" t="s">
        <v>754</v>
      </c>
      <c r="AA284" t="s">
        <v>620</v>
      </c>
      <c r="AB284">
        <v>1</v>
      </c>
      <c r="AC284">
        <v>19</v>
      </c>
      <c r="AF284" t="s">
        <v>532</v>
      </c>
      <c r="AG284" s="32">
        <v>19</v>
      </c>
      <c r="AH284" s="32" t="s">
        <v>1508</v>
      </c>
      <c r="AI284" s="32" t="s">
        <v>1509</v>
      </c>
      <c r="AJ284" s="31" t="s">
        <v>2910</v>
      </c>
      <c r="AK284" s="31">
        <v>0.73680000000000001</v>
      </c>
      <c r="AL284" s="31">
        <v>13.9992</v>
      </c>
      <c r="AM284" s="31">
        <v>5.0007999999999999</v>
      </c>
      <c r="AN284" s="31">
        <v>160.55576864359659</v>
      </c>
      <c r="AO284" s="31">
        <v>57.353797919373804</v>
      </c>
      <c r="AP284" s="31">
        <v>8.7382054983161678E-2</v>
      </c>
      <c r="AQ284" s="31">
        <v>3.1214653734484461E-2</v>
      </c>
      <c r="AR284" s="31">
        <v>0.13341858489683281</v>
      </c>
    </row>
    <row r="285" spans="1:44" hidden="1" x14ac:dyDescent="0.5">
      <c r="A285" s="31">
        <v>490</v>
      </c>
      <c r="B285" s="31">
        <v>33</v>
      </c>
      <c r="C285" s="225" t="s">
        <v>20</v>
      </c>
      <c r="D285" s="35">
        <v>54.634284999999998</v>
      </c>
      <c r="E285" s="33">
        <v>19.876138000000001</v>
      </c>
      <c r="F285">
        <v>0</v>
      </c>
      <c r="G285">
        <f>F285*1609.344</f>
        <v>0</v>
      </c>
      <c r="H285" s="32" t="s">
        <v>10</v>
      </c>
      <c r="I285">
        <v>0</v>
      </c>
      <c r="J285">
        <v>114.957454784394</v>
      </c>
      <c r="K285" s="26">
        <v>2016</v>
      </c>
      <c r="L285" t="s">
        <v>30</v>
      </c>
      <c r="M285" s="32">
        <v>100</v>
      </c>
      <c r="N285">
        <v>11.428783320000001</v>
      </c>
      <c r="O285">
        <v>5</v>
      </c>
      <c r="P285" t="s">
        <v>23</v>
      </c>
      <c r="Q285">
        <v>99.65</v>
      </c>
      <c r="R285" t="s">
        <v>24</v>
      </c>
      <c r="S285" t="s">
        <v>16</v>
      </c>
      <c r="T285" t="s">
        <v>16</v>
      </c>
      <c r="U285" s="34">
        <v>38</v>
      </c>
      <c r="V285" s="34">
        <v>46</v>
      </c>
      <c r="W285" s="25">
        <v>42</v>
      </c>
      <c r="X285" s="25">
        <v>8</v>
      </c>
      <c r="Y285" s="244">
        <v>0.54424737099999998</v>
      </c>
      <c r="Z285" t="s">
        <v>754</v>
      </c>
      <c r="AA285" t="s">
        <v>620</v>
      </c>
      <c r="AB285">
        <v>1</v>
      </c>
      <c r="AC285">
        <v>19</v>
      </c>
      <c r="AF285" t="s">
        <v>532</v>
      </c>
      <c r="AG285" s="32">
        <v>19</v>
      </c>
      <c r="AH285" s="32">
        <v>1</v>
      </c>
      <c r="AI285" s="32">
        <v>19</v>
      </c>
      <c r="AJ285" s="31">
        <v>0</v>
      </c>
      <c r="AK285" s="31">
        <v>1</v>
      </c>
      <c r="AL285" s="31">
        <v>19</v>
      </c>
      <c r="AM285" s="31">
        <v>0</v>
      </c>
      <c r="AN285" s="31">
        <v>217.90956656297041</v>
      </c>
      <c r="AO285" s="31">
        <v>0</v>
      </c>
      <c r="AP285" s="31">
        <v>0.11859670871764615</v>
      </c>
      <c r="AQ285" s="31">
        <v>0</v>
      </c>
      <c r="AR285" s="31">
        <v>0.13341858489683281</v>
      </c>
    </row>
    <row r="286" spans="1:44" hidden="1" x14ac:dyDescent="0.5">
      <c r="A286" s="31">
        <v>491</v>
      </c>
      <c r="B286" s="31">
        <v>33</v>
      </c>
      <c r="C286" s="225" t="s">
        <v>20</v>
      </c>
      <c r="D286" s="35">
        <v>54.634284999999998</v>
      </c>
      <c r="E286" s="33">
        <v>19.876138000000001</v>
      </c>
      <c r="F286">
        <v>0</v>
      </c>
      <c r="G286">
        <f>F286*1609.344</f>
        <v>0</v>
      </c>
      <c r="H286" s="32" t="s">
        <v>10</v>
      </c>
      <c r="I286">
        <v>0</v>
      </c>
      <c r="J286">
        <v>114.957454784394</v>
      </c>
      <c r="K286" s="26">
        <v>2016</v>
      </c>
      <c r="L286" t="s">
        <v>30</v>
      </c>
      <c r="M286" s="32">
        <v>100</v>
      </c>
      <c r="N286">
        <v>11.428783320000001</v>
      </c>
      <c r="O286">
        <v>5</v>
      </c>
      <c r="P286" t="s">
        <v>23</v>
      </c>
      <c r="Q286">
        <v>99.65</v>
      </c>
      <c r="R286" t="s">
        <v>24</v>
      </c>
      <c r="S286" t="s">
        <v>16</v>
      </c>
      <c r="T286" t="s">
        <v>16</v>
      </c>
      <c r="U286" s="34">
        <v>76</v>
      </c>
      <c r="V286" s="34">
        <v>84</v>
      </c>
      <c r="W286" s="25">
        <v>80</v>
      </c>
      <c r="X286" s="25">
        <v>8</v>
      </c>
      <c r="Y286" s="244">
        <v>0.54424737099999998</v>
      </c>
      <c r="Z286" t="s">
        <v>754</v>
      </c>
      <c r="AA286" t="s">
        <v>620</v>
      </c>
      <c r="AB286">
        <v>1</v>
      </c>
      <c r="AC286">
        <v>25</v>
      </c>
      <c r="AF286" t="s">
        <v>532</v>
      </c>
      <c r="AG286" s="32">
        <v>25</v>
      </c>
      <c r="AH286" s="32" t="s">
        <v>1176</v>
      </c>
      <c r="AI286" s="32">
        <v>22</v>
      </c>
      <c r="AJ286" s="31">
        <v>3</v>
      </c>
      <c r="AK286" s="31">
        <v>0.88</v>
      </c>
      <c r="AL286" s="31">
        <v>22</v>
      </c>
      <c r="AM286" s="31">
        <v>3</v>
      </c>
      <c r="AN286" s="31">
        <v>252.31634023080781</v>
      </c>
      <c r="AO286" s="31">
        <v>34.406773667837435</v>
      </c>
      <c r="AP286" s="31">
        <v>0.13732250483095867</v>
      </c>
      <c r="AQ286" s="31">
        <v>1.872579611331255E-2</v>
      </c>
      <c r="AR286" s="31">
        <v>0.13341858489683281</v>
      </c>
    </row>
    <row r="287" spans="1:44" hidden="1" x14ac:dyDescent="0.5">
      <c r="A287" s="31">
        <v>492</v>
      </c>
      <c r="B287" s="31">
        <v>33</v>
      </c>
      <c r="C287" s="225" t="s">
        <v>20</v>
      </c>
      <c r="D287" s="35">
        <v>54.634284999999998</v>
      </c>
      <c r="E287" s="33">
        <v>19.876138000000001</v>
      </c>
      <c r="F287">
        <v>0</v>
      </c>
      <c r="G287">
        <f>F287*1609.344</f>
        <v>0</v>
      </c>
      <c r="H287" s="32" t="s">
        <v>10</v>
      </c>
      <c r="I287">
        <v>0</v>
      </c>
      <c r="J287">
        <v>114.957454784394</v>
      </c>
      <c r="K287" s="26">
        <v>2016</v>
      </c>
      <c r="L287" t="s">
        <v>30</v>
      </c>
      <c r="M287" s="32">
        <v>100</v>
      </c>
      <c r="N287">
        <v>11.428783320000001</v>
      </c>
      <c r="O287">
        <v>5</v>
      </c>
      <c r="P287" t="s">
        <v>23</v>
      </c>
      <c r="Q287">
        <v>99.65</v>
      </c>
      <c r="R287" t="s">
        <v>24</v>
      </c>
      <c r="S287" t="s">
        <v>16</v>
      </c>
      <c r="T287" t="s">
        <v>16</v>
      </c>
      <c r="U287" s="34">
        <v>9.5</v>
      </c>
      <c r="V287" s="34">
        <v>17.5</v>
      </c>
      <c r="W287" s="25">
        <v>13.5</v>
      </c>
      <c r="X287" s="25">
        <v>8</v>
      </c>
      <c r="Y287" s="244">
        <v>0.54424737099999998</v>
      </c>
      <c r="Z287" t="s">
        <v>754</v>
      </c>
      <c r="AA287" t="s">
        <v>620</v>
      </c>
      <c r="AB287">
        <v>1</v>
      </c>
      <c r="AC287">
        <v>26</v>
      </c>
      <c r="AF287" t="s">
        <v>532</v>
      </c>
      <c r="AG287" s="32">
        <v>26</v>
      </c>
      <c r="AH287" s="32" t="s">
        <v>1510</v>
      </c>
      <c r="AI287" s="32" t="s">
        <v>1511</v>
      </c>
      <c r="AJ287" s="31" t="s">
        <v>2911</v>
      </c>
      <c r="AK287" s="31">
        <v>0.88460000000000005</v>
      </c>
      <c r="AL287" s="31">
        <v>22.999600000000001</v>
      </c>
      <c r="AM287" s="31">
        <v>3.0003999999999991</v>
      </c>
      <c r="AN287" s="31">
        <v>263.78067721693128</v>
      </c>
      <c r="AO287" s="31">
        <v>34.411361237659797</v>
      </c>
      <c r="AP287" s="31">
        <v>0.14356194009591444</v>
      </c>
      <c r="AQ287" s="31">
        <v>1.8728292886127651E-2</v>
      </c>
      <c r="AR287" s="31">
        <v>0.13341858489683281</v>
      </c>
    </row>
    <row r="288" spans="1:44" hidden="1" x14ac:dyDescent="0.5">
      <c r="A288" s="31">
        <v>493</v>
      </c>
      <c r="B288" s="31">
        <v>33</v>
      </c>
      <c r="C288" s="225" t="s">
        <v>20</v>
      </c>
      <c r="D288" s="35">
        <v>54.634284999999998</v>
      </c>
      <c r="E288" s="33">
        <v>19.876138000000001</v>
      </c>
      <c r="F288">
        <v>0</v>
      </c>
      <c r="G288">
        <f>F288*1609.344</f>
        <v>0</v>
      </c>
      <c r="H288" s="32" t="s">
        <v>10</v>
      </c>
      <c r="I288">
        <v>0</v>
      </c>
      <c r="J288">
        <v>114.957454784394</v>
      </c>
      <c r="K288" s="26">
        <v>2016</v>
      </c>
      <c r="L288" t="s">
        <v>30</v>
      </c>
      <c r="M288" s="32">
        <v>100</v>
      </c>
      <c r="N288">
        <v>11.428783320000001</v>
      </c>
      <c r="O288">
        <v>5</v>
      </c>
      <c r="P288" t="s">
        <v>23</v>
      </c>
      <c r="Q288">
        <v>99.65</v>
      </c>
      <c r="R288" t="s">
        <v>24</v>
      </c>
      <c r="S288" t="s">
        <v>16</v>
      </c>
      <c r="T288" t="s">
        <v>16</v>
      </c>
      <c r="U288" s="34">
        <v>114</v>
      </c>
      <c r="V288" s="34">
        <v>122</v>
      </c>
      <c r="W288" s="25">
        <v>118</v>
      </c>
      <c r="X288" s="25">
        <v>8</v>
      </c>
      <c r="Y288" s="244">
        <v>0.54424737099999998</v>
      </c>
      <c r="Z288" t="s">
        <v>754</v>
      </c>
      <c r="AA288" t="s">
        <v>620</v>
      </c>
      <c r="AB288">
        <v>1</v>
      </c>
      <c r="AC288">
        <v>26</v>
      </c>
      <c r="AF288" t="s">
        <v>532</v>
      </c>
      <c r="AG288" s="32">
        <v>26</v>
      </c>
      <c r="AH288" s="32" t="s">
        <v>1512</v>
      </c>
      <c r="AI288" s="32" t="s">
        <v>1513</v>
      </c>
      <c r="AJ288" s="31" t="s">
        <v>2912</v>
      </c>
      <c r="AK288" s="31">
        <v>0.76919999999999999</v>
      </c>
      <c r="AL288" s="31">
        <v>19.999199999999998</v>
      </c>
      <c r="AM288" s="31">
        <v>6.0008000000000017</v>
      </c>
      <c r="AN288" s="31">
        <v>229.36931597927145</v>
      </c>
      <c r="AO288" s="31">
        <v>68.822722475319637</v>
      </c>
      <c r="AP288" s="31">
        <v>0.12483364720978678</v>
      </c>
      <c r="AQ288" s="31">
        <v>3.7456585772255323E-2</v>
      </c>
      <c r="AR288" s="31">
        <v>0.13341858489683281</v>
      </c>
    </row>
    <row r="289" spans="1:44" hidden="1" x14ac:dyDescent="0.5">
      <c r="A289" s="31">
        <v>494</v>
      </c>
      <c r="B289" s="31">
        <v>33</v>
      </c>
      <c r="C289" s="225" t="s">
        <v>20</v>
      </c>
      <c r="D289" s="35">
        <v>54.634284999999998</v>
      </c>
      <c r="E289" s="33">
        <v>19.876138000000001</v>
      </c>
      <c r="F289">
        <v>0</v>
      </c>
      <c r="G289">
        <f>F289*1609.344</f>
        <v>0</v>
      </c>
      <c r="H289" s="32" t="s">
        <v>10</v>
      </c>
      <c r="I289">
        <v>0</v>
      </c>
      <c r="J289">
        <v>114.957454784394</v>
      </c>
      <c r="K289" s="26">
        <v>2016</v>
      </c>
      <c r="L289" t="s">
        <v>30</v>
      </c>
      <c r="M289" s="32">
        <v>100</v>
      </c>
      <c r="N289">
        <v>11.428783320000001</v>
      </c>
      <c r="O289">
        <v>5</v>
      </c>
      <c r="P289" t="s">
        <v>23</v>
      </c>
      <c r="Q289">
        <v>99.65</v>
      </c>
      <c r="R289" t="s">
        <v>24</v>
      </c>
      <c r="S289" t="s">
        <v>16</v>
      </c>
      <c r="T289" t="s">
        <v>16</v>
      </c>
      <c r="U289" s="34">
        <v>66.5</v>
      </c>
      <c r="V289" s="34">
        <v>74.5</v>
      </c>
      <c r="W289" s="25">
        <v>70.5</v>
      </c>
      <c r="X289" s="25">
        <v>8</v>
      </c>
      <c r="Y289" s="244">
        <v>0.54424737099999998</v>
      </c>
      <c r="Z289" t="s">
        <v>754</v>
      </c>
      <c r="AA289" t="s">
        <v>620</v>
      </c>
      <c r="AB289">
        <v>1</v>
      </c>
      <c r="AC289">
        <v>28</v>
      </c>
      <c r="AF289" t="s">
        <v>532</v>
      </c>
      <c r="AG289" s="32">
        <v>28</v>
      </c>
      <c r="AH289" s="32" t="s">
        <v>1514</v>
      </c>
      <c r="AI289" s="32" t="s">
        <v>1515</v>
      </c>
      <c r="AJ289" s="31" t="s">
        <v>2913</v>
      </c>
      <c r="AK289" s="31">
        <v>0.6552</v>
      </c>
      <c r="AL289" s="31">
        <v>18.345600000000001</v>
      </c>
      <c r="AM289" s="31">
        <v>9.654399999999999</v>
      </c>
      <c r="AN289" s="31">
        <v>210.40430233355946</v>
      </c>
      <c r="AO289" s="31">
        <v>110.72558523292322</v>
      </c>
      <c r="AP289" s="31">
        <v>0.11451198839212889</v>
      </c>
      <c r="AQ289" s="31">
        <v>6.0262108665454887E-2</v>
      </c>
      <c r="AR289" s="31">
        <v>0.13341858489683281</v>
      </c>
    </row>
    <row r="290" spans="1:44" hidden="1" x14ac:dyDescent="0.5">
      <c r="A290" s="31">
        <v>495</v>
      </c>
      <c r="B290" s="31">
        <v>33</v>
      </c>
      <c r="C290" s="225" t="s">
        <v>20</v>
      </c>
      <c r="D290" s="35">
        <v>54.634284999999998</v>
      </c>
      <c r="E290" s="33">
        <v>19.876138000000001</v>
      </c>
      <c r="F290">
        <v>0</v>
      </c>
      <c r="G290">
        <f>F290*1609.344</f>
        <v>0</v>
      </c>
      <c r="H290" s="32" t="s">
        <v>10</v>
      </c>
      <c r="I290">
        <v>0</v>
      </c>
      <c r="J290">
        <v>114.957454784394</v>
      </c>
      <c r="K290" s="26">
        <v>2016</v>
      </c>
      <c r="L290" t="s">
        <v>30</v>
      </c>
      <c r="M290" s="32">
        <v>100</v>
      </c>
      <c r="N290">
        <v>11.428783320000001</v>
      </c>
      <c r="O290">
        <v>5</v>
      </c>
      <c r="P290" t="s">
        <v>23</v>
      </c>
      <c r="Q290">
        <v>99.65</v>
      </c>
      <c r="R290" t="s">
        <v>24</v>
      </c>
      <c r="S290" t="s">
        <v>16</v>
      </c>
      <c r="T290" t="s">
        <v>16</v>
      </c>
      <c r="U290" s="34">
        <v>57</v>
      </c>
      <c r="V290" s="34">
        <v>65</v>
      </c>
      <c r="W290" s="25">
        <v>61</v>
      </c>
      <c r="X290" s="25">
        <v>8</v>
      </c>
      <c r="Y290" s="244">
        <v>0.54424737099999998</v>
      </c>
      <c r="Z290" t="s">
        <v>754</v>
      </c>
      <c r="AA290" t="s">
        <v>620</v>
      </c>
      <c r="AB290">
        <v>1</v>
      </c>
      <c r="AC290">
        <v>37</v>
      </c>
      <c r="AF290" t="s">
        <v>532</v>
      </c>
      <c r="AG290" s="32">
        <v>37</v>
      </c>
      <c r="AH290" s="32" t="s">
        <v>1516</v>
      </c>
      <c r="AI290" s="32" t="s">
        <v>1517</v>
      </c>
      <c r="AJ290" s="31" t="s">
        <v>2914</v>
      </c>
      <c r="AK290" s="31">
        <v>0.78380000000000005</v>
      </c>
      <c r="AL290" s="31">
        <v>29.000600000000002</v>
      </c>
      <c r="AM290" s="31">
        <v>7.9993999999999978</v>
      </c>
      <c r="AN290" s="31">
        <v>332.60569347716211</v>
      </c>
      <c r="AO290" s="31">
        <v>91.744515092832884</v>
      </c>
      <c r="AP290" s="31">
        <v>0.18101977425457733</v>
      </c>
      <c r="AQ290" s="31">
        <v>4.9931711142944112E-2</v>
      </c>
      <c r="AR290" s="31">
        <v>0.13341858489683281</v>
      </c>
    </row>
    <row r="291" spans="1:44" hidden="1" x14ac:dyDescent="0.5">
      <c r="A291" s="31">
        <v>496</v>
      </c>
      <c r="B291" s="31">
        <v>33</v>
      </c>
      <c r="C291" s="225" t="s">
        <v>20</v>
      </c>
      <c r="D291" s="35">
        <v>54.634284999999998</v>
      </c>
      <c r="E291" s="33">
        <v>19.876138000000001</v>
      </c>
      <c r="F291">
        <v>0</v>
      </c>
      <c r="G291">
        <f>F291*1609.344</f>
        <v>0</v>
      </c>
      <c r="H291" s="32" t="s">
        <v>10</v>
      </c>
      <c r="I291">
        <v>0</v>
      </c>
      <c r="J291">
        <v>114.957454784394</v>
      </c>
      <c r="K291" s="26">
        <v>2016</v>
      </c>
      <c r="L291" t="s">
        <v>30</v>
      </c>
      <c r="M291" s="32">
        <v>100</v>
      </c>
      <c r="N291">
        <v>11.428783320000001</v>
      </c>
      <c r="O291">
        <v>5</v>
      </c>
      <c r="P291" t="s">
        <v>23</v>
      </c>
      <c r="Q291">
        <v>99.65</v>
      </c>
      <c r="R291" t="s">
        <v>24</v>
      </c>
      <c r="S291" t="s">
        <v>16</v>
      </c>
      <c r="T291" t="s">
        <v>16</v>
      </c>
      <c r="U291" s="34">
        <v>95</v>
      </c>
      <c r="V291" s="34">
        <v>103</v>
      </c>
      <c r="W291" s="25">
        <v>99</v>
      </c>
      <c r="X291" s="25">
        <v>8</v>
      </c>
      <c r="Y291" s="244">
        <v>0.54424737099999998</v>
      </c>
      <c r="Z291" t="s">
        <v>754</v>
      </c>
      <c r="AA291" t="s">
        <v>620</v>
      </c>
      <c r="AB291">
        <v>1</v>
      </c>
      <c r="AC291">
        <v>40</v>
      </c>
      <c r="AF291" t="s">
        <v>532</v>
      </c>
      <c r="AG291" s="32">
        <v>40</v>
      </c>
      <c r="AH291" s="32" t="s">
        <v>1518</v>
      </c>
      <c r="AI291" s="32">
        <v>28</v>
      </c>
      <c r="AJ291" s="31">
        <v>12</v>
      </c>
      <c r="AK291" s="31">
        <v>0.7</v>
      </c>
      <c r="AL291" s="31">
        <v>28</v>
      </c>
      <c r="AM291" s="31">
        <v>12</v>
      </c>
      <c r="AN291" s="31">
        <v>321.12988756648264</v>
      </c>
      <c r="AO291" s="31">
        <v>137.62709467134974</v>
      </c>
      <c r="AP291" s="31">
        <v>0.17477409705758376</v>
      </c>
      <c r="AQ291" s="31">
        <v>7.4903184453250199E-2</v>
      </c>
      <c r="AR291" s="31">
        <v>0.13341858489683281</v>
      </c>
    </row>
    <row r="292" spans="1:44" hidden="1" x14ac:dyDescent="0.5">
      <c r="A292" s="31">
        <v>291</v>
      </c>
      <c r="B292" s="31">
        <v>19</v>
      </c>
      <c r="C292" s="225" t="s">
        <v>43</v>
      </c>
      <c r="D292" s="41">
        <v>32.369166700000001</v>
      </c>
      <c r="E292" s="43">
        <v>31.720277800000002</v>
      </c>
      <c r="F292">
        <v>63.66</v>
      </c>
      <c r="G292">
        <f>F292*1609.344</f>
        <v>102450.83903999999</v>
      </c>
      <c r="H292" s="32" t="s">
        <v>611</v>
      </c>
      <c r="I292">
        <v>1176</v>
      </c>
      <c r="J292">
        <v>1321.7185848055101</v>
      </c>
      <c r="K292" s="26">
        <v>2010</v>
      </c>
      <c r="L292" t="s">
        <v>30</v>
      </c>
      <c r="M292" s="32">
        <v>75</v>
      </c>
      <c r="N292">
        <v>8.4297523430000005</v>
      </c>
      <c r="O292">
        <v>0.161</v>
      </c>
      <c r="P292" t="s">
        <v>15</v>
      </c>
      <c r="Q292">
        <v>99.3</v>
      </c>
      <c r="R292" t="s">
        <v>13</v>
      </c>
      <c r="S292" t="s">
        <v>14</v>
      </c>
      <c r="T292" t="s">
        <v>14</v>
      </c>
      <c r="U292" s="34">
        <v>0</v>
      </c>
      <c r="V292" s="34">
        <v>1</v>
      </c>
      <c r="W292" s="25">
        <v>0.5</v>
      </c>
      <c r="X292" s="25">
        <v>1</v>
      </c>
      <c r="Y292">
        <v>1.1408290545000002</v>
      </c>
      <c r="Z292" t="s">
        <v>1108</v>
      </c>
      <c r="AA292" t="s">
        <v>625</v>
      </c>
      <c r="AB292">
        <v>1</v>
      </c>
      <c r="AC292">
        <v>0</v>
      </c>
      <c r="AF292" t="s">
        <v>523</v>
      </c>
      <c r="AG292" s="32">
        <v>0</v>
      </c>
      <c r="AH292" s="32" t="s">
        <v>671</v>
      </c>
      <c r="AI292" s="32" t="s">
        <v>1129</v>
      </c>
      <c r="AJ292" s="31" t="s">
        <v>1130</v>
      </c>
      <c r="AK292" s="31">
        <v>0.59524549999999998</v>
      </c>
      <c r="AL292" s="31">
        <v>0</v>
      </c>
      <c r="AM292" s="31">
        <v>0</v>
      </c>
      <c r="AN292" s="31">
        <v>0</v>
      </c>
      <c r="AO292" s="31">
        <v>0</v>
      </c>
      <c r="AP292" s="31">
        <v>0</v>
      </c>
      <c r="AQ292" s="31">
        <v>0</v>
      </c>
      <c r="AR292" s="31">
        <v>4.1069102297508125E-2</v>
      </c>
    </row>
    <row r="293" spans="1:44" hidden="1" x14ac:dyDescent="0.5">
      <c r="A293" s="31">
        <v>292</v>
      </c>
      <c r="B293" s="31">
        <v>19</v>
      </c>
      <c r="C293" s="225" t="s">
        <v>43</v>
      </c>
      <c r="D293" s="41">
        <v>32.369166700000001</v>
      </c>
      <c r="E293" s="43">
        <v>31.720277800000002</v>
      </c>
      <c r="F293">
        <v>63.66</v>
      </c>
      <c r="G293">
        <f>F293*1609.344</f>
        <v>102450.83903999999</v>
      </c>
      <c r="H293" s="32" t="s">
        <v>611</v>
      </c>
      <c r="I293">
        <v>1176</v>
      </c>
      <c r="J293">
        <v>1321.7185848055101</v>
      </c>
      <c r="K293" s="26">
        <v>2010</v>
      </c>
      <c r="L293" t="s">
        <v>30</v>
      </c>
      <c r="M293" s="32">
        <v>75</v>
      </c>
      <c r="N293">
        <v>8.4297523430000005</v>
      </c>
      <c r="O293">
        <v>0.161</v>
      </c>
      <c r="P293" t="s">
        <v>15</v>
      </c>
      <c r="Q293">
        <v>99.3</v>
      </c>
      <c r="R293" t="s">
        <v>13</v>
      </c>
      <c r="S293" t="s">
        <v>14</v>
      </c>
      <c r="T293" t="s">
        <v>14</v>
      </c>
      <c r="U293" s="34">
        <v>0</v>
      </c>
      <c r="V293" s="34">
        <v>1</v>
      </c>
      <c r="W293" s="25">
        <v>0.5</v>
      </c>
      <c r="X293" s="25">
        <v>1</v>
      </c>
      <c r="Y293">
        <v>1.1408290545000002</v>
      </c>
      <c r="Z293" t="s">
        <v>1108</v>
      </c>
      <c r="AA293" t="s">
        <v>625</v>
      </c>
      <c r="AB293">
        <v>1</v>
      </c>
      <c r="AC293">
        <v>1</v>
      </c>
      <c r="AF293" t="s">
        <v>523</v>
      </c>
      <c r="AG293" s="32" t="s">
        <v>1299</v>
      </c>
      <c r="AH293" s="32" t="s">
        <v>671</v>
      </c>
      <c r="AI293" s="32" t="s">
        <v>1129</v>
      </c>
      <c r="AJ293" s="31" t="s">
        <v>1130</v>
      </c>
      <c r="AK293" s="31">
        <v>0.59524549999999998</v>
      </c>
      <c r="AL293" s="31">
        <v>20.870629044800506</v>
      </c>
      <c r="AM293" s="31">
        <v>14.191591576439816</v>
      </c>
      <c r="AN293" s="31">
        <v>177.17445527723154</v>
      </c>
      <c r="AO293" s="31">
        <v>120.47492683020404</v>
      </c>
      <c r="AP293" s="31">
        <v>0.20212576629547663</v>
      </c>
      <c r="AQ293" s="31">
        <v>0.13744129686665837</v>
      </c>
      <c r="AR293" s="31">
        <v>4.1069102297508125E-2</v>
      </c>
    </row>
    <row r="294" spans="1:44" customFormat="1" x14ac:dyDescent="0.5">
      <c r="A294">
        <v>293</v>
      </c>
      <c r="B294">
        <v>20</v>
      </c>
      <c r="C294" s="226" t="s">
        <v>9</v>
      </c>
      <c r="D294" s="229">
        <v>3.03</v>
      </c>
      <c r="E294" s="227">
        <v>72.55</v>
      </c>
      <c r="F294">
        <v>0</v>
      </c>
      <c r="G294">
        <f>F294*1609.344</f>
        <v>0</v>
      </c>
      <c r="H294" t="s">
        <v>10</v>
      </c>
      <c r="I294">
        <v>0</v>
      </c>
      <c r="J294">
        <v>1148.87147808075</v>
      </c>
      <c r="K294" s="26">
        <v>2018</v>
      </c>
      <c r="L294" t="s">
        <v>11</v>
      </c>
      <c r="M294" s="30"/>
      <c r="N294">
        <v>1</v>
      </c>
      <c r="O294">
        <v>1</v>
      </c>
      <c r="P294" t="s">
        <v>15</v>
      </c>
      <c r="Q294">
        <v>91.3</v>
      </c>
      <c r="R294" t="s">
        <v>13</v>
      </c>
      <c r="S294" t="s">
        <v>14</v>
      </c>
      <c r="T294" t="s">
        <v>16</v>
      </c>
      <c r="U294" s="25">
        <v>0</v>
      </c>
      <c r="V294" s="25">
        <v>1</v>
      </c>
      <c r="W294" s="25">
        <v>0.5</v>
      </c>
      <c r="X294" s="25">
        <v>1</v>
      </c>
      <c r="Y294">
        <v>1.4109328670000001</v>
      </c>
      <c r="Z294" t="s">
        <v>1109</v>
      </c>
      <c r="AA294" t="s">
        <v>622</v>
      </c>
      <c r="AB294">
        <v>1</v>
      </c>
      <c r="AC294">
        <v>197</v>
      </c>
      <c r="AF294" t="s">
        <v>532</v>
      </c>
      <c r="AG294" s="30">
        <v>197</v>
      </c>
      <c r="AH294" s="30">
        <v>0.13</v>
      </c>
      <c r="AI294" s="30">
        <v>25.61</v>
      </c>
      <c r="AJ294">
        <v>171.39</v>
      </c>
      <c r="AK294">
        <v>0.13</v>
      </c>
      <c r="AL294">
        <v>25.61</v>
      </c>
      <c r="AM294">
        <v>171.39</v>
      </c>
      <c r="AN294">
        <v>28.05038335158817</v>
      </c>
      <c r="AO294">
        <v>187.72179627601312</v>
      </c>
      <c r="AP294">
        <v>3.9577207802705371E-2</v>
      </c>
      <c r="AQ294">
        <v>0.26486285221810513</v>
      </c>
      <c r="AR294">
        <v>0.13341858489683281</v>
      </c>
    </row>
    <row r="295" spans="1:44" customFormat="1" x14ac:dyDescent="0.5">
      <c r="A295">
        <v>294</v>
      </c>
      <c r="B295">
        <v>20</v>
      </c>
      <c r="C295" s="226" t="s">
        <v>9</v>
      </c>
      <c r="D295" s="229">
        <v>3.03</v>
      </c>
      <c r="E295" s="227">
        <v>72.55</v>
      </c>
      <c r="F295">
        <v>0</v>
      </c>
      <c r="G295">
        <f>F295*1609.344</f>
        <v>0</v>
      </c>
      <c r="H295" t="s">
        <v>10</v>
      </c>
      <c r="I295">
        <v>0</v>
      </c>
      <c r="J295">
        <v>1148.87147808075</v>
      </c>
      <c r="K295" s="26">
        <v>2018</v>
      </c>
      <c r="L295" t="s">
        <v>11</v>
      </c>
      <c r="M295" s="30"/>
      <c r="N295">
        <v>1</v>
      </c>
      <c r="O295">
        <v>1</v>
      </c>
      <c r="P295" t="s">
        <v>15</v>
      </c>
      <c r="Q295">
        <v>91.3</v>
      </c>
      <c r="R295" t="s">
        <v>13</v>
      </c>
      <c r="S295" t="s">
        <v>14</v>
      </c>
      <c r="T295" t="s">
        <v>16</v>
      </c>
      <c r="U295" s="25">
        <v>0</v>
      </c>
      <c r="V295" s="25">
        <v>1</v>
      </c>
      <c r="W295" s="25">
        <v>0.5</v>
      </c>
      <c r="X295" s="25">
        <v>1</v>
      </c>
      <c r="Y295">
        <v>1.4109328670000001</v>
      </c>
      <c r="Z295" t="s">
        <v>1109</v>
      </c>
      <c r="AA295" t="s">
        <v>622</v>
      </c>
      <c r="AB295">
        <v>1</v>
      </c>
      <c r="AC295">
        <v>324</v>
      </c>
      <c r="AF295" t="s">
        <v>532</v>
      </c>
      <c r="AG295" s="30">
        <v>324</v>
      </c>
      <c r="AH295" s="30">
        <v>0.13</v>
      </c>
      <c r="AI295" s="30">
        <v>42.120000000000005</v>
      </c>
      <c r="AJ295">
        <v>281.88</v>
      </c>
      <c r="AK295">
        <v>0.13</v>
      </c>
      <c r="AL295">
        <v>42.120000000000005</v>
      </c>
      <c r="AM295">
        <v>281.88</v>
      </c>
      <c r="AN295">
        <v>46.133625410733856</v>
      </c>
      <c r="AO295">
        <v>308.74041621029573</v>
      </c>
      <c r="AP295">
        <v>6.5091448365870774E-2</v>
      </c>
      <c r="AQ295">
        <v>0.43561200060236588</v>
      </c>
      <c r="AR295">
        <v>0.13341858489683281</v>
      </c>
    </row>
    <row r="296" spans="1:44" customFormat="1" x14ac:dyDescent="0.5">
      <c r="A296">
        <v>295</v>
      </c>
      <c r="B296">
        <v>20</v>
      </c>
      <c r="C296" s="226" t="s">
        <v>9</v>
      </c>
      <c r="D296" s="229">
        <v>3.03</v>
      </c>
      <c r="E296" s="227">
        <v>72.55</v>
      </c>
      <c r="F296">
        <v>0</v>
      </c>
      <c r="G296">
        <f>F296*1609.344</f>
        <v>0</v>
      </c>
      <c r="H296" t="s">
        <v>10</v>
      </c>
      <c r="I296">
        <v>0</v>
      </c>
      <c r="J296">
        <v>1148.87147808075</v>
      </c>
      <c r="K296" s="26">
        <v>2018</v>
      </c>
      <c r="L296" t="s">
        <v>11</v>
      </c>
      <c r="M296" s="30"/>
      <c r="N296">
        <v>1</v>
      </c>
      <c r="O296">
        <v>1</v>
      </c>
      <c r="P296" t="s">
        <v>15</v>
      </c>
      <c r="Q296">
        <v>91.3</v>
      </c>
      <c r="R296" t="s">
        <v>13</v>
      </c>
      <c r="S296" t="s">
        <v>14</v>
      </c>
      <c r="T296" t="s">
        <v>16</v>
      </c>
      <c r="U296" s="25">
        <v>0</v>
      </c>
      <c r="V296" s="25">
        <v>1</v>
      </c>
      <c r="W296" s="25">
        <v>0.5</v>
      </c>
      <c r="X296" s="25">
        <v>1</v>
      </c>
      <c r="Y296">
        <v>1.4109328670000001</v>
      </c>
      <c r="Z296" t="s">
        <v>1109</v>
      </c>
      <c r="AA296" t="s">
        <v>622</v>
      </c>
      <c r="AB296">
        <v>1</v>
      </c>
      <c r="AC296">
        <v>401</v>
      </c>
      <c r="AF296" t="s">
        <v>532</v>
      </c>
      <c r="AG296" s="30">
        <v>401</v>
      </c>
      <c r="AH296" s="30">
        <v>0.13</v>
      </c>
      <c r="AI296" s="30">
        <v>52.13</v>
      </c>
      <c r="AJ296">
        <v>348.87</v>
      </c>
      <c r="AK296">
        <v>0.13</v>
      </c>
      <c r="AL296">
        <v>52.13</v>
      </c>
      <c r="AM296">
        <v>348.87</v>
      </c>
      <c r="AN296">
        <v>57.097480832420601</v>
      </c>
      <c r="AO296">
        <v>382.11391018619935</v>
      </c>
      <c r="AP296">
        <v>8.056071232936475E-2</v>
      </c>
      <c r="AQ296">
        <v>0.53913707481959472</v>
      </c>
      <c r="AR296">
        <v>0.13341858489683281</v>
      </c>
    </row>
    <row r="297" spans="1:44" customFormat="1" x14ac:dyDescent="0.5">
      <c r="A297">
        <v>296</v>
      </c>
      <c r="B297">
        <v>20</v>
      </c>
      <c r="C297" s="226" t="s">
        <v>9</v>
      </c>
      <c r="D297" s="229">
        <v>3.03</v>
      </c>
      <c r="E297" s="227">
        <v>72.55</v>
      </c>
      <c r="F297">
        <v>0</v>
      </c>
      <c r="G297">
        <f>F297*1609.344</f>
        <v>0</v>
      </c>
      <c r="H297" t="s">
        <v>10</v>
      </c>
      <c r="I297">
        <v>0</v>
      </c>
      <c r="J297">
        <v>1148.87147808075</v>
      </c>
      <c r="K297" s="26">
        <v>2018</v>
      </c>
      <c r="L297" t="s">
        <v>11</v>
      </c>
      <c r="M297" s="30"/>
      <c r="N297">
        <v>1</v>
      </c>
      <c r="O297">
        <v>1</v>
      </c>
      <c r="P297" t="s">
        <v>15</v>
      </c>
      <c r="Q297">
        <v>91.3</v>
      </c>
      <c r="R297" t="s">
        <v>13</v>
      </c>
      <c r="S297" t="s">
        <v>14</v>
      </c>
      <c r="T297" t="s">
        <v>16</v>
      </c>
      <c r="U297" s="25">
        <v>0</v>
      </c>
      <c r="V297" s="25">
        <v>1</v>
      </c>
      <c r="W297" s="25">
        <v>0.5</v>
      </c>
      <c r="X297" s="25">
        <v>1</v>
      </c>
      <c r="Y297">
        <v>1.4109328670000001</v>
      </c>
      <c r="Z297" t="s">
        <v>1109</v>
      </c>
      <c r="AA297" t="s">
        <v>622</v>
      </c>
      <c r="AB297">
        <v>1</v>
      </c>
      <c r="AC297">
        <v>415</v>
      </c>
      <c r="AF297" t="s">
        <v>532</v>
      </c>
      <c r="AG297" s="30">
        <v>415</v>
      </c>
      <c r="AH297" s="30">
        <v>0.13</v>
      </c>
      <c r="AI297" s="30">
        <v>53.95</v>
      </c>
      <c r="AJ297">
        <v>361.05</v>
      </c>
      <c r="AK297">
        <v>0.13</v>
      </c>
      <c r="AL297">
        <v>53.95</v>
      </c>
      <c r="AM297">
        <v>361.05</v>
      </c>
      <c r="AN297">
        <v>59.090909090909093</v>
      </c>
      <c r="AO297">
        <v>395.45454545454544</v>
      </c>
      <c r="AP297">
        <v>8.3373305777272741E-2</v>
      </c>
      <c r="AQ297">
        <v>0.55795981558636365</v>
      </c>
      <c r="AR297">
        <v>0.13341858489683281</v>
      </c>
    </row>
    <row r="298" spans="1:44" customFormat="1" x14ac:dyDescent="0.5">
      <c r="A298">
        <v>297</v>
      </c>
      <c r="B298">
        <v>20</v>
      </c>
      <c r="C298" s="226" t="s">
        <v>9</v>
      </c>
      <c r="D298" s="229">
        <v>3.03</v>
      </c>
      <c r="E298" s="227">
        <v>72.55</v>
      </c>
      <c r="F298">
        <v>0</v>
      </c>
      <c r="G298">
        <f>F298*1609.344</f>
        <v>0</v>
      </c>
      <c r="H298" t="s">
        <v>10</v>
      </c>
      <c r="I298">
        <v>0</v>
      </c>
      <c r="J298">
        <v>1148.87147808075</v>
      </c>
      <c r="K298" s="26">
        <v>2018</v>
      </c>
      <c r="L298" t="s">
        <v>11</v>
      </c>
      <c r="M298" s="30"/>
      <c r="N298">
        <v>1</v>
      </c>
      <c r="O298">
        <v>1</v>
      </c>
      <c r="P298" t="s">
        <v>15</v>
      </c>
      <c r="Q298">
        <v>91.3</v>
      </c>
      <c r="R298" t="s">
        <v>13</v>
      </c>
      <c r="S298" t="s">
        <v>14</v>
      </c>
      <c r="T298" t="s">
        <v>16</v>
      </c>
      <c r="U298" s="25">
        <v>0</v>
      </c>
      <c r="V298" s="25">
        <v>1</v>
      </c>
      <c r="W298" s="25">
        <v>0.5</v>
      </c>
      <c r="X298" s="25">
        <v>1</v>
      </c>
      <c r="Y298">
        <v>1.4109328670000001</v>
      </c>
      <c r="Z298" t="s">
        <v>1109</v>
      </c>
      <c r="AA298" t="s">
        <v>622</v>
      </c>
      <c r="AB298">
        <v>1</v>
      </c>
      <c r="AC298">
        <v>431</v>
      </c>
      <c r="AF298" t="s">
        <v>532</v>
      </c>
      <c r="AG298" s="30">
        <v>431</v>
      </c>
      <c r="AH298" s="30">
        <v>0.13</v>
      </c>
      <c r="AI298" s="30">
        <v>56.03</v>
      </c>
      <c r="AJ298">
        <v>374.97</v>
      </c>
      <c r="AK298">
        <v>0.13</v>
      </c>
      <c r="AL298">
        <v>56.03</v>
      </c>
      <c r="AM298">
        <v>374.97</v>
      </c>
      <c r="AN298">
        <v>61.369112814895956</v>
      </c>
      <c r="AO298">
        <v>410.70098576122678</v>
      </c>
      <c r="AP298">
        <v>8.6587698289167597E-2</v>
      </c>
      <c r="AQ298">
        <v>0.57947151931981389</v>
      </c>
      <c r="AR298">
        <v>0.13341858489683281</v>
      </c>
    </row>
    <row r="299" spans="1:44" customFormat="1" x14ac:dyDescent="0.5">
      <c r="A299">
        <v>298</v>
      </c>
      <c r="B299">
        <v>20</v>
      </c>
      <c r="C299" s="226" t="s">
        <v>9</v>
      </c>
      <c r="D299" s="229">
        <v>3.03</v>
      </c>
      <c r="E299" s="227">
        <v>72.55</v>
      </c>
      <c r="F299">
        <v>0</v>
      </c>
      <c r="G299">
        <f>F299*1609.344</f>
        <v>0</v>
      </c>
      <c r="H299" t="s">
        <v>10</v>
      </c>
      <c r="I299">
        <v>0</v>
      </c>
      <c r="J299">
        <v>1148.87147808075</v>
      </c>
      <c r="K299" s="26">
        <v>2018</v>
      </c>
      <c r="L299" t="s">
        <v>11</v>
      </c>
      <c r="M299" s="30"/>
      <c r="N299">
        <v>1</v>
      </c>
      <c r="O299">
        <v>1</v>
      </c>
      <c r="P299" t="s">
        <v>15</v>
      </c>
      <c r="Q299">
        <v>91.3</v>
      </c>
      <c r="R299" t="s">
        <v>13</v>
      </c>
      <c r="S299" t="s">
        <v>14</v>
      </c>
      <c r="T299" t="s">
        <v>16</v>
      </c>
      <c r="U299" s="25">
        <v>0</v>
      </c>
      <c r="V299" s="25">
        <v>1</v>
      </c>
      <c r="W299" s="25">
        <v>0.5</v>
      </c>
      <c r="X299" s="25">
        <v>1</v>
      </c>
      <c r="Y299">
        <v>1.4109328670000001</v>
      </c>
      <c r="Z299" t="s">
        <v>1109</v>
      </c>
      <c r="AA299" t="s">
        <v>622</v>
      </c>
      <c r="AB299">
        <v>1</v>
      </c>
      <c r="AC299">
        <v>822</v>
      </c>
      <c r="AF299" t="s">
        <v>532</v>
      </c>
      <c r="AG299" s="30">
        <v>822</v>
      </c>
      <c r="AH299" s="30">
        <v>0.13</v>
      </c>
      <c r="AI299" s="30">
        <v>106.86</v>
      </c>
      <c r="AJ299">
        <v>715.14</v>
      </c>
      <c r="AK299">
        <v>0.13</v>
      </c>
      <c r="AL299">
        <v>106.86</v>
      </c>
      <c r="AM299">
        <v>715.14</v>
      </c>
      <c r="AN299">
        <v>117.04271631982475</v>
      </c>
      <c r="AO299">
        <v>783.28587075575035</v>
      </c>
      <c r="AP299">
        <v>0.16513941529859805</v>
      </c>
      <c r="AQ299">
        <v>1.1051637793060025</v>
      </c>
      <c r="AR299">
        <v>0.13341858489683281</v>
      </c>
    </row>
    <row r="300" spans="1:44" customFormat="1" x14ac:dyDescent="0.5">
      <c r="A300">
        <v>299</v>
      </c>
      <c r="B300">
        <v>20</v>
      </c>
      <c r="C300" s="226" t="s">
        <v>9</v>
      </c>
      <c r="D300" s="229">
        <v>3.03</v>
      </c>
      <c r="E300" s="227">
        <v>72.55</v>
      </c>
      <c r="F300">
        <v>0</v>
      </c>
      <c r="G300">
        <f>F300*1609.344</f>
        <v>0</v>
      </c>
      <c r="H300" t="s">
        <v>10</v>
      </c>
      <c r="I300">
        <v>0</v>
      </c>
      <c r="J300">
        <v>1148.87147808075</v>
      </c>
      <c r="K300" s="26">
        <v>2018</v>
      </c>
      <c r="L300" t="s">
        <v>11</v>
      </c>
      <c r="M300" s="30">
        <v>1000</v>
      </c>
      <c r="N300">
        <v>130.61708849999999</v>
      </c>
      <c r="O300">
        <v>25</v>
      </c>
      <c r="P300" t="s">
        <v>15</v>
      </c>
      <c r="Q300">
        <v>91.3</v>
      </c>
      <c r="R300" t="s">
        <v>13</v>
      </c>
      <c r="S300" t="s">
        <v>14</v>
      </c>
      <c r="T300" t="s">
        <v>16</v>
      </c>
      <c r="U300" s="25">
        <v>0</v>
      </c>
      <c r="V300" s="25">
        <v>1</v>
      </c>
      <c r="W300" s="25">
        <v>0.5</v>
      </c>
      <c r="X300" s="25">
        <v>1</v>
      </c>
      <c r="Y300">
        <v>1.4109328670000001</v>
      </c>
      <c r="Z300" t="s">
        <v>1109</v>
      </c>
      <c r="AA300" t="s">
        <v>622</v>
      </c>
      <c r="AB300">
        <v>6</v>
      </c>
      <c r="AC300">
        <v>32.826000000000001</v>
      </c>
      <c r="AD300">
        <v>10.602</v>
      </c>
      <c r="AE300" t="s">
        <v>519</v>
      </c>
      <c r="AF300" t="s">
        <v>521</v>
      </c>
      <c r="AG300" s="30">
        <v>2.3265458455012373</v>
      </c>
      <c r="AH300" s="30">
        <v>0.13</v>
      </c>
      <c r="AI300" s="30">
        <v>0.30245095991516086</v>
      </c>
      <c r="AJ300">
        <v>2.0240948855860763</v>
      </c>
      <c r="AK300">
        <v>0.13</v>
      </c>
      <c r="AL300">
        <v>0.30245095991516086</v>
      </c>
      <c r="AM300">
        <v>2.0240948855860763</v>
      </c>
      <c r="AN300">
        <v>43.269730337512073</v>
      </c>
      <c r="AO300">
        <v>289.57434918181144</v>
      </c>
      <c r="AP300">
        <v>6.105068467942279E-2</v>
      </c>
      <c r="AQ300">
        <v>0.40856996670075235</v>
      </c>
      <c r="AR300">
        <v>0.13341858489683281</v>
      </c>
    </row>
    <row r="301" spans="1:44" customFormat="1" x14ac:dyDescent="0.5">
      <c r="A301">
        <v>300</v>
      </c>
      <c r="B301">
        <v>20</v>
      </c>
      <c r="C301" s="226" t="s">
        <v>9</v>
      </c>
      <c r="D301" s="229">
        <v>3.04</v>
      </c>
      <c r="E301" s="227">
        <v>72.569999999999993</v>
      </c>
      <c r="F301">
        <v>0</v>
      </c>
      <c r="G301">
        <f>F301*1609.344</f>
        <v>0</v>
      </c>
      <c r="H301" t="s">
        <v>10</v>
      </c>
      <c r="I301">
        <v>0</v>
      </c>
      <c r="J301">
        <v>1110.00608825684</v>
      </c>
      <c r="K301" s="26">
        <v>2018</v>
      </c>
      <c r="L301" t="s">
        <v>11</v>
      </c>
      <c r="M301" s="30">
        <v>1000</v>
      </c>
      <c r="N301">
        <v>130.61708849999999</v>
      </c>
      <c r="O301">
        <v>25</v>
      </c>
      <c r="P301" t="s">
        <v>15</v>
      </c>
      <c r="Q301">
        <v>91.3</v>
      </c>
      <c r="R301" t="s">
        <v>13</v>
      </c>
      <c r="S301" t="s">
        <v>14</v>
      </c>
      <c r="T301" t="s">
        <v>16</v>
      </c>
      <c r="U301" s="25">
        <v>0</v>
      </c>
      <c r="V301" s="25">
        <v>1</v>
      </c>
      <c r="W301" s="25">
        <v>0.5</v>
      </c>
      <c r="X301" s="25">
        <v>1</v>
      </c>
      <c r="Y301">
        <v>1.4109328670000001</v>
      </c>
      <c r="Z301" t="s">
        <v>1109</v>
      </c>
      <c r="AA301" t="s">
        <v>622</v>
      </c>
      <c r="AB301">
        <v>6</v>
      </c>
      <c r="AC301">
        <v>26.792000000000002</v>
      </c>
      <c r="AD301">
        <v>8.57</v>
      </c>
      <c r="AE301" t="s">
        <v>519</v>
      </c>
      <c r="AF301" t="s">
        <v>521</v>
      </c>
      <c r="AG301" s="30">
        <v>1.8988855264933027</v>
      </c>
      <c r="AH301" s="30">
        <v>0.13</v>
      </c>
      <c r="AI301" s="30">
        <v>0.24685511844412936</v>
      </c>
      <c r="AJ301">
        <v>1.6520304080491732</v>
      </c>
      <c r="AK301">
        <v>0.13</v>
      </c>
      <c r="AL301">
        <v>0.24685511844412936</v>
      </c>
      <c r="AM301">
        <v>1.6520304080491732</v>
      </c>
      <c r="AN301">
        <v>35.315987790246247</v>
      </c>
      <c r="AO301">
        <v>236.34545675010949</v>
      </c>
      <c r="AP301">
        <v>4.9828487903829127E-2</v>
      </c>
      <c r="AQ301">
        <v>0.33346757289485651</v>
      </c>
      <c r="AR301">
        <v>0.13341858489683281</v>
      </c>
    </row>
    <row r="302" spans="1:44" customFormat="1" x14ac:dyDescent="0.5">
      <c r="A302">
        <v>301</v>
      </c>
      <c r="B302">
        <v>20</v>
      </c>
      <c r="C302" s="226" t="s">
        <v>9</v>
      </c>
      <c r="D302" s="229">
        <v>3.07</v>
      </c>
      <c r="E302" s="227">
        <v>72.58</v>
      </c>
      <c r="F302">
        <v>0</v>
      </c>
      <c r="G302">
        <f>F302*1609.344</f>
        <v>0</v>
      </c>
      <c r="H302" t="s">
        <v>10</v>
      </c>
      <c r="I302">
        <v>0</v>
      </c>
      <c r="J302">
        <v>1149.66720738904</v>
      </c>
      <c r="K302" s="26">
        <v>2018</v>
      </c>
      <c r="L302" t="s">
        <v>11</v>
      </c>
      <c r="M302" s="30">
        <v>1000</v>
      </c>
      <c r="N302">
        <v>130.61708849999999</v>
      </c>
      <c r="O302">
        <v>25</v>
      </c>
      <c r="P302" t="s">
        <v>15</v>
      </c>
      <c r="Q302">
        <v>91.3</v>
      </c>
      <c r="R302" t="s">
        <v>13</v>
      </c>
      <c r="S302" t="s">
        <v>14</v>
      </c>
      <c r="T302" t="s">
        <v>16</v>
      </c>
      <c r="U302" s="25">
        <v>0</v>
      </c>
      <c r="V302" s="25">
        <v>1</v>
      </c>
      <c r="W302" s="25">
        <v>0.5</v>
      </c>
      <c r="X302" s="25">
        <v>1</v>
      </c>
      <c r="Y302">
        <v>1.4109328670000001</v>
      </c>
      <c r="Z302" t="s">
        <v>1109</v>
      </c>
      <c r="AA302" t="s">
        <v>622</v>
      </c>
      <c r="AB302">
        <v>6</v>
      </c>
      <c r="AC302">
        <v>11.473000000000001</v>
      </c>
      <c r="AD302">
        <v>3.8075000000000001</v>
      </c>
      <c r="AE302" t="s">
        <v>519</v>
      </c>
      <c r="AF302" t="s">
        <v>521</v>
      </c>
      <c r="AG302" s="30">
        <v>0.81314995690719838</v>
      </c>
      <c r="AH302" s="30">
        <v>0.13</v>
      </c>
      <c r="AI302" s="30">
        <v>0.1057094943979358</v>
      </c>
      <c r="AJ302">
        <v>0.70744046250926262</v>
      </c>
      <c r="AK302">
        <v>0.13</v>
      </c>
      <c r="AL302">
        <v>0.1057094943979358</v>
      </c>
      <c r="AM302">
        <v>0.70744046250926262</v>
      </c>
      <c r="AN302">
        <v>15.123183335230486</v>
      </c>
      <c r="AO302">
        <v>101.20899616654249</v>
      </c>
      <c r="AP302">
        <v>2.1337796421343373E-2</v>
      </c>
      <c r="AQ302">
        <v>0.14279909912745181</v>
      </c>
      <c r="AR302">
        <v>0.13341858489683281</v>
      </c>
    </row>
    <row r="303" spans="1:44" customFormat="1" x14ac:dyDescent="0.5">
      <c r="A303">
        <v>302</v>
      </c>
      <c r="B303">
        <v>20</v>
      </c>
      <c r="C303" s="226" t="s">
        <v>9</v>
      </c>
      <c r="D303" s="229">
        <v>3.07</v>
      </c>
      <c r="E303" s="227">
        <v>72.58</v>
      </c>
      <c r="F303">
        <v>0</v>
      </c>
      <c r="G303">
        <f>F303*1609.344</f>
        <v>0</v>
      </c>
      <c r="H303" t="s">
        <v>10</v>
      </c>
      <c r="I303">
        <v>0</v>
      </c>
      <c r="J303">
        <v>1149.66720738904</v>
      </c>
      <c r="K303" s="26">
        <v>2018</v>
      </c>
      <c r="L303" t="s">
        <v>11</v>
      </c>
      <c r="M303" s="30">
        <v>1000</v>
      </c>
      <c r="N303">
        <v>130.61708849999999</v>
      </c>
      <c r="O303">
        <v>25</v>
      </c>
      <c r="P303" t="s">
        <v>15</v>
      </c>
      <c r="Q303">
        <v>91.3</v>
      </c>
      <c r="R303" t="s">
        <v>13</v>
      </c>
      <c r="S303" t="s">
        <v>14</v>
      </c>
      <c r="T303" t="s">
        <v>16</v>
      </c>
      <c r="U303" s="25">
        <v>0</v>
      </c>
      <c r="V303" s="25">
        <v>1</v>
      </c>
      <c r="W303" s="25">
        <v>0.5</v>
      </c>
      <c r="X303" s="25">
        <v>1</v>
      </c>
      <c r="Y303">
        <v>1.4109328670000001</v>
      </c>
      <c r="Z303" t="s">
        <v>1109</v>
      </c>
      <c r="AA303" t="s">
        <v>622</v>
      </c>
      <c r="AB303">
        <v>6</v>
      </c>
      <c r="AC303">
        <v>36.01</v>
      </c>
      <c r="AD303">
        <v>11.587999999999999</v>
      </c>
      <c r="AE303" t="s">
        <v>519</v>
      </c>
      <c r="AF303" t="s">
        <v>521</v>
      </c>
      <c r="AG303" s="30">
        <v>2.5522121457533529</v>
      </c>
      <c r="AH303" s="30">
        <v>0.13</v>
      </c>
      <c r="AI303" s="30">
        <v>0.33178757894793587</v>
      </c>
      <c r="AJ303">
        <v>2.2204245668054172</v>
      </c>
      <c r="AK303">
        <v>0.13</v>
      </c>
      <c r="AL303">
        <v>0.33178757894793587</v>
      </c>
      <c r="AM303">
        <v>2.2204245668054172</v>
      </c>
      <c r="AN303">
        <v>47.466733365436227</v>
      </c>
      <c r="AO303">
        <v>317.66198483022714</v>
      </c>
      <c r="AP303">
        <v>6.6972374194419496E-2</v>
      </c>
      <c r="AQ303">
        <v>0.44819973499342286</v>
      </c>
      <c r="AR303">
        <v>0.13341858489683281</v>
      </c>
    </row>
    <row r="304" spans="1:44" customFormat="1" x14ac:dyDescent="0.5">
      <c r="A304">
        <v>303</v>
      </c>
      <c r="B304">
        <v>20</v>
      </c>
      <c r="C304" s="226" t="s">
        <v>9</v>
      </c>
      <c r="D304" s="229">
        <v>3.12</v>
      </c>
      <c r="E304" s="227">
        <v>73.010000000000005</v>
      </c>
      <c r="F304">
        <v>0</v>
      </c>
      <c r="G304">
        <f>F304*1609.344</f>
        <v>0</v>
      </c>
      <c r="H304" t="s">
        <v>10</v>
      </c>
      <c r="I304">
        <v>0</v>
      </c>
      <c r="J304">
        <v>977.06965232517405</v>
      </c>
      <c r="K304" s="26">
        <v>2018</v>
      </c>
      <c r="L304" t="s">
        <v>11</v>
      </c>
      <c r="M304" s="30">
        <v>1000</v>
      </c>
      <c r="N304">
        <v>130.61708849999999</v>
      </c>
      <c r="O304">
        <v>25</v>
      </c>
      <c r="P304" t="s">
        <v>15</v>
      </c>
      <c r="Q304">
        <v>91.3</v>
      </c>
      <c r="R304" t="s">
        <v>13</v>
      </c>
      <c r="S304" t="s">
        <v>14</v>
      </c>
      <c r="T304" t="s">
        <v>16</v>
      </c>
      <c r="U304" s="25">
        <v>0</v>
      </c>
      <c r="V304" s="25">
        <v>1</v>
      </c>
      <c r="W304" s="25">
        <v>0.5</v>
      </c>
      <c r="X304" s="25">
        <v>1</v>
      </c>
      <c r="Y304">
        <v>1.4109328670000001</v>
      </c>
      <c r="Z304" t="s">
        <v>1109</v>
      </c>
      <c r="AA304" t="s">
        <v>622</v>
      </c>
      <c r="AB304">
        <v>6</v>
      </c>
      <c r="AC304">
        <v>26.106999999999999</v>
      </c>
      <c r="AD304">
        <v>8.4149999999999991</v>
      </c>
      <c r="AE304" t="s">
        <v>519</v>
      </c>
      <c r="AF304" t="s">
        <v>521</v>
      </c>
      <c r="AG304" s="30">
        <v>1.8503360868976055</v>
      </c>
      <c r="AH304" s="30">
        <v>0.13</v>
      </c>
      <c r="AI304" s="30">
        <v>0.24054369129668873</v>
      </c>
      <c r="AJ304">
        <v>1.6097923956009168</v>
      </c>
      <c r="AK304">
        <v>0.13</v>
      </c>
      <c r="AL304">
        <v>0.24054369129668873</v>
      </c>
      <c r="AM304">
        <v>1.6097923956009168</v>
      </c>
      <c r="AN304">
        <v>34.413052151386935</v>
      </c>
      <c r="AO304">
        <v>230.30273362851256</v>
      </c>
      <c r="AP304">
        <v>4.8554506334176892E-2</v>
      </c>
      <c r="AQ304">
        <v>0.32494169623641456</v>
      </c>
      <c r="AR304">
        <v>0.13341858489683281</v>
      </c>
    </row>
    <row r="305" spans="1:44" customFormat="1" x14ac:dyDescent="0.5">
      <c r="A305">
        <v>304</v>
      </c>
      <c r="B305">
        <v>20</v>
      </c>
      <c r="C305" s="226" t="s">
        <v>9</v>
      </c>
      <c r="D305" s="229">
        <v>3.12</v>
      </c>
      <c r="E305" s="227">
        <v>73.02</v>
      </c>
      <c r="F305">
        <v>0</v>
      </c>
      <c r="G305">
        <f>F305*1609.344</f>
        <v>0</v>
      </c>
      <c r="H305" t="s">
        <v>10</v>
      </c>
      <c r="I305">
        <v>0</v>
      </c>
      <c r="J305">
        <v>974.98228621120802</v>
      </c>
      <c r="K305" s="26">
        <v>2018</v>
      </c>
      <c r="L305" t="s">
        <v>11</v>
      </c>
      <c r="M305" s="30">
        <v>1000</v>
      </c>
      <c r="N305">
        <v>130.61708849999999</v>
      </c>
      <c r="O305">
        <v>25</v>
      </c>
      <c r="P305" t="s">
        <v>15</v>
      </c>
      <c r="Q305">
        <v>91.3</v>
      </c>
      <c r="R305" t="s">
        <v>13</v>
      </c>
      <c r="S305" t="s">
        <v>14</v>
      </c>
      <c r="T305" t="s">
        <v>16</v>
      </c>
      <c r="U305" s="25">
        <v>0</v>
      </c>
      <c r="V305" s="25">
        <v>1</v>
      </c>
      <c r="W305" s="25">
        <v>0.5</v>
      </c>
      <c r="X305" s="25">
        <v>1</v>
      </c>
      <c r="Y305">
        <v>1.4109328670000001</v>
      </c>
      <c r="Z305" t="s">
        <v>1109</v>
      </c>
      <c r="AA305" t="s">
        <v>622</v>
      </c>
      <c r="AB305">
        <v>6</v>
      </c>
      <c r="AC305">
        <v>4.3479999999999999</v>
      </c>
      <c r="AD305">
        <v>1.4315</v>
      </c>
      <c r="AE305" t="s">
        <v>519</v>
      </c>
      <c r="AF305" t="s">
        <v>521</v>
      </c>
      <c r="AG305" s="30">
        <v>0.30816491001765001</v>
      </c>
      <c r="AH305" s="30">
        <v>0.13</v>
      </c>
      <c r="AI305" s="30">
        <v>4.00614383022945E-2</v>
      </c>
      <c r="AJ305">
        <v>0.26810347171535553</v>
      </c>
      <c r="AK305">
        <v>0.13</v>
      </c>
      <c r="AL305">
        <v>4.00614383022945E-2</v>
      </c>
      <c r="AM305">
        <v>0.26810347171535553</v>
      </c>
      <c r="AN305">
        <v>5.7313345368763313</v>
      </c>
      <c r="AO305">
        <v>38.355854208326221</v>
      </c>
      <c r="AP305">
        <v>8.0865282698510399E-3</v>
      </c>
      <c r="AQ305">
        <v>5.4117535344387728E-2</v>
      </c>
      <c r="AR305">
        <v>0.13341858489683281</v>
      </c>
    </row>
    <row r="306" spans="1:44" hidden="1" x14ac:dyDescent="0.5">
      <c r="A306" s="31">
        <v>305</v>
      </c>
      <c r="B306" s="31">
        <v>21</v>
      </c>
      <c r="C306" s="225" t="s">
        <v>42</v>
      </c>
      <c r="D306" s="35">
        <v>-42.813000000000002</v>
      </c>
      <c r="E306" s="33">
        <v>147.279</v>
      </c>
      <c r="F306">
        <v>0.73</v>
      </c>
      <c r="G306">
        <f>F306*1609.344</f>
        <v>1174.8211200000001</v>
      </c>
      <c r="H306" s="32" t="s">
        <v>45</v>
      </c>
      <c r="I306" s="7">
        <v>47</v>
      </c>
      <c r="J306">
        <v>14.5297934496081</v>
      </c>
      <c r="K306" s="26">
        <v>2004</v>
      </c>
      <c r="L306" t="s">
        <v>30</v>
      </c>
      <c r="M306" s="32">
        <v>63</v>
      </c>
      <c r="N306">
        <v>7.0097463050000002</v>
      </c>
      <c r="O306">
        <v>5</v>
      </c>
      <c r="P306" t="s">
        <v>15</v>
      </c>
      <c r="Q306">
        <v>91.3</v>
      </c>
      <c r="R306" t="s">
        <v>13</v>
      </c>
      <c r="S306" t="s">
        <v>16</v>
      </c>
      <c r="T306" t="s">
        <v>14</v>
      </c>
      <c r="U306" s="34">
        <v>60</v>
      </c>
      <c r="V306" s="34">
        <v>62</v>
      </c>
      <c r="W306" s="25">
        <v>61</v>
      </c>
      <c r="X306" s="25">
        <v>2</v>
      </c>
      <c r="Y306">
        <v>1.0774796689999999</v>
      </c>
      <c r="Z306" t="s">
        <v>773</v>
      </c>
      <c r="AA306" t="s">
        <v>644</v>
      </c>
      <c r="AB306">
        <v>1</v>
      </c>
      <c r="AC306">
        <v>17</v>
      </c>
      <c r="AF306" t="s">
        <v>668</v>
      </c>
      <c r="AG306" s="32" t="s">
        <v>1300</v>
      </c>
      <c r="AH306" s="32" t="s">
        <v>1301</v>
      </c>
      <c r="AI306" s="32" t="s">
        <v>1302</v>
      </c>
      <c r="AJ306" s="31" t="s">
        <v>2790</v>
      </c>
      <c r="AK306" s="31">
        <v>0.87</v>
      </c>
      <c r="AL306" s="31">
        <v>232.54716981132071</v>
      </c>
      <c r="AM306" s="31">
        <v>34.748427672955984</v>
      </c>
      <c r="AN306" s="31">
        <v>1785.428986115129</v>
      </c>
      <c r="AO306" s="31">
        <v>266.78823930455968</v>
      </c>
      <c r="AP306" s="31">
        <v>1.9237634329823345</v>
      </c>
      <c r="AQ306" s="31">
        <v>0.28745890377896977</v>
      </c>
      <c r="AR306" s="31">
        <v>0.12728161875858038</v>
      </c>
    </row>
    <row r="307" spans="1:44" hidden="1" x14ac:dyDescent="0.5">
      <c r="A307" s="31">
        <v>306</v>
      </c>
      <c r="B307" s="31">
        <v>21</v>
      </c>
      <c r="C307" s="225" t="s">
        <v>42</v>
      </c>
      <c r="D307" s="35">
        <v>-42.813000000000002</v>
      </c>
      <c r="E307" s="33">
        <v>147.279</v>
      </c>
      <c r="F307">
        <v>0.73</v>
      </c>
      <c r="G307">
        <f>F307*1609.344</f>
        <v>1174.8211200000001</v>
      </c>
      <c r="H307" s="32" t="s">
        <v>45</v>
      </c>
      <c r="I307" s="7">
        <v>47</v>
      </c>
      <c r="J307">
        <v>14.5297934496081</v>
      </c>
      <c r="K307" s="26">
        <v>2004</v>
      </c>
      <c r="L307" t="s">
        <v>30</v>
      </c>
      <c r="M307" s="32">
        <v>63</v>
      </c>
      <c r="N307">
        <v>7.0097463050000002</v>
      </c>
      <c r="O307">
        <v>5</v>
      </c>
      <c r="P307" t="s">
        <v>15</v>
      </c>
      <c r="Q307">
        <v>91.3</v>
      </c>
      <c r="R307" t="s">
        <v>13</v>
      </c>
      <c r="S307" t="s">
        <v>16</v>
      </c>
      <c r="T307" t="s">
        <v>14</v>
      </c>
      <c r="U307" s="34">
        <v>82</v>
      </c>
      <c r="V307" s="34">
        <v>84</v>
      </c>
      <c r="W307" s="25">
        <v>83</v>
      </c>
      <c r="X307" s="25">
        <v>2</v>
      </c>
      <c r="Y307">
        <v>1.0774796689999999</v>
      </c>
      <c r="Z307" t="s">
        <v>773</v>
      </c>
      <c r="AA307" t="s">
        <v>644</v>
      </c>
      <c r="AB307">
        <v>1</v>
      </c>
      <c r="AC307">
        <v>18</v>
      </c>
      <c r="AF307" t="s">
        <v>668</v>
      </c>
      <c r="AG307" s="32" t="s">
        <v>1303</v>
      </c>
      <c r="AH307" s="32" t="s">
        <v>1301</v>
      </c>
      <c r="AI307" s="32" t="s">
        <v>1304</v>
      </c>
      <c r="AJ307" s="31" t="s">
        <v>2791</v>
      </c>
      <c r="AK307" s="31">
        <v>0.87</v>
      </c>
      <c r="AL307" s="31">
        <v>246.22641509433961</v>
      </c>
      <c r="AM307" s="31">
        <v>36.792452830188694</v>
      </c>
      <c r="AN307" s="31">
        <v>1890.4542205924902</v>
      </c>
      <c r="AO307" s="31">
        <v>282.48166514600439</v>
      </c>
      <c r="AP307" s="31">
        <v>2.0369259878636492</v>
      </c>
      <c r="AQ307" s="31">
        <v>0.30436825106008558</v>
      </c>
      <c r="AR307" s="31">
        <v>0.12728161875858038</v>
      </c>
    </row>
    <row r="308" spans="1:44" hidden="1" x14ac:dyDescent="0.5">
      <c r="A308" s="31">
        <v>307</v>
      </c>
      <c r="B308" s="31">
        <v>21</v>
      </c>
      <c r="C308" s="225" t="s">
        <v>42</v>
      </c>
      <c r="D308" s="35">
        <v>-42.813000000000002</v>
      </c>
      <c r="E308" s="33">
        <v>147.279</v>
      </c>
      <c r="F308">
        <v>0.73</v>
      </c>
      <c r="G308">
        <f>F308*1609.344</f>
        <v>1174.8211200000001</v>
      </c>
      <c r="H308" s="32" t="s">
        <v>45</v>
      </c>
      <c r="I308" s="7">
        <v>47</v>
      </c>
      <c r="J308">
        <v>14.5297934496081</v>
      </c>
      <c r="K308" s="26">
        <v>2004</v>
      </c>
      <c r="L308" t="s">
        <v>30</v>
      </c>
      <c r="M308" s="32">
        <v>63</v>
      </c>
      <c r="N308">
        <v>7.0097463050000002</v>
      </c>
      <c r="O308">
        <v>5</v>
      </c>
      <c r="P308" t="s">
        <v>15</v>
      </c>
      <c r="Q308">
        <v>91.3</v>
      </c>
      <c r="R308" t="s">
        <v>13</v>
      </c>
      <c r="S308" t="s">
        <v>16</v>
      </c>
      <c r="T308" t="s">
        <v>14</v>
      </c>
      <c r="U308" s="34">
        <v>46</v>
      </c>
      <c r="V308" s="34">
        <v>48</v>
      </c>
      <c r="W308" s="25">
        <v>47</v>
      </c>
      <c r="X308" s="25">
        <v>2</v>
      </c>
      <c r="Y308">
        <v>1.0774796689999999</v>
      </c>
      <c r="Z308" t="s">
        <v>773</v>
      </c>
      <c r="AA308" t="s">
        <v>644</v>
      </c>
      <c r="AB308">
        <v>1</v>
      </c>
      <c r="AC308">
        <v>24</v>
      </c>
      <c r="AF308" t="s">
        <v>668</v>
      </c>
      <c r="AG308" s="32" t="s">
        <v>1305</v>
      </c>
      <c r="AH308" s="32" t="s">
        <v>1301</v>
      </c>
      <c r="AI308" s="32" t="s">
        <v>1306</v>
      </c>
      <c r="AJ308" s="31" t="s">
        <v>2792</v>
      </c>
      <c r="AK308" s="31">
        <v>0.87</v>
      </c>
      <c r="AL308" s="31">
        <v>328.30188679245276</v>
      </c>
      <c r="AM308" s="31">
        <v>49.056603773584925</v>
      </c>
      <c r="AN308" s="31">
        <v>2520.6056274566531</v>
      </c>
      <c r="AO308" s="31">
        <v>376.64222019467257</v>
      </c>
      <c r="AP308" s="31">
        <v>2.7159013171515318</v>
      </c>
      <c r="AQ308" s="31">
        <v>0.40582433474678092</v>
      </c>
      <c r="AR308" s="31">
        <v>0.12728161875858038</v>
      </c>
    </row>
    <row r="309" spans="1:44" hidden="1" x14ac:dyDescent="0.5">
      <c r="A309" s="31">
        <v>308</v>
      </c>
      <c r="B309" s="31">
        <v>21</v>
      </c>
      <c r="C309" s="225" t="s">
        <v>42</v>
      </c>
      <c r="D309" s="35">
        <v>-42.813000000000002</v>
      </c>
      <c r="E309" s="33">
        <v>147.279</v>
      </c>
      <c r="F309">
        <v>0.73</v>
      </c>
      <c r="G309">
        <f>F309*1609.344</f>
        <v>1174.8211200000001</v>
      </c>
      <c r="H309" s="32" t="s">
        <v>45</v>
      </c>
      <c r="I309" s="7">
        <v>47</v>
      </c>
      <c r="J309">
        <v>14.5297934496081</v>
      </c>
      <c r="K309" s="26">
        <v>2004</v>
      </c>
      <c r="L309" t="s">
        <v>30</v>
      </c>
      <c r="M309" s="32">
        <v>63</v>
      </c>
      <c r="N309">
        <v>7.0097463050000002</v>
      </c>
      <c r="O309">
        <v>5</v>
      </c>
      <c r="P309" t="s">
        <v>15</v>
      </c>
      <c r="Q309">
        <v>91.3</v>
      </c>
      <c r="R309" t="s">
        <v>13</v>
      </c>
      <c r="S309" t="s">
        <v>16</v>
      </c>
      <c r="T309" t="s">
        <v>14</v>
      </c>
      <c r="U309" s="34">
        <v>4</v>
      </c>
      <c r="V309" s="34">
        <v>6</v>
      </c>
      <c r="W309" s="25">
        <v>5</v>
      </c>
      <c r="X309" s="25">
        <v>2</v>
      </c>
      <c r="Y309">
        <v>1.0774796689999999</v>
      </c>
      <c r="Z309" t="s">
        <v>773</v>
      </c>
      <c r="AA309" t="s">
        <v>644</v>
      </c>
      <c r="AB309">
        <v>1</v>
      </c>
      <c r="AC309">
        <v>33</v>
      </c>
      <c r="AF309" t="s">
        <v>668</v>
      </c>
      <c r="AG309" s="32" t="s">
        <v>1307</v>
      </c>
      <c r="AH309" s="32" t="s">
        <v>1301</v>
      </c>
      <c r="AI309" s="32" t="s">
        <v>1308</v>
      </c>
      <c r="AJ309" s="31" t="s">
        <v>2793</v>
      </c>
      <c r="AK309" s="31">
        <v>0.87</v>
      </c>
      <c r="AL309" s="31">
        <v>451.41509433962261</v>
      </c>
      <c r="AM309" s="31">
        <v>67.452830188679229</v>
      </c>
      <c r="AN309" s="31">
        <v>3465.8327377528985</v>
      </c>
      <c r="AO309" s="31">
        <v>517.88305276767437</v>
      </c>
      <c r="AP309" s="31">
        <v>3.7343643110833566</v>
      </c>
      <c r="AQ309" s="31">
        <v>0.55800846027682327</v>
      </c>
      <c r="AR309" s="31">
        <v>0.12728161875858038</v>
      </c>
    </row>
    <row r="310" spans="1:44" hidden="1" x14ac:dyDescent="0.5">
      <c r="A310" s="31">
        <v>309</v>
      </c>
      <c r="B310" s="31">
        <v>21</v>
      </c>
      <c r="C310" s="225" t="s">
        <v>42</v>
      </c>
      <c r="D310" s="35">
        <v>-42.813000000000002</v>
      </c>
      <c r="E310" s="33">
        <v>147.279</v>
      </c>
      <c r="F310">
        <v>0.73</v>
      </c>
      <c r="G310">
        <f>F310*1609.344</f>
        <v>1174.8211200000001</v>
      </c>
      <c r="H310" s="32" t="s">
        <v>45</v>
      </c>
      <c r="I310" s="7">
        <v>47</v>
      </c>
      <c r="J310">
        <v>14.5297934496081</v>
      </c>
      <c r="K310" s="26">
        <v>2004</v>
      </c>
      <c r="L310" t="s">
        <v>30</v>
      </c>
      <c r="M310" s="32">
        <v>63</v>
      </c>
      <c r="N310">
        <v>7.0097463050000002</v>
      </c>
      <c r="O310">
        <v>5</v>
      </c>
      <c r="P310" t="s">
        <v>15</v>
      </c>
      <c r="Q310">
        <v>91.3</v>
      </c>
      <c r="R310" t="s">
        <v>13</v>
      </c>
      <c r="S310" t="s">
        <v>16</v>
      </c>
      <c r="T310" t="s">
        <v>14</v>
      </c>
      <c r="U310" s="34">
        <v>72</v>
      </c>
      <c r="V310" s="34">
        <v>74</v>
      </c>
      <c r="W310" s="25">
        <v>73</v>
      </c>
      <c r="X310" s="25">
        <v>2</v>
      </c>
      <c r="Y310">
        <v>1.0774796689999999</v>
      </c>
      <c r="Z310" t="s">
        <v>773</v>
      </c>
      <c r="AA310" t="s">
        <v>644</v>
      </c>
      <c r="AB310">
        <v>1</v>
      </c>
      <c r="AC310">
        <v>33</v>
      </c>
      <c r="AF310" t="s">
        <v>668</v>
      </c>
      <c r="AG310" s="32" t="s">
        <v>1307</v>
      </c>
      <c r="AH310" s="32" t="s">
        <v>1301</v>
      </c>
      <c r="AI310" s="32" t="s">
        <v>1308</v>
      </c>
      <c r="AJ310" s="31" t="s">
        <v>2793</v>
      </c>
      <c r="AK310" s="31">
        <v>0.87</v>
      </c>
      <c r="AL310" s="31">
        <v>451.41509433962261</v>
      </c>
      <c r="AM310" s="31">
        <v>67.452830188679229</v>
      </c>
      <c r="AN310" s="31">
        <v>3465.8327377528985</v>
      </c>
      <c r="AO310" s="31">
        <v>517.88305276767437</v>
      </c>
      <c r="AP310" s="31">
        <v>3.7343643110833566</v>
      </c>
      <c r="AQ310" s="31">
        <v>0.55800846027682327</v>
      </c>
      <c r="AR310" s="31">
        <v>0.12728161875858038</v>
      </c>
    </row>
    <row r="311" spans="1:44" hidden="1" x14ac:dyDescent="0.5">
      <c r="A311" s="31">
        <v>310</v>
      </c>
      <c r="B311" s="31">
        <v>21</v>
      </c>
      <c r="C311" s="225" t="s">
        <v>42</v>
      </c>
      <c r="D311" s="35">
        <v>-42.813000000000002</v>
      </c>
      <c r="E311" s="33">
        <v>147.279</v>
      </c>
      <c r="F311">
        <v>0.73</v>
      </c>
      <c r="G311">
        <f>F311*1609.344</f>
        <v>1174.8211200000001</v>
      </c>
      <c r="H311" s="32" t="s">
        <v>45</v>
      </c>
      <c r="I311" s="7">
        <v>47</v>
      </c>
      <c r="J311">
        <v>14.5297934496081</v>
      </c>
      <c r="K311" s="26">
        <v>2004</v>
      </c>
      <c r="L311" t="s">
        <v>30</v>
      </c>
      <c r="M311" s="32">
        <v>63</v>
      </c>
      <c r="N311">
        <v>7.0097463050000002</v>
      </c>
      <c r="O311">
        <v>5</v>
      </c>
      <c r="P311" t="s">
        <v>15</v>
      </c>
      <c r="Q311">
        <v>91.3</v>
      </c>
      <c r="R311" t="s">
        <v>13</v>
      </c>
      <c r="S311" t="s">
        <v>16</v>
      </c>
      <c r="T311" t="s">
        <v>14</v>
      </c>
      <c r="U311" s="34">
        <v>102</v>
      </c>
      <c r="V311" s="34">
        <v>104</v>
      </c>
      <c r="W311" s="25">
        <v>103</v>
      </c>
      <c r="X311" s="25">
        <v>2</v>
      </c>
      <c r="Y311">
        <v>1.0774796689999999</v>
      </c>
      <c r="Z311" t="s">
        <v>773</v>
      </c>
      <c r="AA311" t="s">
        <v>644</v>
      </c>
      <c r="AB311">
        <v>1</v>
      </c>
      <c r="AC311">
        <v>37</v>
      </c>
      <c r="AF311" t="s">
        <v>668</v>
      </c>
      <c r="AG311" s="32" t="s">
        <v>1309</v>
      </c>
      <c r="AH311" s="32" t="s">
        <v>1301</v>
      </c>
      <c r="AI311" s="32" t="s">
        <v>1310</v>
      </c>
      <c r="AJ311" s="31" t="s">
        <v>2794</v>
      </c>
      <c r="AK311" s="31">
        <v>0.87</v>
      </c>
      <c r="AL311" s="31">
        <v>506.1320754716981</v>
      </c>
      <c r="AM311" s="31">
        <v>75.628930817610069</v>
      </c>
      <c r="AN311" s="31">
        <v>3885.9336756623406</v>
      </c>
      <c r="AO311" s="31">
        <v>580.65675613345331</v>
      </c>
      <c r="AP311" s="31">
        <v>4.1870145306086117</v>
      </c>
      <c r="AQ311" s="31">
        <v>0.62564584940128698</v>
      </c>
      <c r="AR311" s="31">
        <v>0.12728161875858038</v>
      </c>
    </row>
    <row r="312" spans="1:44" hidden="1" x14ac:dyDescent="0.5">
      <c r="A312" s="31">
        <v>311</v>
      </c>
      <c r="B312" s="31">
        <v>21</v>
      </c>
      <c r="C312" s="225" t="s">
        <v>42</v>
      </c>
      <c r="D312" s="35">
        <v>-42.813000000000002</v>
      </c>
      <c r="E312" s="33">
        <v>147.279</v>
      </c>
      <c r="F312">
        <v>0.73</v>
      </c>
      <c r="G312">
        <f>F312*1609.344</f>
        <v>1174.8211200000001</v>
      </c>
      <c r="H312" s="32" t="s">
        <v>45</v>
      </c>
      <c r="I312" s="7">
        <v>47</v>
      </c>
      <c r="J312">
        <v>14.5297934496081</v>
      </c>
      <c r="K312" s="26">
        <v>2004</v>
      </c>
      <c r="L312" t="s">
        <v>30</v>
      </c>
      <c r="M312" s="32">
        <v>63</v>
      </c>
      <c r="N312">
        <v>7.0097463050000002</v>
      </c>
      <c r="O312">
        <v>5</v>
      </c>
      <c r="P312" t="s">
        <v>15</v>
      </c>
      <c r="Q312">
        <v>91.3</v>
      </c>
      <c r="R312" t="s">
        <v>13</v>
      </c>
      <c r="S312" t="s">
        <v>16</v>
      </c>
      <c r="T312" t="s">
        <v>14</v>
      </c>
      <c r="U312" s="34">
        <v>12</v>
      </c>
      <c r="V312" s="34">
        <v>14</v>
      </c>
      <c r="W312" s="25">
        <v>13</v>
      </c>
      <c r="X312" s="25">
        <v>2</v>
      </c>
      <c r="Y312">
        <v>1.0774796689999999</v>
      </c>
      <c r="Z312" t="s">
        <v>773</v>
      </c>
      <c r="AA312" t="s">
        <v>644</v>
      </c>
      <c r="AB312">
        <v>1</v>
      </c>
      <c r="AC312">
        <v>49</v>
      </c>
      <c r="AF312" t="s">
        <v>668</v>
      </c>
      <c r="AG312" s="32" t="s">
        <v>1311</v>
      </c>
      <c r="AH312" s="32" t="s">
        <v>1301</v>
      </c>
      <c r="AI312" s="32" t="s">
        <v>1312</v>
      </c>
      <c r="AJ312" s="31" t="s">
        <v>2795</v>
      </c>
      <c r="AK312" s="31">
        <v>0.87</v>
      </c>
      <c r="AL312" s="31">
        <v>670.2830188679244</v>
      </c>
      <c r="AM312" s="31">
        <v>100.15723270440253</v>
      </c>
      <c r="AN312" s="31">
        <v>5146.236489390667</v>
      </c>
      <c r="AO312" s="31">
        <v>768.97786623078957</v>
      </c>
      <c r="AP312" s="31">
        <v>5.544965189184377</v>
      </c>
      <c r="AQ312" s="31">
        <v>0.82855801677467733</v>
      </c>
      <c r="AR312" s="31">
        <v>0.12728161875858038</v>
      </c>
    </row>
    <row r="313" spans="1:44" hidden="1" x14ac:dyDescent="0.5">
      <c r="A313" s="31">
        <v>312</v>
      </c>
      <c r="B313" s="31">
        <v>21</v>
      </c>
      <c r="C313" s="225" t="s">
        <v>42</v>
      </c>
      <c r="D313" s="35">
        <v>-42.786999999999999</v>
      </c>
      <c r="E313" s="33">
        <v>147.28800000000001</v>
      </c>
      <c r="F313">
        <v>0.18</v>
      </c>
      <c r="G313">
        <f>F313*1609.344</f>
        <v>289.68191999999999</v>
      </c>
      <c r="H313" s="32" t="s">
        <v>45</v>
      </c>
      <c r="I313" s="7">
        <v>0</v>
      </c>
      <c r="J313">
        <v>14.395379070296</v>
      </c>
      <c r="K313" s="26">
        <v>2004</v>
      </c>
      <c r="L313" t="s">
        <v>30</v>
      </c>
      <c r="M313" s="32">
        <v>63</v>
      </c>
      <c r="N313">
        <v>7.0097463050000002</v>
      </c>
      <c r="O313">
        <v>5</v>
      </c>
      <c r="P313" t="s">
        <v>15</v>
      </c>
      <c r="Q313">
        <v>91.3</v>
      </c>
      <c r="R313" t="s">
        <v>13</v>
      </c>
      <c r="S313" t="s">
        <v>16</v>
      </c>
      <c r="T313" t="s">
        <v>14</v>
      </c>
      <c r="U313" s="34">
        <v>68</v>
      </c>
      <c r="V313" s="34">
        <v>70</v>
      </c>
      <c r="W313" s="25">
        <v>69</v>
      </c>
      <c r="X313" s="25">
        <v>2</v>
      </c>
      <c r="Y313">
        <v>1.0774796689999999</v>
      </c>
      <c r="Z313" t="s">
        <v>773</v>
      </c>
      <c r="AA313" t="s">
        <v>644</v>
      </c>
      <c r="AB313">
        <v>1</v>
      </c>
      <c r="AC313">
        <v>4</v>
      </c>
      <c r="AF313" t="s">
        <v>669</v>
      </c>
      <c r="AG313" s="32" t="s">
        <v>1313</v>
      </c>
      <c r="AH313" s="32" t="s">
        <v>1301</v>
      </c>
      <c r="AI313" s="32" t="s">
        <v>1314</v>
      </c>
      <c r="AJ313" s="31" t="s">
        <v>2796</v>
      </c>
      <c r="AK313" s="31">
        <v>0.87</v>
      </c>
      <c r="AL313" s="31">
        <v>66.462948815889987</v>
      </c>
      <c r="AM313" s="31">
        <v>9.931245225362872</v>
      </c>
      <c r="AN313" s="31">
        <v>510.28303382430335</v>
      </c>
      <c r="AO313" s="31">
        <v>76.249188962252234</v>
      </c>
      <c r="AP313" s="31">
        <v>0.54981959438132622</v>
      </c>
      <c r="AQ313" s="31">
        <v>8.2156950884565982E-2</v>
      </c>
      <c r="AR313" s="31">
        <v>0.13341858489683281</v>
      </c>
    </row>
    <row r="314" spans="1:44" hidden="1" x14ac:dyDescent="0.5">
      <c r="A314" s="31">
        <v>313</v>
      </c>
      <c r="B314" s="31">
        <v>21</v>
      </c>
      <c r="C314" s="225" t="s">
        <v>42</v>
      </c>
      <c r="D314" s="35">
        <v>-42.786999999999999</v>
      </c>
      <c r="E314" s="33">
        <v>147.28800000000001</v>
      </c>
      <c r="F314">
        <v>0.18</v>
      </c>
      <c r="G314">
        <f>F314*1609.344</f>
        <v>289.68191999999999</v>
      </c>
      <c r="H314" s="32" t="s">
        <v>45</v>
      </c>
      <c r="I314" s="7">
        <v>0</v>
      </c>
      <c r="J314">
        <v>14.395379070296</v>
      </c>
      <c r="K314" s="26">
        <v>2004</v>
      </c>
      <c r="L314" t="s">
        <v>30</v>
      </c>
      <c r="M314" s="32">
        <v>63</v>
      </c>
      <c r="N314">
        <v>7.0097463050000002</v>
      </c>
      <c r="O314">
        <v>5</v>
      </c>
      <c r="P314" t="s">
        <v>15</v>
      </c>
      <c r="Q314">
        <v>91.3</v>
      </c>
      <c r="R314" t="s">
        <v>13</v>
      </c>
      <c r="S314" t="s">
        <v>16</v>
      </c>
      <c r="T314" t="s">
        <v>14</v>
      </c>
      <c r="U314" s="34">
        <v>62</v>
      </c>
      <c r="V314" s="34">
        <v>64</v>
      </c>
      <c r="W314" s="25">
        <v>63</v>
      </c>
      <c r="X314" s="25">
        <v>2</v>
      </c>
      <c r="Y314">
        <v>1.0774796689999999</v>
      </c>
      <c r="Z314" t="s">
        <v>773</v>
      </c>
      <c r="AA314" t="s">
        <v>644</v>
      </c>
      <c r="AB314">
        <v>1</v>
      </c>
      <c r="AC314">
        <v>12</v>
      </c>
      <c r="AF314" t="s">
        <v>669</v>
      </c>
      <c r="AG314" s="32" t="s">
        <v>1315</v>
      </c>
      <c r="AH314" s="32" t="s">
        <v>1301</v>
      </c>
      <c r="AI314" s="32" t="s">
        <v>1316</v>
      </c>
      <c r="AJ314" s="31" t="s">
        <v>2797</v>
      </c>
      <c r="AK314" s="31">
        <v>0.87</v>
      </c>
      <c r="AL314" s="31">
        <v>199.38884644766998</v>
      </c>
      <c r="AM314" s="31">
        <v>29.79373567608863</v>
      </c>
      <c r="AN314" s="31">
        <v>1530.8491014729104</v>
      </c>
      <c r="AO314" s="31">
        <v>228.74756688675683</v>
      </c>
      <c r="AP314" s="31">
        <v>1.6494587831439789</v>
      </c>
      <c r="AQ314" s="31">
        <v>0.24647085265369809</v>
      </c>
      <c r="AR314" s="31">
        <v>0.13341858489683281</v>
      </c>
    </row>
    <row r="315" spans="1:44" hidden="1" x14ac:dyDescent="0.5">
      <c r="A315" s="31">
        <v>314</v>
      </c>
      <c r="B315" s="31">
        <v>21</v>
      </c>
      <c r="C315" s="225" t="s">
        <v>42</v>
      </c>
      <c r="D315" s="35">
        <v>-42.786999999999999</v>
      </c>
      <c r="E315" s="33">
        <v>147.28800000000001</v>
      </c>
      <c r="F315">
        <v>0.18</v>
      </c>
      <c r="G315">
        <f>F315*1609.344</f>
        <v>289.68191999999999</v>
      </c>
      <c r="H315" s="32" t="s">
        <v>45</v>
      </c>
      <c r="I315" s="7">
        <v>0</v>
      </c>
      <c r="J315">
        <v>14.395379070296</v>
      </c>
      <c r="K315" s="26">
        <v>2004</v>
      </c>
      <c r="L315" t="s">
        <v>30</v>
      </c>
      <c r="M315" s="32">
        <v>63</v>
      </c>
      <c r="N315">
        <v>7.0097463050000002</v>
      </c>
      <c r="O315">
        <v>5</v>
      </c>
      <c r="P315" t="s">
        <v>15</v>
      </c>
      <c r="Q315">
        <v>91.3</v>
      </c>
      <c r="R315" t="s">
        <v>13</v>
      </c>
      <c r="S315" t="s">
        <v>16</v>
      </c>
      <c r="T315" t="s">
        <v>14</v>
      </c>
      <c r="U315" s="34">
        <v>82</v>
      </c>
      <c r="V315" s="34">
        <v>84</v>
      </c>
      <c r="W315" s="25">
        <v>83</v>
      </c>
      <c r="X315" s="25">
        <v>2</v>
      </c>
      <c r="Y315">
        <v>1.0774796689999999</v>
      </c>
      <c r="Z315" t="s">
        <v>773</v>
      </c>
      <c r="AA315" t="s">
        <v>644</v>
      </c>
      <c r="AB315">
        <v>1</v>
      </c>
      <c r="AC315">
        <v>13</v>
      </c>
      <c r="AF315" t="s">
        <v>669</v>
      </c>
      <c r="AG315" s="32" t="s">
        <v>1317</v>
      </c>
      <c r="AH315" s="32" t="s">
        <v>1301</v>
      </c>
      <c r="AI315" s="32" t="s">
        <v>1318</v>
      </c>
      <c r="AJ315" s="31" t="s">
        <v>2798</v>
      </c>
      <c r="AK315" s="31">
        <v>0.87</v>
      </c>
      <c r="AL315" s="31">
        <v>216.00458365164249</v>
      </c>
      <c r="AM315" s="31">
        <v>32.276546982429323</v>
      </c>
      <c r="AN315" s="31">
        <v>1658.4198599289862</v>
      </c>
      <c r="AO315" s="31">
        <v>247.80986412731966</v>
      </c>
      <c r="AP315" s="31">
        <v>1.7869136817393101</v>
      </c>
      <c r="AQ315" s="31">
        <v>0.2670100903748393</v>
      </c>
      <c r="AR315" s="31">
        <v>0.13341858489683281</v>
      </c>
    </row>
    <row r="316" spans="1:44" hidden="1" x14ac:dyDescent="0.5">
      <c r="A316" s="31">
        <v>315</v>
      </c>
      <c r="B316" s="31">
        <v>21</v>
      </c>
      <c r="C316" s="225" t="s">
        <v>42</v>
      </c>
      <c r="D316" s="35">
        <v>-42.786999999999999</v>
      </c>
      <c r="E316" s="33">
        <v>147.28800000000001</v>
      </c>
      <c r="F316">
        <v>0.18</v>
      </c>
      <c r="G316">
        <f>F316*1609.344</f>
        <v>289.68191999999999</v>
      </c>
      <c r="H316" s="32" t="s">
        <v>45</v>
      </c>
      <c r="I316" s="7">
        <v>0</v>
      </c>
      <c r="J316">
        <v>14.395379070296</v>
      </c>
      <c r="K316" s="26">
        <v>2004</v>
      </c>
      <c r="L316" t="s">
        <v>30</v>
      </c>
      <c r="M316" s="32">
        <v>63</v>
      </c>
      <c r="N316">
        <v>7.0097463050000002</v>
      </c>
      <c r="O316">
        <v>5</v>
      </c>
      <c r="P316" t="s">
        <v>15</v>
      </c>
      <c r="Q316">
        <v>91.3</v>
      </c>
      <c r="R316" t="s">
        <v>13</v>
      </c>
      <c r="S316" t="s">
        <v>16</v>
      </c>
      <c r="T316" t="s">
        <v>14</v>
      </c>
      <c r="U316" s="34">
        <v>102</v>
      </c>
      <c r="V316" s="34">
        <v>104</v>
      </c>
      <c r="W316" s="25">
        <v>103</v>
      </c>
      <c r="X316" s="25">
        <v>2</v>
      </c>
      <c r="Y316">
        <v>1.0774796689999999</v>
      </c>
      <c r="Z316" t="s">
        <v>773</v>
      </c>
      <c r="AA316" t="s">
        <v>644</v>
      </c>
      <c r="AB316">
        <v>1</v>
      </c>
      <c r="AC316">
        <v>15</v>
      </c>
      <c r="AF316" t="s">
        <v>669</v>
      </c>
      <c r="AG316" s="32" t="s">
        <v>1319</v>
      </c>
      <c r="AH316" s="32" t="s">
        <v>1301</v>
      </c>
      <c r="AI316" s="32" t="s">
        <v>1320</v>
      </c>
      <c r="AJ316" s="31" t="s">
        <v>2799</v>
      </c>
      <c r="AK316" s="31">
        <v>0.87</v>
      </c>
      <c r="AL316" s="31">
        <v>249.23605805958752</v>
      </c>
      <c r="AM316" s="31">
        <v>37.242169595110767</v>
      </c>
      <c r="AN316" s="31">
        <v>1913.5613768411381</v>
      </c>
      <c r="AO316" s="31">
        <v>285.93445860844588</v>
      </c>
      <c r="AP316" s="31">
        <v>2.0618234789299734</v>
      </c>
      <c r="AQ316" s="31">
        <v>0.30808856581712246</v>
      </c>
      <c r="AR316" s="31">
        <v>0.13341858489683281</v>
      </c>
    </row>
    <row r="317" spans="1:44" hidden="1" x14ac:dyDescent="0.5">
      <c r="A317" s="31">
        <v>316</v>
      </c>
      <c r="B317" s="31">
        <v>21</v>
      </c>
      <c r="C317" s="225" t="s">
        <v>42</v>
      </c>
      <c r="D317" s="35">
        <v>-42.786999999999999</v>
      </c>
      <c r="E317" s="33">
        <v>147.28800000000001</v>
      </c>
      <c r="F317">
        <v>0.18</v>
      </c>
      <c r="G317">
        <f>F317*1609.344</f>
        <v>289.68191999999999</v>
      </c>
      <c r="H317" s="32" t="s">
        <v>45</v>
      </c>
      <c r="I317" s="7">
        <v>0</v>
      </c>
      <c r="J317">
        <v>14.395379070296</v>
      </c>
      <c r="K317" s="26">
        <v>2004</v>
      </c>
      <c r="L317" t="s">
        <v>30</v>
      </c>
      <c r="M317" s="32">
        <v>63</v>
      </c>
      <c r="N317">
        <v>7.0097463050000002</v>
      </c>
      <c r="O317">
        <v>5</v>
      </c>
      <c r="P317" t="s">
        <v>15</v>
      </c>
      <c r="Q317">
        <v>91.3</v>
      </c>
      <c r="R317" t="s">
        <v>13</v>
      </c>
      <c r="S317" t="s">
        <v>16</v>
      </c>
      <c r="T317" t="s">
        <v>14</v>
      </c>
      <c r="U317" s="34">
        <v>32</v>
      </c>
      <c r="V317" s="34">
        <v>34</v>
      </c>
      <c r="W317" s="25">
        <v>33</v>
      </c>
      <c r="X317" s="25">
        <v>2</v>
      </c>
      <c r="Y317">
        <v>1.0774796689999999</v>
      </c>
      <c r="Z317" t="s">
        <v>773</v>
      </c>
      <c r="AA317" t="s">
        <v>644</v>
      </c>
      <c r="AB317">
        <v>1</v>
      </c>
      <c r="AC317">
        <v>34</v>
      </c>
      <c r="AF317" t="s">
        <v>669</v>
      </c>
      <c r="AG317" s="32" t="s">
        <v>1321</v>
      </c>
      <c r="AH317" s="32" t="s">
        <v>1301</v>
      </c>
      <c r="AI317" s="32" t="s">
        <v>1322</v>
      </c>
      <c r="AJ317" s="31" t="s">
        <v>2800</v>
      </c>
      <c r="AK317" s="31">
        <v>0.87</v>
      </c>
      <c r="AL317" s="31">
        <v>564.93506493506493</v>
      </c>
      <c r="AM317" s="31">
        <v>84.415584415584362</v>
      </c>
      <c r="AN317" s="31">
        <v>4337.4057875065791</v>
      </c>
      <c r="AO317" s="31">
        <v>648.11810617914364</v>
      </c>
      <c r="AP317" s="31">
        <v>4.6734665522412735</v>
      </c>
      <c r="AQ317" s="31">
        <v>0.69833408251881057</v>
      </c>
      <c r="AR317" s="31">
        <v>0.13341858489683281</v>
      </c>
    </row>
    <row r="318" spans="1:44" hidden="1" x14ac:dyDescent="0.5">
      <c r="A318" s="31">
        <v>317</v>
      </c>
      <c r="B318" s="31">
        <v>21</v>
      </c>
      <c r="C318" s="225" t="s">
        <v>42</v>
      </c>
      <c r="D318" s="35">
        <v>-42.786999999999999</v>
      </c>
      <c r="E318" s="33">
        <v>147.28800000000001</v>
      </c>
      <c r="F318">
        <v>0.18</v>
      </c>
      <c r="G318">
        <f>F318*1609.344</f>
        <v>289.68191999999999</v>
      </c>
      <c r="H318" s="32" t="s">
        <v>45</v>
      </c>
      <c r="I318" s="7">
        <v>0</v>
      </c>
      <c r="J318">
        <v>14.395379070296</v>
      </c>
      <c r="K318" s="26">
        <v>2004</v>
      </c>
      <c r="L318" t="s">
        <v>30</v>
      </c>
      <c r="M318" s="32">
        <v>63</v>
      </c>
      <c r="N318">
        <v>7.0097463050000002</v>
      </c>
      <c r="O318">
        <v>5</v>
      </c>
      <c r="P318" t="s">
        <v>15</v>
      </c>
      <c r="Q318">
        <v>91.3</v>
      </c>
      <c r="R318" t="s">
        <v>13</v>
      </c>
      <c r="S318" t="s">
        <v>16</v>
      </c>
      <c r="T318" t="s">
        <v>14</v>
      </c>
      <c r="U318" s="34">
        <v>15</v>
      </c>
      <c r="V318" s="34">
        <v>18</v>
      </c>
      <c r="W318" s="25">
        <v>16.5</v>
      </c>
      <c r="X318" s="25">
        <v>3</v>
      </c>
      <c r="Y318">
        <v>1.0774796689999999</v>
      </c>
      <c r="Z318" t="s">
        <v>773</v>
      </c>
      <c r="AA318" t="s">
        <v>644</v>
      </c>
      <c r="AB318">
        <v>1</v>
      </c>
      <c r="AC318">
        <v>78</v>
      </c>
      <c r="AF318" t="s">
        <v>669</v>
      </c>
      <c r="AG318" s="32" t="s">
        <v>1323</v>
      </c>
      <c r="AH318" s="32" t="s">
        <v>1301</v>
      </c>
      <c r="AI318" s="32" t="s">
        <v>1324</v>
      </c>
      <c r="AJ318" s="31" t="s">
        <v>2801</v>
      </c>
      <c r="AK318" s="31">
        <v>0.87</v>
      </c>
      <c r="AL318" s="31">
        <v>1296.0275019098549</v>
      </c>
      <c r="AM318" s="31">
        <v>193.659281894576</v>
      </c>
      <c r="AN318" s="31">
        <v>9950.5191595739179</v>
      </c>
      <c r="AO318" s="31">
        <v>1486.8591847639186</v>
      </c>
      <c r="AP318" s="31">
        <v>10.721482090435863</v>
      </c>
      <c r="AQ318" s="31">
        <v>1.6020605422490366</v>
      </c>
      <c r="AR318" s="31">
        <v>0.13341858489683281</v>
      </c>
    </row>
    <row r="319" spans="1:44" hidden="1" x14ac:dyDescent="0.5">
      <c r="A319" s="31">
        <v>318</v>
      </c>
      <c r="B319" s="31">
        <v>21</v>
      </c>
      <c r="C319" s="225" t="s">
        <v>42</v>
      </c>
      <c r="D319" s="35">
        <v>-42.786999999999999</v>
      </c>
      <c r="E319" s="33">
        <v>147.28800000000001</v>
      </c>
      <c r="F319">
        <v>0.18</v>
      </c>
      <c r="G319">
        <f>F319*1609.344</f>
        <v>289.68191999999999</v>
      </c>
      <c r="H319" s="32" t="s">
        <v>45</v>
      </c>
      <c r="I319" s="7">
        <v>0</v>
      </c>
      <c r="J319">
        <v>14.395379070296</v>
      </c>
      <c r="K319" s="26">
        <v>2004</v>
      </c>
      <c r="L319" t="s">
        <v>30</v>
      </c>
      <c r="M319" s="32">
        <v>63</v>
      </c>
      <c r="N319">
        <v>7.0097463050000002</v>
      </c>
      <c r="O319">
        <v>5</v>
      </c>
      <c r="P319" t="s">
        <v>15</v>
      </c>
      <c r="Q319">
        <v>91.3</v>
      </c>
      <c r="R319" t="s">
        <v>13</v>
      </c>
      <c r="S319" t="s">
        <v>16</v>
      </c>
      <c r="T319" t="s">
        <v>14</v>
      </c>
      <c r="U319" s="34">
        <v>3</v>
      </c>
      <c r="V319" s="34">
        <v>6</v>
      </c>
      <c r="W319" s="25">
        <v>4.5</v>
      </c>
      <c r="X319" s="25">
        <v>3</v>
      </c>
      <c r="Y319">
        <v>1.0774796689999999</v>
      </c>
      <c r="Z319" t="s">
        <v>773</v>
      </c>
      <c r="AA319" t="s">
        <v>644</v>
      </c>
      <c r="AB319">
        <v>1</v>
      </c>
      <c r="AC319">
        <v>95</v>
      </c>
      <c r="AF319" t="s">
        <v>669</v>
      </c>
      <c r="AG319" s="32" t="s">
        <v>1325</v>
      </c>
      <c r="AH319" s="32" t="s">
        <v>1301</v>
      </c>
      <c r="AI319" s="32" t="s">
        <v>1326</v>
      </c>
      <c r="AJ319" s="31" t="s">
        <v>2802</v>
      </c>
      <c r="AK319" s="31">
        <v>0.87</v>
      </c>
      <c r="AL319" s="31">
        <v>1578.4950343773876</v>
      </c>
      <c r="AM319" s="31">
        <v>235.86707410236818</v>
      </c>
      <c r="AN319" s="31">
        <v>12119.222053327208</v>
      </c>
      <c r="AO319" s="31">
        <v>1810.9182378534904</v>
      </c>
      <c r="AP319" s="31">
        <v>13.0582153665565</v>
      </c>
      <c r="AQ319" s="31">
        <v>1.9512275835084421</v>
      </c>
      <c r="AR319" s="31">
        <v>0.13341858489683281</v>
      </c>
    </row>
    <row r="320" spans="1:44" hidden="1" x14ac:dyDescent="0.5">
      <c r="A320" s="31">
        <v>497</v>
      </c>
      <c r="B320" s="31">
        <v>33</v>
      </c>
      <c r="C320" s="225" t="s">
        <v>20</v>
      </c>
      <c r="D320" s="35">
        <v>54.634284999999998</v>
      </c>
      <c r="E320" s="33">
        <v>19.876138000000001</v>
      </c>
      <c r="F320">
        <v>0</v>
      </c>
      <c r="G320">
        <f>F320*1609.344</f>
        <v>0</v>
      </c>
      <c r="H320" s="32" t="s">
        <v>10</v>
      </c>
      <c r="I320">
        <v>0</v>
      </c>
      <c r="J320">
        <v>114.957454784394</v>
      </c>
      <c r="K320" s="26">
        <v>2016</v>
      </c>
      <c r="L320" t="s">
        <v>30</v>
      </c>
      <c r="M320" s="32">
        <v>100</v>
      </c>
      <c r="N320">
        <v>11.428783320000001</v>
      </c>
      <c r="O320">
        <v>5</v>
      </c>
      <c r="P320" t="s">
        <v>23</v>
      </c>
      <c r="Q320">
        <v>99.65</v>
      </c>
      <c r="R320" t="s">
        <v>24</v>
      </c>
      <c r="S320" t="s">
        <v>16</v>
      </c>
      <c r="T320" t="s">
        <v>16</v>
      </c>
      <c r="U320" s="34">
        <v>133</v>
      </c>
      <c r="V320" s="34">
        <v>141</v>
      </c>
      <c r="W320" s="25">
        <v>137</v>
      </c>
      <c r="X320" s="25">
        <v>8</v>
      </c>
      <c r="Y320" s="244">
        <v>0.54424737099999998</v>
      </c>
      <c r="Z320" t="s">
        <v>754</v>
      </c>
      <c r="AA320" t="s">
        <v>620</v>
      </c>
      <c r="AB320">
        <v>1</v>
      </c>
      <c r="AC320">
        <v>45</v>
      </c>
      <c r="AF320" t="s">
        <v>532</v>
      </c>
      <c r="AG320" s="32">
        <v>45</v>
      </c>
      <c r="AH320" s="32" t="s">
        <v>1519</v>
      </c>
      <c r="AI320" s="32" t="s">
        <v>1520</v>
      </c>
      <c r="AJ320" s="31" t="s">
        <v>2915</v>
      </c>
      <c r="AK320" s="31">
        <v>0.84089999999999998</v>
      </c>
      <c r="AL320" s="31">
        <v>37.840499999999999</v>
      </c>
      <c r="AM320" s="31">
        <v>7.1595000000000013</v>
      </c>
      <c r="AN320" s="31">
        <v>433.98983965926743</v>
      </c>
      <c r="AO320" s="31">
        <v>82.111765358294036</v>
      </c>
      <c r="AP320" s="31">
        <v>0.23619782927526781</v>
      </c>
      <c r="AQ320" s="31">
        <v>4.4689112424420398E-2</v>
      </c>
      <c r="AR320" s="31">
        <v>0.13341858489683281</v>
      </c>
    </row>
    <row r="321" spans="1:44" hidden="1" x14ac:dyDescent="0.5">
      <c r="A321" s="31">
        <v>498</v>
      </c>
      <c r="B321" s="31">
        <v>33</v>
      </c>
      <c r="C321" s="225" t="s">
        <v>20</v>
      </c>
      <c r="D321" s="35">
        <v>54.634284999999998</v>
      </c>
      <c r="E321" s="33">
        <v>19.876138000000001</v>
      </c>
      <c r="F321">
        <v>0</v>
      </c>
      <c r="G321">
        <f>F321*1609.344</f>
        <v>0</v>
      </c>
      <c r="H321" s="32" t="s">
        <v>10</v>
      </c>
      <c r="I321">
        <v>0</v>
      </c>
      <c r="J321">
        <v>114.957454784394</v>
      </c>
      <c r="K321" s="26">
        <v>2016</v>
      </c>
      <c r="L321" t="s">
        <v>30</v>
      </c>
      <c r="M321" s="32">
        <v>100</v>
      </c>
      <c r="N321">
        <v>11.428783320000001</v>
      </c>
      <c r="O321">
        <v>5</v>
      </c>
      <c r="P321" t="s">
        <v>23</v>
      </c>
      <c r="Q321">
        <v>99.65</v>
      </c>
      <c r="R321" t="s">
        <v>24</v>
      </c>
      <c r="S321" t="s">
        <v>16</v>
      </c>
      <c r="T321" t="s">
        <v>16</v>
      </c>
      <c r="U321" s="34">
        <v>123.5</v>
      </c>
      <c r="V321" s="34">
        <v>131.5</v>
      </c>
      <c r="W321" s="25">
        <v>127.5</v>
      </c>
      <c r="X321" s="25">
        <v>8</v>
      </c>
      <c r="Y321" s="244">
        <v>0.54424737099999998</v>
      </c>
      <c r="Z321" t="s">
        <v>754</v>
      </c>
      <c r="AA321" t="s">
        <v>620</v>
      </c>
      <c r="AB321">
        <v>1</v>
      </c>
      <c r="AC321">
        <v>80</v>
      </c>
      <c r="AF321" t="s">
        <v>532</v>
      </c>
      <c r="AG321" s="32">
        <v>80</v>
      </c>
      <c r="AH321" s="32" t="s">
        <v>1521</v>
      </c>
      <c r="AI321" s="32" t="s">
        <v>1522</v>
      </c>
      <c r="AJ321" s="31" t="s">
        <v>2916</v>
      </c>
      <c r="AK321" s="31">
        <v>0.74680000000000002</v>
      </c>
      <c r="AL321" s="31">
        <v>59.744</v>
      </c>
      <c r="AM321" s="31">
        <v>20.256</v>
      </c>
      <c r="AN321" s="31">
        <v>685.19942867042653</v>
      </c>
      <c r="AO321" s="31">
        <v>232.31453580523831</v>
      </c>
      <c r="AP321" s="31">
        <v>0.37291798766458162</v>
      </c>
      <c r="AQ321" s="31">
        <v>0.1264365753570863</v>
      </c>
      <c r="AR321" s="31">
        <v>0.13341858489683281</v>
      </c>
    </row>
    <row r="322" spans="1:44" hidden="1" x14ac:dyDescent="0.5">
      <c r="A322" s="31">
        <v>499</v>
      </c>
      <c r="B322" s="31">
        <v>33</v>
      </c>
      <c r="C322" s="225" t="s">
        <v>20</v>
      </c>
      <c r="D322" s="35">
        <v>54.634284999999998</v>
      </c>
      <c r="E322" s="33">
        <v>19.876138000000001</v>
      </c>
      <c r="F322">
        <v>0</v>
      </c>
      <c r="G322">
        <f>F322*1609.344</f>
        <v>0</v>
      </c>
      <c r="H322" s="32" t="s">
        <v>10</v>
      </c>
      <c r="I322">
        <v>0</v>
      </c>
      <c r="J322">
        <v>114.957454784394</v>
      </c>
      <c r="K322" s="26">
        <v>2016</v>
      </c>
      <c r="L322" t="s">
        <v>30</v>
      </c>
      <c r="M322" s="32">
        <v>100</v>
      </c>
      <c r="N322">
        <v>11.428783320000001</v>
      </c>
      <c r="O322">
        <v>5</v>
      </c>
      <c r="P322" t="s">
        <v>23</v>
      </c>
      <c r="Q322">
        <v>99.65</v>
      </c>
      <c r="R322" t="s">
        <v>24</v>
      </c>
      <c r="S322" t="s">
        <v>16</v>
      </c>
      <c r="T322" t="s">
        <v>16</v>
      </c>
      <c r="U322" s="34">
        <v>104.5</v>
      </c>
      <c r="V322" s="34">
        <v>112.5</v>
      </c>
      <c r="W322" s="25">
        <v>108.5</v>
      </c>
      <c r="X322" s="25">
        <v>8</v>
      </c>
      <c r="Y322" s="244">
        <v>0.54424737099999998</v>
      </c>
      <c r="Z322" t="s">
        <v>754</v>
      </c>
      <c r="AA322" t="s">
        <v>620</v>
      </c>
      <c r="AB322">
        <v>1</v>
      </c>
      <c r="AC322">
        <v>142</v>
      </c>
      <c r="AF322" t="s">
        <v>532</v>
      </c>
      <c r="AG322" s="32">
        <v>142</v>
      </c>
      <c r="AH322" s="32" t="s">
        <v>1523</v>
      </c>
      <c r="AI322" s="32" t="s">
        <v>1524</v>
      </c>
      <c r="AJ322" s="31" t="s">
        <v>2917</v>
      </c>
      <c r="AK322" s="31">
        <v>0.92959999999999998</v>
      </c>
      <c r="AL322" s="31">
        <v>132.00319999999999</v>
      </c>
      <c r="AM322" s="31">
        <v>9.9968000000000075</v>
      </c>
      <c r="AN322" s="31">
        <v>1513.9347419434259</v>
      </c>
      <c r="AO322" s="31">
        <v>114.65254500087916</v>
      </c>
      <c r="AP322" s="31">
        <v>0.82395500316827297</v>
      </c>
      <c r="AQ322" s="31">
        <v>6.2399346195187666E-2</v>
      </c>
      <c r="AR322" s="31">
        <v>0.13341858489683281</v>
      </c>
    </row>
    <row r="323" spans="1:44" hidden="1" x14ac:dyDescent="0.5">
      <c r="A323" s="31">
        <v>508</v>
      </c>
      <c r="B323" s="31">
        <v>33</v>
      </c>
      <c r="C323" s="225" t="s">
        <v>20</v>
      </c>
      <c r="D323" s="35">
        <v>54.634284999999998</v>
      </c>
      <c r="E323" s="33">
        <v>19.876138000000001</v>
      </c>
      <c r="F323">
        <v>0</v>
      </c>
      <c r="G323">
        <f>F323*1609.344</f>
        <v>0</v>
      </c>
      <c r="H323" s="32" t="s">
        <v>10</v>
      </c>
      <c r="I323">
        <v>0</v>
      </c>
      <c r="J323">
        <v>114.957454784394</v>
      </c>
      <c r="K323" s="26">
        <v>2016</v>
      </c>
      <c r="L323" t="s">
        <v>11</v>
      </c>
      <c r="M323" s="32">
        <v>100</v>
      </c>
      <c r="N323">
        <v>11.428783320000001</v>
      </c>
      <c r="O323">
        <v>5</v>
      </c>
      <c r="P323" t="s">
        <v>23</v>
      </c>
      <c r="Q323">
        <v>99.65</v>
      </c>
      <c r="R323" t="s">
        <v>24</v>
      </c>
      <c r="S323" t="s">
        <v>16</v>
      </c>
      <c r="T323" t="s">
        <v>16</v>
      </c>
      <c r="U323" s="34">
        <v>0</v>
      </c>
      <c r="V323" s="34">
        <v>2</v>
      </c>
      <c r="W323" s="25">
        <v>1</v>
      </c>
      <c r="X323" s="25">
        <v>2</v>
      </c>
      <c r="Y323" s="244">
        <v>0.54424737099999998</v>
      </c>
      <c r="Z323" t="s">
        <v>754</v>
      </c>
      <c r="AA323" t="s">
        <v>620</v>
      </c>
      <c r="AB323">
        <v>1</v>
      </c>
      <c r="AC323">
        <v>53</v>
      </c>
      <c r="AF323" t="s">
        <v>532</v>
      </c>
      <c r="AG323" s="32">
        <v>53</v>
      </c>
      <c r="AH323" s="32" t="s">
        <v>1533</v>
      </c>
      <c r="AI323" s="32" t="s">
        <v>1534</v>
      </c>
      <c r="AJ323" s="31" t="s">
        <v>2921</v>
      </c>
      <c r="AK323" s="31">
        <v>0.26419999999999999</v>
      </c>
      <c r="AL323" s="31">
        <v>14.002599999999999</v>
      </c>
      <c r="AM323" s="31">
        <v>38.997399999999999</v>
      </c>
      <c r="AN323" s="31">
        <v>160.5947629870868</v>
      </c>
      <c r="AO323" s="31">
        <v>447.25823847804111</v>
      </c>
      <c r="AP323" s="31">
        <v>8.7403277552090097E-2</v>
      </c>
      <c r="AQ323" s="31">
        <v>0.24341912044976488</v>
      </c>
      <c r="AR323" s="31">
        <v>0.13341858489683281</v>
      </c>
    </row>
    <row r="324" spans="1:44" hidden="1" x14ac:dyDescent="0.5">
      <c r="A324" s="31">
        <v>509</v>
      </c>
      <c r="B324" s="31">
        <v>33</v>
      </c>
      <c r="C324" s="225" t="s">
        <v>20</v>
      </c>
      <c r="D324" s="35">
        <v>54.634284999999998</v>
      </c>
      <c r="E324" s="33">
        <v>19.876138000000001</v>
      </c>
      <c r="F324">
        <v>0</v>
      </c>
      <c r="G324">
        <f>F324*1609.344</f>
        <v>0</v>
      </c>
      <c r="H324" s="32" t="s">
        <v>10</v>
      </c>
      <c r="I324">
        <v>0</v>
      </c>
      <c r="J324">
        <v>114.957454784394</v>
      </c>
      <c r="K324" s="26">
        <v>2016</v>
      </c>
      <c r="L324" t="s">
        <v>11</v>
      </c>
      <c r="M324" s="32">
        <v>100</v>
      </c>
      <c r="N324">
        <v>11.428783320000001</v>
      </c>
      <c r="O324">
        <v>5</v>
      </c>
      <c r="P324" t="s">
        <v>23</v>
      </c>
      <c r="Q324">
        <v>99.65</v>
      </c>
      <c r="R324" t="s">
        <v>24</v>
      </c>
      <c r="S324" t="s">
        <v>16</v>
      </c>
      <c r="T324" t="s">
        <v>16</v>
      </c>
      <c r="U324" s="34">
        <v>0</v>
      </c>
      <c r="V324" s="34">
        <v>2</v>
      </c>
      <c r="W324" s="25">
        <v>1</v>
      </c>
      <c r="X324" s="25">
        <v>2</v>
      </c>
      <c r="Y324" s="244">
        <v>0.54424737099999998</v>
      </c>
      <c r="Z324" t="s">
        <v>754</v>
      </c>
      <c r="AA324" t="s">
        <v>620</v>
      </c>
      <c r="AB324">
        <v>1</v>
      </c>
      <c r="AC324">
        <v>373</v>
      </c>
      <c r="AF324" t="s">
        <v>532</v>
      </c>
      <c r="AG324" s="32">
        <v>373</v>
      </c>
      <c r="AH324" s="32" t="s">
        <v>1535</v>
      </c>
      <c r="AI324" s="32" t="s">
        <v>1536</v>
      </c>
      <c r="AJ324" s="31" t="s">
        <v>2922</v>
      </c>
      <c r="AK324" s="31">
        <v>1.34E-2</v>
      </c>
      <c r="AL324" s="31">
        <v>4.9981999999999998</v>
      </c>
      <c r="AM324" s="31">
        <v>368.0018</v>
      </c>
      <c r="AN324" s="31">
        <v>57.323978715528348</v>
      </c>
      <c r="AO324" s="31">
        <v>4220.5848806522599</v>
      </c>
      <c r="AP324" s="31">
        <v>3.1198424711186262E-2</v>
      </c>
      <c r="AQ324" s="31">
        <v>2.297042225377341</v>
      </c>
      <c r="AR324" s="31">
        <v>0.13341858489683281</v>
      </c>
    </row>
    <row r="325" spans="1:44" hidden="1" x14ac:dyDescent="0.5">
      <c r="A325" s="31">
        <v>797</v>
      </c>
      <c r="B325" s="31">
        <v>56</v>
      </c>
      <c r="C325" s="225" t="s">
        <v>20</v>
      </c>
      <c r="D325" s="39">
        <v>54.625312000000001</v>
      </c>
      <c r="E325" s="40">
        <v>19.787800000000001</v>
      </c>
      <c r="F325">
        <v>2.31</v>
      </c>
      <c r="G325">
        <f>F325*1609.344</f>
        <v>3717.58464</v>
      </c>
      <c r="H325" s="32" t="s">
        <v>614</v>
      </c>
      <c r="I325">
        <v>15</v>
      </c>
      <c r="J325">
        <v>123.41611639071</v>
      </c>
      <c r="K325" s="26">
        <v>2015</v>
      </c>
      <c r="L325" t="s">
        <v>40</v>
      </c>
      <c r="M325" s="32">
        <v>174</v>
      </c>
      <c r="N325">
        <v>20.53530245</v>
      </c>
      <c r="P325" t="s">
        <v>23</v>
      </c>
      <c r="Q325">
        <v>90</v>
      </c>
      <c r="R325" t="s">
        <v>13</v>
      </c>
      <c r="S325" t="s">
        <v>16</v>
      </c>
      <c r="T325" t="s">
        <v>14</v>
      </c>
      <c r="U325" s="34">
        <v>0</v>
      </c>
      <c r="V325" s="34">
        <v>10</v>
      </c>
      <c r="W325" s="25">
        <v>5</v>
      </c>
      <c r="X325" s="25">
        <v>10</v>
      </c>
      <c r="Y325" s="244">
        <v>0.54424737099999998</v>
      </c>
      <c r="Z325" t="s">
        <v>754</v>
      </c>
      <c r="AA325" t="s">
        <v>620</v>
      </c>
      <c r="AB325">
        <v>1</v>
      </c>
      <c r="AC325">
        <v>12</v>
      </c>
      <c r="AF325" t="s">
        <v>532</v>
      </c>
      <c r="AG325" s="32">
        <v>12</v>
      </c>
      <c r="AH325" s="32">
        <v>1</v>
      </c>
      <c r="AI325" s="32">
        <v>12</v>
      </c>
      <c r="AJ325" s="31">
        <v>0</v>
      </c>
      <c r="AK325" s="31">
        <v>1</v>
      </c>
      <c r="AL325" s="31">
        <v>12</v>
      </c>
      <c r="AM325" s="31">
        <v>0</v>
      </c>
      <c r="AN325" s="31">
        <v>273.80403266666661</v>
      </c>
      <c r="AO325" s="31">
        <v>0</v>
      </c>
      <c r="AP325" s="31">
        <v>0.14901712494803143</v>
      </c>
      <c r="AQ325" s="31">
        <v>0</v>
      </c>
      <c r="AR325" s="31">
        <v>0.13142849355358946</v>
      </c>
    </row>
    <row r="326" spans="1:44" hidden="1" x14ac:dyDescent="0.5">
      <c r="A326" s="31">
        <v>798</v>
      </c>
      <c r="B326" s="31">
        <v>56</v>
      </c>
      <c r="C326" s="225" t="s">
        <v>20</v>
      </c>
      <c r="D326" s="39">
        <v>54.645592999999998</v>
      </c>
      <c r="E326" s="40">
        <v>19.742885999999999</v>
      </c>
      <c r="F326">
        <v>5.01</v>
      </c>
      <c r="G326">
        <f>F326*1609.344</f>
        <v>8062.8134399999999</v>
      </c>
      <c r="H326" s="32" t="s">
        <v>614</v>
      </c>
      <c r="I326">
        <v>20</v>
      </c>
      <c r="J326">
        <v>128.406694710582</v>
      </c>
      <c r="K326" s="26">
        <v>2015</v>
      </c>
      <c r="L326" t="s">
        <v>40</v>
      </c>
      <c r="M326" s="32">
        <v>174</v>
      </c>
      <c r="N326">
        <v>20.53530245</v>
      </c>
      <c r="P326" t="s">
        <v>23</v>
      </c>
      <c r="Q326">
        <v>90</v>
      </c>
      <c r="R326" t="s">
        <v>13</v>
      </c>
      <c r="S326" t="s">
        <v>16</v>
      </c>
      <c r="T326" t="s">
        <v>14</v>
      </c>
      <c r="U326" s="34">
        <v>0</v>
      </c>
      <c r="V326" s="34">
        <v>10</v>
      </c>
      <c r="W326" s="25">
        <v>5</v>
      </c>
      <c r="X326" s="25">
        <v>10</v>
      </c>
      <c r="Y326" s="244">
        <v>0.54424737099999998</v>
      </c>
      <c r="Z326" t="s">
        <v>754</v>
      </c>
      <c r="AA326" t="s">
        <v>620</v>
      </c>
      <c r="AB326">
        <v>1</v>
      </c>
      <c r="AC326">
        <v>29.9</v>
      </c>
      <c r="AF326" t="s">
        <v>532</v>
      </c>
      <c r="AG326" s="32" t="s">
        <v>1973</v>
      </c>
      <c r="AH326" s="32">
        <v>1</v>
      </c>
      <c r="AI326" s="32" t="s">
        <v>1973</v>
      </c>
      <c r="AJ326" s="31">
        <v>0</v>
      </c>
      <c r="AK326" s="31">
        <v>1</v>
      </c>
      <c r="AL326" s="31">
        <v>29.9</v>
      </c>
      <c r="AM326" s="31">
        <v>0</v>
      </c>
      <c r="AN326" s="31">
        <v>682.22838139444434</v>
      </c>
      <c r="AO326" s="31">
        <v>0</v>
      </c>
      <c r="AP326" s="31">
        <v>0.37130100299551161</v>
      </c>
      <c r="AQ326" s="31">
        <v>0</v>
      </c>
      <c r="AR326" s="31">
        <v>0.13077174832993385</v>
      </c>
    </row>
    <row r="327" spans="1:44" customFormat="1" hidden="1" x14ac:dyDescent="0.5">
      <c r="A327">
        <v>799</v>
      </c>
      <c r="B327">
        <v>56</v>
      </c>
      <c r="C327" s="226" t="s">
        <v>20</v>
      </c>
      <c r="D327" s="230">
        <v>54.665294000000003</v>
      </c>
      <c r="E327" s="231">
        <v>19.647252000000002</v>
      </c>
      <c r="F327">
        <v>9.0399999999999991</v>
      </c>
      <c r="G327">
        <f>F327*1609.344</f>
        <v>14548.46976</v>
      </c>
      <c r="H327" s="30" t="s">
        <v>614</v>
      </c>
      <c r="I327">
        <v>25</v>
      </c>
      <c r="J327">
        <v>137.22564407893401</v>
      </c>
      <c r="K327" s="26">
        <v>2015</v>
      </c>
      <c r="L327" t="s">
        <v>40</v>
      </c>
      <c r="M327" s="30">
        <v>174</v>
      </c>
      <c r="N327">
        <v>20.53530245</v>
      </c>
      <c r="P327" t="s">
        <v>23</v>
      </c>
      <c r="Q327">
        <v>90</v>
      </c>
      <c r="R327" t="s">
        <v>13</v>
      </c>
      <c r="S327" t="s">
        <v>16</v>
      </c>
      <c r="T327" t="s">
        <v>14</v>
      </c>
      <c r="U327" s="29">
        <v>0</v>
      </c>
      <c r="V327" s="29">
        <v>10</v>
      </c>
      <c r="W327" s="25">
        <v>5</v>
      </c>
      <c r="X327" s="25">
        <v>10</v>
      </c>
      <c r="Y327" s="244">
        <v>0.54424737099999998</v>
      </c>
      <c r="Z327" t="s">
        <v>754</v>
      </c>
      <c r="AA327" t="s">
        <v>620</v>
      </c>
      <c r="AB327">
        <v>1</v>
      </c>
      <c r="AC327">
        <v>25.8</v>
      </c>
      <c r="AF327" t="s">
        <v>532</v>
      </c>
      <c r="AG327" s="30" t="s">
        <v>1974</v>
      </c>
      <c r="AH327" s="30" t="s">
        <v>1975</v>
      </c>
      <c r="AI327" s="30" t="s">
        <v>1976</v>
      </c>
      <c r="AJ327" t="s">
        <v>3117</v>
      </c>
      <c r="AK327">
        <v>0.155</v>
      </c>
      <c r="AL327">
        <v>3.9990000000000001</v>
      </c>
      <c r="AM327">
        <v>21.801000000000002</v>
      </c>
      <c r="AN327">
        <v>91.24519388616666</v>
      </c>
      <c r="AO327">
        <v>497.43347634716667</v>
      </c>
      <c r="AP327">
        <v>4.9659956888931475E-2</v>
      </c>
      <c r="AQ327">
        <v>0.27072686174933613</v>
      </c>
      <c r="AR327">
        <v>0.13011828484737659</v>
      </c>
    </row>
    <row r="328" spans="1:44" hidden="1" x14ac:dyDescent="0.5">
      <c r="A328" s="31">
        <v>576</v>
      </c>
      <c r="B328" s="31">
        <v>42</v>
      </c>
      <c r="C328" s="225" t="s">
        <v>20</v>
      </c>
      <c r="D328" s="39">
        <v>54.615588000000002</v>
      </c>
      <c r="E328" s="40">
        <v>19.860703999999998</v>
      </c>
      <c r="F328">
        <v>0</v>
      </c>
      <c r="G328">
        <f>F328*1609.344</f>
        <v>0</v>
      </c>
      <c r="H328" s="31" t="s">
        <v>10</v>
      </c>
      <c r="I328">
        <v>0</v>
      </c>
      <c r="J328">
        <v>116.70388592796699</v>
      </c>
      <c r="K328" s="26">
        <v>2015</v>
      </c>
      <c r="L328" t="s">
        <v>11</v>
      </c>
      <c r="M328" s="32">
        <v>500</v>
      </c>
      <c r="N328">
        <v>62.735052189999998</v>
      </c>
      <c r="O328">
        <v>5</v>
      </c>
      <c r="P328" t="s">
        <v>23</v>
      </c>
      <c r="Q328">
        <v>95.5</v>
      </c>
      <c r="R328" t="s">
        <v>27</v>
      </c>
      <c r="S328" t="s">
        <v>16</v>
      </c>
      <c r="T328" t="s">
        <v>16</v>
      </c>
      <c r="U328" s="240">
        <v>0</v>
      </c>
      <c r="V328" s="240">
        <v>2</v>
      </c>
      <c r="W328" s="25">
        <v>1</v>
      </c>
      <c r="X328" s="25">
        <v>2</v>
      </c>
      <c r="Y328" s="244">
        <v>0.54424737099999998</v>
      </c>
      <c r="Z328" t="s">
        <v>754</v>
      </c>
      <c r="AA328" t="s">
        <v>620</v>
      </c>
      <c r="AB328">
        <v>7</v>
      </c>
      <c r="AC328">
        <v>2.1</v>
      </c>
      <c r="AD328">
        <v>1.6</v>
      </c>
      <c r="AE328" t="s">
        <v>519</v>
      </c>
      <c r="AF328" t="s">
        <v>532</v>
      </c>
      <c r="AG328" s="32">
        <v>2.1</v>
      </c>
      <c r="AH328" s="32" t="s">
        <v>671</v>
      </c>
      <c r="AI328" s="32" t="s">
        <v>1129</v>
      </c>
      <c r="AJ328" s="31" t="s">
        <v>1130</v>
      </c>
      <c r="AK328" s="31">
        <v>0.59524549999999998</v>
      </c>
      <c r="AL328" s="31">
        <v>1.2500155500000001</v>
      </c>
      <c r="AM328" s="31">
        <v>0.84998445</v>
      </c>
      <c r="AN328" s="31">
        <v>82.114964154514709</v>
      </c>
      <c r="AO328" s="31">
        <v>55.836459509359628</v>
      </c>
      <c r="AP328" s="31">
        <v>4.4690853360853863E-2</v>
      </c>
      <c r="AQ328" s="31">
        <v>3.0388846293916926E-2</v>
      </c>
      <c r="AR328" s="31">
        <v>0.13341858489683281</v>
      </c>
    </row>
    <row r="329" spans="1:44" customFormat="1" hidden="1" x14ac:dyDescent="0.5">
      <c r="A329">
        <v>469</v>
      </c>
      <c r="B329">
        <v>33</v>
      </c>
      <c r="C329" s="226" t="s">
        <v>20</v>
      </c>
      <c r="D329" s="227">
        <v>54.605522000000001</v>
      </c>
      <c r="E329" s="228">
        <v>19.847404999999998</v>
      </c>
      <c r="F329">
        <v>0</v>
      </c>
      <c r="G329">
        <f>F329*1609.344</f>
        <v>0</v>
      </c>
      <c r="H329" s="30" t="s">
        <v>10</v>
      </c>
      <c r="I329">
        <v>0</v>
      </c>
      <c r="J329">
        <v>118.042709574572</v>
      </c>
      <c r="K329" s="26">
        <v>2016</v>
      </c>
      <c r="L329" t="s">
        <v>30</v>
      </c>
      <c r="M329" s="30">
        <v>100</v>
      </c>
      <c r="N329">
        <v>11.428783320000001</v>
      </c>
      <c r="O329">
        <v>5</v>
      </c>
      <c r="P329" t="s">
        <v>23</v>
      </c>
      <c r="Q329">
        <v>99.65</v>
      </c>
      <c r="R329" t="s">
        <v>24</v>
      </c>
      <c r="S329" t="s">
        <v>16</v>
      </c>
      <c r="T329" t="s">
        <v>16</v>
      </c>
      <c r="U329" s="29">
        <v>16</v>
      </c>
      <c r="V329" s="29">
        <v>24</v>
      </c>
      <c r="W329" s="25">
        <v>20</v>
      </c>
      <c r="X329" s="25">
        <v>8</v>
      </c>
      <c r="Y329" s="244">
        <v>0.54424737099999998</v>
      </c>
      <c r="Z329" t="s">
        <v>754</v>
      </c>
      <c r="AA329" t="s">
        <v>620</v>
      </c>
      <c r="AB329">
        <v>1</v>
      </c>
      <c r="AC329">
        <v>13</v>
      </c>
      <c r="AF329" t="s">
        <v>532</v>
      </c>
      <c r="AG329" s="30">
        <v>13</v>
      </c>
      <c r="AH329" s="30" t="s">
        <v>1472</v>
      </c>
      <c r="AI329" s="30" t="s">
        <v>1473</v>
      </c>
      <c r="AJ329" t="s">
        <v>2892</v>
      </c>
      <c r="AK329">
        <v>0.84619999999999995</v>
      </c>
      <c r="AL329">
        <v>11.000599999999999</v>
      </c>
      <c r="AM329">
        <v>1.9994000000000014</v>
      </c>
      <c r="AN329">
        <v>126.16505147013748</v>
      </c>
      <c r="AO329">
        <v>22.930967757158072</v>
      </c>
      <c r="AP329">
        <v>6.8664997574702014E-2</v>
      </c>
      <c r="AQ329">
        <v>1.2480118916319047E-2</v>
      </c>
      <c r="AR329">
        <v>0.13341858489683281</v>
      </c>
    </row>
    <row r="330" spans="1:44" customFormat="1" hidden="1" x14ac:dyDescent="0.5">
      <c r="A330">
        <v>470</v>
      </c>
      <c r="B330">
        <v>33</v>
      </c>
      <c r="C330" s="226" t="s">
        <v>20</v>
      </c>
      <c r="D330" s="227">
        <v>54.605522000000001</v>
      </c>
      <c r="E330" s="228">
        <v>19.847404999999998</v>
      </c>
      <c r="F330">
        <v>0</v>
      </c>
      <c r="G330">
        <f>F330*1609.344</f>
        <v>0</v>
      </c>
      <c r="H330" s="30" t="s">
        <v>10</v>
      </c>
      <c r="I330">
        <v>0</v>
      </c>
      <c r="J330">
        <v>118.042709574572</v>
      </c>
      <c r="K330" s="26">
        <v>2016</v>
      </c>
      <c r="L330" t="s">
        <v>30</v>
      </c>
      <c r="M330" s="30">
        <v>100</v>
      </c>
      <c r="N330">
        <v>11.428783320000001</v>
      </c>
      <c r="O330">
        <v>5</v>
      </c>
      <c r="P330" t="s">
        <v>23</v>
      </c>
      <c r="Q330">
        <v>99.65</v>
      </c>
      <c r="R330" t="s">
        <v>24</v>
      </c>
      <c r="S330" t="s">
        <v>16</v>
      </c>
      <c r="T330" t="s">
        <v>16</v>
      </c>
      <c r="U330" s="29">
        <v>0</v>
      </c>
      <c r="V330" s="29">
        <v>8</v>
      </c>
      <c r="W330" s="25">
        <v>4</v>
      </c>
      <c r="X330" s="25">
        <v>8</v>
      </c>
      <c r="Y330" s="244">
        <v>0.54424737099999998</v>
      </c>
      <c r="Z330" t="s">
        <v>754</v>
      </c>
      <c r="AA330" t="s">
        <v>620</v>
      </c>
      <c r="AB330">
        <v>1</v>
      </c>
      <c r="AC330">
        <v>22</v>
      </c>
      <c r="AF330" t="s">
        <v>532</v>
      </c>
      <c r="AG330" s="30">
        <v>22</v>
      </c>
      <c r="AH330" s="30" t="s">
        <v>1474</v>
      </c>
      <c r="AI330" s="30" t="s">
        <v>1475</v>
      </c>
      <c r="AJ330" t="s">
        <v>2893</v>
      </c>
      <c r="AK330">
        <v>0.72729999999999995</v>
      </c>
      <c r="AL330">
        <v>16.000599999999999</v>
      </c>
      <c r="AM330">
        <v>5.9994000000000014</v>
      </c>
      <c r="AN330">
        <v>183.50967424986652</v>
      </c>
      <c r="AO330">
        <v>68.806665980941318</v>
      </c>
      <c r="AP330">
        <v>9.9874657763556252E-2</v>
      </c>
      <c r="AQ330">
        <v>3.7447847067402444E-2</v>
      </c>
      <c r="AR330">
        <v>0.13341858489683281</v>
      </c>
    </row>
    <row r="331" spans="1:44" customFormat="1" hidden="1" x14ac:dyDescent="0.5">
      <c r="A331">
        <v>471</v>
      </c>
      <c r="B331">
        <v>33</v>
      </c>
      <c r="C331" s="226" t="s">
        <v>20</v>
      </c>
      <c r="D331" s="227">
        <v>54.605522000000001</v>
      </c>
      <c r="E331" s="228">
        <v>19.847404999999998</v>
      </c>
      <c r="F331">
        <v>0</v>
      </c>
      <c r="G331">
        <f>F331*1609.344</f>
        <v>0</v>
      </c>
      <c r="H331" s="30" t="s">
        <v>10</v>
      </c>
      <c r="I331">
        <v>0</v>
      </c>
      <c r="J331">
        <v>118.042709574572</v>
      </c>
      <c r="K331" s="26">
        <v>2016</v>
      </c>
      <c r="L331" t="s">
        <v>30</v>
      </c>
      <c r="M331" s="30">
        <v>100</v>
      </c>
      <c r="N331">
        <v>11.428783320000001</v>
      </c>
      <c r="O331">
        <v>5</v>
      </c>
      <c r="P331" t="s">
        <v>23</v>
      </c>
      <c r="Q331">
        <v>99.65</v>
      </c>
      <c r="R331" t="s">
        <v>24</v>
      </c>
      <c r="S331" t="s">
        <v>16</v>
      </c>
      <c r="T331" t="s">
        <v>16</v>
      </c>
      <c r="U331" s="29">
        <v>24</v>
      </c>
      <c r="V331" s="29">
        <v>32</v>
      </c>
      <c r="W331" s="25">
        <v>28</v>
      </c>
      <c r="X331" s="25">
        <v>8</v>
      </c>
      <c r="Y331" s="244">
        <v>0.54424737099999998</v>
      </c>
      <c r="Z331" t="s">
        <v>754</v>
      </c>
      <c r="AA331" t="s">
        <v>620</v>
      </c>
      <c r="AB331">
        <v>1</v>
      </c>
      <c r="AC331">
        <v>37</v>
      </c>
      <c r="AF331" t="s">
        <v>532</v>
      </c>
      <c r="AG331" s="30">
        <v>37</v>
      </c>
      <c r="AH331" s="30" t="s">
        <v>1476</v>
      </c>
      <c r="AI331" s="30" t="s">
        <v>1477</v>
      </c>
      <c r="AJ331" t="s">
        <v>2894</v>
      </c>
      <c r="AK331">
        <v>0.83779999999999999</v>
      </c>
      <c r="AL331">
        <v>30.9986</v>
      </c>
      <c r="AM331">
        <v>6.0014000000000003</v>
      </c>
      <c r="AN331">
        <v>355.5206047399418</v>
      </c>
      <c r="AO331">
        <v>68.829603830053188</v>
      </c>
      <c r="AP331">
        <v>0.19349115446604345</v>
      </c>
      <c r="AQ331">
        <v>3.7460330931477971E-2</v>
      </c>
      <c r="AR331">
        <v>0.13341858489683281</v>
      </c>
    </row>
    <row r="332" spans="1:44" customFormat="1" hidden="1" x14ac:dyDescent="0.5">
      <c r="A332">
        <v>472</v>
      </c>
      <c r="B332">
        <v>33</v>
      </c>
      <c r="C332" s="226" t="s">
        <v>20</v>
      </c>
      <c r="D332" s="227">
        <v>54.605522000000001</v>
      </c>
      <c r="E332" s="228">
        <v>19.847404999999998</v>
      </c>
      <c r="F332">
        <v>0</v>
      </c>
      <c r="G332">
        <f>F332*1609.344</f>
        <v>0</v>
      </c>
      <c r="H332" s="30" t="s">
        <v>10</v>
      </c>
      <c r="I332">
        <v>0</v>
      </c>
      <c r="J332">
        <v>118.042709574572</v>
      </c>
      <c r="K332" s="26">
        <v>2016</v>
      </c>
      <c r="L332" t="s">
        <v>30</v>
      </c>
      <c r="M332" s="30">
        <v>100</v>
      </c>
      <c r="N332">
        <v>11.428783320000001</v>
      </c>
      <c r="O332">
        <v>5</v>
      </c>
      <c r="P332" t="s">
        <v>23</v>
      </c>
      <c r="Q332">
        <v>99.65</v>
      </c>
      <c r="R332" t="s">
        <v>24</v>
      </c>
      <c r="S332" t="s">
        <v>16</v>
      </c>
      <c r="T332" t="s">
        <v>16</v>
      </c>
      <c r="U332" s="29">
        <v>8</v>
      </c>
      <c r="V332" s="29">
        <v>16</v>
      </c>
      <c r="W332" s="25">
        <v>12</v>
      </c>
      <c r="X332" s="25">
        <v>8</v>
      </c>
      <c r="Y332" s="244">
        <v>0.54424737099999998</v>
      </c>
      <c r="Z332" t="s">
        <v>754</v>
      </c>
      <c r="AA332" t="s">
        <v>620</v>
      </c>
      <c r="AB332">
        <v>1</v>
      </c>
      <c r="AC332">
        <v>41</v>
      </c>
      <c r="AF332" t="s">
        <v>532</v>
      </c>
      <c r="AG332" s="30">
        <v>41</v>
      </c>
      <c r="AH332" s="30" t="s">
        <v>1478</v>
      </c>
      <c r="AI332" s="30" t="s">
        <v>1479</v>
      </c>
      <c r="AJ332" t="s">
        <v>2895</v>
      </c>
      <c r="AK332">
        <v>0.85370000000000001</v>
      </c>
      <c r="AL332">
        <v>35.0017</v>
      </c>
      <c r="AM332">
        <v>5.9983000000000004</v>
      </c>
      <c r="AN332">
        <v>401.43185662984848</v>
      </c>
      <c r="AO332">
        <v>68.794050163929754</v>
      </c>
      <c r="AP332">
        <v>0.21847823260644395</v>
      </c>
      <c r="AQ332">
        <v>3.744098094216089E-2</v>
      </c>
      <c r="AR332">
        <v>0.13341858489683281</v>
      </c>
    </row>
    <row r="333" spans="1:44" customFormat="1" hidden="1" x14ac:dyDescent="0.5">
      <c r="A333">
        <v>473</v>
      </c>
      <c r="B333">
        <v>33</v>
      </c>
      <c r="C333" s="226" t="s">
        <v>20</v>
      </c>
      <c r="D333" s="227">
        <v>54.605522000000001</v>
      </c>
      <c r="E333" s="228">
        <v>19.847404999999998</v>
      </c>
      <c r="F333">
        <v>0</v>
      </c>
      <c r="G333">
        <f>F333*1609.344</f>
        <v>0</v>
      </c>
      <c r="H333" s="30" t="s">
        <v>10</v>
      </c>
      <c r="I333">
        <v>0</v>
      </c>
      <c r="J333">
        <v>118.042709574572</v>
      </c>
      <c r="K333" s="26">
        <v>2016</v>
      </c>
      <c r="L333" t="s">
        <v>30</v>
      </c>
      <c r="M333" s="30">
        <v>100</v>
      </c>
      <c r="N333">
        <v>11.428783320000001</v>
      </c>
      <c r="O333">
        <v>5</v>
      </c>
      <c r="P333" t="s">
        <v>23</v>
      </c>
      <c r="Q333">
        <v>99.65</v>
      </c>
      <c r="R333" t="s">
        <v>24</v>
      </c>
      <c r="S333" t="s">
        <v>16</v>
      </c>
      <c r="T333" t="s">
        <v>16</v>
      </c>
      <c r="U333" s="29">
        <v>72</v>
      </c>
      <c r="V333" s="29">
        <v>80</v>
      </c>
      <c r="W333" s="25">
        <v>76</v>
      </c>
      <c r="X333" s="25">
        <v>8</v>
      </c>
      <c r="Y333" s="244">
        <v>0.54424737099999998</v>
      </c>
      <c r="Z333" t="s">
        <v>754</v>
      </c>
      <c r="AA333" t="s">
        <v>620</v>
      </c>
      <c r="AB333">
        <v>1</v>
      </c>
      <c r="AC333">
        <v>43</v>
      </c>
      <c r="AF333" t="s">
        <v>532</v>
      </c>
      <c r="AG333" s="30">
        <v>43</v>
      </c>
      <c r="AH333" s="30" t="s">
        <v>1480</v>
      </c>
      <c r="AI333" s="30" t="s">
        <v>1481</v>
      </c>
      <c r="AJ333" t="s">
        <v>2896</v>
      </c>
      <c r="AK333">
        <v>0.69769999999999999</v>
      </c>
      <c r="AL333">
        <v>30.001100000000001</v>
      </c>
      <c r="AM333">
        <v>12.998899999999999</v>
      </c>
      <c r="AN333">
        <v>344.08035249538591</v>
      </c>
      <c r="AO333">
        <v>149.08340341028398</v>
      </c>
      <c r="AP333">
        <v>0.18726482725836707</v>
      </c>
      <c r="AQ333">
        <v>8.1138250365779485E-2</v>
      </c>
      <c r="AR333">
        <v>0.13341858489683281</v>
      </c>
    </row>
    <row r="334" spans="1:44" hidden="1" x14ac:dyDescent="0.5">
      <c r="A334" s="31">
        <v>474</v>
      </c>
      <c r="B334" s="31">
        <v>33</v>
      </c>
      <c r="C334" s="225" t="s">
        <v>20</v>
      </c>
      <c r="D334" s="35">
        <v>54.605522000000001</v>
      </c>
      <c r="E334" s="33">
        <v>19.847404999999998</v>
      </c>
      <c r="F334">
        <v>0</v>
      </c>
      <c r="G334">
        <f>F334*1609.344</f>
        <v>0</v>
      </c>
      <c r="H334" s="32" t="s">
        <v>10</v>
      </c>
      <c r="I334">
        <v>0</v>
      </c>
      <c r="J334">
        <v>118.042709574572</v>
      </c>
      <c r="K334" s="26">
        <v>2016</v>
      </c>
      <c r="L334" t="s">
        <v>30</v>
      </c>
      <c r="M334" s="32">
        <v>100</v>
      </c>
      <c r="N334">
        <v>11.428783320000001</v>
      </c>
      <c r="O334">
        <v>5</v>
      </c>
      <c r="P334" t="s">
        <v>23</v>
      </c>
      <c r="Q334">
        <v>99.65</v>
      </c>
      <c r="R334" t="s">
        <v>24</v>
      </c>
      <c r="S334" t="s">
        <v>16</v>
      </c>
      <c r="T334" t="s">
        <v>16</v>
      </c>
      <c r="U334" s="34">
        <v>80</v>
      </c>
      <c r="V334" s="34">
        <v>88</v>
      </c>
      <c r="W334" s="25">
        <v>84</v>
      </c>
      <c r="X334" s="25">
        <v>8</v>
      </c>
      <c r="Y334" s="244">
        <v>0.54424737099999998</v>
      </c>
      <c r="Z334" t="s">
        <v>754</v>
      </c>
      <c r="AA334" t="s">
        <v>620</v>
      </c>
      <c r="AB334">
        <v>1</v>
      </c>
      <c r="AC334">
        <v>48</v>
      </c>
      <c r="AF334" t="s">
        <v>532</v>
      </c>
      <c r="AG334" s="32">
        <v>48</v>
      </c>
      <c r="AH334" s="32" t="s">
        <v>1482</v>
      </c>
      <c r="AI334" s="32" t="s">
        <v>1483</v>
      </c>
      <c r="AJ334" s="31" t="s">
        <v>2897</v>
      </c>
      <c r="AK334" s="31">
        <v>0.82979999999999998</v>
      </c>
      <c r="AL334" s="31">
        <v>39.830399999999997</v>
      </c>
      <c r="AM334" s="31">
        <v>8.1696000000000026</v>
      </c>
      <c r="AN334" s="31">
        <v>456.81185263314399</v>
      </c>
      <c r="AO334" s="31">
        <v>93.696526052254924</v>
      </c>
      <c r="AP334" s="31">
        <v>0.24861864983722803</v>
      </c>
      <c r="AQ334" s="31">
        <v>5.0994087975772748E-2</v>
      </c>
      <c r="AR334" s="31">
        <v>0.13341858489683281</v>
      </c>
    </row>
    <row r="335" spans="1:44" hidden="1" x14ac:dyDescent="0.5">
      <c r="A335" s="31">
        <v>1472</v>
      </c>
      <c r="B335" s="31">
        <v>110</v>
      </c>
      <c r="C335" s="225" t="s">
        <v>37</v>
      </c>
      <c r="D335" s="41">
        <v>21.190218999999999</v>
      </c>
      <c r="E335" s="43">
        <v>39.170141999999998</v>
      </c>
      <c r="F335">
        <v>0</v>
      </c>
      <c r="G335">
        <f>F335*1609.344</f>
        <v>0</v>
      </c>
      <c r="H335" s="32" t="s">
        <v>10</v>
      </c>
      <c r="I335">
        <v>0</v>
      </c>
      <c r="J335">
        <v>356.54193742994102</v>
      </c>
      <c r="K335" s="26">
        <v>2017</v>
      </c>
      <c r="L335" t="s">
        <v>11</v>
      </c>
      <c r="M335" s="32">
        <v>104</v>
      </c>
      <c r="N335">
        <v>11.913003570000001</v>
      </c>
      <c r="O335">
        <v>4.75</v>
      </c>
      <c r="P335" t="s">
        <v>12</v>
      </c>
      <c r="Q335">
        <v>74.900000000000006</v>
      </c>
      <c r="R335" t="s">
        <v>13</v>
      </c>
      <c r="S335" t="s">
        <v>14</v>
      </c>
      <c r="T335" t="s">
        <v>14</v>
      </c>
      <c r="U335" s="34">
        <v>0</v>
      </c>
      <c r="V335" s="34">
        <v>10</v>
      </c>
      <c r="W335" s="25">
        <v>5</v>
      </c>
      <c r="X335" s="25">
        <v>10</v>
      </c>
      <c r="Y335">
        <v>0.63439566400000003</v>
      </c>
      <c r="Z335" t="s">
        <v>1111</v>
      </c>
      <c r="AA335" t="s">
        <v>622</v>
      </c>
      <c r="AB335">
        <v>4</v>
      </c>
      <c r="AC335">
        <v>30</v>
      </c>
      <c r="AF335" t="s">
        <v>532</v>
      </c>
      <c r="AG335" s="32">
        <v>30</v>
      </c>
      <c r="AH335" s="32" t="s">
        <v>2547</v>
      </c>
      <c r="AI335" s="32" t="s">
        <v>2548</v>
      </c>
      <c r="AJ335" s="31" t="s">
        <v>3371</v>
      </c>
      <c r="AK335" s="31">
        <v>6.3E-2</v>
      </c>
      <c r="AL335" s="31">
        <v>1.8900000000000001</v>
      </c>
      <c r="AM335" s="31">
        <v>28.11</v>
      </c>
      <c r="AN335" s="31">
        <v>30.060850129906541</v>
      </c>
      <c r="AO335" s="31">
        <v>447.0955011384512</v>
      </c>
      <c r="AP335" s="31">
        <v>1.9070472978566545E-2</v>
      </c>
      <c r="AQ335" s="31">
        <v>0.28363544731614054</v>
      </c>
      <c r="AR335" s="31">
        <v>0.13341858489683281</v>
      </c>
    </row>
    <row r="336" spans="1:44" hidden="1" x14ac:dyDescent="0.5">
      <c r="A336" s="31">
        <v>1473</v>
      </c>
      <c r="B336" s="31">
        <v>110</v>
      </c>
      <c r="C336" s="225" t="s">
        <v>37</v>
      </c>
      <c r="D336" s="41">
        <v>21.301575</v>
      </c>
      <c r="E336" s="43">
        <v>39.102851000000001</v>
      </c>
      <c r="F336">
        <v>0</v>
      </c>
      <c r="G336">
        <f>F336*1609.344</f>
        <v>0</v>
      </c>
      <c r="H336" s="32" t="s">
        <v>10</v>
      </c>
      <c r="I336">
        <v>0</v>
      </c>
      <c r="J336">
        <v>379.45270784223999</v>
      </c>
      <c r="K336" s="26">
        <v>2017</v>
      </c>
      <c r="L336" t="s">
        <v>11</v>
      </c>
      <c r="M336" s="32">
        <v>104</v>
      </c>
      <c r="N336">
        <v>11.913003570000001</v>
      </c>
      <c r="O336">
        <v>4.75</v>
      </c>
      <c r="P336" t="s">
        <v>12</v>
      </c>
      <c r="Q336">
        <v>74.900000000000006</v>
      </c>
      <c r="R336" t="s">
        <v>13</v>
      </c>
      <c r="S336" t="s">
        <v>16</v>
      </c>
      <c r="T336" t="s">
        <v>14</v>
      </c>
      <c r="U336" s="34">
        <v>0</v>
      </c>
      <c r="V336" s="34">
        <v>10</v>
      </c>
      <c r="W336" s="25">
        <v>5</v>
      </c>
      <c r="X336" s="25">
        <v>10</v>
      </c>
      <c r="Y336">
        <v>0.63439566400000003</v>
      </c>
      <c r="Z336" t="s">
        <v>1111</v>
      </c>
      <c r="AA336" t="s">
        <v>622</v>
      </c>
      <c r="AB336">
        <v>4</v>
      </c>
      <c r="AC336">
        <v>5</v>
      </c>
      <c r="AF336" t="s">
        <v>532</v>
      </c>
      <c r="AG336" s="32">
        <v>5</v>
      </c>
      <c r="AH336" s="32" t="s">
        <v>2549</v>
      </c>
      <c r="AI336" s="32" t="s">
        <v>2550</v>
      </c>
      <c r="AJ336" s="31" t="s">
        <v>1644</v>
      </c>
      <c r="AK336" s="31">
        <v>0.34</v>
      </c>
      <c r="AL336" s="31">
        <v>1.7000000000000002</v>
      </c>
      <c r="AM336" s="31">
        <v>3.3</v>
      </c>
      <c r="AN336" s="31">
        <v>27.038859905206948</v>
      </c>
      <c r="AO336" s="31">
        <v>52.487198639519363</v>
      </c>
      <c r="AP336" s="31">
        <v>1.7153335483366741E-2</v>
      </c>
      <c r="AQ336" s="31">
        <v>3.3297651232417784E-2</v>
      </c>
      <c r="AR336" s="31">
        <v>0.13341858489683281</v>
      </c>
    </row>
    <row r="337" spans="1:44" hidden="1" x14ac:dyDescent="0.5">
      <c r="A337" s="31">
        <v>1474</v>
      </c>
      <c r="B337" s="31">
        <v>110</v>
      </c>
      <c r="C337" s="225" t="s">
        <v>37</v>
      </c>
      <c r="D337" s="41">
        <v>21.301575</v>
      </c>
      <c r="E337" s="43">
        <v>39.102851000000001</v>
      </c>
      <c r="F337">
        <v>0</v>
      </c>
      <c r="G337">
        <f>F337*1609.344</f>
        <v>0</v>
      </c>
      <c r="H337" s="32" t="s">
        <v>10</v>
      </c>
      <c r="I337">
        <v>0</v>
      </c>
      <c r="J337">
        <v>379.45270784223999</v>
      </c>
      <c r="K337" s="26">
        <v>2017</v>
      </c>
      <c r="L337" t="s">
        <v>11</v>
      </c>
      <c r="M337" s="32">
        <v>104</v>
      </c>
      <c r="N337">
        <v>11.913003570000001</v>
      </c>
      <c r="O337">
        <v>4.75</v>
      </c>
      <c r="P337" t="s">
        <v>12</v>
      </c>
      <c r="Q337">
        <v>74.900000000000006</v>
      </c>
      <c r="R337" t="s">
        <v>13</v>
      </c>
      <c r="S337" t="s">
        <v>16</v>
      </c>
      <c r="T337" t="s">
        <v>14</v>
      </c>
      <c r="U337" s="34">
        <v>0</v>
      </c>
      <c r="V337" s="34">
        <v>10</v>
      </c>
      <c r="W337" s="25">
        <v>5</v>
      </c>
      <c r="X337" s="25">
        <v>10</v>
      </c>
      <c r="Y337">
        <v>0.63439566400000003</v>
      </c>
      <c r="Z337" t="s">
        <v>1111</v>
      </c>
      <c r="AA337" t="s">
        <v>622</v>
      </c>
      <c r="AB337">
        <v>4</v>
      </c>
      <c r="AC337">
        <v>13.3</v>
      </c>
      <c r="AF337" t="s">
        <v>532</v>
      </c>
      <c r="AG337" s="32" t="s">
        <v>2551</v>
      </c>
      <c r="AH337" s="32">
        <v>0</v>
      </c>
      <c r="AI337" s="32">
        <v>0</v>
      </c>
      <c r="AJ337" s="31" t="s">
        <v>2551</v>
      </c>
      <c r="AK337" s="31">
        <v>0</v>
      </c>
      <c r="AL337" s="31">
        <v>0</v>
      </c>
      <c r="AM337" s="31">
        <v>13.3</v>
      </c>
      <c r="AN337" s="31">
        <v>0</v>
      </c>
      <c r="AO337" s="31">
        <v>211.53931572897196</v>
      </c>
      <c r="AP337" s="31">
        <v>0</v>
      </c>
      <c r="AQ337" s="31">
        <v>0.1341996246639868</v>
      </c>
      <c r="AR337" s="31">
        <v>0.13341858489683281</v>
      </c>
    </row>
    <row r="338" spans="1:44" hidden="1" x14ac:dyDescent="0.5">
      <c r="A338" s="31">
        <v>1475</v>
      </c>
      <c r="B338" s="31">
        <v>110</v>
      </c>
      <c r="C338" s="225" t="s">
        <v>37</v>
      </c>
      <c r="D338" s="41">
        <v>21.385356000000002</v>
      </c>
      <c r="E338" s="43">
        <v>39.178381999999999</v>
      </c>
      <c r="F338">
        <v>0</v>
      </c>
      <c r="G338">
        <f>F338*1609.344</f>
        <v>0</v>
      </c>
      <c r="H338" s="32" t="s">
        <v>10</v>
      </c>
      <c r="I338">
        <v>0</v>
      </c>
      <c r="J338">
        <v>344.96489748171899</v>
      </c>
      <c r="K338" s="26">
        <v>2017</v>
      </c>
      <c r="L338" t="s">
        <v>11</v>
      </c>
      <c r="M338" s="32">
        <v>104</v>
      </c>
      <c r="N338">
        <v>11.913003570000001</v>
      </c>
      <c r="O338">
        <v>4.75</v>
      </c>
      <c r="P338" t="s">
        <v>12</v>
      </c>
      <c r="Q338">
        <v>74.900000000000006</v>
      </c>
      <c r="R338" t="s">
        <v>13</v>
      </c>
      <c r="S338" t="s">
        <v>16</v>
      </c>
      <c r="T338" t="s">
        <v>14</v>
      </c>
      <c r="U338" s="34">
        <v>0</v>
      </c>
      <c r="V338" s="34">
        <v>10</v>
      </c>
      <c r="W338" s="25">
        <v>5</v>
      </c>
      <c r="X338" s="25">
        <v>10</v>
      </c>
      <c r="Y338">
        <v>0.63439566400000003</v>
      </c>
      <c r="Z338" t="s">
        <v>1111</v>
      </c>
      <c r="AA338" t="s">
        <v>622</v>
      </c>
      <c r="AB338">
        <v>4</v>
      </c>
      <c r="AC338">
        <v>1.5</v>
      </c>
      <c r="AF338" t="s">
        <v>532</v>
      </c>
      <c r="AG338" s="32" t="s">
        <v>2526</v>
      </c>
      <c r="AH338" s="32">
        <v>1</v>
      </c>
      <c r="AI338" s="32" t="s">
        <v>2526</v>
      </c>
      <c r="AJ338" s="31">
        <v>0</v>
      </c>
      <c r="AK338" s="31">
        <v>1</v>
      </c>
      <c r="AL338" s="31">
        <v>1.5</v>
      </c>
      <c r="AM338" s="31">
        <v>0</v>
      </c>
      <c r="AN338" s="31">
        <v>23.857817563417889</v>
      </c>
      <c r="AO338" s="31">
        <v>0</v>
      </c>
      <c r="AP338" s="31">
        <v>1.5135296014735355E-2</v>
      </c>
      <c r="AQ338" s="31">
        <v>0</v>
      </c>
      <c r="AR338" s="31">
        <v>0.13341858489683281</v>
      </c>
    </row>
    <row r="339" spans="1:44" hidden="1" x14ac:dyDescent="0.5">
      <c r="A339" s="31">
        <v>1476</v>
      </c>
      <c r="B339" s="31">
        <v>110</v>
      </c>
      <c r="C339" s="225" t="s">
        <v>37</v>
      </c>
      <c r="D339" s="41">
        <v>21.385356000000002</v>
      </c>
      <c r="E339" s="43">
        <v>39.178381999999999</v>
      </c>
      <c r="F339">
        <v>0</v>
      </c>
      <c r="G339">
        <f>F339*1609.344</f>
        <v>0</v>
      </c>
      <c r="H339" s="32" t="s">
        <v>10</v>
      </c>
      <c r="I339">
        <v>0</v>
      </c>
      <c r="J339">
        <v>344.96489748171899</v>
      </c>
      <c r="K339" s="26">
        <v>2017</v>
      </c>
      <c r="L339" t="s">
        <v>11</v>
      </c>
      <c r="M339" s="32">
        <v>104</v>
      </c>
      <c r="N339">
        <v>11.913003570000001</v>
      </c>
      <c r="O339">
        <v>4.75</v>
      </c>
      <c r="P339" t="s">
        <v>12</v>
      </c>
      <c r="Q339">
        <v>74.900000000000006</v>
      </c>
      <c r="R339" t="s">
        <v>13</v>
      </c>
      <c r="S339" t="s">
        <v>16</v>
      </c>
      <c r="T339" t="s">
        <v>14</v>
      </c>
      <c r="U339" s="34">
        <v>0</v>
      </c>
      <c r="V339" s="34">
        <v>10</v>
      </c>
      <c r="W339" s="25">
        <v>5</v>
      </c>
      <c r="X339" s="25">
        <v>10</v>
      </c>
      <c r="Y339">
        <v>0.63439566400000003</v>
      </c>
      <c r="Z339" t="s">
        <v>1111</v>
      </c>
      <c r="AA339" t="s">
        <v>622</v>
      </c>
      <c r="AB339">
        <v>4</v>
      </c>
      <c r="AC339">
        <v>3.2</v>
      </c>
      <c r="AF339" t="s">
        <v>532</v>
      </c>
      <c r="AG339" s="32" t="s">
        <v>2552</v>
      </c>
      <c r="AH339" s="32">
        <v>0</v>
      </c>
      <c r="AI339" s="32">
        <v>0</v>
      </c>
      <c r="AJ339" s="31" t="s">
        <v>2552</v>
      </c>
      <c r="AK339" s="31">
        <v>0</v>
      </c>
      <c r="AL339" s="31">
        <v>0</v>
      </c>
      <c r="AM339" s="31">
        <v>3.2</v>
      </c>
      <c r="AN339" s="31">
        <v>0</v>
      </c>
      <c r="AO339" s="31">
        <v>50.89667746862483</v>
      </c>
      <c r="AP339" s="31">
        <v>0</v>
      </c>
      <c r="AQ339" s="31">
        <v>3.2288631498102086E-2</v>
      </c>
      <c r="AR339" s="31">
        <v>0.13341858489683281</v>
      </c>
    </row>
    <row r="340" spans="1:44" hidden="1" x14ac:dyDescent="0.5">
      <c r="A340" s="31">
        <v>1477</v>
      </c>
      <c r="B340" s="31">
        <v>110</v>
      </c>
      <c r="C340" s="225" t="s">
        <v>37</v>
      </c>
      <c r="D340" s="41">
        <v>21.385356000000002</v>
      </c>
      <c r="E340" s="43">
        <v>39.178381999999999</v>
      </c>
      <c r="F340">
        <v>0</v>
      </c>
      <c r="G340">
        <f>F340*1609.344</f>
        <v>0</v>
      </c>
      <c r="H340" s="32" t="s">
        <v>10</v>
      </c>
      <c r="I340">
        <v>0</v>
      </c>
      <c r="J340">
        <v>344.96489748171899</v>
      </c>
      <c r="K340" s="26">
        <v>2017</v>
      </c>
      <c r="L340" t="s">
        <v>11</v>
      </c>
      <c r="M340" s="32">
        <v>104</v>
      </c>
      <c r="N340">
        <v>11.913003570000001</v>
      </c>
      <c r="O340">
        <v>4.75</v>
      </c>
      <c r="P340" t="s">
        <v>12</v>
      </c>
      <c r="Q340">
        <v>74.900000000000006</v>
      </c>
      <c r="R340" t="s">
        <v>13</v>
      </c>
      <c r="S340" t="s">
        <v>16</v>
      </c>
      <c r="T340" t="s">
        <v>14</v>
      </c>
      <c r="U340" s="34">
        <v>0</v>
      </c>
      <c r="V340" s="34">
        <v>10</v>
      </c>
      <c r="W340" s="25">
        <v>5</v>
      </c>
      <c r="X340" s="25">
        <v>10</v>
      </c>
      <c r="Y340">
        <v>0.63439566400000003</v>
      </c>
      <c r="Z340" t="s">
        <v>1111</v>
      </c>
      <c r="AA340" t="s">
        <v>622</v>
      </c>
      <c r="AB340">
        <v>4</v>
      </c>
      <c r="AC340">
        <v>4.9000000000000004</v>
      </c>
      <c r="AF340" t="s">
        <v>532</v>
      </c>
      <c r="AG340" s="32" t="s">
        <v>2553</v>
      </c>
      <c r="AH340" s="32" t="s">
        <v>2554</v>
      </c>
      <c r="AI340" s="32" t="s">
        <v>2555</v>
      </c>
      <c r="AJ340" s="31" t="s">
        <v>3372</v>
      </c>
      <c r="AK340" s="31">
        <v>0.51</v>
      </c>
      <c r="AL340" s="31">
        <v>2.4990000000000001</v>
      </c>
      <c r="AM340" s="31">
        <v>2.4010000000000002</v>
      </c>
      <c r="AN340" s="31">
        <v>39.747124060654208</v>
      </c>
      <c r="AO340" s="31">
        <v>38.18841331317757</v>
      </c>
      <c r="AP340" s="31">
        <v>2.5215403160549103E-2</v>
      </c>
      <c r="AQ340" s="31">
        <v>2.4226563820919728E-2</v>
      </c>
      <c r="AR340" s="31">
        <v>0.13341858489683281</v>
      </c>
    </row>
    <row r="341" spans="1:44" hidden="1" x14ac:dyDescent="0.5">
      <c r="A341" s="31">
        <v>1478</v>
      </c>
      <c r="B341" s="31">
        <v>110</v>
      </c>
      <c r="C341" s="225" t="s">
        <v>37</v>
      </c>
      <c r="D341" s="41">
        <v>21.486181999999999</v>
      </c>
      <c r="E341" s="43">
        <v>39.17924</v>
      </c>
      <c r="F341">
        <v>0</v>
      </c>
      <c r="G341">
        <f>F341*1609.344</f>
        <v>0</v>
      </c>
      <c r="H341" s="32" t="s">
        <v>10</v>
      </c>
      <c r="I341">
        <v>0</v>
      </c>
      <c r="J341">
        <v>328.83034050073002</v>
      </c>
      <c r="K341" s="26">
        <v>2017</v>
      </c>
      <c r="L341" t="s">
        <v>11</v>
      </c>
      <c r="M341" s="32">
        <v>104</v>
      </c>
      <c r="N341">
        <v>11.913003570000001</v>
      </c>
      <c r="O341">
        <v>4.75</v>
      </c>
      <c r="P341" t="s">
        <v>12</v>
      </c>
      <c r="Q341">
        <v>74.900000000000006</v>
      </c>
      <c r="R341" t="s">
        <v>13</v>
      </c>
      <c r="S341" t="s">
        <v>16</v>
      </c>
      <c r="T341" t="s">
        <v>14</v>
      </c>
      <c r="U341" s="34">
        <v>0</v>
      </c>
      <c r="V341" s="34">
        <v>10</v>
      </c>
      <c r="W341" s="25">
        <v>5</v>
      </c>
      <c r="X341" s="25">
        <v>10</v>
      </c>
      <c r="Y341">
        <v>0.63439566400000003</v>
      </c>
      <c r="Z341" t="s">
        <v>1111</v>
      </c>
      <c r="AA341" t="s">
        <v>622</v>
      </c>
      <c r="AB341">
        <v>4</v>
      </c>
      <c r="AC341">
        <v>2.2999999999999998</v>
      </c>
      <c r="AF341" t="s">
        <v>532</v>
      </c>
      <c r="AG341" s="32" t="s">
        <v>2556</v>
      </c>
      <c r="AH341" s="32">
        <v>0</v>
      </c>
      <c r="AI341" s="32">
        <v>0</v>
      </c>
      <c r="AJ341" s="31" t="s">
        <v>2556</v>
      </c>
      <c r="AK341" s="31">
        <v>0</v>
      </c>
      <c r="AL341" s="31">
        <v>0</v>
      </c>
      <c r="AM341" s="31">
        <v>2.2999999999999998</v>
      </c>
      <c r="AN341" s="31">
        <v>0</v>
      </c>
      <c r="AO341" s="31">
        <v>36.581986930574097</v>
      </c>
      <c r="AP341" s="31">
        <v>0</v>
      </c>
      <c r="AQ341" s="31">
        <v>2.3207453889260876E-2</v>
      </c>
      <c r="AR341" s="31">
        <v>0.13341858489683281</v>
      </c>
    </row>
    <row r="342" spans="1:44" hidden="1" x14ac:dyDescent="0.5">
      <c r="A342" s="31">
        <v>341</v>
      </c>
      <c r="B342" s="31">
        <v>24</v>
      </c>
      <c r="C342" s="225" t="s">
        <v>43</v>
      </c>
      <c r="D342" s="41">
        <v>11.66</v>
      </c>
      <c r="E342" s="43">
        <v>142.25</v>
      </c>
      <c r="F342">
        <v>198.42</v>
      </c>
      <c r="G342">
        <f>F342*1609.344</f>
        <v>319326.03648000001</v>
      </c>
      <c r="H342" s="32" t="s">
        <v>613</v>
      </c>
      <c r="I342">
        <v>6006</v>
      </c>
      <c r="J342">
        <v>0</v>
      </c>
      <c r="K342" s="26">
        <v>2017</v>
      </c>
      <c r="L342" t="s">
        <v>30</v>
      </c>
      <c r="M342" s="32">
        <v>20</v>
      </c>
      <c r="N342">
        <v>2.0820431909999999</v>
      </c>
      <c r="O342">
        <v>5</v>
      </c>
      <c r="P342" t="s">
        <v>15</v>
      </c>
      <c r="Q342">
        <v>91.3</v>
      </c>
      <c r="R342" t="s">
        <v>13</v>
      </c>
      <c r="S342" t="s">
        <v>14</v>
      </c>
      <c r="T342" t="s">
        <v>14</v>
      </c>
      <c r="U342" s="34">
        <v>0</v>
      </c>
      <c r="V342" s="34">
        <v>6</v>
      </c>
      <c r="W342" s="25">
        <v>3</v>
      </c>
      <c r="X342" s="25">
        <v>6</v>
      </c>
      <c r="Y342">
        <v>0.79018339500000001</v>
      </c>
      <c r="Z342" t="s">
        <v>1110</v>
      </c>
      <c r="AA342" t="s">
        <v>622</v>
      </c>
      <c r="AB342">
        <v>1</v>
      </c>
      <c r="AC342">
        <v>0.61</v>
      </c>
      <c r="AD342">
        <v>0</v>
      </c>
      <c r="AE342" t="s">
        <v>519</v>
      </c>
      <c r="AF342" t="s">
        <v>524</v>
      </c>
      <c r="AG342" s="32">
        <v>610</v>
      </c>
      <c r="AH342" s="32" t="s">
        <v>671</v>
      </c>
      <c r="AI342" s="32" t="s">
        <v>1129</v>
      </c>
      <c r="AJ342" s="31" t="s">
        <v>1130</v>
      </c>
      <c r="AK342" s="31">
        <v>0.59524549999999998</v>
      </c>
      <c r="AL342" s="31">
        <v>363.09975500000002</v>
      </c>
      <c r="AM342" s="31">
        <v>246.90024499999998</v>
      </c>
      <c r="AN342" s="31">
        <v>828.02779030834404</v>
      </c>
      <c r="AO342" s="31">
        <v>563.04159250655175</v>
      </c>
      <c r="AP342" s="31">
        <v>0.65429381050019542</v>
      </c>
      <c r="AQ342" s="31">
        <v>0.44490611709303363</v>
      </c>
      <c r="AR342" s="31">
        <v>3.2500168303717614E-4</v>
      </c>
    </row>
    <row r="343" spans="1:44" hidden="1" x14ac:dyDescent="0.5">
      <c r="A343" s="31">
        <v>1479</v>
      </c>
      <c r="B343" s="31">
        <v>110</v>
      </c>
      <c r="C343" s="225" t="s">
        <v>37</v>
      </c>
      <c r="D343" s="41">
        <v>21.486181999999999</v>
      </c>
      <c r="E343" s="43">
        <v>39.17924</v>
      </c>
      <c r="F343">
        <v>0</v>
      </c>
      <c r="G343">
        <f>F343*1609.344</f>
        <v>0</v>
      </c>
      <c r="H343" s="32" t="s">
        <v>10</v>
      </c>
      <c r="I343">
        <v>0</v>
      </c>
      <c r="J343">
        <v>328.83034050073002</v>
      </c>
      <c r="K343" s="26">
        <v>2017</v>
      </c>
      <c r="L343" t="s">
        <v>11</v>
      </c>
      <c r="M343" s="32">
        <v>104</v>
      </c>
      <c r="N343">
        <v>11.913003570000001</v>
      </c>
      <c r="O343">
        <v>4.75</v>
      </c>
      <c r="P343" t="s">
        <v>12</v>
      </c>
      <c r="Q343">
        <v>74.900000000000006</v>
      </c>
      <c r="R343" t="s">
        <v>13</v>
      </c>
      <c r="S343" t="s">
        <v>16</v>
      </c>
      <c r="T343" t="s">
        <v>14</v>
      </c>
      <c r="U343" s="34">
        <v>0</v>
      </c>
      <c r="V343" s="34">
        <v>10</v>
      </c>
      <c r="W343" s="25">
        <v>5</v>
      </c>
      <c r="X343" s="25">
        <v>10</v>
      </c>
      <c r="Y343">
        <v>0.63439566400000003</v>
      </c>
      <c r="Z343" t="s">
        <v>1111</v>
      </c>
      <c r="AA343" t="s">
        <v>622</v>
      </c>
      <c r="AB343">
        <v>4</v>
      </c>
      <c r="AC343">
        <v>27.5</v>
      </c>
      <c r="AF343" t="s">
        <v>532</v>
      </c>
      <c r="AG343" s="32" t="s">
        <v>2557</v>
      </c>
      <c r="AH343" s="32" t="s">
        <v>2558</v>
      </c>
      <c r="AI343" s="32" t="s">
        <v>2559</v>
      </c>
      <c r="AJ343" s="31" t="s">
        <v>3373</v>
      </c>
      <c r="AK343" s="31">
        <v>0.36699999999999999</v>
      </c>
      <c r="AL343" s="31">
        <v>10.092499999999999</v>
      </c>
      <c r="AM343" s="31">
        <v>17.407499999999999</v>
      </c>
      <c r="AN343" s="31">
        <v>160.52334917253</v>
      </c>
      <c r="AO343" s="31">
        <v>276.86997282346459</v>
      </c>
      <c r="AP343" s="31">
        <v>0.10183531668581103</v>
      </c>
      <c r="AQ343" s="31">
        <v>0.17564511025100379</v>
      </c>
      <c r="AR343" s="31">
        <v>0.13341858489683281</v>
      </c>
    </row>
    <row r="344" spans="1:44" hidden="1" x14ac:dyDescent="0.5">
      <c r="A344" s="31">
        <v>1480</v>
      </c>
      <c r="B344" s="31">
        <v>110</v>
      </c>
      <c r="C344" s="225" t="s">
        <v>37</v>
      </c>
      <c r="D344" s="41">
        <v>21.486181999999999</v>
      </c>
      <c r="E344" s="43">
        <v>39.17924</v>
      </c>
      <c r="F344">
        <v>0</v>
      </c>
      <c r="G344">
        <f>F344*1609.344</f>
        <v>0</v>
      </c>
      <c r="H344" s="32" t="s">
        <v>10</v>
      </c>
      <c r="I344">
        <v>0</v>
      </c>
      <c r="J344">
        <v>328.83034050073002</v>
      </c>
      <c r="K344" s="26">
        <v>2017</v>
      </c>
      <c r="L344" t="s">
        <v>11</v>
      </c>
      <c r="M344" s="32">
        <v>104</v>
      </c>
      <c r="N344">
        <v>11.913003570000001</v>
      </c>
      <c r="O344">
        <v>4.75</v>
      </c>
      <c r="P344" t="s">
        <v>12</v>
      </c>
      <c r="Q344">
        <v>74.900000000000006</v>
      </c>
      <c r="R344" t="s">
        <v>13</v>
      </c>
      <c r="S344" t="s">
        <v>16</v>
      </c>
      <c r="T344" t="s">
        <v>14</v>
      </c>
      <c r="U344" s="34">
        <v>0</v>
      </c>
      <c r="V344" s="34">
        <v>10</v>
      </c>
      <c r="W344" s="25">
        <v>5</v>
      </c>
      <c r="X344" s="25">
        <v>10</v>
      </c>
      <c r="Y344">
        <v>0.63439566400000003</v>
      </c>
      <c r="Z344" t="s">
        <v>1111</v>
      </c>
      <c r="AA344" t="s">
        <v>622</v>
      </c>
      <c r="AB344">
        <v>4</v>
      </c>
      <c r="AC344">
        <v>35</v>
      </c>
      <c r="AF344" t="s">
        <v>532</v>
      </c>
      <c r="AG344" s="32">
        <v>35</v>
      </c>
      <c r="AH344" s="32" t="s">
        <v>2560</v>
      </c>
      <c r="AI344" s="32" t="s">
        <v>2561</v>
      </c>
      <c r="AJ344" s="31" t="s">
        <v>3374</v>
      </c>
      <c r="AK344" s="31">
        <v>0.314</v>
      </c>
      <c r="AL344" s="31">
        <v>10.99</v>
      </c>
      <c r="AM344" s="31">
        <v>24.009999999999998</v>
      </c>
      <c r="AN344" s="31">
        <v>174.79827668130841</v>
      </c>
      <c r="AO344" s="31">
        <v>381.88413313177568</v>
      </c>
      <c r="AP344" s="31">
        <v>0.11089126880129437</v>
      </c>
      <c r="AQ344" s="31">
        <v>0.24226563820919722</v>
      </c>
      <c r="AR344" s="31">
        <v>0.13341858489683281</v>
      </c>
    </row>
    <row r="345" spans="1:44" hidden="1" x14ac:dyDescent="0.5">
      <c r="A345" s="31">
        <v>1481</v>
      </c>
      <c r="B345" s="31">
        <v>110</v>
      </c>
      <c r="C345" s="225" t="s">
        <v>37</v>
      </c>
      <c r="D345" s="41">
        <v>21.486181999999999</v>
      </c>
      <c r="E345" s="43">
        <v>39.17924</v>
      </c>
      <c r="F345">
        <v>0</v>
      </c>
      <c r="G345">
        <f>F345*1609.344</f>
        <v>0</v>
      </c>
      <c r="H345" s="32" t="s">
        <v>10</v>
      </c>
      <c r="I345">
        <v>0</v>
      </c>
      <c r="J345">
        <v>328.83034050073002</v>
      </c>
      <c r="K345" s="26">
        <v>2017</v>
      </c>
      <c r="L345" t="s">
        <v>11</v>
      </c>
      <c r="M345" s="32">
        <v>104</v>
      </c>
      <c r="N345">
        <v>11.913003570000001</v>
      </c>
      <c r="O345">
        <v>4.75</v>
      </c>
      <c r="P345" t="s">
        <v>12</v>
      </c>
      <c r="Q345">
        <v>74.900000000000006</v>
      </c>
      <c r="R345" t="s">
        <v>13</v>
      </c>
      <c r="S345" t="s">
        <v>16</v>
      </c>
      <c r="T345" t="s">
        <v>14</v>
      </c>
      <c r="U345" s="34">
        <v>0</v>
      </c>
      <c r="V345" s="34">
        <v>10</v>
      </c>
      <c r="W345" s="25">
        <v>5</v>
      </c>
      <c r="X345" s="25">
        <v>10</v>
      </c>
      <c r="Y345">
        <v>0.63439566400000003</v>
      </c>
      <c r="Z345" t="s">
        <v>1111</v>
      </c>
      <c r="AA345" t="s">
        <v>622</v>
      </c>
      <c r="AB345">
        <v>4</v>
      </c>
      <c r="AC345">
        <v>42.4</v>
      </c>
      <c r="AF345" t="s">
        <v>532</v>
      </c>
      <c r="AG345" s="32" t="s">
        <v>2562</v>
      </c>
      <c r="AH345" s="32" t="s">
        <v>2563</v>
      </c>
      <c r="AI345" s="32" t="s">
        <v>2564</v>
      </c>
      <c r="AJ345" s="31" t="s">
        <v>3375</v>
      </c>
      <c r="AK345" s="31">
        <v>0.153</v>
      </c>
      <c r="AL345" s="31">
        <v>6.4871999999999996</v>
      </c>
      <c r="AM345" s="31">
        <v>35.912799999999997</v>
      </c>
      <c r="AN345" s="31">
        <v>103.18028939826969</v>
      </c>
      <c r="AO345" s="31">
        <v>571.20068706100926</v>
      </c>
      <c r="AP345" s="31">
        <v>6.5457128204527468E-2</v>
      </c>
      <c r="AQ345" s="31">
        <v>0.3623672391453252</v>
      </c>
      <c r="AR345" s="31">
        <v>0.13341858489683281</v>
      </c>
    </row>
    <row r="346" spans="1:44" hidden="1" x14ac:dyDescent="0.5">
      <c r="A346" s="31">
        <v>475</v>
      </c>
      <c r="B346" s="31">
        <v>33</v>
      </c>
      <c r="C346" s="225" t="s">
        <v>20</v>
      </c>
      <c r="D346" s="35">
        <v>54.605522000000001</v>
      </c>
      <c r="E346" s="33">
        <v>19.847404999999998</v>
      </c>
      <c r="F346">
        <v>0</v>
      </c>
      <c r="G346">
        <f>F346*1609.344</f>
        <v>0</v>
      </c>
      <c r="H346" s="32" t="s">
        <v>10</v>
      </c>
      <c r="I346">
        <v>0</v>
      </c>
      <c r="J346">
        <v>118.042709574572</v>
      </c>
      <c r="K346" s="26">
        <v>2016</v>
      </c>
      <c r="L346" t="s">
        <v>30</v>
      </c>
      <c r="M346" s="32">
        <v>100</v>
      </c>
      <c r="N346">
        <v>11.428783320000001</v>
      </c>
      <c r="O346">
        <v>5</v>
      </c>
      <c r="P346" t="s">
        <v>23</v>
      </c>
      <c r="Q346">
        <v>99.65</v>
      </c>
      <c r="R346" t="s">
        <v>24</v>
      </c>
      <c r="S346" t="s">
        <v>16</v>
      </c>
      <c r="T346" t="s">
        <v>16</v>
      </c>
      <c r="U346" s="34">
        <v>96</v>
      </c>
      <c r="V346" s="34">
        <v>104</v>
      </c>
      <c r="W346" s="25">
        <v>100</v>
      </c>
      <c r="X346" s="25">
        <v>8</v>
      </c>
      <c r="Y346" s="244">
        <v>0.54424737099999998</v>
      </c>
      <c r="Z346" t="s">
        <v>754</v>
      </c>
      <c r="AA346" t="s">
        <v>620</v>
      </c>
      <c r="AB346">
        <v>1</v>
      </c>
      <c r="AC346">
        <v>60</v>
      </c>
      <c r="AF346" t="s">
        <v>532</v>
      </c>
      <c r="AG346" s="32">
        <v>60</v>
      </c>
      <c r="AH346" s="32" t="s">
        <v>1484</v>
      </c>
      <c r="AI346" s="32" t="s">
        <v>1485</v>
      </c>
      <c r="AJ346" s="31" t="s">
        <v>2898</v>
      </c>
      <c r="AK346" s="31">
        <v>0.63300000000000001</v>
      </c>
      <c r="AL346" s="31">
        <v>37.980000000000004</v>
      </c>
      <c r="AM346" s="31">
        <v>22.019999999999996</v>
      </c>
      <c r="AN346" s="31">
        <v>435.58975463482199</v>
      </c>
      <c r="AO346" s="31">
        <v>252.5457187219267</v>
      </c>
      <c r="AP346" s="31">
        <v>0.23706857879453691</v>
      </c>
      <c r="AQ346" s="31">
        <v>0.13744734347171408</v>
      </c>
      <c r="AR346" s="31">
        <v>0.13341858489683281</v>
      </c>
    </row>
    <row r="347" spans="1:44" hidden="1" x14ac:dyDescent="0.5">
      <c r="A347" s="31">
        <v>476</v>
      </c>
      <c r="B347" s="31">
        <v>33</v>
      </c>
      <c r="C347" s="225" t="s">
        <v>20</v>
      </c>
      <c r="D347" s="35">
        <v>54.605522000000001</v>
      </c>
      <c r="E347" s="33">
        <v>19.847404999999998</v>
      </c>
      <c r="F347">
        <v>0</v>
      </c>
      <c r="G347">
        <f>F347*1609.344</f>
        <v>0</v>
      </c>
      <c r="H347" s="32" t="s">
        <v>10</v>
      </c>
      <c r="I347">
        <v>0</v>
      </c>
      <c r="J347">
        <v>118.042709574572</v>
      </c>
      <c r="K347" s="26">
        <v>2016</v>
      </c>
      <c r="L347" t="s">
        <v>30</v>
      </c>
      <c r="M347" s="32">
        <v>100</v>
      </c>
      <c r="N347">
        <v>11.428783320000001</v>
      </c>
      <c r="O347">
        <v>5</v>
      </c>
      <c r="P347" t="s">
        <v>23</v>
      </c>
      <c r="Q347">
        <v>99.65</v>
      </c>
      <c r="R347" t="s">
        <v>24</v>
      </c>
      <c r="S347" t="s">
        <v>16</v>
      </c>
      <c r="T347" t="s">
        <v>16</v>
      </c>
      <c r="U347" s="34">
        <v>48</v>
      </c>
      <c r="V347" s="34">
        <v>56</v>
      </c>
      <c r="W347" s="25">
        <v>52</v>
      </c>
      <c r="X347" s="25">
        <v>8</v>
      </c>
      <c r="Y347" s="244">
        <v>0.54424737099999998</v>
      </c>
      <c r="Z347" t="s">
        <v>754</v>
      </c>
      <c r="AA347" t="s">
        <v>620</v>
      </c>
      <c r="AB347">
        <v>1</v>
      </c>
      <c r="AC347">
        <v>66</v>
      </c>
      <c r="AF347" t="s">
        <v>532</v>
      </c>
      <c r="AG347" s="32">
        <v>66</v>
      </c>
      <c r="AH347" s="32" t="s">
        <v>1486</v>
      </c>
      <c r="AI347" s="32" t="s">
        <v>1487</v>
      </c>
      <c r="AJ347" s="31" t="s">
        <v>2899</v>
      </c>
      <c r="AK347" s="31">
        <v>0.86829999999999996</v>
      </c>
      <c r="AL347" s="31">
        <v>57.3078</v>
      </c>
      <c r="AM347" s="31">
        <v>8.6921999999999997</v>
      </c>
      <c r="AN347" s="31">
        <v>657.25883466723133</v>
      </c>
      <c r="AO347" s="31">
        <v>99.690186025192162</v>
      </c>
      <c r="AP347" s="31">
        <v>0.35771139283416431</v>
      </c>
      <c r="AQ347" s="31">
        <v>5.4256121658711777E-2</v>
      </c>
      <c r="AR347" s="31">
        <v>0.13341858489683281</v>
      </c>
    </row>
    <row r="348" spans="1:44" hidden="1" x14ac:dyDescent="0.5">
      <c r="A348" s="31">
        <v>477</v>
      </c>
      <c r="B348" s="31">
        <v>33</v>
      </c>
      <c r="C348" s="225" t="s">
        <v>20</v>
      </c>
      <c r="D348" s="35">
        <v>54.605522000000001</v>
      </c>
      <c r="E348" s="33">
        <v>19.847404999999998</v>
      </c>
      <c r="F348">
        <v>0</v>
      </c>
      <c r="G348">
        <f>F348*1609.344</f>
        <v>0</v>
      </c>
      <c r="H348" s="32" t="s">
        <v>10</v>
      </c>
      <c r="I348">
        <v>0</v>
      </c>
      <c r="J348">
        <v>118.042709574572</v>
      </c>
      <c r="K348" s="26">
        <v>2016</v>
      </c>
      <c r="L348" t="s">
        <v>30</v>
      </c>
      <c r="M348" s="32">
        <v>100</v>
      </c>
      <c r="N348">
        <v>11.428783320000001</v>
      </c>
      <c r="O348">
        <v>5</v>
      </c>
      <c r="P348" t="s">
        <v>23</v>
      </c>
      <c r="Q348">
        <v>99.65</v>
      </c>
      <c r="R348" t="s">
        <v>24</v>
      </c>
      <c r="S348" t="s">
        <v>16</v>
      </c>
      <c r="T348" t="s">
        <v>16</v>
      </c>
      <c r="U348" s="34">
        <v>104</v>
      </c>
      <c r="V348" s="34">
        <v>112</v>
      </c>
      <c r="W348" s="25">
        <v>108</v>
      </c>
      <c r="X348" s="25">
        <v>8</v>
      </c>
      <c r="Y348" s="244">
        <v>0.54424737099999998</v>
      </c>
      <c r="Z348" t="s">
        <v>754</v>
      </c>
      <c r="AA348" t="s">
        <v>620</v>
      </c>
      <c r="AB348">
        <v>1</v>
      </c>
      <c r="AC348">
        <v>72</v>
      </c>
      <c r="AF348" t="s">
        <v>532</v>
      </c>
      <c r="AG348" s="32">
        <v>72</v>
      </c>
      <c r="AH348" s="32" t="s">
        <v>1488</v>
      </c>
      <c r="AI348" s="32" t="s">
        <v>1489</v>
      </c>
      <c r="AJ348" s="31" t="s">
        <v>2900</v>
      </c>
      <c r="AK348" s="31">
        <v>0.66669999999999996</v>
      </c>
      <c r="AL348" s="31">
        <v>48.002399999999994</v>
      </c>
      <c r="AM348" s="31">
        <v>23.997600000000006</v>
      </c>
      <c r="AN348" s="31">
        <v>550.53590410433321</v>
      </c>
      <c r="AO348" s="31">
        <v>275.22666392376527</v>
      </c>
      <c r="AP348" s="31">
        <v>0.29962771844989144</v>
      </c>
      <c r="AQ348" s="31">
        <v>0.14979138826960978</v>
      </c>
      <c r="AR348" s="31">
        <v>0.13341858489683281</v>
      </c>
    </row>
    <row r="349" spans="1:44" hidden="1" x14ac:dyDescent="0.5">
      <c r="A349" s="31">
        <v>478</v>
      </c>
      <c r="B349" s="31">
        <v>33</v>
      </c>
      <c r="C349" s="225" t="s">
        <v>20</v>
      </c>
      <c r="D349" s="35">
        <v>54.605522000000001</v>
      </c>
      <c r="E349" s="33">
        <v>19.847404999999998</v>
      </c>
      <c r="F349">
        <v>0</v>
      </c>
      <c r="G349">
        <f>F349*1609.344</f>
        <v>0</v>
      </c>
      <c r="H349" s="32" t="s">
        <v>10</v>
      </c>
      <c r="I349">
        <v>0</v>
      </c>
      <c r="J349">
        <v>118.042709574572</v>
      </c>
      <c r="K349" s="26">
        <v>2016</v>
      </c>
      <c r="L349" t="s">
        <v>30</v>
      </c>
      <c r="M349" s="32">
        <v>100</v>
      </c>
      <c r="N349">
        <v>11.428783320000001</v>
      </c>
      <c r="O349">
        <v>5</v>
      </c>
      <c r="P349" t="s">
        <v>23</v>
      </c>
      <c r="Q349">
        <v>99.65</v>
      </c>
      <c r="R349" t="s">
        <v>24</v>
      </c>
      <c r="S349" t="s">
        <v>16</v>
      </c>
      <c r="T349" t="s">
        <v>16</v>
      </c>
      <c r="U349" s="34">
        <v>88</v>
      </c>
      <c r="V349" s="34">
        <v>96</v>
      </c>
      <c r="W349" s="25">
        <v>92</v>
      </c>
      <c r="X349" s="25">
        <v>8</v>
      </c>
      <c r="Y349" s="244">
        <v>0.54424737099999998</v>
      </c>
      <c r="Z349" t="s">
        <v>754</v>
      </c>
      <c r="AA349" t="s">
        <v>620</v>
      </c>
      <c r="AB349">
        <v>1</v>
      </c>
      <c r="AC349">
        <v>78</v>
      </c>
      <c r="AF349" t="s">
        <v>532</v>
      </c>
      <c r="AG349" s="32">
        <v>78</v>
      </c>
      <c r="AH349" s="32" t="s">
        <v>1490</v>
      </c>
      <c r="AI349" s="32" t="s">
        <v>1491</v>
      </c>
      <c r="AJ349" s="31" t="s">
        <v>2901</v>
      </c>
      <c r="AK349" s="31">
        <v>0.85899999999999999</v>
      </c>
      <c r="AL349" s="31">
        <v>67.001999999999995</v>
      </c>
      <c r="AM349" s="31">
        <v>10.998000000000005</v>
      </c>
      <c r="AN349" s="31">
        <v>768.44088309748122</v>
      </c>
      <c r="AO349" s="31">
        <v>126.13523226629209</v>
      </c>
      <c r="AP349" s="31">
        <v>0.4182219303947225</v>
      </c>
      <c r="AQ349" s="31">
        <v>6.8648768551403838E-2</v>
      </c>
      <c r="AR349" s="31">
        <v>0.13341858489683281</v>
      </c>
    </row>
    <row r="350" spans="1:44" hidden="1" x14ac:dyDescent="0.5">
      <c r="A350" s="31">
        <v>479</v>
      </c>
      <c r="B350" s="31">
        <v>33</v>
      </c>
      <c r="C350" s="225" t="s">
        <v>20</v>
      </c>
      <c r="D350" s="35">
        <v>54.605522000000001</v>
      </c>
      <c r="E350" s="33">
        <v>19.847404999999998</v>
      </c>
      <c r="F350">
        <v>0</v>
      </c>
      <c r="G350">
        <f>F350*1609.344</f>
        <v>0</v>
      </c>
      <c r="H350" s="32" t="s">
        <v>10</v>
      </c>
      <c r="I350">
        <v>0</v>
      </c>
      <c r="J350">
        <v>118.042709574572</v>
      </c>
      <c r="K350" s="26">
        <v>2016</v>
      </c>
      <c r="L350" t="s">
        <v>30</v>
      </c>
      <c r="M350" s="32">
        <v>100</v>
      </c>
      <c r="N350">
        <v>11.428783320000001</v>
      </c>
      <c r="O350">
        <v>5</v>
      </c>
      <c r="P350" t="s">
        <v>23</v>
      </c>
      <c r="Q350">
        <v>99.65</v>
      </c>
      <c r="R350" t="s">
        <v>24</v>
      </c>
      <c r="S350" t="s">
        <v>16</v>
      </c>
      <c r="T350" t="s">
        <v>16</v>
      </c>
      <c r="U350" s="34">
        <v>32</v>
      </c>
      <c r="V350" s="34">
        <v>40</v>
      </c>
      <c r="W350" s="25">
        <v>36</v>
      </c>
      <c r="X350" s="25">
        <v>8</v>
      </c>
      <c r="Y350" s="244">
        <v>0.54424737099999998</v>
      </c>
      <c r="Z350" t="s">
        <v>754</v>
      </c>
      <c r="AA350" t="s">
        <v>620</v>
      </c>
      <c r="AB350">
        <v>1</v>
      </c>
      <c r="AC350">
        <v>91</v>
      </c>
      <c r="AF350" t="s">
        <v>532</v>
      </c>
      <c r="AG350" s="32">
        <v>91</v>
      </c>
      <c r="AH350" s="32" t="s">
        <v>1492</v>
      </c>
      <c r="AI350" s="32" t="s">
        <v>1493</v>
      </c>
      <c r="AJ350" s="31" t="s">
        <v>2902</v>
      </c>
      <c r="AK350" s="31">
        <v>0.86809999999999998</v>
      </c>
      <c r="AL350" s="31">
        <v>78.997100000000003</v>
      </c>
      <c r="AM350" s="31">
        <v>12.002899999999997</v>
      </c>
      <c r="AN350" s="31">
        <v>906.0117800385068</v>
      </c>
      <c r="AO350" s="31">
        <v>137.66035455256193</v>
      </c>
      <c r="AP350" s="31">
        <v>0.49309452938098758</v>
      </c>
      <c r="AQ350" s="31">
        <v>7.4921286056159705E-2</v>
      </c>
      <c r="AR350" s="31">
        <v>0.13341858489683281</v>
      </c>
    </row>
    <row r="351" spans="1:44" hidden="1" x14ac:dyDescent="0.5">
      <c r="A351" s="31">
        <v>480</v>
      </c>
      <c r="B351" s="31">
        <v>33</v>
      </c>
      <c r="C351" s="225" t="s">
        <v>20</v>
      </c>
      <c r="D351" s="35">
        <v>54.605522000000001</v>
      </c>
      <c r="E351" s="33">
        <v>19.847404999999998</v>
      </c>
      <c r="F351">
        <v>0</v>
      </c>
      <c r="G351">
        <f>F351*1609.344</f>
        <v>0</v>
      </c>
      <c r="H351" s="32" t="s">
        <v>10</v>
      </c>
      <c r="I351">
        <v>0</v>
      </c>
      <c r="J351">
        <v>118.042709574572</v>
      </c>
      <c r="K351" s="26">
        <v>2016</v>
      </c>
      <c r="L351" t="s">
        <v>30</v>
      </c>
      <c r="M351" s="32">
        <v>100</v>
      </c>
      <c r="N351">
        <v>11.428783320000001</v>
      </c>
      <c r="O351">
        <v>5</v>
      </c>
      <c r="P351" t="s">
        <v>23</v>
      </c>
      <c r="Q351">
        <v>99.65</v>
      </c>
      <c r="R351" t="s">
        <v>24</v>
      </c>
      <c r="S351" t="s">
        <v>16</v>
      </c>
      <c r="T351" t="s">
        <v>16</v>
      </c>
      <c r="U351" s="34">
        <v>120</v>
      </c>
      <c r="V351" s="34">
        <v>128</v>
      </c>
      <c r="W351" s="25">
        <v>124</v>
      </c>
      <c r="X351" s="25">
        <v>8</v>
      </c>
      <c r="Y351" s="244">
        <v>0.54424737099999998</v>
      </c>
      <c r="Z351" t="s">
        <v>754</v>
      </c>
      <c r="AA351" t="s">
        <v>620</v>
      </c>
      <c r="AB351">
        <v>1</v>
      </c>
      <c r="AC351">
        <v>97</v>
      </c>
      <c r="AF351" t="s">
        <v>532</v>
      </c>
      <c r="AG351" s="32">
        <v>97</v>
      </c>
      <c r="AH351" s="32" t="s">
        <v>1494</v>
      </c>
      <c r="AI351" s="32" t="s">
        <v>1495</v>
      </c>
      <c r="AJ351" s="31" t="s">
        <v>2903</v>
      </c>
      <c r="AK351" s="31">
        <v>0.65980000000000005</v>
      </c>
      <c r="AL351" s="31">
        <v>64.000600000000006</v>
      </c>
      <c r="AM351" s="31">
        <v>32.999399999999994</v>
      </c>
      <c r="AN351" s="31">
        <v>734.01805293526547</v>
      </c>
      <c r="AO351" s="31">
        <v>378.46762899147814</v>
      </c>
      <c r="AP351" s="31">
        <v>0.39948739557655705</v>
      </c>
      <c r="AQ351" s="31">
        <v>0.20598001208721534</v>
      </c>
      <c r="AR351" s="31">
        <v>0.13341858489683281</v>
      </c>
    </row>
    <row r="352" spans="1:44" hidden="1" x14ac:dyDescent="0.5">
      <c r="A352" s="31">
        <v>481</v>
      </c>
      <c r="B352" s="31">
        <v>33</v>
      </c>
      <c r="C352" s="225" t="s">
        <v>20</v>
      </c>
      <c r="D352" s="35">
        <v>54.605522000000001</v>
      </c>
      <c r="E352" s="33">
        <v>19.847404999999998</v>
      </c>
      <c r="F352">
        <v>0</v>
      </c>
      <c r="G352">
        <f>F352*1609.344</f>
        <v>0</v>
      </c>
      <c r="H352" s="32" t="s">
        <v>10</v>
      </c>
      <c r="I352">
        <v>0</v>
      </c>
      <c r="J352">
        <v>118.042709574572</v>
      </c>
      <c r="K352" s="26">
        <v>2016</v>
      </c>
      <c r="L352" t="s">
        <v>30</v>
      </c>
      <c r="M352" s="32">
        <v>100</v>
      </c>
      <c r="N352">
        <v>11.428783320000001</v>
      </c>
      <c r="O352">
        <v>5</v>
      </c>
      <c r="P352" t="s">
        <v>23</v>
      </c>
      <c r="Q352">
        <v>99.65</v>
      </c>
      <c r="R352" t="s">
        <v>24</v>
      </c>
      <c r="S352" t="s">
        <v>16</v>
      </c>
      <c r="T352" t="s">
        <v>16</v>
      </c>
      <c r="U352" s="34">
        <v>112</v>
      </c>
      <c r="V352" s="34">
        <v>120</v>
      </c>
      <c r="W352" s="25">
        <v>116</v>
      </c>
      <c r="X352" s="25">
        <v>8</v>
      </c>
      <c r="Y352" s="244">
        <v>0.54424737099999998</v>
      </c>
      <c r="Z352" t="s">
        <v>754</v>
      </c>
      <c r="AA352" t="s">
        <v>620</v>
      </c>
      <c r="AB352">
        <v>1</v>
      </c>
      <c r="AC352">
        <v>98</v>
      </c>
      <c r="AF352" t="s">
        <v>532</v>
      </c>
      <c r="AG352" s="32">
        <v>98</v>
      </c>
      <c r="AH352" s="32" t="s">
        <v>1496</v>
      </c>
      <c r="AI352" s="32" t="s">
        <v>1497</v>
      </c>
      <c r="AJ352" s="31" t="s">
        <v>2904</v>
      </c>
      <c r="AK352" s="31">
        <v>0.63270000000000004</v>
      </c>
      <c r="AL352" s="31">
        <v>62.004600000000003</v>
      </c>
      <c r="AM352" s="31">
        <v>35.995399999999997</v>
      </c>
      <c r="AN352" s="31">
        <v>711.12607952159772</v>
      </c>
      <c r="AO352" s="31">
        <v>412.82852696109182</v>
      </c>
      <c r="AP352" s="31">
        <v>0.38702849922916643</v>
      </c>
      <c r="AQ352" s="31">
        <v>0.22468084047237685</v>
      </c>
      <c r="AR352" s="31">
        <v>0.13341858489683281</v>
      </c>
    </row>
    <row r="353" spans="1:44" hidden="1" x14ac:dyDescent="0.5">
      <c r="A353" s="31">
        <v>482</v>
      </c>
      <c r="B353" s="31">
        <v>33</v>
      </c>
      <c r="C353" s="225" t="s">
        <v>20</v>
      </c>
      <c r="D353" s="35">
        <v>54.605522000000001</v>
      </c>
      <c r="E353" s="33">
        <v>19.847404999999998</v>
      </c>
      <c r="F353">
        <v>0</v>
      </c>
      <c r="G353">
        <f>F353*1609.344</f>
        <v>0</v>
      </c>
      <c r="H353" s="32" t="s">
        <v>10</v>
      </c>
      <c r="I353">
        <v>0</v>
      </c>
      <c r="J353">
        <v>118.042709574572</v>
      </c>
      <c r="K353" s="26">
        <v>2016</v>
      </c>
      <c r="L353" t="s">
        <v>30</v>
      </c>
      <c r="M353" s="32">
        <v>100</v>
      </c>
      <c r="N353">
        <v>11.428783320000001</v>
      </c>
      <c r="O353">
        <v>5</v>
      </c>
      <c r="P353" t="s">
        <v>23</v>
      </c>
      <c r="Q353">
        <v>99.65</v>
      </c>
      <c r="R353" t="s">
        <v>24</v>
      </c>
      <c r="S353" t="s">
        <v>16</v>
      </c>
      <c r="T353" t="s">
        <v>16</v>
      </c>
      <c r="U353" s="34">
        <v>56</v>
      </c>
      <c r="V353" s="34">
        <v>64</v>
      </c>
      <c r="W353" s="25">
        <v>60</v>
      </c>
      <c r="X353" s="25">
        <v>8</v>
      </c>
      <c r="Y353" s="244">
        <v>0.54424737099999998</v>
      </c>
      <c r="Z353" t="s">
        <v>754</v>
      </c>
      <c r="AA353" t="s">
        <v>620</v>
      </c>
      <c r="AB353">
        <v>1</v>
      </c>
      <c r="AC353">
        <v>115</v>
      </c>
      <c r="AF353" t="s">
        <v>532</v>
      </c>
      <c r="AG353" s="32">
        <v>115</v>
      </c>
      <c r="AH353" s="32" t="s">
        <v>1498</v>
      </c>
      <c r="AI353" s="32" t="s">
        <v>1499</v>
      </c>
      <c r="AJ353" s="31" t="s">
        <v>2905</v>
      </c>
      <c r="AK353" s="31">
        <v>0.87829999999999997</v>
      </c>
      <c r="AL353" s="31">
        <v>101.00449999999999</v>
      </c>
      <c r="AM353" s="31">
        <v>13.995500000000007</v>
      </c>
      <c r="AN353" s="31">
        <v>1158.4129903110286</v>
      </c>
      <c r="AO353" s="31">
        <v>160.51333362273965</v>
      </c>
      <c r="AP353" s="31">
        <v>0.6304632245090257</v>
      </c>
      <c r="AQ353" s="31">
        <v>8.7358959834621955E-2</v>
      </c>
      <c r="AR353" s="31">
        <v>0.13341858489683281</v>
      </c>
    </row>
    <row r="354" spans="1:44" hidden="1" x14ac:dyDescent="0.5">
      <c r="A354" s="31">
        <v>483</v>
      </c>
      <c r="B354" s="31">
        <v>33</v>
      </c>
      <c r="C354" s="225" t="s">
        <v>20</v>
      </c>
      <c r="D354" s="35">
        <v>54.605522000000001</v>
      </c>
      <c r="E354" s="33">
        <v>19.847404999999998</v>
      </c>
      <c r="F354">
        <v>0</v>
      </c>
      <c r="G354">
        <f>F354*1609.344</f>
        <v>0</v>
      </c>
      <c r="H354" s="32" t="s">
        <v>10</v>
      </c>
      <c r="I354">
        <v>0</v>
      </c>
      <c r="J354">
        <v>118.042709574572</v>
      </c>
      <c r="K354" s="26">
        <v>2016</v>
      </c>
      <c r="L354" t="s">
        <v>30</v>
      </c>
      <c r="M354" s="32">
        <v>100</v>
      </c>
      <c r="N354">
        <v>11.428783320000001</v>
      </c>
      <c r="O354">
        <v>5</v>
      </c>
      <c r="P354" t="s">
        <v>23</v>
      </c>
      <c r="Q354">
        <v>99.65</v>
      </c>
      <c r="R354" t="s">
        <v>24</v>
      </c>
      <c r="S354" t="s">
        <v>16</v>
      </c>
      <c r="T354" t="s">
        <v>16</v>
      </c>
      <c r="U354" s="34">
        <v>64</v>
      </c>
      <c r="V354" s="34">
        <v>72</v>
      </c>
      <c r="W354" s="25">
        <v>68</v>
      </c>
      <c r="X354" s="25">
        <v>8</v>
      </c>
      <c r="Y354" s="244">
        <v>0.54424737099999998</v>
      </c>
      <c r="Z354" t="s">
        <v>754</v>
      </c>
      <c r="AA354" t="s">
        <v>620</v>
      </c>
      <c r="AB354">
        <v>1</v>
      </c>
      <c r="AC354">
        <v>282</v>
      </c>
      <c r="AF354" t="s">
        <v>532</v>
      </c>
      <c r="AG354" s="32">
        <v>282</v>
      </c>
      <c r="AH354" s="32" t="s">
        <v>1500</v>
      </c>
      <c r="AI354" s="32" t="s">
        <v>1501</v>
      </c>
      <c r="AJ354" s="31" t="s">
        <v>2906</v>
      </c>
      <c r="AK354" s="31">
        <v>0.98929999999999996</v>
      </c>
      <c r="AL354" s="31">
        <v>278.98259999999999</v>
      </c>
      <c r="AM354" s="31">
        <v>3.0174000000000092</v>
      </c>
      <c r="AN354" s="31">
        <v>3199.6303918216076</v>
      </c>
      <c r="AO354" s="31">
        <v>34.606332955111</v>
      </c>
      <c r="AP354" s="31">
        <v>1.7413904289206097</v>
      </c>
      <c r="AQ354" s="31">
        <v>1.8834405730769822E-2</v>
      </c>
      <c r="AR354" s="31">
        <v>0.13341858489683281</v>
      </c>
    </row>
    <row r="355" spans="1:44" hidden="1" x14ac:dyDescent="0.5">
      <c r="A355" s="31">
        <v>484</v>
      </c>
      <c r="B355" s="31">
        <v>33</v>
      </c>
      <c r="C355" s="225" t="s">
        <v>20</v>
      </c>
      <c r="D355" s="35">
        <v>54.605522000000001</v>
      </c>
      <c r="E355" s="33">
        <v>19.847404999999998</v>
      </c>
      <c r="F355">
        <v>0</v>
      </c>
      <c r="G355">
        <f>F355*1609.344</f>
        <v>0</v>
      </c>
      <c r="H355" s="32" t="s">
        <v>10</v>
      </c>
      <c r="I355">
        <v>0</v>
      </c>
      <c r="J355">
        <v>118.042709574572</v>
      </c>
      <c r="K355" s="26">
        <v>2016</v>
      </c>
      <c r="L355" t="s">
        <v>30</v>
      </c>
      <c r="M355" s="32">
        <v>100</v>
      </c>
      <c r="N355">
        <v>11.428783320000001</v>
      </c>
      <c r="O355">
        <v>5</v>
      </c>
      <c r="P355" t="s">
        <v>23</v>
      </c>
      <c r="Q355">
        <v>99.65</v>
      </c>
      <c r="R355" t="s">
        <v>24</v>
      </c>
      <c r="S355" t="s">
        <v>16</v>
      </c>
      <c r="T355" t="s">
        <v>16</v>
      </c>
      <c r="U355" s="34">
        <v>40</v>
      </c>
      <c r="V355" s="34">
        <v>48</v>
      </c>
      <c r="W355" s="25">
        <v>44</v>
      </c>
      <c r="X355" s="25">
        <v>8</v>
      </c>
      <c r="Y355" s="244">
        <v>0.54424737099999998</v>
      </c>
      <c r="Z355" t="s">
        <v>754</v>
      </c>
      <c r="AA355" t="s">
        <v>620</v>
      </c>
      <c r="AB355">
        <v>1</v>
      </c>
      <c r="AC355">
        <v>326</v>
      </c>
      <c r="AF355" t="s">
        <v>532</v>
      </c>
      <c r="AG355" s="32">
        <v>326</v>
      </c>
      <c r="AH355" s="32" t="s">
        <v>1502</v>
      </c>
      <c r="AI355" s="32" t="s">
        <v>1503</v>
      </c>
      <c r="AJ355" s="31" t="s">
        <v>2907</v>
      </c>
      <c r="AK355" s="31">
        <v>0.96930000000000005</v>
      </c>
      <c r="AL355" s="31">
        <v>315.99180000000001</v>
      </c>
      <c r="AM355" s="31">
        <v>10.008199999999988</v>
      </c>
      <c r="AN355" s="31">
        <v>3624.0861144975179</v>
      </c>
      <c r="AO355" s="31">
        <v>114.78329074081672</v>
      </c>
      <c r="AP355" s="31">
        <v>1.972399340092879</v>
      </c>
      <c r="AQ355" s="31">
        <v>6.2470504220418145E-2</v>
      </c>
      <c r="AR355" s="31">
        <v>0.13341858489683281</v>
      </c>
    </row>
    <row r="356" spans="1:44" hidden="1" x14ac:dyDescent="0.5">
      <c r="A356" s="31">
        <v>506</v>
      </c>
      <c r="B356" s="31">
        <v>33</v>
      </c>
      <c r="C356" s="225" t="s">
        <v>20</v>
      </c>
      <c r="D356" s="35">
        <v>54.605522000000001</v>
      </c>
      <c r="E356" s="33">
        <v>19.847404999999998</v>
      </c>
      <c r="F356">
        <v>0</v>
      </c>
      <c r="G356">
        <f>F356*1609.344</f>
        <v>0</v>
      </c>
      <c r="H356" s="32" t="s">
        <v>10</v>
      </c>
      <c r="I356">
        <v>0</v>
      </c>
      <c r="J356">
        <v>118.042709574572</v>
      </c>
      <c r="K356" s="26">
        <v>2016</v>
      </c>
      <c r="L356" t="s">
        <v>11</v>
      </c>
      <c r="M356" s="32">
        <v>100</v>
      </c>
      <c r="N356">
        <v>11.428783320000001</v>
      </c>
      <c r="O356">
        <v>5</v>
      </c>
      <c r="P356" t="s">
        <v>23</v>
      </c>
      <c r="Q356">
        <v>99.65</v>
      </c>
      <c r="R356" t="s">
        <v>24</v>
      </c>
      <c r="S356" t="s">
        <v>16</v>
      </c>
      <c r="T356" t="s">
        <v>16</v>
      </c>
      <c r="U356" s="34">
        <v>0</v>
      </c>
      <c r="V356" s="34">
        <v>2</v>
      </c>
      <c r="W356" s="25">
        <v>1</v>
      </c>
      <c r="X356" s="25">
        <v>2</v>
      </c>
      <c r="Y356" s="244">
        <v>0.54424737099999998</v>
      </c>
      <c r="Z356" t="s">
        <v>754</v>
      </c>
      <c r="AA356" t="s">
        <v>620</v>
      </c>
      <c r="AB356">
        <v>1</v>
      </c>
      <c r="AC356">
        <v>355</v>
      </c>
      <c r="AF356" t="s">
        <v>532</v>
      </c>
      <c r="AG356" s="32">
        <v>355</v>
      </c>
      <c r="AH356" s="32" t="s">
        <v>1529</v>
      </c>
      <c r="AI356" s="32" t="s">
        <v>1530</v>
      </c>
      <c r="AJ356" s="31" t="s">
        <v>2919</v>
      </c>
      <c r="AK356" s="31">
        <v>0.91290000000000004</v>
      </c>
      <c r="AL356" s="31">
        <v>324.0795</v>
      </c>
      <c r="AM356" s="31">
        <v>30.920500000000004</v>
      </c>
      <c r="AN356" s="31">
        <v>3716.84333562864</v>
      </c>
      <c r="AO356" s="31">
        <v>354.6248817321225</v>
      </c>
      <c r="AP356" s="31">
        <v>2.022882213834758</v>
      </c>
      <c r="AQ356" s="31">
        <v>0.19300365957389357</v>
      </c>
      <c r="AR356" s="31">
        <v>0.13341858489683281</v>
      </c>
    </row>
    <row r="357" spans="1:44" hidden="1" x14ac:dyDescent="0.5">
      <c r="A357" s="31">
        <v>507</v>
      </c>
      <c r="B357" s="31">
        <v>33</v>
      </c>
      <c r="C357" s="225" t="s">
        <v>20</v>
      </c>
      <c r="D357" s="35">
        <v>54.605522000000001</v>
      </c>
      <c r="E357" s="33">
        <v>19.847404999999998</v>
      </c>
      <c r="F357">
        <v>0</v>
      </c>
      <c r="G357">
        <f>F357*1609.344</f>
        <v>0</v>
      </c>
      <c r="H357" s="32" t="s">
        <v>10</v>
      </c>
      <c r="I357">
        <v>0</v>
      </c>
      <c r="J357">
        <v>118.042709574572</v>
      </c>
      <c r="K357" s="26">
        <v>2016</v>
      </c>
      <c r="L357" t="s">
        <v>11</v>
      </c>
      <c r="M357" s="32">
        <v>100</v>
      </c>
      <c r="N357">
        <v>11.428783320000001</v>
      </c>
      <c r="O357">
        <v>5</v>
      </c>
      <c r="P357" t="s">
        <v>23</v>
      </c>
      <c r="Q357">
        <v>99.65</v>
      </c>
      <c r="R357" t="s">
        <v>24</v>
      </c>
      <c r="S357" t="s">
        <v>16</v>
      </c>
      <c r="T357" t="s">
        <v>16</v>
      </c>
      <c r="U357" s="34">
        <v>0</v>
      </c>
      <c r="V357" s="34">
        <v>2</v>
      </c>
      <c r="W357" s="25">
        <v>1</v>
      </c>
      <c r="X357" s="25">
        <v>2</v>
      </c>
      <c r="Y357" s="244">
        <v>0.54424737099999998</v>
      </c>
      <c r="Z357" t="s">
        <v>754</v>
      </c>
      <c r="AA357" t="s">
        <v>620</v>
      </c>
      <c r="AB357">
        <v>1</v>
      </c>
      <c r="AC357">
        <v>375</v>
      </c>
      <c r="AF357" t="s">
        <v>532</v>
      </c>
      <c r="AG357" s="32">
        <v>375</v>
      </c>
      <c r="AH357" s="32" t="s">
        <v>1531</v>
      </c>
      <c r="AI357" s="32" t="s">
        <v>1532</v>
      </c>
      <c r="AJ357" s="31" t="s">
        <v>2920</v>
      </c>
      <c r="AK357" s="31">
        <v>0.81869999999999998</v>
      </c>
      <c r="AL357" s="31">
        <v>307.01249999999999</v>
      </c>
      <c r="AM357" s="31">
        <v>67.987500000000011</v>
      </c>
      <c r="AN357" s="31">
        <v>3521.1032002323132</v>
      </c>
      <c r="AO357" s="31">
        <v>779.74350824736598</v>
      </c>
      <c r="AP357" s="31">
        <v>1.9163511597461229</v>
      </c>
      <c r="AQ357" s="31">
        <v>0.42437335441794571</v>
      </c>
      <c r="AR357" s="31">
        <v>0.13341858489683281</v>
      </c>
    </row>
    <row r="358" spans="1:44" hidden="1" x14ac:dyDescent="0.5">
      <c r="A358" s="31">
        <v>553</v>
      </c>
      <c r="B358" s="31">
        <v>39</v>
      </c>
      <c r="C358" s="225" t="s">
        <v>20</v>
      </c>
      <c r="D358" s="35">
        <v>54.591000999999999</v>
      </c>
      <c r="E358" s="33">
        <v>16.752103999999999</v>
      </c>
      <c r="F358">
        <v>1.76</v>
      </c>
      <c r="G358">
        <f>F358*1609.344</f>
        <v>2832.44544</v>
      </c>
      <c r="H358" s="32" t="s">
        <v>614</v>
      </c>
      <c r="I358">
        <v>18</v>
      </c>
      <c r="J358">
        <v>64.569712125230097</v>
      </c>
      <c r="K358" s="26">
        <v>2015</v>
      </c>
      <c r="L358" t="s">
        <v>40</v>
      </c>
      <c r="M358" s="32">
        <v>100</v>
      </c>
      <c r="N358">
        <v>11.428783320000001</v>
      </c>
      <c r="O358">
        <v>5</v>
      </c>
      <c r="P358" t="s">
        <v>12</v>
      </c>
      <c r="Q358">
        <v>89</v>
      </c>
      <c r="R358" t="s">
        <v>13</v>
      </c>
      <c r="S358" t="s">
        <v>14</v>
      </c>
      <c r="T358" t="s">
        <v>14</v>
      </c>
      <c r="U358" s="34">
        <v>0</v>
      </c>
      <c r="V358" s="34">
        <v>2.5</v>
      </c>
      <c r="W358" s="25">
        <v>1.25</v>
      </c>
      <c r="X358" s="25">
        <v>2.5</v>
      </c>
      <c r="Y358" s="244">
        <v>0.49520066000000001</v>
      </c>
      <c r="Z358" t="s">
        <v>1118</v>
      </c>
      <c r="AA358" t="s">
        <v>622</v>
      </c>
      <c r="AB358">
        <v>1</v>
      </c>
      <c r="AC358">
        <v>15</v>
      </c>
      <c r="AF358" t="s">
        <v>532</v>
      </c>
      <c r="AG358" s="32">
        <v>15</v>
      </c>
      <c r="AH358" s="32" t="s">
        <v>1562</v>
      </c>
      <c r="AI358" s="32" t="s">
        <v>1566</v>
      </c>
      <c r="AJ358" s="31" t="s">
        <v>2948</v>
      </c>
      <c r="AK358" s="31">
        <v>0.73</v>
      </c>
      <c r="AL358" s="31">
        <v>10.95</v>
      </c>
      <c r="AM358" s="31">
        <v>4.0500000000000007</v>
      </c>
      <c r="AN358" s="31">
        <v>140.61255882471912</v>
      </c>
      <c r="AO358" s="31">
        <v>52.007384770786523</v>
      </c>
      <c r="AP358" s="31">
        <v>6.9631431934289736E-2</v>
      </c>
      <c r="AQ358" s="31">
        <v>2.5754091263367435E-2</v>
      </c>
      <c r="AR358" s="31">
        <v>0.13103405168936957</v>
      </c>
    </row>
    <row r="359" spans="1:44" hidden="1" x14ac:dyDescent="0.5">
      <c r="A359" s="31">
        <v>1388</v>
      </c>
      <c r="B359" s="31">
        <v>98</v>
      </c>
      <c r="C359" s="225" t="s">
        <v>39</v>
      </c>
      <c r="D359" s="41">
        <v>54.533532999999998</v>
      </c>
      <c r="E359" s="43">
        <v>-0.74734199999999995</v>
      </c>
      <c r="G359">
        <f>F359*1609.344</f>
        <v>0</v>
      </c>
      <c r="H359" s="31" t="s">
        <v>614</v>
      </c>
      <c r="I359" s="7">
        <v>0</v>
      </c>
      <c r="J359">
        <v>346.26046071239301</v>
      </c>
      <c r="K359" s="26">
        <v>2018</v>
      </c>
      <c r="L359" t="s">
        <v>40</v>
      </c>
      <c r="M359" s="32">
        <v>1000</v>
      </c>
      <c r="N359">
        <v>130.61708849999999</v>
      </c>
      <c r="P359" t="s">
        <v>17</v>
      </c>
      <c r="Q359">
        <v>100</v>
      </c>
      <c r="R359" t="s">
        <v>13</v>
      </c>
      <c r="S359" t="s">
        <v>16</v>
      </c>
      <c r="T359" t="s">
        <v>16</v>
      </c>
      <c r="U359" s="240">
        <v>0</v>
      </c>
      <c r="V359" s="240">
        <v>15</v>
      </c>
      <c r="W359" s="25">
        <v>7.5</v>
      </c>
      <c r="X359" s="25">
        <v>15</v>
      </c>
      <c r="Y359" s="244">
        <v>1.788789671</v>
      </c>
      <c r="Z359" t="s">
        <v>1122</v>
      </c>
      <c r="AA359" t="s">
        <v>622</v>
      </c>
      <c r="AB359">
        <v>30</v>
      </c>
      <c r="AC359">
        <v>34.93</v>
      </c>
      <c r="AD359">
        <v>8.77</v>
      </c>
      <c r="AE359" t="s">
        <v>525</v>
      </c>
      <c r="AF359" t="s">
        <v>553</v>
      </c>
      <c r="AG359" s="32">
        <v>1.3018113333385108</v>
      </c>
      <c r="AH359" s="32">
        <v>0.31</v>
      </c>
      <c r="AI359" s="32">
        <v>0.40356151333493834</v>
      </c>
      <c r="AJ359" s="31">
        <v>0.89824982000357245</v>
      </c>
      <c r="AK359" s="31">
        <v>0.31</v>
      </c>
      <c r="AL359" s="31">
        <v>0.40356151333493834</v>
      </c>
      <c r="AM359" s="31">
        <v>0.89824982000357245</v>
      </c>
      <c r="AN359" s="31">
        <v>52.712029902463577</v>
      </c>
      <c r="AO359" s="31">
        <v>117.32677623451568</v>
      </c>
      <c r="AP359" s="31">
        <v>9.4290734626969977E-2</v>
      </c>
      <c r="AQ359" s="31">
        <v>0.20987292546002992</v>
      </c>
      <c r="AR359" s="31">
        <v>0.13341858489683281</v>
      </c>
    </row>
    <row r="360" spans="1:44" hidden="1" x14ac:dyDescent="0.5">
      <c r="A360" s="31">
        <v>552</v>
      </c>
      <c r="B360" s="31">
        <v>39</v>
      </c>
      <c r="C360" s="225" t="s">
        <v>20</v>
      </c>
      <c r="D360" s="35">
        <v>54.510137</v>
      </c>
      <c r="E360" s="33">
        <v>18.614913000000001</v>
      </c>
      <c r="F360">
        <v>2.19</v>
      </c>
      <c r="G360">
        <f>F360*1609.344</f>
        <v>3524.4633600000002</v>
      </c>
      <c r="H360" s="32" t="s">
        <v>614</v>
      </c>
      <c r="I360">
        <v>18</v>
      </c>
      <c r="J360">
        <v>181.953402695221</v>
      </c>
      <c r="K360" s="26">
        <v>2015</v>
      </c>
      <c r="L360" t="s">
        <v>40</v>
      </c>
      <c r="M360" s="32">
        <v>100</v>
      </c>
      <c r="N360">
        <v>11.428783320000001</v>
      </c>
      <c r="O360">
        <v>5</v>
      </c>
      <c r="P360" t="s">
        <v>12</v>
      </c>
      <c r="Q360">
        <v>89</v>
      </c>
      <c r="R360" t="s">
        <v>13</v>
      </c>
      <c r="S360" t="s">
        <v>14</v>
      </c>
      <c r="T360" t="s">
        <v>14</v>
      </c>
      <c r="U360" s="34">
        <v>0</v>
      </c>
      <c r="V360" s="34">
        <v>2.5</v>
      </c>
      <c r="W360" s="25">
        <v>1.25</v>
      </c>
      <c r="X360" s="25">
        <v>2.5</v>
      </c>
      <c r="Y360" s="244">
        <v>0.49520066000000001</v>
      </c>
      <c r="Z360" t="s">
        <v>1118</v>
      </c>
      <c r="AA360" t="s">
        <v>622</v>
      </c>
      <c r="AB360">
        <v>1</v>
      </c>
      <c r="AC360">
        <v>25</v>
      </c>
      <c r="AF360" t="s">
        <v>532</v>
      </c>
      <c r="AG360" s="32">
        <v>25</v>
      </c>
      <c r="AH360" s="32" t="s">
        <v>1562</v>
      </c>
      <c r="AI360" s="32" t="s">
        <v>1565</v>
      </c>
      <c r="AJ360" s="31" t="s">
        <v>2947</v>
      </c>
      <c r="AK360" s="31">
        <v>0.73</v>
      </c>
      <c r="AL360" s="31">
        <v>18.25</v>
      </c>
      <c r="AM360" s="31">
        <v>6.75</v>
      </c>
      <c r="AN360" s="31">
        <v>234.35426470786518</v>
      </c>
      <c r="AO360" s="31">
        <v>86.678974617977531</v>
      </c>
      <c r="AP360" s="31">
        <v>0.11605238655714956</v>
      </c>
      <c r="AQ360" s="31">
        <v>4.2923485438945724E-2</v>
      </c>
      <c r="AR360" s="31">
        <v>0.13103405168936957</v>
      </c>
    </row>
    <row r="361" spans="1:44" hidden="1" x14ac:dyDescent="0.5">
      <c r="A361" s="31">
        <v>551</v>
      </c>
      <c r="B361" s="31">
        <v>39</v>
      </c>
      <c r="C361" s="225" t="s">
        <v>20</v>
      </c>
      <c r="D361" s="35">
        <v>54.367116000000003</v>
      </c>
      <c r="E361" s="33">
        <v>18.993587999999999</v>
      </c>
      <c r="F361">
        <v>2.0499999999999998</v>
      </c>
      <c r="G361">
        <f>F361*1609.344</f>
        <v>3299.1551999999997</v>
      </c>
      <c r="H361" s="32" t="s">
        <v>614</v>
      </c>
      <c r="I361">
        <v>18</v>
      </c>
      <c r="J361">
        <v>177.13289180250499</v>
      </c>
      <c r="K361" s="26">
        <v>2015</v>
      </c>
      <c r="L361" t="s">
        <v>40</v>
      </c>
      <c r="M361" s="32">
        <v>100</v>
      </c>
      <c r="N361">
        <v>11.428783320000001</v>
      </c>
      <c r="O361">
        <v>5</v>
      </c>
      <c r="P361" t="s">
        <v>12</v>
      </c>
      <c r="Q361">
        <v>89</v>
      </c>
      <c r="R361" t="s">
        <v>13</v>
      </c>
      <c r="S361" t="s">
        <v>14</v>
      </c>
      <c r="T361" t="s">
        <v>14</v>
      </c>
      <c r="U361" s="34">
        <v>0</v>
      </c>
      <c r="V361" s="34">
        <v>2.5</v>
      </c>
      <c r="W361" s="25">
        <v>1.25</v>
      </c>
      <c r="X361" s="25">
        <v>2.5</v>
      </c>
      <c r="Y361" s="244">
        <v>0.49520066000000001</v>
      </c>
      <c r="Z361" t="s">
        <v>1118</v>
      </c>
      <c r="AA361" t="s">
        <v>622</v>
      </c>
      <c r="AB361">
        <v>1</v>
      </c>
      <c r="AC361">
        <v>27</v>
      </c>
      <c r="AF361" t="s">
        <v>532</v>
      </c>
      <c r="AG361" s="32">
        <v>27</v>
      </c>
      <c r="AH361" s="32" t="s">
        <v>1562</v>
      </c>
      <c r="AI361" s="32" t="s">
        <v>1564</v>
      </c>
      <c r="AJ361" s="31" t="s">
        <v>2946</v>
      </c>
      <c r="AK361" s="31">
        <v>0.73</v>
      </c>
      <c r="AL361" s="31">
        <v>19.71</v>
      </c>
      <c r="AM361" s="31">
        <v>7.2899999999999991</v>
      </c>
      <c r="AN361" s="31">
        <v>253.10260588449438</v>
      </c>
      <c r="AO361" s="31">
        <v>93.613292587415728</v>
      </c>
      <c r="AP361" s="31">
        <v>0.12533657748172153</v>
      </c>
      <c r="AQ361" s="31">
        <v>4.6357364274061376E-2</v>
      </c>
      <c r="AR361" s="31">
        <v>0.13103405168936957</v>
      </c>
    </row>
    <row r="362" spans="1:44" hidden="1" x14ac:dyDescent="0.5">
      <c r="A362" s="31">
        <v>178</v>
      </c>
      <c r="B362" s="31">
        <v>11</v>
      </c>
      <c r="C362" s="225" t="s">
        <v>20</v>
      </c>
      <c r="D362" s="35">
        <v>54.113999999999997</v>
      </c>
      <c r="E362" s="33">
        <v>-10.044</v>
      </c>
      <c r="F362">
        <v>1.2</v>
      </c>
      <c r="G362">
        <f>F362*1609.344</f>
        <v>1931.2128</v>
      </c>
      <c r="H362" s="32" t="s">
        <v>614</v>
      </c>
      <c r="I362">
        <v>10</v>
      </c>
      <c r="J362">
        <v>21.9148319972245</v>
      </c>
      <c r="K362" s="26">
        <v>2014</v>
      </c>
      <c r="L362" t="s">
        <v>30</v>
      </c>
      <c r="M362" s="32">
        <v>250</v>
      </c>
      <c r="N362">
        <v>30.131484459999999</v>
      </c>
      <c r="O362">
        <v>5</v>
      </c>
      <c r="P362" t="s">
        <v>52</v>
      </c>
      <c r="Q362">
        <v>89</v>
      </c>
      <c r="R362" t="s">
        <v>13</v>
      </c>
      <c r="S362" t="s">
        <v>14</v>
      </c>
      <c r="T362" t="s">
        <v>14</v>
      </c>
      <c r="U362" s="34">
        <v>1</v>
      </c>
      <c r="V362" s="34">
        <v>1.5</v>
      </c>
      <c r="W362" s="25">
        <v>1.25</v>
      </c>
      <c r="X362" s="25">
        <v>0.5</v>
      </c>
      <c r="Y362" s="244">
        <v>1.5753479850000001</v>
      </c>
      <c r="Z362" t="s">
        <v>1102</v>
      </c>
      <c r="AA362" t="s">
        <v>622</v>
      </c>
      <c r="AB362">
        <v>1</v>
      </c>
      <c r="AC362">
        <v>0</v>
      </c>
      <c r="AF362" t="s">
        <v>667</v>
      </c>
      <c r="AG362" s="32">
        <v>0</v>
      </c>
      <c r="AH362" s="32" t="s">
        <v>671</v>
      </c>
      <c r="AI362" s="32" t="s">
        <v>1129</v>
      </c>
      <c r="AJ362" s="31" t="s">
        <v>1130</v>
      </c>
      <c r="AK362" s="31">
        <v>0.59524549999999998</v>
      </c>
      <c r="AL362" s="31">
        <v>0</v>
      </c>
      <c r="AM362" s="31">
        <v>0</v>
      </c>
      <c r="AN362" s="31">
        <v>0</v>
      </c>
      <c r="AO362" s="31">
        <v>0</v>
      </c>
      <c r="AP362" s="31">
        <v>0</v>
      </c>
      <c r="AQ362" s="31">
        <v>0</v>
      </c>
      <c r="AR362" s="31">
        <v>0.13208853699948581</v>
      </c>
    </row>
    <row r="363" spans="1:44" hidden="1" x14ac:dyDescent="0.5">
      <c r="A363" s="31">
        <v>179</v>
      </c>
      <c r="B363" s="31">
        <v>11</v>
      </c>
      <c r="C363" s="225" t="s">
        <v>20</v>
      </c>
      <c r="D363" s="35">
        <v>54.113999999999997</v>
      </c>
      <c r="E363" s="33">
        <v>-10.044</v>
      </c>
      <c r="F363">
        <v>1.2</v>
      </c>
      <c r="G363">
        <f>F363*1609.344</f>
        <v>1931.2128</v>
      </c>
      <c r="H363" s="32" t="s">
        <v>614</v>
      </c>
      <c r="I363">
        <v>10</v>
      </c>
      <c r="J363">
        <v>21.9148319972245</v>
      </c>
      <c r="K363" s="26">
        <v>2014</v>
      </c>
      <c r="L363" t="s">
        <v>30</v>
      </c>
      <c r="M363" s="32">
        <v>250</v>
      </c>
      <c r="N363">
        <v>30.131484459999999</v>
      </c>
      <c r="O363">
        <v>5</v>
      </c>
      <c r="P363" t="s">
        <v>52</v>
      </c>
      <c r="Q363">
        <v>89</v>
      </c>
      <c r="R363" t="s">
        <v>13</v>
      </c>
      <c r="S363" t="s">
        <v>14</v>
      </c>
      <c r="T363" t="s">
        <v>14</v>
      </c>
      <c r="U363" s="34">
        <v>3</v>
      </c>
      <c r="V363" s="34">
        <v>3.5</v>
      </c>
      <c r="W363" s="25">
        <v>3.25</v>
      </c>
      <c r="X363" s="25">
        <v>0.5</v>
      </c>
      <c r="Y363" s="244">
        <v>1.5753479850000001</v>
      </c>
      <c r="Z363" t="s">
        <v>1102</v>
      </c>
      <c r="AA363" t="s">
        <v>622</v>
      </c>
      <c r="AB363">
        <v>1</v>
      </c>
      <c r="AC363">
        <v>0</v>
      </c>
      <c r="AF363" t="s">
        <v>667</v>
      </c>
      <c r="AG363" s="32">
        <v>0</v>
      </c>
      <c r="AH363" s="32" t="s">
        <v>671</v>
      </c>
      <c r="AI363" s="32" t="s">
        <v>1129</v>
      </c>
      <c r="AJ363" s="31" t="s">
        <v>1130</v>
      </c>
      <c r="AK363" s="31">
        <v>0.59524549999999998</v>
      </c>
      <c r="AL363" s="31">
        <v>0</v>
      </c>
      <c r="AM363" s="31">
        <v>0</v>
      </c>
      <c r="AN363" s="31">
        <v>0</v>
      </c>
      <c r="AO363" s="31">
        <v>0</v>
      </c>
      <c r="AP363" s="31">
        <v>0</v>
      </c>
      <c r="AQ363" s="31">
        <v>0</v>
      </c>
      <c r="AR363" s="31">
        <v>0.13208853699948581</v>
      </c>
    </row>
    <row r="364" spans="1:44" hidden="1" x14ac:dyDescent="0.5">
      <c r="A364" s="31">
        <v>180</v>
      </c>
      <c r="B364" s="31">
        <v>11</v>
      </c>
      <c r="C364" s="225" t="s">
        <v>20</v>
      </c>
      <c r="D364" s="35">
        <v>54.113999999999997</v>
      </c>
      <c r="E364" s="33">
        <v>-10.044</v>
      </c>
      <c r="F364">
        <v>1.2</v>
      </c>
      <c r="G364">
        <f>F364*1609.344</f>
        <v>1931.2128</v>
      </c>
      <c r="H364" s="32" t="s">
        <v>614</v>
      </c>
      <c r="I364">
        <v>10</v>
      </c>
      <c r="J364">
        <v>21.9148319972245</v>
      </c>
      <c r="K364" s="26">
        <v>2014</v>
      </c>
      <c r="L364" t="s">
        <v>30</v>
      </c>
      <c r="M364" s="32">
        <v>250</v>
      </c>
      <c r="N364">
        <v>30.131484459999999</v>
      </c>
      <c r="O364">
        <v>5</v>
      </c>
      <c r="P364" t="s">
        <v>52</v>
      </c>
      <c r="Q364">
        <v>89</v>
      </c>
      <c r="R364" t="s">
        <v>13</v>
      </c>
      <c r="S364" t="s">
        <v>14</v>
      </c>
      <c r="T364" t="s">
        <v>14</v>
      </c>
      <c r="U364" s="34">
        <v>0</v>
      </c>
      <c r="V364" s="34">
        <v>0.5</v>
      </c>
      <c r="W364" s="25">
        <v>0.25</v>
      </c>
      <c r="X364" s="25">
        <v>0.5</v>
      </c>
      <c r="Y364" s="244">
        <v>1.5753479850000001</v>
      </c>
      <c r="Z364" t="s">
        <v>1102</v>
      </c>
      <c r="AA364" t="s">
        <v>622</v>
      </c>
      <c r="AB364">
        <v>1</v>
      </c>
      <c r="AC364">
        <v>1</v>
      </c>
      <c r="AF364" t="s">
        <v>667</v>
      </c>
      <c r="AG364" s="32" t="s">
        <v>1231</v>
      </c>
      <c r="AH364" s="32" t="s">
        <v>1151</v>
      </c>
      <c r="AI364" s="32" t="s">
        <v>1232</v>
      </c>
      <c r="AJ364" s="31" t="s">
        <v>2755</v>
      </c>
      <c r="AK364" s="31">
        <v>0.85</v>
      </c>
      <c r="AL364" s="31">
        <v>31.739019236438729</v>
      </c>
      <c r="AM364" s="31">
        <v>5.6010033946656606</v>
      </c>
      <c r="AN364" s="31">
        <v>1074.5435560656119</v>
      </c>
      <c r="AO364" s="31">
        <v>189.62533342334336</v>
      </c>
      <c r="AP364" s="31">
        <v>1.6927800258426966</v>
      </c>
      <c r="AQ364" s="31">
        <v>0.29872588691341712</v>
      </c>
      <c r="AR364" s="31">
        <v>0.13208853699948581</v>
      </c>
    </row>
    <row r="365" spans="1:44" hidden="1" x14ac:dyDescent="0.5">
      <c r="A365" s="31">
        <v>181</v>
      </c>
      <c r="B365" s="31">
        <v>11</v>
      </c>
      <c r="C365" s="225" t="s">
        <v>20</v>
      </c>
      <c r="D365" s="35">
        <v>54.113999999999997</v>
      </c>
      <c r="E365" s="33">
        <v>-10.044</v>
      </c>
      <c r="F365">
        <v>1.2</v>
      </c>
      <c r="G365">
        <f>F365*1609.344</f>
        <v>1931.2128</v>
      </c>
      <c r="H365" s="32" t="s">
        <v>614</v>
      </c>
      <c r="I365">
        <v>10</v>
      </c>
      <c r="J365">
        <v>21.9148319972245</v>
      </c>
      <c r="K365" s="26">
        <v>2014</v>
      </c>
      <c r="L365" t="s">
        <v>30</v>
      </c>
      <c r="M365" s="32">
        <v>250</v>
      </c>
      <c r="N365">
        <v>30.131484459999999</v>
      </c>
      <c r="O365">
        <v>5</v>
      </c>
      <c r="P365" t="s">
        <v>52</v>
      </c>
      <c r="Q365">
        <v>89</v>
      </c>
      <c r="R365" t="s">
        <v>13</v>
      </c>
      <c r="S365" t="s">
        <v>14</v>
      </c>
      <c r="T365" t="s">
        <v>14</v>
      </c>
      <c r="U365" s="34">
        <v>2</v>
      </c>
      <c r="V365" s="34">
        <v>2.5</v>
      </c>
      <c r="W365" s="25">
        <v>2.25</v>
      </c>
      <c r="X365" s="25">
        <v>0.5</v>
      </c>
      <c r="Y365" s="244">
        <v>1.5753479850000001</v>
      </c>
      <c r="Z365" t="s">
        <v>1102</v>
      </c>
      <c r="AA365" t="s">
        <v>622</v>
      </c>
      <c r="AB365">
        <v>1</v>
      </c>
      <c r="AC365">
        <v>3</v>
      </c>
      <c r="AF365" t="s">
        <v>667</v>
      </c>
      <c r="AG365" s="32" t="s">
        <v>1235</v>
      </c>
      <c r="AH365" s="32" t="s">
        <v>1151</v>
      </c>
      <c r="AI365" s="32" t="s">
        <v>1236</v>
      </c>
      <c r="AJ365" s="31" t="s">
        <v>2757</v>
      </c>
      <c r="AK365" s="31">
        <v>0.85</v>
      </c>
      <c r="AL365" s="31">
        <v>95.217057709316208</v>
      </c>
      <c r="AM365" s="31">
        <v>16.803010183996975</v>
      </c>
      <c r="AN365" s="31">
        <v>3223.6306681968367</v>
      </c>
      <c r="AO365" s="31">
        <v>568.87600027002986</v>
      </c>
      <c r="AP365" s="31">
        <v>5.0783400775280905</v>
      </c>
      <c r="AQ365" s="31">
        <v>0.89617766074025096</v>
      </c>
      <c r="AR365" s="31">
        <v>0.13208853699948581</v>
      </c>
    </row>
    <row r="366" spans="1:44" hidden="1" x14ac:dyDescent="0.5">
      <c r="A366" s="31">
        <v>1387</v>
      </c>
      <c r="B366" s="31">
        <v>98</v>
      </c>
      <c r="C366" s="225" t="s">
        <v>39</v>
      </c>
      <c r="D366" s="41">
        <v>54.099144000000003</v>
      </c>
      <c r="E366" s="43">
        <v>-3.269183</v>
      </c>
      <c r="G366">
        <f>F366*1609.344</f>
        <v>0</v>
      </c>
      <c r="H366" s="31" t="s">
        <v>614</v>
      </c>
      <c r="I366" s="7">
        <v>12</v>
      </c>
      <c r="J366">
        <v>370.59980526875597</v>
      </c>
      <c r="K366" s="26">
        <v>2017</v>
      </c>
      <c r="L366" t="s">
        <v>40</v>
      </c>
      <c r="M366" s="32">
        <v>1000</v>
      </c>
      <c r="N366">
        <v>130.61708849999999</v>
      </c>
      <c r="P366" t="s">
        <v>17</v>
      </c>
      <c r="Q366">
        <v>100</v>
      </c>
      <c r="R366" t="s">
        <v>13</v>
      </c>
      <c r="S366" t="s">
        <v>16</v>
      </c>
      <c r="T366" t="s">
        <v>16</v>
      </c>
      <c r="U366" s="240">
        <v>0</v>
      </c>
      <c r="V366" s="240">
        <v>15</v>
      </c>
      <c r="W366" s="25">
        <v>7.5</v>
      </c>
      <c r="X366" s="25">
        <v>15</v>
      </c>
      <c r="Y366" s="244">
        <v>0.93194745000000001</v>
      </c>
      <c r="Z366" t="s">
        <v>1114</v>
      </c>
      <c r="AA366" t="s">
        <v>622</v>
      </c>
      <c r="AB366">
        <v>100</v>
      </c>
      <c r="AC366">
        <v>2.71</v>
      </c>
      <c r="AD366">
        <v>0.38</v>
      </c>
      <c r="AE366" t="s">
        <v>525</v>
      </c>
      <c r="AF366" t="s">
        <v>553</v>
      </c>
      <c r="AG366" s="32">
        <v>0.19385928537780395</v>
      </c>
      <c r="AH366" s="32">
        <v>0.31</v>
      </c>
      <c r="AI366" s="32">
        <v>6.0096378467119224E-2</v>
      </c>
      <c r="AJ366" s="31">
        <v>0.13376290691068471</v>
      </c>
      <c r="AK366" s="31">
        <v>0.31</v>
      </c>
      <c r="AL366" s="31">
        <v>6.0096378467119224E-2</v>
      </c>
      <c r="AM366" s="31">
        <v>0.13376290691068471</v>
      </c>
      <c r="AN366" s="31">
        <v>7.8496139847692046</v>
      </c>
      <c r="AO366" s="31">
        <v>17.471721449970165</v>
      </c>
      <c r="AP366" s="31">
        <v>7.3154277365899984E-3</v>
      </c>
      <c r="AQ366" s="31">
        <v>1.6282726252409997E-2</v>
      </c>
      <c r="AR366" s="31">
        <v>0.1318241227762269</v>
      </c>
    </row>
    <row r="367" spans="1:44" hidden="1" x14ac:dyDescent="0.5">
      <c r="A367" s="31">
        <v>1391</v>
      </c>
      <c r="B367" s="31">
        <v>98</v>
      </c>
      <c r="C367" s="225" t="s">
        <v>39</v>
      </c>
      <c r="D367" s="41">
        <v>54.083748</v>
      </c>
      <c r="E367" s="43">
        <v>-2.8592849999999999</v>
      </c>
      <c r="F367">
        <v>0</v>
      </c>
      <c r="G367">
        <f>F367*1609.344</f>
        <v>0</v>
      </c>
      <c r="H367" s="31" t="s">
        <v>10</v>
      </c>
      <c r="I367">
        <v>0</v>
      </c>
      <c r="J367">
        <v>423.48093400118597</v>
      </c>
      <c r="K367" s="26">
        <v>2018</v>
      </c>
      <c r="L367" t="s">
        <v>30</v>
      </c>
      <c r="M367" s="32">
        <v>500</v>
      </c>
      <c r="N367">
        <v>62.735052189999998</v>
      </c>
      <c r="P367" t="s">
        <v>17</v>
      </c>
      <c r="Q367">
        <v>100</v>
      </c>
      <c r="R367" t="s">
        <v>13</v>
      </c>
      <c r="S367" t="s">
        <v>16</v>
      </c>
      <c r="T367" t="s">
        <v>16</v>
      </c>
      <c r="U367" s="240">
        <v>0</v>
      </c>
      <c r="V367" s="240">
        <v>15</v>
      </c>
      <c r="W367" s="25">
        <v>7.5</v>
      </c>
      <c r="X367" s="25">
        <v>15</v>
      </c>
      <c r="Y367" s="244">
        <v>0.93194745000000001</v>
      </c>
      <c r="Z367" t="s">
        <v>1114</v>
      </c>
      <c r="AA367" t="s">
        <v>622</v>
      </c>
      <c r="AB367">
        <v>25</v>
      </c>
      <c r="AC367">
        <v>4.93</v>
      </c>
      <c r="AD367">
        <v>1.59</v>
      </c>
      <c r="AE367" t="s">
        <v>525</v>
      </c>
      <c r="AF367" t="s">
        <v>553</v>
      </c>
      <c r="AG367" s="32">
        <v>0.35266652284596806</v>
      </c>
      <c r="AH367" s="32">
        <v>0.31</v>
      </c>
      <c r="AI367" s="32">
        <v>0.10932662208225009</v>
      </c>
      <c r="AJ367" s="31">
        <v>0.24333990076371798</v>
      </c>
      <c r="AK367" s="31">
        <v>0.31</v>
      </c>
      <c r="AL367" s="31">
        <v>0.10932662208225009</v>
      </c>
      <c r="AM367" s="31">
        <v>0.24333990076371798</v>
      </c>
      <c r="AN367" s="31">
        <v>6.858611342086367</v>
      </c>
      <c r="AO367" s="31">
        <v>15.265941374321269</v>
      </c>
      <c r="AP367" s="31">
        <v>6.3918653507984676E-3</v>
      </c>
      <c r="AQ367" s="31">
        <v>1.4227055135648202E-2</v>
      </c>
      <c r="AR367" s="31">
        <v>0.13341858489683281</v>
      </c>
    </row>
    <row r="368" spans="1:44" hidden="1" x14ac:dyDescent="0.5">
      <c r="A368" s="31">
        <v>182</v>
      </c>
      <c r="B368" s="31">
        <v>11</v>
      </c>
      <c r="C368" s="225" t="s">
        <v>20</v>
      </c>
      <c r="D368" s="35">
        <v>54.048999999999999</v>
      </c>
      <c r="E368" s="33">
        <v>-10.061</v>
      </c>
      <c r="F368">
        <v>1.74</v>
      </c>
      <c r="G368">
        <f>F368*1609.344</f>
        <v>2800.2585600000002</v>
      </c>
      <c r="H368" s="32" t="s">
        <v>614</v>
      </c>
      <c r="I368">
        <v>31</v>
      </c>
      <c r="J368">
        <v>21.898507120097001</v>
      </c>
      <c r="K368" s="26">
        <v>2014</v>
      </c>
      <c r="L368" t="s">
        <v>30</v>
      </c>
      <c r="M368" s="32">
        <v>250</v>
      </c>
      <c r="N368">
        <v>30.131484459999999</v>
      </c>
      <c r="O368">
        <v>5</v>
      </c>
      <c r="P368" t="s">
        <v>52</v>
      </c>
      <c r="Q368">
        <v>89</v>
      </c>
      <c r="R368" t="s">
        <v>13</v>
      </c>
      <c r="S368" t="s">
        <v>14</v>
      </c>
      <c r="T368" t="s">
        <v>14</v>
      </c>
      <c r="U368" s="34">
        <v>0</v>
      </c>
      <c r="V368" s="34">
        <v>0.5</v>
      </c>
      <c r="W368" s="25">
        <v>0.25</v>
      </c>
      <c r="X368" s="25">
        <v>0.5</v>
      </c>
      <c r="Y368" s="244">
        <v>1.5753479850000001</v>
      </c>
      <c r="Z368" t="s">
        <v>1102</v>
      </c>
      <c r="AA368" t="s">
        <v>622</v>
      </c>
      <c r="AB368">
        <v>1</v>
      </c>
      <c r="AC368">
        <v>0</v>
      </c>
      <c r="AF368" t="s">
        <v>667</v>
      </c>
      <c r="AG368" s="32">
        <v>0</v>
      </c>
      <c r="AH368" s="32" t="s">
        <v>671</v>
      </c>
      <c r="AI368" s="32" t="s">
        <v>1129</v>
      </c>
      <c r="AJ368" s="31" t="s">
        <v>1130</v>
      </c>
      <c r="AK368" s="31">
        <v>0.59524549999999998</v>
      </c>
      <c r="AL368" s="31">
        <v>0</v>
      </c>
      <c r="AM368" s="31">
        <v>0</v>
      </c>
      <c r="AN368" s="31">
        <v>0</v>
      </c>
      <c r="AO368" s="31">
        <v>0</v>
      </c>
      <c r="AP368" s="31">
        <v>0</v>
      </c>
      <c r="AQ368" s="31">
        <v>0</v>
      </c>
      <c r="AR368" s="31">
        <v>0.12933843748284002</v>
      </c>
    </row>
    <row r="369" spans="1:44" hidden="1" x14ac:dyDescent="0.5">
      <c r="A369" s="31">
        <v>183</v>
      </c>
      <c r="B369" s="31">
        <v>11</v>
      </c>
      <c r="C369" s="225" t="s">
        <v>20</v>
      </c>
      <c r="D369" s="35">
        <v>54.048999999999999</v>
      </c>
      <c r="E369" s="33">
        <v>-10.061</v>
      </c>
      <c r="F369">
        <v>1.74</v>
      </c>
      <c r="G369">
        <f>F369*1609.344</f>
        <v>2800.2585600000002</v>
      </c>
      <c r="H369" s="32" t="s">
        <v>614</v>
      </c>
      <c r="I369">
        <v>31</v>
      </c>
      <c r="J369">
        <v>21.898507120097001</v>
      </c>
      <c r="K369" s="26">
        <v>2014</v>
      </c>
      <c r="L369" t="s">
        <v>30</v>
      </c>
      <c r="M369" s="32">
        <v>250</v>
      </c>
      <c r="N369">
        <v>30.131484459999999</v>
      </c>
      <c r="O369">
        <v>5</v>
      </c>
      <c r="P369" t="s">
        <v>52</v>
      </c>
      <c r="Q369">
        <v>89</v>
      </c>
      <c r="R369" t="s">
        <v>13</v>
      </c>
      <c r="S369" t="s">
        <v>14</v>
      </c>
      <c r="T369" t="s">
        <v>14</v>
      </c>
      <c r="U369" s="34">
        <v>1</v>
      </c>
      <c r="V369" s="34">
        <v>1.5</v>
      </c>
      <c r="W369" s="25">
        <v>1.25</v>
      </c>
      <c r="X369" s="25">
        <v>0.5</v>
      </c>
      <c r="Y369" s="244">
        <v>1.5753479850000001</v>
      </c>
      <c r="Z369" t="s">
        <v>1102</v>
      </c>
      <c r="AA369" t="s">
        <v>622</v>
      </c>
      <c r="AB369">
        <v>1</v>
      </c>
      <c r="AC369">
        <v>0</v>
      </c>
      <c r="AF369" t="s">
        <v>667</v>
      </c>
      <c r="AG369" s="32">
        <v>0</v>
      </c>
      <c r="AH369" s="32" t="s">
        <v>671</v>
      </c>
      <c r="AI369" s="32" t="s">
        <v>1129</v>
      </c>
      <c r="AJ369" s="31" t="s">
        <v>1130</v>
      </c>
      <c r="AK369" s="31">
        <v>0.59524549999999998</v>
      </c>
      <c r="AL369" s="31">
        <v>0</v>
      </c>
      <c r="AM369" s="31">
        <v>0</v>
      </c>
      <c r="AN369" s="31">
        <v>0</v>
      </c>
      <c r="AO369" s="31">
        <v>0</v>
      </c>
      <c r="AP369" s="31">
        <v>0</v>
      </c>
      <c r="AQ369" s="31">
        <v>0</v>
      </c>
      <c r="AR369" s="31">
        <v>0.12933843748284002</v>
      </c>
    </row>
    <row r="370" spans="1:44" hidden="1" x14ac:dyDescent="0.5">
      <c r="A370" s="31">
        <v>184</v>
      </c>
      <c r="B370" s="31">
        <v>11</v>
      </c>
      <c r="C370" s="225" t="s">
        <v>20</v>
      </c>
      <c r="D370" s="35">
        <v>54.048999999999999</v>
      </c>
      <c r="E370" s="33">
        <v>-10.061</v>
      </c>
      <c r="F370">
        <v>1.74</v>
      </c>
      <c r="G370">
        <f>F370*1609.344</f>
        <v>2800.2585600000002</v>
      </c>
      <c r="H370" s="32" t="s">
        <v>614</v>
      </c>
      <c r="I370">
        <v>31</v>
      </c>
      <c r="J370">
        <v>21.898507120097001</v>
      </c>
      <c r="K370" s="26">
        <v>2014</v>
      </c>
      <c r="L370" t="s">
        <v>30</v>
      </c>
      <c r="M370" s="32">
        <v>250</v>
      </c>
      <c r="N370">
        <v>30.131484459999999</v>
      </c>
      <c r="O370">
        <v>5</v>
      </c>
      <c r="P370" t="s">
        <v>52</v>
      </c>
      <c r="Q370">
        <v>89</v>
      </c>
      <c r="R370" t="s">
        <v>13</v>
      </c>
      <c r="S370" t="s">
        <v>14</v>
      </c>
      <c r="T370" t="s">
        <v>14</v>
      </c>
      <c r="U370" s="34">
        <v>2</v>
      </c>
      <c r="V370" s="34">
        <v>2.5</v>
      </c>
      <c r="W370" s="25">
        <v>2.25</v>
      </c>
      <c r="X370" s="25">
        <v>0.5</v>
      </c>
      <c r="Y370" s="244">
        <v>1.5753479850000001</v>
      </c>
      <c r="Z370" t="s">
        <v>1102</v>
      </c>
      <c r="AA370" t="s">
        <v>622</v>
      </c>
      <c r="AB370">
        <v>1</v>
      </c>
      <c r="AC370">
        <v>0</v>
      </c>
      <c r="AF370" t="s">
        <v>667</v>
      </c>
      <c r="AG370" s="32">
        <v>0</v>
      </c>
      <c r="AH370" s="32" t="s">
        <v>671</v>
      </c>
      <c r="AI370" s="32" t="s">
        <v>1129</v>
      </c>
      <c r="AJ370" s="31" t="s">
        <v>1130</v>
      </c>
      <c r="AK370" s="31">
        <v>0.59524549999999998</v>
      </c>
      <c r="AL370" s="31">
        <v>0</v>
      </c>
      <c r="AM370" s="31">
        <v>0</v>
      </c>
      <c r="AN370" s="31">
        <v>0</v>
      </c>
      <c r="AO370" s="31">
        <v>0</v>
      </c>
      <c r="AP370" s="31">
        <v>0</v>
      </c>
      <c r="AQ370" s="31">
        <v>0</v>
      </c>
      <c r="AR370" s="31">
        <v>0.12933843748284002</v>
      </c>
    </row>
    <row r="371" spans="1:44" hidden="1" x14ac:dyDescent="0.5">
      <c r="A371" s="31">
        <v>185</v>
      </c>
      <c r="B371" s="31">
        <v>11</v>
      </c>
      <c r="C371" s="225" t="s">
        <v>20</v>
      </c>
      <c r="D371" s="35">
        <v>54.048999999999999</v>
      </c>
      <c r="E371" s="33">
        <v>-10.061</v>
      </c>
      <c r="F371">
        <v>1.74</v>
      </c>
      <c r="G371">
        <f>F371*1609.344</f>
        <v>2800.2585600000002</v>
      </c>
      <c r="H371" s="32" t="s">
        <v>614</v>
      </c>
      <c r="I371">
        <v>31</v>
      </c>
      <c r="J371">
        <v>21.898507120097001</v>
      </c>
      <c r="K371" s="26">
        <v>2014</v>
      </c>
      <c r="L371" t="s">
        <v>30</v>
      </c>
      <c r="M371" s="32">
        <v>250</v>
      </c>
      <c r="N371">
        <v>30.131484459999999</v>
      </c>
      <c r="O371">
        <v>5</v>
      </c>
      <c r="P371" t="s">
        <v>52</v>
      </c>
      <c r="Q371">
        <v>89</v>
      </c>
      <c r="R371" t="s">
        <v>13</v>
      </c>
      <c r="S371" t="s">
        <v>14</v>
      </c>
      <c r="T371" t="s">
        <v>14</v>
      </c>
      <c r="U371" s="34">
        <v>3</v>
      </c>
      <c r="V371" s="34">
        <v>3.5</v>
      </c>
      <c r="W371" s="25">
        <v>3.25</v>
      </c>
      <c r="X371" s="25">
        <v>0.5</v>
      </c>
      <c r="Y371" s="244">
        <v>1.5753479850000001</v>
      </c>
      <c r="Z371" t="s">
        <v>1102</v>
      </c>
      <c r="AA371" t="s">
        <v>622</v>
      </c>
      <c r="AB371">
        <v>1</v>
      </c>
      <c r="AC371">
        <v>1</v>
      </c>
      <c r="AF371" t="s">
        <v>667</v>
      </c>
      <c r="AG371" s="32" t="s">
        <v>1231</v>
      </c>
      <c r="AH371" s="32" t="s">
        <v>1151</v>
      </c>
      <c r="AI371" s="32" t="s">
        <v>1232</v>
      </c>
      <c r="AJ371" s="31" t="s">
        <v>2755</v>
      </c>
      <c r="AK371" s="31">
        <v>0.85</v>
      </c>
      <c r="AL371" s="31">
        <v>31.739019236438729</v>
      </c>
      <c r="AM371" s="31">
        <v>5.6010033946656606</v>
      </c>
      <c r="AN371" s="31">
        <v>1074.5435560656119</v>
      </c>
      <c r="AO371" s="31">
        <v>189.62533342334336</v>
      </c>
      <c r="AP371" s="31">
        <v>1.6927800258426966</v>
      </c>
      <c r="AQ371" s="31">
        <v>0.29872588691341712</v>
      </c>
      <c r="AR371" s="31">
        <v>0.12933843748284002</v>
      </c>
    </row>
    <row r="372" spans="1:44" hidden="1" x14ac:dyDescent="0.5">
      <c r="A372" s="31">
        <v>550</v>
      </c>
      <c r="B372" s="31">
        <v>39</v>
      </c>
      <c r="C372" s="225" t="s">
        <v>20</v>
      </c>
      <c r="D372" s="35">
        <v>54.027529999999999</v>
      </c>
      <c r="E372" s="33">
        <v>14.355954000000001</v>
      </c>
      <c r="F372">
        <v>8.36</v>
      </c>
      <c r="G372">
        <f>F372*1609.344</f>
        <v>13454.11584</v>
      </c>
      <c r="H372" s="32" t="s">
        <v>614</v>
      </c>
      <c r="I372">
        <v>18</v>
      </c>
      <c r="J372">
        <v>109.260254064232</v>
      </c>
      <c r="K372" s="26">
        <v>2015</v>
      </c>
      <c r="L372" t="s">
        <v>40</v>
      </c>
      <c r="M372" s="32">
        <v>100</v>
      </c>
      <c r="N372">
        <v>11.428783320000001</v>
      </c>
      <c r="O372">
        <v>5</v>
      </c>
      <c r="P372" t="s">
        <v>12</v>
      </c>
      <c r="Q372">
        <v>89</v>
      </c>
      <c r="R372" t="s">
        <v>13</v>
      </c>
      <c r="S372" t="s">
        <v>14</v>
      </c>
      <c r="T372" t="s">
        <v>14</v>
      </c>
      <c r="U372" s="34">
        <v>0</v>
      </c>
      <c r="V372" s="34">
        <v>2.5</v>
      </c>
      <c r="W372" s="25">
        <v>1.25</v>
      </c>
      <c r="X372" s="25">
        <v>2.5</v>
      </c>
      <c r="Y372" s="244">
        <v>0.31601586300000001</v>
      </c>
      <c r="Z372" t="s">
        <v>635</v>
      </c>
      <c r="AA372" t="s">
        <v>622</v>
      </c>
      <c r="AB372">
        <v>1</v>
      </c>
      <c r="AC372">
        <v>20</v>
      </c>
      <c r="AF372" t="s">
        <v>532</v>
      </c>
      <c r="AG372" s="32">
        <v>20</v>
      </c>
      <c r="AH372" s="32" t="s">
        <v>1562</v>
      </c>
      <c r="AI372" s="32" t="s">
        <v>1563</v>
      </c>
      <c r="AJ372" s="31" t="s">
        <v>2945</v>
      </c>
      <c r="AK372" s="31">
        <v>0.73</v>
      </c>
      <c r="AL372" s="31">
        <v>14.6</v>
      </c>
      <c r="AM372" s="31">
        <v>5.4</v>
      </c>
      <c r="AN372" s="31">
        <v>187.48341176629214</v>
      </c>
      <c r="AO372" s="31">
        <v>69.34317969438203</v>
      </c>
      <c r="AP372" s="31">
        <v>5.9247732167509164E-2</v>
      </c>
      <c r="AQ372" s="31">
        <v>2.1913544774284213E-2</v>
      </c>
      <c r="AR372" s="31">
        <v>0.13103405168936957</v>
      </c>
    </row>
    <row r="373" spans="1:44" hidden="1" x14ac:dyDescent="0.5">
      <c r="A373" s="31">
        <v>1265</v>
      </c>
      <c r="B373" s="31">
        <v>87</v>
      </c>
      <c r="C373" s="225" t="s">
        <v>20</v>
      </c>
      <c r="D373" s="32">
        <v>53.969000000000001</v>
      </c>
      <c r="E373" s="38">
        <v>3.1873300000000002</v>
      </c>
      <c r="F373">
        <v>41.63</v>
      </c>
      <c r="G373">
        <f>F373*1609.344</f>
        <v>66996.990720000002</v>
      </c>
      <c r="H373" s="32" t="s">
        <v>614</v>
      </c>
      <c r="I373">
        <v>33</v>
      </c>
      <c r="J373">
        <v>0</v>
      </c>
      <c r="K373" s="26">
        <v>2014</v>
      </c>
      <c r="L373" t="s">
        <v>40</v>
      </c>
      <c r="M373" s="32">
        <v>11</v>
      </c>
      <c r="N373">
        <v>1.1060976250000001</v>
      </c>
      <c r="O373">
        <v>5</v>
      </c>
      <c r="P373" t="s">
        <v>23</v>
      </c>
      <c r="Q373">
        <v>95.5</v>
      </c>
      <c r="R373" t="s">
        <v>13</v>
      </c>
      <c r="S373" t="s">
        <v>14</v>
      </c>
      <c r="T373" t="s">
        <v>14</v>
      </c>
      <c r="U373" s="34">
        <v>0</v>
      </c>
      <c r="V373" s="34">
        <v>5</v>
      </c>
      <c r="W373" s="25">
        <v>2.5</v>
      </c>
      <c r="X373" s="25">
        <v>5</v>
      </c>
      <c r="Y373" s="244">
        <v>1.092945329</v>
      </c>
      <c r="Z373" t="s">
        <v>1104</v>
      </c>
      <c r="AA373" t="s">
        <v>622</v>
      </c>
      <c r="AB373">
        <v>1</v>
      </c>
      <c r="AC373">
        <v>628.91999999999996</v>
      </c>
      <c r="AF373" t="s">
        <v>532</v>
      </c>
      <c r="AG373" s="32" t="s">
        <v>2401</v>
      </c>
      <c r="AH373" s="32" t="s">
        <v>671</v>
      </c>
      <c r="AI373" s="32" t="s">
        <v>1129</v>
      </c>
      <c r="AJ373" s="31" t="s">
        <v>1130</v>
      </c>
      <c r="AK373" s="31">
        <v>0.59524549999999998</v>
      </c>
      <c r="AL373" s="31">
        <v>374.34989494999996</v>
      </c>
      <c r="AM373" s="31">
        <v>254.55010505000001</v>
      </c>
      <c r="AN373" s="31">
        <v>433.5785651551775</v>
      </c>
      <c r="AO373" s="31">
        <v>294.82436297309482</v>
      </c>
      <c r="AP373" s="31">
        <v>0.4738776675408734</v>
      </c>
      <c r="AQ373" s="31">
        <v>0.32222691038684453</v>
      </c>
      <c r="AR373" s="31">
        <v>0.12907952839609102</v>
      </c>
    </row>
    <row r="374" spans="1:44" hidden="1" x14ac:dyDescent="0.5">
      <c r="A374" s="31">
        <v>1375</v>
      </c>
      <c r="B374" s="31">
        <v>98</v>
      </c>
      <c r="C374" s="225" t="s">
        <v>39</v>
      </c>
      <c r="D374" s="41">
        <v>53.881343999999999</v>
      </c>
      <c r="E374" s="43">
        <v>-0.11529300000000001</v>
      </c>
      <c r="G374">
        <f>F374*1609.344</f>
        <v>0</v>
      </c>
      <c r="H374" s="31" t="s">
        <v>614</v>
      </c>
      <c r="I374" s="7">
        <v>10</v>
      </c>
      <c r="J374">
        <v>177.583669129306</v>
      </c>
      <c r="K374" s="26">
        <v>2017</v>
      </c>
      <c r="L374" t="s">
        <v>40</v>
      </c>
      <c r="M374" s="32">
        <v>1000</v>
      </c>
      <c r="N374">
        <v>130.61708849999999</v>
      </c>
      <c r="P374" t="s">
        <v>17</v>
      </c>
      <c r="Q374">
        <v>100</v>
      </c>
      <c r="R374" t="s">
        <v>13</v>
      </c>
      <c r="S374" t="s">
        <v>16</v>
      </c>
      <c r="T374" t="s">
        <v>16</v>
      </c>
      <c r="U374" s="240">
        <v>0</v>
      </c>
      <c r="V374" s="240">
        <v>15</v>
      </c>
      <c r="W374" s="25">
        <v>7.5</v>
      </c>
      <c r="X374" s="25">
        <v>15</v>
      </c>
      <c r="Y374" s="244">
        <v>1.092945329</v>
      </c>
      <c r="Z374" t="s">
        <v>1104</v>
      </c>
      <c r="AA374" t="s">
        <v>622</v>
      </c>
      <c r="AB374">
        <v>24</v>
      </c>
      <c r="AC374">
        <v>2.7</v>
      </c>
      <c r="AD374">
        <v>0.21</v>
      </c>
      <c r="AE374" t="s">
        <v>525</v>
      </c>
      <c r="AF374" t="s">
        <v>553</v>
      </c>
      <c r="AG374" s="32">
        <v>0.16469259278018289</v>
      </c>
      <c r="AH374" s="32">
        <v>0.31</v>
      </c>
      <c r="AI374" s="32">
        <v>5.1054703761856696E-2</v>
      </c>
      <c r="AJ374" s="31">
        <v>0.11363788901832619</v>
      </c>
      <c r="AK374" s="31">
        <v>0.31</v>
      </c>
      <c r="AL374" s="31">
        <v>5.1054703761856696E-2</v>
      </c>
      <c r="AM374" s="31">
        <v>0.11363788901832619</v>
      </c>
      <c r="AN374" s="31">
        <v>6.6686167596037187</v>
      </c>
      <c r="AO374" s="31">
        <v>14.843050206859889</v>
      </c>
      <c r="AP374" s="31">
        <v>7.2884335383000005E-3</v>
      </c>
      <c r="AQ374" s="31">
        <v>1.6222642391699998E-2</v>
      </c>
      <c r="AR374" s="31">
        <v>0.13208853699948581</v>
      </c>
    </row>
    <row r="375" spans="1:44" hidden="1" x14ac:dyDescent="0.5">
      <c r="A375" s="31">
        <v>1270</v>
      </c>
      <c r="B375" s="31">
        <v>87</v>
      </c>
      <c r="C375" s="225" t="s">
        <v>20</v>
      </c>
      <c r="D375" s="46">
        <v>53.823329999999999</v>
      </c>
      <c r="E375" s="47">
        <v>7.7205000000000004</v>
      </c>
      <c r="F375">
        <v>4.16</v>
      </c>
      <c r="G375">
        <f>F375*1609.344</f>
        <v>6694.87104</v>
      </c>
      <c r="H375" s="32" t="s">
        <v>614</v>
      </c>
      <c r="I375">
        <v>12</v>
      </c>
      <c r="J375">
        <v>178.730580118067</v>
      </c>
      <c r="K375" s="26">
        <v>2014</v>
      </c>
      <c r="L375" t="s">
        <v>40</v>
      </c>
      <c r="M375" s="32">
        <v>11</v>
      </c>
      <c r="N375">
        <v>1.1060976250000001</v>
      </c>
      <c r="O375">
        <v>5</v>
      </c>
      <c r="P375" t="s">
        <v>23</v>
      </c>
      <c r="Q375">
        <v>95.5</v>
      </c>
      <c r="R375" t="s">
        <v>13</v>
      </c>
      <c r="S375" t="s">
        <v>14</v>
      </c>
      <c r="T375" t="s">
        <v>14</v>
      </c>
      <c r="U375" s="34">
        <v>0</v>
      </c>
      <c r="V375" s="34">
        <v>5</v>
      </c>
      <c r="W375" s="25">
        <v>2.5</v>
      </c>
      <c r="X375" s="25">
        <v>5</v>
      </c>
      <c r="Y375" s="244">
        <v>1.1263740879999999</v>
      </c>
      <c r="Z375" t="s">
        <v>1104</v>
      </c>
      <c r="AA375" t="s">
        <v>622</v>
      </c>
      <c r="AB375">
        <v>1</v>
      </c>
      <c r="AC375">
        <v>271.42</v>
      </c>
      <c r="AF375" t="s">
        <v>532</v>
      </c>
      <c r="AG375" s="32" t="s">
        <v>2406</v>
      </c>
      <c r="AH375" s="32" t="s">
        <v>671</v>
      </c>
      <c r="AI375" s="32" t="s">
        <v>1129</v>
      </c>
      <c r="AJ375" s="31" t="s">
        <v>1130</v>
      </c>
      <c r="AK375" s="31">
        <v>0.59524549999999998</v>
      </c>
      <c r="AL375" s="31">
        <v>161.54962869999997</v>
      </c>
      <c r="AM375" s="31">
        <v>109.85037130000001</v>
      </c>
      <c r="AN375" s="31">
        <v>187.10959227717467</v>
      </c>
      <c r="AO375" s="31">
        <v>127.23061235633317</v>
      </c>
      <c r="AP375" s="31">
        <v>0.21075539635725443</v>
      </c>
      <c r="AQ375" s="31">
        <v>0.14330926495854632</v>
      </c>
      <c r="AR375" s="31">
        <v>0.1318241227762269</v>
      </c>
    </row>
    <row r="376" spans="1:44" hidden="1" x14ac:dyDescent="0.5">
      <c r="A376" s="31">
        <v>1634</v>
      </c>
      <c r="B376" s="52">
        <v>119</v>
      </c>
      <c r="C376" s="225" t="s">
        <v>42</v>
      </c>
      <c r="D376" s="43">
        <v>-34.866500000000002</v>
      </c>
      <c r="E376" s="43">
        <v>130.59270000000001</v>
      </c>
      <c r="F376">
        <v>217</v>
      </c>
      <c r="G376">
        <f>F376*1609.344</f>
        <v>349227.64799999999</v>
      </c>
      <c r="H376" s="32" t="s">
        <v>612</v>
      </c>
      <c r="I376">
        <v>2073</v>
      </c>
      <c r="J376">
        <v>0</v>
      </c>
      <c r="K376" s="26">
        <v>2017</v>
      </c>
      <c r="L376" t="s">
        <v>30</v>
      </c>
      <c r="M376" s="32">
        <v>50</v>
      </c>
      <c r="N376">
        <v>5.4892152799999998</v>
      </c>
      <c r="P376" t="s">
        <v>23</v>
      </c>
      <c r="Q376">
        <v>95.5</v>
      </c>
      <c r="R376" t="s">
        <v>13</v>
      </c>
      <c r="S376" t="s">
        <v>14</v>
      </c>
      <c r="T376" t="s">
        <v>14</v>
      </c>
      <c r="U376" s="34">
        <v>0</v>
      </c>
      <c r="X376" s="25"/>
      <c r="Y376">
        <v>1.2936228569999999</v>
      </c>
      <c r="Z376" t="s">
        <v>768</v>
      </c>
      <c r="AA376" t="s">
        <v>620</v>
      </c>
      <c r="AB376">
        <v>3</v>
      </c>
      <c r="AC376">
        <v>1</v>
      </c>
      <c r="AD376">
        <v>6.12</v>
      </c>
      <c r="AE376" t="s">
        <v>519</v>
      </c>
      <c r="AF376" t="s">
        <v>615</v>
      </c>
      <c r="AG376" s="32">
        <v>1000</v>
      </c>
      <c r="AH376" s="32">
        <v>0</v>
      </c>
      <c r="AI376" s="32">
        <v>0</v>
      </c>
      <c r="AJ376" s="31">
        <v>1000</v>
      </c>
      <c r="AK376" s="31">
        <v>0</v>
      </c>
      <c r="AL376" s="31">
        <v>0</v>
      </c>
      <c r="AM376" s="31">
        <v>1000</v>
      </c>
      <c r="AN376" s="31">
        <v>0</v>
      </c>
      <c r="AO376" s="31">
        <v>5747.8694031413606</v>
      </c>
      <c r="AP376" s="31">
        <v>0</v>
      </c>
      <c r="AQ376" s="31">
        <v>7.4355752389546117</v>
      </c>
      <c r="AR376" s="31">
        <v>1.6719087473860049E-2</v>
      </c>
    </row>
    <row r="377" spans="1:44" hidden="1" x14ac:dyDescent="0.5">
      <c r="A377" s="31">
        <v>1635</v>
      </c>
      <c r="B377" s="52">
        <v>119</v>
      </c>
      <c r="C377" s="225" t="s">
        <v>42</v>
      </c>
      <c r="D377" s="43">
        <v>-35.048999999999999</v>
      </c>
      <c r="E377" s="43">
        <v>130.90260000000001</v>
      </c>
      <c r="F377">
        <v>221</v>
      </c>
      <c r="G377">
        <f>F377*1609.344</f>
        <v>355665.02400000003</v>
      </c>
      <c r="H377" s="32" t="s">
        <v>612</v>
      </c>
      <c r="I377">
        <v>3016</v>
      </c>
      <c r="J377">
        <v>0</v>
      </c>
      <c r="K377" s="26">
        <v>2017</v>
      </c>
      <c r="L377" t="s">
        <v>30</v>
      </c>
      <c r="M377" s="32">
        <v>50</v>
      </c>
      <c r="N377">
        <v>5.4892152799999998</v>
      </c>
      <c r="P377" t="s">
        <v>23</v>
      </c>
      <c r="Q377">
        <v>95.5</v>
      </c>
      <c r="R377" t="s">
        <v>13</v>
      </c>
      <c r="S377" t="s">
        <v>14</v>
      </c>
      <c r="T377" t="s">
        <v>14</v>
      </c>
      <c r="U377" s="34">
        <v>0</v>
      </c>
      <c r="X377" s="25"/>
      <c r="Y377">
        <v>1.2936228569999999</v>
      </c>
      <c r="Z377" t="s">
        <v>768</v>
      </c>
      <c r="AA377" t="s">
        <v>620</v>
      </c>
      <c r="AB377">
        <v>3</v>
      </c>
      <c r="AC377">
        <v>0</v>
      </c>
      <c r="AD377">
        <v>0</v>
      </c>
      <c r="AE377" t="s">
        <v>519</v>
      </c>
      <c r="AF377" t="s">
        <v>615</v>
      </c>
      <c r="AG377" s="32">
        <v>0</v>
      </c>
      <c r="AH377" s="32" t="s">
        <v>671</v>
      </c>
      <c r="AI377" s="32" t="s">
        <v>1129</v>
      </c>
      <c r="AJ377" s="31" t="s">
        <v>1130</v>
      </c>
      <c r="AK377" s="31">
        <v>0.59524549999999998</v>
      </c>
      <c r="AL377" s="31">
        <v>0</v>
      </c>
      <c r="AM377" s="31">
        <v>0</v>
      </c>
      <c r="AN377" s="31">
        <v>0</v>
      </c>
      <c r="AO377" s="31">
        <v>0</v>
      </c>
      <c r="AP377" s="31">
        <v>0</v>
      </c>
      <c r="AQ377" s="31">
        <v>0</v>
      </c>
      <c r="AR377" s="31">
        <v>6.4997164355123632E-3</v>
      </c>
    </row>
    <row r="378" spans="1:44" hidden="1" x14ac:dyDescent="0.5">
      <c r="A378" s="31">
        <v>1636</v>
      </c>
      <c r="B378" s="52">
        <v>119</v>
      </c>
      <c r="C378" s="225" t="s">
        <v>42</v>
      </c>
      <c r="D378" s="43">
        <v>-35.048999999999999</v>
      </c>
      <c r="E378" s="43">
        <v>130.90260000000001</v>
      </c>
      <c r="F378">
        <v>221</v>
      </c>
      <c r="G378">
        <f>F378*1609.344</f>
        <v>355665.02400000003</v>
      </c>
      <c r="H378" s="32" t="s">
        <v>612</v>
      </c>
      <c r="I378">
        <v>3016</v>
      </c>
      <c r="J378">
        <v>0</v>
      </c>
      <c r="K378" s="26">
        <v>2017</v>
      </c>
      <c r="L378" t="s">
        <v>30</v>
      </c>
      <c r="M378" s="32">
        <v>50</v>
      </c>
      <c r="N378">
        <v>5.4892152799999998</v>
      </c>
      <c r="P378" t="s">
        <v>23</v>
      </c>
      <c r="Q378">
        <v>95.5</v>
      </c>
      <c r="R378" t="s">
        <v>13</v>
      </c>
      <c r="S378" t="s">
        <v>14</v>
      </c>
      <c r="T378" t="s">
        <v>14</v>
      </c>
      <c r="U378" s="34">
        <v>0</v>
      </c>
      <c r="X378" s="25"/>
      <c r="Y378">
        <v>1.2936228569999999</v>
      </c>
      <c r="Z378" t="s">
        <v>768</v>
      </c>
      <c r="AA378" t="s">
        <v>620</v>
      </c>
      <c r="AB378">
        <v>2</v>
      </c>
      <c r="AC378">
        <v>1.5</v>
      </c>
      <c r="AD378">
        <v>7.77</v>
      </c>
      <c r="AE378" t="s">
        <v>519</v>
      </c>
      <c r="AF378" t="s">
        <v>615</v>
      </c>
      <c r="AG378" s="32">
        <v>1500</v>
      </c>
      <c r="AH378" s="32" t="s">
        <v>671</v>
      </c>
      <c r="AI378" s="32" t="s">
        <v>1129</v>
      </c>
      <c r="AJ378" s="31" t="s">
        <v>1130</v>
      </c>
      <c r="AK378" s="31">
        <v>0.59524549999999998</v>
      </c>
      <c r="AL378" s="31">
        <v>892.86824999999999</v>
      </c>
      <c r="AM378" s="31">
        <v>607.13175000000001</v>
      </c>
      <c r="AN378" s="31">
        <v>5132.0900952113716</v>
      </c>
      <c r="AO378" s="31">
        <v>3489.7140095006698</v>
      </c>
      <c r="AP378" s="31">
        <v>6.6389890513487364</v>
      </c>
      <c r="AQ378" s="31">
        <v>4.5143738070831816</v>
      </c>
      <c r="AR378" s="31">
        <v>6.4997164355123632E-3</v>
      </c>
    </row>
    <row r="379" spans="1:44" hidden="1" x14ac:dyDescent="0.5">
      <c r="A379" s="31">
        <v>1637</v>
      </c>
      <c r="B379" s="52">
        <v>119</v>
      </c>
      <c r="C379" s="225" t="s">
        <v>42</v>
      </c>
      <c r="D379" s="43">
        <v>-35.048999999999999</v>
      </c>
      <c r="E379" s="43">
        <v>130.90549999999999</v>
      </c>
      <c r="F379">
        <v>221</v>
      </c>
      <c r="G379">
        <f>F379*1609.344</f>
        <v>355665.02400000003</v>
      </c>
      <c r="H379" s="32" t="s">
        <v>612</v>
      </c>
      <c r="I379">
        <v>3051</v>
      </c>
      <c r="J379">
        <v>0</v>
      </c>
      <c r="K379" s="26">
        <v>2017</v>
      </c>
      <c r="L379" t="s">
        <v>30</v>
      </c>
      <c r="M379" s="32">
        <v>50</v>
      </c>
      <c r="N379">
        <v>5.4892152799999998</v>
      </c>
      <c r="P379" t="s">
        <v>23</v>
      </c>
      <c r="Q379">
        <v>95.5</v>
      </c>
      <c r="R379" t="s">
        <v>13</v>
      </c>
      <c r="S379" t="s">
        <v>14</v>
      </c>
      <c r="T379" t="s">
        <v>14</v>
      </c>
      <c r="U379" s="34">
        <v>0</v>
      </c>
      <c r="X379" s="25"/>
      <c r="Y379">
        <v>1.2936228569999999</v>
      </c>
      <c r="Z379" t="s">
        <v>768</v>
      </c>
      <c r="AA379" t="s">
        <v>620</v>
      </c>
      <c r="AB379">
        <v>2</v>
      </c>
      <c r="AC379">
        <v>0.1</v>
      </c>
      <c r="AD379">
        <v>0.67</v>
      </c>
      <c r="AE379" t="s">
        <v>519</v>
      </c>
      <c r="AF379" t="s">
        <v>615</v>
      </c>
      <c r="AG379" s="32">
        <v>100</v>
      </c>
      <c r="AH379" s="32" t="s">
        <v>2116</v>
      </c>
      <c r="AI379" s="32">
        <v>50</v>
      </c>
      <c r="AJ379" s="31">
        <v>50</v>
      </c>
      <c r="AK379" s="31">
        <v>0.5</v>
      </c>
      <c r="AL379" s="31">
        <v>50</v>
      </c>
      <c r="AM379" s="31">
        <v>50</v>
      </c>
      <c r="AN379" s="31">
        <v>287.39347015706807</v>
      </c>
      <c r="AO379" s="31">
        <v>287.39347015706807</v>
      </c>
      <c r="AP379" s="31">
        <v>0.37177876194773057</v>
      </c>
      <c r="AQ379" s="31">
        <v>0.37177876194773057</v>
      </c>
      <c r="AR379" s="31">
        <v>6.2757438620555505E-3</v>
      </c>
    </row>
    <row r="380" spans="1:44" hidden="1" x14ac:dyDescent="0.5">
      <c r="A380" s="31">
        <v>1638</v>
      </c>
      <c r="B380" s="52">
        <v>119</v>
      </c>
      <c r="C380" s="225" t="s">
        <v>42</v>
      </c>
      <c r="D380" s="43">
        <v>-35.047899999999998</v>
      </c>
      <c r="E380" s="43">
        <v>130.90539999999999</v>
      </c>
      <c r="F380">
        <v>221</v>
      </c>
      <c r="G380">
        <f>F380*1609.344</f>
        <v>355665.02400000003</v>
      </c>
      <c r="H380" s="32" t="s">
        <v>612</v>
      </c>
      <c r="I380">
        <v>3052</v>
      </c>
      <c r="J380">
        <v>0</v>
      </c>
      <c r="K380" s="26">
        <v>2017</v>
      </c>
      <c r="L380" t="s">
        <v>30</v>
      </c>
      <c r="M380" s="32">
        <v>50</v>
      </c>
      <c r="N380">
        <v>5.4892152799999998</v>
      </c>
      <c r="P380" t="s">
        <v>23</v>
      </c>
      <c r="Q380">
        <v>95.5</v>
      </c>
      <c r="R380" t="s">
        <v>13</v>
      </c>
      <c r="S380" t="s">
        <v>14</v>
      </c>
      <c r="T380" t="s">
        <v>14</v>
      </c>
      <c r="U380" s="34">
        <v>0</v>
      </c>
      <c r="X380" s="25"/>
      <c r="Y380">
        <v>1.2936228569999999</v>
      </c>
      <c r="Z380" t="s">
        <v>768</v>
      </c>
      <c r="AA380" t="s">
        <v>620</v>
      </c>
      <c r="AB380">
        <v>2</v>
      </c>
      <c r="AC380">
        <v>0.1</v>
      </c>
      <c r="AD380">
        <v>0.67</v>
      </c>
      <c r="AE380" t="s">
        <v>519</v>
      </c>
      <c r="AF380" t="s">
        <v>615</v>
      </c>
      <c r="AG380" s="32">
        <v>100</v>
      </c>
      <c r="AH380" s="32" t="s">
        <v>2727</v>
      </c>
      <c r="AI380" s="32" t="s">
        <v>2728</v>
      </c>
      <c r="AJ380" s="31" t="s">
        <v>3468</v>
      </c>
      <c r="AK380" s="31">
        <v>0.83333333300000001</v>
      </c>
      <c r="AL380" s="31">
        <v>83.333333300000007</v>
      </c>
      <c r="AM380" s="31">
        <v>16.666666699999993</v>
      </c>
      <c r="AN380" s="31">
        <v>478.9891167368512</v>
      </c>
      <c r="AO380" s="31">
        <v>95.797823577284959</v>
      </c>
      <c r="AP380" s="31">
        <v>0.6196312696650319</v>
      </c>
      <c r="AQ380" s="31">
        <v>0.12392625423042933</v>
      </c>
      <c r="AR380" s="31">
        <v>6.2694593378591987E-3</v>
      </c>
    </row>
    <row r="381" spans="1:44" hidden="1" x14ac:dyDescent="0.5">
      <c r="A381" s="31">
        <v>1639</v>
      </c>
      <c r="B381" s="52">
        <v>119</v>
      </c>
      <c r="C381" s="225" t="s">
        <v>42</v>
      </c>
      <c r="D381" s="43">
        <v>-35.049399999999999</v>
      </c>
      <c r="E381" s="43">
        <v>130.9049</v>
      </c>
      <c r="F381">
        <v>221</v>
      </c>
      <c r="G381">
        <f>F381*1609.344</f>
        <v>355665.02400000003</v>
      </c>
      <c r="H381" s="32" t="s">
        <v>612</v>
      </c>
      <c r="I381">
        <v>3055</v>
      </c>
      <c r="J381">
        <v>0</v>
      </c>
      <c r="K381" s="26">
        <v>2017</v>
      </c>
      <c r="L381" t="s">
        <v>30</v>
      </c>
      <c r="M381" s="32">
        <v>50</v>
      </c>
      <c r="N381">
        <v>5.4892152799999998</v>
      </c>
      <c r="P381" t="s">
        <v>23</v>
      </c>
      <c r="Q381">
        <v>95.5</v>
      </c>
      <c r="R381" t="s">
        <v>13</v>
      </c>
      <c r="S381" t="s">
        <v>14</v>
      </c>
      <c r="T381" t="s">
        <v>14</v>
      </c>
      <c r="U381" s="34">
        <v>0</v>
      </c>
      <c r="X381" s="25"/>
      <c r="Y381">
        <v>1.2936228569999999</v>
      </c>
      <c r="Z381" t="s">
        <v>768</v>
      </c>
      <c r="AA381" t="s">
        <v>620</v>
      </c>
      <c r="AB381">
        <v>2</v>
      </c>
      <c r="AC381">
        <v>0.8</v>
      </c>
      <c r="AD381">
        <v>4</v>
      </c>
      <c r="AE381" t="s">
        <v>519</v>
      </c>
      <c r="AF381" t="s">
        <v>615</v>
      </c>
      <c r="AG381" s="32">
        <v>800</v>
      </c>
      <c r="AH381" s="32" t="s">
        <v>2729</v>
      </c>
      <c r="AI381" s="32" t="s">
        <v>2730</v>
      </c>
      <c r="AJ381" s="31" t="s">
        <v>3469</v>
      </c>
      <c r="AK381" s="31">
        <v>0.111111111</v>
      </c>
      <c r="AL381" s="31">
        <v>88.888888800000004</v>
      </c>
      <c r="AM381" s="31">
        <v>711.11111119999998</v>
      </c>
      <c r="AN381" s="31">
        <v>510.92172421275484</v>
      </c>
      <c r="AO381" s="31">
        <v>4087.3737983003339</v>
      </c>
      <c r="AP381" s="31">
        <v>0.66094002057946999</v>
      </c>
      <c r="AQ381" s="31">
        <v>5.2875201705842194</v>
      </c>
      <c r="AR381" s="31">
        <v>6.2506434999688573E-3</v>
      </c>
    </row>
    <row r="382" spans="1:44" hidden="1" x14ac:dyDescent="0.5">
      <c r="A382" s="31">
        <v>1640</v>
      </c>
      <c r="B382" s="52">
        <v>119</v>
      </c>
      <c r="C382" s="225" t="s">
        <v>42</v>
      </c>
      <c r="D382" s="43">
        <v>-35.050899999999999</v>
      </c>
      <c r="E382" s="43">
        <v>130.90479999999999</v>
      </c>
      <c r="F382">
        <v>221</v>
      </c>
      <c r="G382">
        <f>F382*1609.344</f>
        <v>355665.02400000003</v>
      </c>
      <c r="H382" s="32" t="s">
        <v>612</v>
      </c>
      <c r="I382">
        <v>3062</v>
      </c>
      <c r="J382">
        <v>0</v>
      </c>
      <c r="K382" s="26">
        <v>2017</v>
      </c>
      <c r="L382" t="s">
        <v>30</v>
      </c>
      <c r="M382" s="32">
        <v>50</v>
      </c>
      <c r="N382">
        <v>5.4892152799999998</v>
      </c>
      <c r="P382" t="s">
        <v>23</v>
      </c>
      <c r="Q382">
        <v>95.5</v>
      </c>
      <c r="R382" t="s">
        <v>13</v>
      </c>
      <c r="S382" t="s">
        <v>14</v>
      </c>
      <c r="T382" t="s">
        <v>14</v>
      </c>
      <c r="U382" s="34">
        <v>0</v>
      </c>
      <c r="X382" s="25"/>
      <c r="Y382">
        <v>1.2936228569999999</v>
      </c>
      <c r="Z382" t="s">
        <v>768</v>
      </c>
      <c r="AA382" t="s">
        <v>620</v>
      </c>
      <c r="AB382">
        <v>2</v>
      </c>
      <c r="AC382">
        <v>4.5999999999999996</v>
      </c>
      <c r="AD382">
        <v>45</v>
      </c>
      <c r="AE382" t="s">
        <v>519</v>
      </c>
      <c r="AF382" t="s">
        <v>615</v>
      </c>
      <c r="AG382" s="32">
        <v>4600</v>
      </c>
      <c r="AH382" s="32">
        <v>0</v>
      </c>
      <c r="AI382" s="32">
        <v>0</v>
      </c>
      <c r="AJ382" s="31">
        <v>4600</v>
      </c>
      <c r="AK382" s="31">
        <v>0</v>
      </c>
      <c r="AL382" s="31">
        <v>0</v>
      </c>
      <c r="AM382" s="31">
        <v>4600</v>
      </c>
      <c r="AN382" s="31">
        <v>0</v>
      </c>
      <c r="AO382" s="31">
        <v>26440.199254450261</v>
      </c>
      <c r="AP382" s="31">
        <v>0</v>
      </c>
      <c r="AQ382" s="31">
        <v>34.203646099191211</v>
      </c>
      <c r="AR382" s="31">
        <v>6.2069591905501084E-3</v>
      </c>
    </row>
    <row r="383" spans="1:44" hidden="1" x14ac:dyDescent="0.5">
      <c r="A383" s="31">
        <v>1641</v>
      </c>
      <c r="B383" s="52">
        <v>119</v>
      </c>
      <c r="C383" s="225" t="s">
        <v>42</v>
      </c>
      <c r="D383" s="43">
        <v>-35.039200000000001</v>
      </c>
      <c r="E383" s="43">
        <v>130.9186</v>
      </c>
      <c r="F383">
        <v>221</v>
      </c>
      <c r="G383">
        <f>F383*1609.344</f>
        <v>355665.02400000003</v>
      </c>
      <c r="H383" s="32" t="s">
        <v>612</v>
      </c>
      <c r="I383">
        <v>2783</v>
      </c>
      <c r="J383">
        <v>0</v>
      </c>
      <c r="K383" s="26">
        <v>2017</v>
      </c>
      <c r="L383" t="s">
        <v>30</v>
      </c>
      <c r="M383" s="32">
        <v>50</v>
      </c>
      <c r="N383">
        <v>5.4892152799999998</v>
      </c>
      <c r="P383" t="s">
        <v>23</v>
      </c>
      <c r="Q383">
        <v>95.5</v>
      </c>
      <c r="R383" t="s">
        <v>13</v>
      </c>
      <c r="S383" t="s">
        <v>14</v>
      </c>
      <c r="T383" t="s">
        <v>14</v>
      </c>
      <c r="U383" s="34">
        <v>0</v>
      </c>
      <c r="X383" s="25"/>
      <c r="Y383">
        <v>1.2936228569999999</v>
      </c>
      <c r="Z383" t="s">
        <v>768</v>
      </c>
      <c r="AA383" t="s">
        <v>620</v>
      </c>
      <c r="AB383">
        <v>2</v>
      </c>
      <c r="AC383">
        <v>0.3</v>
      </c>
      <c r="AD383">
        <v>0.67</v>
      </c>
      <c r="AE383" t="s">
        <v>519</v>
      </c>
      <c r="AF383" t="s">
        <v>615</v>
      </c>
      <c r="AG383" s="32">
        <v>300</v>
      </c>
      <c r="AH383" s="32">
        <v>0</v>
      </c>
      <c r="AI383" s="32">
        <v>0</v>
      </c>
      <c r="AJ383" s="31">
        <v>300</v>
      </c>
      <c r="AK383" s="31">
        <v>0</v>
      </c>
      <c r="AL383" s="31">
        <v>0</v>
      </c>
      <c r="AM383" s="31">
        <v>300</v>
      </c>
      <c r="AN383" s="31">
        <v>0</v>
      </c>
      <c r="AO383" s="31">
        <v>1724.3608209424085</v>
      </c>
      <c r="AP383" s="31">
        <v>0</v>
      </c>
      <c r="AQ383" s="31">
        <v>2.2306725716863838</v>
      </c>
      <c r="AR383" s="31">
        <v>8.2087564397730975E-3</v>
      </c>
    </row>
    <row r="384" spans="1:44" hidden="1" x14ac:dyDescent="0.5">
      <c r="A384" s="31">
        <v>1642</v>
      </c>
      <c r="B384" s="52">
        <v>119</v>
      </c>
      <c r="C384" s="225" t="s">
        <v>42</v>
      </c>
      <c r="D384" s="43">
        <v>-35.513599999999997</v>
      </c>
      <c r="E384" s="43">
        <v>132.13480000000001</v>
      </c>
      <c r="F384">
        <v>181</v>
      </c>
      <c r="G384">
        <f>F384*1609.344</f>
        <v>291291.26400000002</v>
      </c>
      <c r="H384" s="32" t="s">
        <v>612</v>
      </c>
      <c r="I384">
        <v>2502</v>
      </c>
      <c r="J384">
        <v>0</v>
      </c>
      <c r="K384" s="26">
        <v>2017</v>
      </c>
      <c r="L384" t="s">
        <v>30</v>
      </c>
      <c r="M384" s="32">
        <v>50</v>
      </c>
      <c r="N384">
        <v>5.4892152799999998</v>
      </c>
      <c r="P384" t="s">
        <v>23</v>
      </c>
      <c r="Q384">
        <v>95.5</v>
      </c>
      <c r="R384" t="s">
        <v>13</v>
      </c>
      <c r="S384" t="s">
        <v>14</v>
      </c>
      <c r="T384" t="s">
        <v>14</v>
      </c>
      <c r="U384" s="34">
        <v>0</v>
      </c>
      <c r="X384" s="25"/>
      <c r="Y384">
        <v>1.2936228569999999</v>
      </c>
      <c r="Z384" t="s">
        <v>768</v>
      </c>
      <c r="AA384" t="s">
        <v>620</v>
      </c>
      <c r="AB384">
        <v>3</v>
      </c>
      <c r="AC384">
        <v>1.4</v>
      </c>
      <c r="AD384">
        <v>10.9</v>
      </c>
      <c r="AE384" t="s">
        <v>519</v>
      </c>
      <c r="AF384" t="s">
        <v>615</v>
      </c>
      <c r="AG384" s="32">
        <v>1400</v>
      </c>
      <c r="AH384" s="32" t="s">
        <v>2731</v>
      </c>
      <c r="AI384" s="32">
        <v>175</v>
      </c>
      <c r="AJ384" s="31">
        <v>1225</v>
      </c>
      <c r="AK384" s="31">
        <v>0.125</v>
      </c>
      <c r="AL384" s="31">
        <v>175</v>
      </c>
      <c r="AM384" s="31">
        <v>1225</v>
      </c>
      <c r="AN384" s="31">
        <v>1005.8771455497382</v>
      </c>
      <c r="AO384" s="31">
        <v>7041.1400188481675</v>
      </c>
      <c r="AP384" s="31">
        <v>1.301225666817057</v>
      </c>
      <c r="AQ384" s="31">
        <v>9.1085796677194004</v>
      </c>
      <c r="AR384" s="31">
        <v>1.0877925747400659E-2</v>
      </c>
    </row>
    <row r="385" spans="1:44" hidden="1" x14ac:dyDescent="0.5">
      <c r="A385" s="31">
        <v>1643</v>
      </c>
      <c r="B385" s="52">
        <v>119</v>
      </c>
      <c r="C385" s="225" t="s">
        <v>42</v>
      </c>
      <c r="D385" s="43">
        <v>-35.513599999999997</v>
      </c>
      <c r="E385" s="43">
        <v>132.13480000000001</v>
      </c>
      <c r="F385">
        <v>181</v>
      </c>
      <c r="G385">
        <f>F385*1609.344</f>
        <v>291291.26400000002</v>
      </c>
      <c r="H385" s="32" t="s">
        <v>612</v>
      </c>
      <c r="I385">
        <v>2502</v>
      </c>
      <c r="J385">
        <v>0</v>
      </c>
      <c r="K385" s="26">
        <v>2017</v>
      </c>
      <c r="L385" t="s">
        <v>30</v>
      </c>
      <c r="M385" s="32">
        <v>50</v>
      </c>
      <c r="N385">
        <v>5.4892152799999998</v>
      </c>
      <c r="P385" t="s">
        <v>23</v>
      </c>
      <c r="Q385">
        <v>95.5</v>
      </c>
      <c r="R385" t="s">
        <v>13</v>
      </c>
      <c r="S385" t="s">
        <v>14</v>
      </c>
      <c r="T385" t="s">
        <v>14</v>
      </c>
      <c r="U385" s="34">
        <v>0</v>
      </c>
      <c r="X385" s="25"/>
      <c r="Y385">
        <v>1.2936228569999999</v>
      </c>
      <c r="Z385" t="s">
        <v>768</v>
      </c>
      <c r="AA385" t="s">
        <v>620</v>
      </c>
      <c r="AB385">
        <v>3</v>
      </c>
      <c r="AC385">
        <v>6.2</v>
      </c>
      <c r="AD385">
        <v>14</v>
      </c>
      <c r="AE385" t="s">
        <v>519</v>
      </c>
      <c r="AF385" t="s">
        <v>615</v>
      </c>
      <c r="AG385" s="32">
        <v>6200</v>
      </c>
      <c r="AH385" s="32" t="s">
        <v>2732</v>
      </c>
      <c r="AI385" s="32" t="s">
        <v>2733</v>
      </c>
      <c r="AJ385" s="31" t="s">
        <v>3470</v>
      </c>
      <c r="AK385" s="31">
        <v>3.125E-2</v>
      </c>
      <c r="AL385" s="31">
        <v>193.75</v>
      </c>
      <c r="AM385" s="31">
        <v>6006.25</v>
      </c>
      <c r="AN385" s="31">
        <v>1113.6496968586387</v>
      </c>
      <c r="AO385" s="31">
        <v>34523.140602617801</v>
      </c>
      <c r="AP385" s="31">
        <v>1.440642702547456</v>
      </c>
      <c r="AQ385" s="31">
        <v>44.659923778971141</v>
      </c>
      <c r="AR385" s="31">
        <v>1.0877925747400659E-2</v>
      </c>
    </row>
    <row r="386" spans="1:44" hidden="1" x14ac:dyDescent="0.5">
      <c r="A386" s="31">
        <v>1644</v>
      </c>
      <c r="B386" s="52">
        <v>119</v>
      </c>
      <c r="C386" s="225" t="s">
        <v>42</v>
      </c>
      <c r="D386" s="43">
        <v>-35.513599999999997</v>
      </c>
      <c r="E386" s="43">
        <v>132.13480000000001</v>
      </c>
      <c r="F386">
        <v>181</v>
      </c>
      <c r="G386">
        <f>F386*1609.344</f>
        <v>291291.26400000002</v>
      </c>
      <c r="H386" s="32" t="s">
        <v>612</v>
      </c>
      <c r="I386">
        <v>2502</v>
      </c>
      <c r="J386">
        <v>0</v>
      </c>
      <c r="K386" s="26">
        <v>2017</v>
      </c>
      <c r="L386" t="s">
        <v>30</v>
      </c>
      <c r="M386" s="32">
        <v>50</v>
      </c>
      <c r="N386">
        <v>5.4892152799999998</v>
      </c>
      <c r="P386" t="s">
        <v>23</v>
      </c>
      <c r="Q386">
        <v>95.5</v>
      </c>
      <c r="R386" t="s">
        <v>13</v>
      </c>
      <c r="S386" t="s">
        <v>14</v>
      </c>
      <c r="T386" t="s">
        <v>14</v>
      </c>
      <c r="U386" s="34">
        <v>0</v>
      </c>
      <c r="X386" s="25"/>
      <c r="Y386">
        <v>1.2936228569999999</v>
      </c>
      <c r="Z386" t="s">
        <v>768</v>
      </c>
      <c r="AA386" t="s">
        <v>620</v>
      </c>
      <c r="AB386">
        <v>3</v>
      </c>
      <c r="AC386">
        <v>1.1000000000000001</v>
      </c>
      <c r="AD386">
        <v>7.43</v>
      </c>
      <c r="AE386" t="s">
        <v>519</v>
      </c>
      <c r="AF386" t="s">
        <v>615</v>
      </c>
      <c r="AG386" s="32">
        <v>1100</v>
      </c>
      <c r="AH386" s="32">
        <v>0</v>
      </c>
      <c r="AI386" s="32">
        <v>0</v>
      </c>
      <c r="AJ386" s="31">
        <v>1100</v>
      </c>
      <c r="AK386" s="31">
        <v>0</v>
      </c>
      <c r="AL386" s="31">
        <v>0</v>
      </c>
      <c r="AM386" s="31">
        <v>1100</v>
      </c>
      <c r="AN386" s="31">
        <v>0</v>
      </c>
      <c r="AO386" s="31">
        <v>6322.6563434554973</v>
      </c>
      <c r="AP386" s="31">
        <v>0</v>
      </c>
      <c r="AQ386" s="31">
        <v>8.1791327628500721</v>
      </c>
      <c r="AR386" s="31">
        <v>1.0877925747400659E-2</v>
      </c>
    </row>
    <row r="387" spans="1:44" hidden="1" x14ac:dyDescent="0.5">
      <c r="A387" s="31">
        <v>1645</v>
      </c>
      <c r="B387" s="52">
        <v>119</v>
      </c>
      <c r="C387" s="225" t="s">
        <v>42</v>
      </c>
      <c r="D387" s="43">
        <v>-35.4527</v>
      </c>
      <c r="E387" s="43">
        <v>132.1497</v>
      </c>
      <c r="F387">
        <v>179</v>
      </c>
      <c r="G387">
        <f>F387*1609.344</f>
        <v>288072.576</v>
      </c>
      <c r="H387" s="32" t="s">
        <v>612</v>
      </c>
      <c r="I387">
        <v>2253</v>
      </c>
      <c r="J387">
        <v>0</v>
      </c>
      <c r="K387" s="26">
        <v>2017</v>
      </c>
      <c r="L387" t="s">
        <v>30</v>
      </c>
      <c r="M387" s="32">
        <v>50</v>
      </c>
      <c r="N387">
        <v>5.4892152799999998</v>
      </c>
      <c r="P387" t="s">
        <v>23</v>
      </c>
      <c r="Q387">
        <v>95.5</v>
      </c>
      <c r="R387" t="s">
        <v>13</v>
      </c>
      <c r="S387" t="s">
        <v>14</v>
      </c>
      <c r="T387" t="s">
        <v>14</v>
      </c>
      <c r="U387" s="34">
        <v>0</v>
      </c>
      <c r="X387" s="25"/>
      <c r="Y387">
        <v>1.2936228569999999</v>
      </c>
      <c r="Z387" t="s">
        <v>768</v>
      </c>
      <c r="AA387" t="s">
        <v>620</v>
      </c>
      <c r="AB387">
        <v>2</v>
      </c>
      <c r="AC387">
        <v>0</v>
      </c>
      <c r="AD387">
        <v>0</v>
      </c>
      <c r="AE387" t="s">
        <v>519</v>
      </c>
      <c r="AF387" t="s">
        <v>615</v>
      </c>
      <c r="AG387" s="32">
        <v>0</v>
      </c>
      <c r="AH387" s="32" t="s">
        <v>671</v>
      </c>
      <c r="AI387" s="32" t="s">
        <v>1129</v>
      </c>
      <c r="AJ387" s="31" t="s">
        <v>1130</v>
      </c>
      <c r="AK387" s="31">
        <v>0.59524549999999998</v>
      </c>
      <c r="AL387" s="31">
        <v>0</v>
      </c>
      <c r="AM387" s="31">
        <v>0</v>
      </c>
      <c r="AN387" s="31">
        <v>0</v>
      </c>
      <c r="AO387" s="31">
        <v>0</v>
      </c>
      <c r="AP387" s="31">
        <v>0</v>
      </c>
      <c r="AQ387" s="31">
        <v>0</v>
      </c>
      <c r="AR387" s="31">
        <v>1.39601784558867E-2</v>
      </c>
    </row>
    <row r="388" spans="1:44" hidden="1" x14ac:dyDescent="0.5">
      <c r="A388" s="31">
        <v>1646</v>
      </c>
      <c r="B388" s="52">
        <v>119</v>
      </c>
      <c r="C388" s="225" t="s">
        <v>42</v>
      </c>
      <c r="D388" s="43">
        <v>-35.453699999999998</v>
      </c>
      <c r="E388" s="43">
        <v>132.1516</v>
      </c>
      <c r="F388">
        <v>179</v>
      </c>
      <c r="G388">
        <f>F388*1609.344</f>
        <v>288072.576</v>
      </c>
      <c r="H388" s="32" t="s">
        <v>612</v>
      </c>
      <c r="I388">
        <v>2253</v>
      </c>
      <c r="J388">
        <v>0</v>
      </c>
      <c r="K388" s="26">
        <v>2017</v>
      </c>
      <c r="L388" t="s">
        <v>30</v>
      </c>
      <c r="M388" s="32">
        <v>50</v>
      </c>
      <c r="N388">
        <v>5.4892152799999998</v>
      </c>
      <c r="P388" t="s">
        <v>23</v>
      </c>
      <c r="Q388">
        <v>95.5</v>
      </c>
      <c r="R388" t="s">
        <v>13</v>
      </c>
      <c r="S388" t="s">
        <v>14</v>
      </c>
      <c r="T388" t="s">
        <v>14</v>
      </c>
      <c r="U388" s="34">
        <v>0</v>
      </c>
      <c r="X388" s="25"/>
      <c r="Y388">
        <v>1.2936228569999999</v>
      </c>
      <c r="Z388" t="s">
        <v>768</v>
      </c>
      <c r="AA388" t="s">
        <v>620</v>
      </c>
      <c r="AB388">
        <v>2</v>
      </c>
      <c r="AC388">
        <v>0.2</v>
      </c>
      <c r="AD388">
        <v>2</v>
      </c>
      <c r="AE388" t="s">
        <v>519</v>
      </c>
      <c r="AF388" t="s">
        <v>615</v>
      </c>
      <c r="AG388" s="32">
        <v>200</v>
      </c>
      <c r="AH388" s="32" t="s">
        <v>2734</v>
      </c>
      <c r="AI388" s="32" t="s">
        <v>2735</v>
      </c>
      <c r="AJ388" s="31" t="s">
        <v>3471</v>
      </c>
      <c r="AK388" s="31">
        <v>0.33333333300000001</v>
      </c>
      <c r="AL388" s="31">
        <v>66.666666599999999</v>
      </c>
      <c r="AM388" s="31">
        <v>133.33333340000001</v>
      </c>
      <c r="AN388" s="31">
        <v>383.1912931595661</v>
      </c>
      <c r="AO388" s="31">
        <v>766.38258746870622</v>
      </c>
      <c r="AP388" s="31">
        <v>0.49570501543460244</v>
      </c>
      <c r="AQ388" s="31">
        <v>0.99141003235632008</v>
      </c>
      <c r="AR388" s="31">
        <v>1.39601784558867E-2</v>
      </c>
    </row>
    <row r="389" spans="1:44" hidden="1" x14ac:dyDescent="0.5">
      <c r="A389" s="31">
        <v>1647</v>
      </c>
      <c r="B389" s="52">
        <v>119</v>
      </c>
      <c r="C389" s="225" t="s">
        <v>42</v>
      </c>
      <c r="D389" s="43">
        <v>-35.040599999999998</v>
      </c>
      <c r="E389" s="43">
        <v>130.9178</v>
      </c>
      <c r="F389">
        <v>221</v>
      </c>
      <c r="G389">
        <f>F389*1609.344</f>
        <v>355665.02400000003</v>
      </c>
      <c r="H389" s="32" t="s">
        <v>611</v>
      </c>
      <c r="I389">
        <v>1821</v>
      </c>
      <c r="J389">
        <v>0</v>
      </c>
      <c r="K389" s="26">
        <v>2017</v>
      </c>
      <c r="L389" t="s">
        <v>30</v>
      </c>
      <c r="M389" s="32">
        <v>50</v>
      </c>
      <c r="N389">
        <v>5.4892152799999998</v>
      </c>
      <c r="P389" t="s">
        <v>23</v>
      </c>
      <c r="Q389">
        <v>95.5</v>
      </c>
      <c r="R389" t="s">
        <v>13</v>
      </c>
      <c r="S389" t="s">
        <v>14</v>
      </c>
      <c r="T389" t="s">
        <v>14</v>
      </c>
      <c r="U389" s="34">
        <v>0</v>
      </c>
      <c r="X389" s="25"/>
      <c r="Y389">
        <v>1.373883272</v>
      </c>
      <c r="Z389" t="s">
        <v>770</v>
      </c>
      <c r="AA389" t="s">
        <v>658</v>
      </c>
      <c r="AB389">
        <v>2</v>
      </c>
      <c r="AC389">
        <v>0.1</v>
      </c>
      <c r="AD389">
        <v>0.67</v>
      </c>
      <c r="AE389" t="s">
        <v>519</v>
      </c>
      <c r="AF389" t="s">
        <v>615</v>
      </c>
      <c r="AG389" s="32">
        <v>100</v>
      </c>
      <c r="AH389" s="32">
        <v>0</v>
      </c>
      <c r="AI389" s="32">
        <v>0</v>
      </c>
      <c r="AJ389" s="31">
        <v>100</v>
      </c>
      <c r="AK389" s="31">
        <v>0</v>
      </c>
      <c r="AL389" s="31">
        <v>0</v>
      </c>
      <c r="AM389" s="31">
        <v>100</v>
      </c>
      <c r="AN389" s="31">
        <v>0</v>
      </c>
      <c r="AO389" s="31">
        <v>574.78694031413613</v>
      </c>
      <c r="AP389" s="31">
        <v>0</v>
      </c>
      <c r="AQ389" s="31">
        <v>0.78969016226165412</v>
      </c>
      <c r="AR389" s="31">
        <v>2.1521017963515323E-2</v>
      </c>
    </row>
    <row r="390" spans="1:44" hidden="1" x14ac:dyDescent="0.5">
      <c r="A390" s="31">
        <v>1648</v>
      </c>
      <c r="B390" s="52">
        <v>119</v>
      </c>
      <c r="C390" s="225" t="s">
        <v>42</v>
      </c>
      <c r="D390" s="43">
        <v>-35.020800000000001</v>
      </c>
      <c r="E390" s="43">
        <v>131.6942</v>
      </c>
      <c r="F390">
        <v>194</v>
      </c>
      <c r="G390">
        <f>F390*1609.344</f>
        <v>312212.73600000003</v>
      </c>
      <c r="H390" s="32" t="s">
        <v>611</v>
      </c>
      <c r="I390">
        <v>1655</v>
      </c>
      <c r="J390">
        <v>0</v>
      </c>
      <c r="K390" s="26">
        <v>2017</v>
      </c>
      <c r="L390" t="s">
        <v>30</v>
      </c>
      <c r="M390" s="32">
        <v>50</v>
      </c>
      <c r="N390">
        <v>5.4892152799999998</v>
      </c>
      <c r="P390" t="s">
        <v>23</v>
      </c>
      <c r="Q390">
        <v>95.5</v>
      </c>
      <c r="R390" t="s">
        <v>13</v>
      </c>
      <c r="S390" t="s">
        <v>14</v>
      </c>
      <c r="T390" t="s">
        <v>14</v>
      </c>
      <c r="U390" s="34">
        <v>0</v>
      </c>
      <c r="X390" s="25"/>
      <c r="Y390">
        <v>1.373883272</v>
      </c>
      <c r="Z390" t="s">
        <v>770</v>
      </c>
      <c r="AA390" t="s">
        <v>658</v>
      </c>
      <c r="AB390">
        <v>2</v>
      </c>
      <c r="AC390">
        <v>0.3</v>
      </c>
      <c r="AD390">
        <v>3</v>
      </c>
      <c r="AE390" t="s">
        <v>519</v>
      </c>
      <c r="AF390" t="s">
        <v>615</v>
      </c>
      <c r="AG390" s="32">
        <v>300</v>
      </c>
      <c r="AH390" s="32">
        <v>0</v>
      </c>
      <c r="AI390" s="32">
        <v>0</v>
      </c>
      <c r="AJ390" s="31">
        <v>300</v>
      </c>
      <c r="AK390" s="31">
        <v>0</v>
      </c>
      <c r="AL390" s="31">
        <v>0</v>
      </c>
      <c r="AM390" s="31">
        <v>300</v>
      </c>
      <c r="AN390" s="31">
        <v>0</v>
      </c>
      <c r="AO390" s="31">
        <v>1724.3608209424085</v>
      </c>
      <c r="AP390" s="31">
        <v>0</v>
      </c>
      <c r="AQ390" s="31">
        <v>2.3690704867849623</v>
      </c>
      <c r="AR390" s="31">
        <v>2.5415153087038574E-2</v>
      </c>
    </row>
    <row r="391" spans="1:44" hidden="1" x14ac:dyDescent="0.5">
      <c r="A391" s="31">
        <v>1649</v>
      </c>
      <c r="B391" s="52">
        <v>119</v>
      </c>
      <c r="C391" s="225" t="s">
        <v>42</v>
      </c>
      <c r="D391" s="43">
        <v>-35.021099999999997</v>
      </c>
      <c r="E391" s="43">
        <v>131.69470000000001</v>
      </c>
      <c r="F391">
        <v>194</v>
      </c>
      <c r="G391">
        <f>F391*1609.344</f>
        <v>312212.73600000003</v>
      </c>
      <c r="H391" s="32" t="s">
        <v>611</v>
      </c>
      <c r="I391">
        <v>1659</v>
      </c>
      <c r="J391">
        <v>0</v>
      </c>
      <c r="K391" s="26">
        <v>2017</v>
      </c>
      <c r="L391" t="s">
        <v>30</v>
      </c>
      <c r="M391" s="32">
        <v>50</v>
      </c>
      <c r="N391">
        <v>5.4892152799999998</v>
      </c>
      <c r="P391" t="s">
        <v>23</v>
      </c>
      <c r="Q391">
        <v>95.5</v>
      </c>
      <c r="R391" t="s">
        <v>13</v>
      </c>
      <c r="S391" t="s">
        <v>14</v>
      </c>
      <c r="T391" t="s">
        <v>14</v>
      </c>
      <c r="U391" s="34">
        <v>0</v>
      </c>
      <c r="X391" s="25"/>
      <c r="Y391">
        <v>1.373883272</v>
      </c>
      <c r="Z391" t="s">
        <v>770</v>
      </c>
      <c r="AA391" t="s">
        <v>658</v>
      </c>
      <c r="AB391">
        <v>2</v>
      </c>
      <c r="AC391">
        <v>0.9</v>
      </c>
      <c r="AD391">
        <v>5.81</v>
      </c>
      <c r="AE391" t="s">
        <v>519</v>
      </c>
      <c r="AF391" t="s">
        <v>615</v>
      </c>
      <c r="AG391" s="32">
        <v>900</v>
      </c>
      <c r="AH391" s="32" t="s">
        <v>2736</v>
      </c>
      <c r="AI391" s="32" t="s">
        <v>2737</v>
      </c>
      <c r="AJ391" s="31" t="s">
        <v>3472</v>
      </c>
      <c r="AK391" s="31">
        <v>0.47058823500000002</v>
      </c>
      <c r="AL391" s="31">
        <v>423.52941150000004</v>
      </c>
      <c r="AM391" s="31">
        <v>476.47058849999996</v>
      </c>
      <c r="AN391" s="31">
        <v>2434.3917456913173</v>
      </c>
      <c r="AO391" s="31">
        <v>2738.690717135908</v>
      </c>
      <c r="AP391" s="31">
        <v>3.344570096900179</v>
      </c>
      <c r="AQ391" s="31">
        <v>3.762641363454708</v>
      </c>
      <c r="AR391" s="31">
        <v>2.5313503058134339E-2</v>
      </c>
    </row>
    <row r="392" spans="1:44" hidden="1" x14ac:dyDescent="0.5">
      <c r="A392" s="31">
        <v>70</v>
      </c>
      <c r="B392" s="31">
        <v>7</v>
      </c>
      <c r="C392" s="225" t="s">
        <v>41</v>
      </c>
      <c r="D392" s="36">
        <v>-67.567499999999995</v>
      </c>
      <c r="E392" s="37">
        <v>-68.124167</v>
      </c>
      <c r="F392">
        <v>0</v>
      </c>
      <c r="G392">
        <f>F392*1609.344</f>
        <v>0</v>
      </c>
      <c r="H392" s="32" t="s">
        <v>614</v>
      </c>
      <c r="I392">
        <v>0</v>
      </c>
      <c r="J392">
        <v>0</v>
      </c>
      <c r="K392" s="26">
        <v>2016</v>
      </c>
      <c r="L392" t="s">
        <v>30</v>
      </c>
      <c r="M392" s="32">
        <v>100</v>
      </c>
      <c r="N392">
        <v>11.428783320000001</v>
      </c>
      <c r="O392">
        <v>5</v>
      </c>
      <c r="P392" t="s">
        <v>12</v>
      </c>
      <c r="Q392">
        <v>89</v>
      </c>
      <c r="R392" t="s">
        <v>13</v>
      </c>
      <c r="S392" t="s">
        <v>14</v>
      </c>
      <c r="T392" t="s">
        <v>14</v>
      </c>
      <c r="U392" s="34">
        <v>0</v>
      </c>
      <c r="V392" s="34">
        <v>3</v>
      </c>
      <c r="W392" s="25">
        <v>1.5</v>
      </c>
      <c r="X392" s="25">
        <v>3</v>
      </c>
      <c r="Y392">
        <v>0.77305769000000002</v>
      </c>
      <c r="Z392" t="s">
        <v>1096</v>
      </c>
      <c r="AA392" t="s">
        <v>622</v>
      </c>
      <c r="AB392">
        <v>1</v>
      </c>
      <c r="AC392">
        <v>0</v>
      </c>
      <c r="AF392" t="s">
        <v>520</v>
      </c>
      <c r="AG392" s="32">
        <v>0</v>
      </c>
      <c r="AH392" s="32" t="s">
        <v>671</v>
      </c>
      <c r="AI392" s="32" t="s">
        <v>1129</v>
      </c>
      <c r="AJ392" s="31" t="s">
        <v>1130</v>
      </c>
      <c r="AK392" s="31">
        <v>0.59524549999999998</v>
      </c>
      <c r="AL392" s="31">
        <v>0</v>
      </c>
      <c r="AM392" s="31">
        <v>0</v>
      </c>
      <c r="AN392" s="31">
        <v>0</v>
      </c>
      <c r="AO392" s="31">
        <v>0</v>
      </c>
      <c r="AP392" s="31">
        <v>0</v>
      </c>
      <c r="AQ392" s="31">
        <v>0</v>
      </c>
      <c r="AR392" s="31">
        <v>0.13341858489683281</v>
      </c>
    </row>
    <row r="393" spans="1:44" hidden="1" x14ac:dyDescent="0.5">
      <c r="A393" s="31">
        <v>71</v>
      </c>
      <c r="B393" s="31">
        <v>7</v>
      </c>
      <c r="C393" s="225" t="s">
        <v>41</v>
      </c>
      <c r="D393" s="36">
        <v>-67.567499999999995</v>
      </c>
      <c r="E393" s="37">
        <v>-68.124167</v>
      </c>
      <c r="F393">
        <v>0</v>
      </c>
      <c r="G393">
        <f>F393*1609.344</f>
        <v>0</v>
      </c>
      <c r="H393" s="32" t="s">
        <v>614</v>
      </c>
      <c r="I393">
        <v>0</v>
      </c>
      <c r="J393">
        <v>0</v>
      </c>
      <c r="K393" s="26">
        <v>2016</v>
      </c>
      <c r="L393" t="s">
        <v>30</v>
      </c>
      <c r="M393" s="32">
        <v>100</v>
      </c>
      <c r="N393">
        <v>11.428783320000001</v>
      </c>
      <c r="O393">
        <v>5</v>
      </c>
      <c r="P393" t="s">
        <v>12</v>
      </c>
      <c r="Q393">
        <v>89</v>
      </c>
      <c r="R393" t="s">
        <v>13</v>
      </c>
      <c r="S393" t="s">
        <v>14</v>
      </c>
      <c r="T393" t="s">
        <v>14</v>
      </c>
      <c r="U393" s="34">
        <v>0</v>
      </c>
      <c r="V393" s="34">
        <v>3</v>
      </c>
      <c r="W393" s="25">
        <v>1.5</v>
      </c>
      <c r="X393" s="25">
        <v>3</v>
      </c>
      <c r="Y393">
        <v>0.77305769000000002</v>
      </c>
      <c r="Z393" t="s">
        <v>1096</v>
      </c>
      <c r="AA393" t="s">
        <v>622</v>
      </c>
      <c r="AB393">
        <v>1</v>
      </c>
      <c r="AC393">
        <v>0</v>
      </c>
      <c r="AF393" t="s">
        <v>520</v>
      </c>
      <c r="AG393" s="32">
        <v>0</v>
      </c>
      <c r="AH393" s="32" t="s">
        <v>671</v>
      </c>
      <c r="AI393" s="32" t="s">
        <v>1129</v>
      </c>
      <c r="AJ393" s="31" t="s">
        <v>1130</v>
      </c>
      <c r="AK393" s="31">
        <v>0.59524549999999998</v>
      </c>
      <c r="AL393" s="31">
        <v>0</v>
      </c>
      <c r="AM393" s="31">
        <v>0</v>
      </c>
      <c r="AN393" s="31">
        <v>0</v>
      </c>
      <c r="AO393" s="31">
        <v>0</v>
      </c>
      <c r="AP393" s="31">
        <v>0</v>
      </c>
      <c r="AQ393" s="31">
        <v>0</v>
      </c>
      <c r="AR393" s="31">
        <v>0.13341858489683281</v>
      </c>
    </row>
    <row r="394" spans="1:44" hidden="1" x14ac:dyDescent="0.5">
      <c r="A394" s="31">
        <v>72</v>
      </c>
      <c r="B394" s="31">
        <v>7</v>
      </c>
      <c r="C394" s="225" t="s">
        <v>41</v>
      </c>
      <c r="D394" s="36">
        <v>-67.567499999999995</v>
      </c>
      <c r="E394" s="37">
        <v>-68.124167</v>
      </c>
      <c r="F394">
        <v>0</v>
      </c>
      <c r="G394">
        <f>F394*1609.344</f>
        <v>0</v>
      </c>
      <c r="H394" s="32" t="s">
        <v>614</v>
      </c>
      <c r="I394">
        <v>0</v>
      </c>
      <c r="J394">
        <v>0</v>
      </c>
      <c r="K394" s="26">
        <v>2016</v>
      </c>
      <c r="L394" t="s">
        <v>30</v>
      </c>
      <c r="M394" s="32">
        <v>100</v>
      </c>
      <c r="N394">
        <v>11.428783320000001</v>
      </c>
      <c r="O394">
        <v>5</v>
      </c>
      <c r="P394" t="s">
        <v>12</v>
      </c>
      <c r="Q394">
        <v>89</v>
      </c>
      <c r="R394" t="s">
        <v>13</v>
      </c>
      <c r="S394" t="s">
        <v>14</v>
      </c>
      <c r="T394" t="s">
        <v>14</v>
      </c>
      <c r="U394" s="34">
        <v>0</v>
      </c>
      <c r="V394" s="34">
        <v>3</v>
      </c>
      <c r="W394" s="25">
        <v>1.5</v>
      </c>
      <c r="X394" s="25">
        <v>3</v>
      </c>
      <c r="Y394">
        <v>0.77305769000000002</v>
      </c>
      <c r="Z394" t="s">
        <v>1096</v>
      </c>
      <c r="AA394" t="s">
        <v>622</v>
      </c>
      <c r="AB394">
        <v>1</v>
      </c>
      <c r="AC394">
        <v>1</v>
      </c>
      <c r="AF394" t="s">
        <v>520</v>
      </c>
      <c r="AG394" s="32" t="s">
        <v>1215</v>
      </c>
      <c r="AH394" s="32" t="s">
        <v>671</v>
      </c>
      <c r="AI394" s="32" t="s">
        <v>1129</v>
      </c>
      <c r="AJ394" s="31" t="s">
        <v>1130</v>
      </c>
      <c r="AK394" s="31">
        <v>0.59524549999999998</v>
      </c>
      <c r="AL394" s="31">
        <v>76.998845972284428</v>
      </c>
      <c r="AM394" s="31">
        <v>52.357606066890057</v>
      </c>
      <c r="AN394" s="31">
        <v>988.76755787336356</v>
      </c>
      <c r="AO394" s="31">
        <v>672.34127516000444</v>
      </c>
      <c r="AP394" s="31">
        <v>0.76437436423652372</v>
      </c>
      <c r="AQ394" s="31">
        <v>0.51975859306684735</v>
      </c>
      <c r="AR394" s="31">
        <v>0.13341858489683281</v>
      </c>
    </row>
    <row r="395" spans="1:44" hidden="1" x14ac:dyDescent="0.5">
      <c r="A395" s="31">
        <v>73</v>
      </c>
      <c r="B395" s="31">
        <v>7</v>
      </c>
      <c r="C395" s="225" t="s">
        <v>41</v>
      </c>
      <c r="D395" s="36">
        <v>-67.567389000000006</v>
      </c>
      <c r="E395" s="37">
        <v>-68.124832999999995</v>
      </c>
      <c r="F395">
        <v>0</v>
      </c>
      <c r="G395">
        <f>F395*1609.344</f>
        <v>0</v>
      </c>
      <c r="H395" s="32" t="s">
        <v>614</v>
      </c>
      <c r="I395">
        <v>0</v>
      </c>
      <c r="J395">
        <v>0</v>
      </c>
      <c r="K395" s="26">
        <v>2016</v>
      </c>
      <c r="L395" t="s">
        <v>30</v>
      </c>
      <c r="M395" s="32">
        <v>100</v>
      </c>
      <c r="N395">
        <v>11.428783320000001</v>
      </c>
      <c r="O395">
        <v>5</v>
      </c>
      <c r="P395" t="s">
        <v>12</v>
      </c>
      <c r="Q395">
        <v>89</v>
      </c>
      <c r="R395" t="s">
        <v>13</v>
      </c>
      <c r="S395" t="s">
        <v>14</v>
      </c>
      <c r="T395" t="s">
        <v>14</v>
      </c>
      <c r="U395" s="34">
        <v>0</v>
      </c>
      <c r="V395" s="34">
        <v>3</v>
      </c>
      <c r="W395" s="25">
        <v>1.5</v>
      </c>
      <c r="X395" s="25">
        <v>3</v>
      </c>
      <c r="Y395">
        <v>0.77305769000000002</v>
      </c>
      <c r="Z395" t="s">
        <v>1096</v>
      </c>
      <c r="AA395" t="s">
        <v>622</v>
      </c>
      <c r="AB395">
        <v>1</v>
      </c>
      <c r="AC395">
        <v>0</v>
      </c>
      <c r="AF395" t="s">
        <v>520</v>
      </c>
      <c r="AG395" s="32">
        <v>0</v>
      </c>
      <c r="AH395" s="32" t="s">
        <v>671</v>
      </c>
      <c r="AI395" s="32" t="s">
        <v>1129</v>
      </c>
      <c r="AJ395" s="31" t="s">
        <v>1130</v>
      </c>
      <c r="AK395" s="31">
        <v>0.59524549999999998</v>
      </c>
      <c r="AL395" s="31">
        <v>0</v>
      </c>
      <c r="AM395" s="31">
        <v>0</v>
      </c>
      <c r="AN395" s="31">
        <v>0</v>
      </c>
      <c r="AO395" s="31">
        <v>0</v>
      </c>
      <c r="AP395" s="31">
        <v>0</v>
      </c>
      <c r="AQ395" s="31">
        <v>0</v>
      </c>
      <c r="AR395" s="31">
        <v>0.13341858489683281</v>
      </c>
    </row>
    <row r="396" spans="1:44" hidden="1" x14ac:dyDescent="0.5">
      <c r="A396" s="31">
        <v>74</v>
      </c>
      <c r="B396" s="31">
        <v>7</v>
      </c>
      <c r="C396" s="225" t="s">
        <v>41</v>
      </c>
      <c r="D396" s="36">
        <v>-67.567389000000006</v>
      </c>
      <c r="E396" s="37">
        <v>-68.124832999999995</v>
      </c>
      <c r="F396">
        <v>0</v>
      </c>
      <c r="G396">
        <f>F396*1609.344</f>
        <v>0</v>
      </c>
      <c r="H396" s="32" t="s">
        <v>614</v>
      </c>
      <c r="I396">
        <v>0</v>
      </c>
      <c r="J396">
        <v>0</v>
      </c>
      <c r="K396" s="26">
        <v>2016</v>
      </c>
      <c r="L396" t="s">
        <v>30</v>
      </c>
      <c r="M396" s="32">
        <v>100</v>
      </c>
      <c r="N396">
        <v>11.428783320000001</v>
      </c>
      <c r="O396">
        <v>5</v>
      </c>
      <c r="P396" t="s">
        <v>12</v>
      </c>
      <c r="Q396">
        <v>89</v>
      </c>
      <c r="R396" t="s">
        <v>13</v>
      </c>
      <c r="S396" t="s">
        <v>14</v>
      </c>
      <c r="T396" t="s">
        <v>14</v>
      </c>
      <c r="U396" s="34">
        <v>0</v>
      </c>
      <c r="V396" s="34">
        <v>3</v>
      </c>
      <c r="W396" s="25">
        <v>1.5</v>
      </c>
      <c r="X396" s="25">
        <v>3</v>
      </c>
      <c r="Y396">
        <v>0.77305769000000002</v>
      </c>
      <c r="Z396" t="s">
        <v>1096</v>
      </c>
      <c r="AA396" t="s">
        <v>622</v>
      </c>
      <c r="AB396">
        <v>1</v>
      </c>
      <c r="AC396">
        <v>0</v>
      </c>
      <c r="AF396" t="s">
        <v>520</v>
      </c>
      <c r="AG396" s="32">
        <v>0</v>
      </c>
      <c r="AH396" s="32" t="s">
        <v>671</v>
      </c>
      <c r="AI396" s="32" t="s">
        <v>1129</v>
      </c>
      <c r="AJ396" s="31" t="s">
        <v>1130</v>
      </c>
      <c r="AK396" s="31">
        <v>0.59524549999999998</v>
      </c>
      <c r="AL396" s="31">
        <v>0</v>
      </c>
      <c r="AM396" s="31">
        <v>0</v>
      </c>
      <c r="AN396" s="31">
        <v>0</v>
      </c>
      <c r="AO396" s="31">
        <v>0</v>
      </c>
      <c r="AP396" s="31">
        <v>0</v>
      </c>
      <c r="AQ396" s="31">
        <v>0</v>
      </c>
      <c r="AR396" s="31">
        <v>0.13341858489683281</v>
      </c>
    </row>
    <row r="397" spans="1:44" x14ac:dyDescent="0.5">
      <c r="A397" s="31">
        <v>396</v>
      </c>
      <c r="B397" s="31">
        <v>28</v>
      </c>
      <c r="C397" s="225" t="s">
        <v>9</v>
      </c>
      <c r="D397" s="35">
        <v>8.0860000000000003</v>
      </c>
      <c r="E397" s="33">
        <v>77.552999999999997</v>
      </c>
      <c r="F397">
        <v>0</v>
      </c>
      <c r="G397">
        <f>F397*1609.344</f>
        <v>0</v>
      </c>
      <c r="H397" s="32" t="s">
        <v>10</v>
      </c>
      <c r="I397">
        <v>0</v>
      </c>
      <c r="J397">
        <v>779.28318812606699</v>
      </c>
      <c r="K397" s="26">
        <v>2017</v>
      </c>
      <c r="L397" t="s">
        <v>11</v>
      </c>
      <c r="M397" s="32">
        <v>300</v>
      </c>
      <c r="N397">
        <v>36.542166029999997</v>
      </c>
      <c r="O397">
        <v>4.75</v>
      </c>
      <c r="P397" t="s">
        <v>12</v>
      </c>
      <c r="Q397">
        <v>89</v>
      </c>
      <c r="R397" t="s">
        <v>13</v>
      </c>
      <c r="S397" t="s">
        <v>14</v>
      </c>
      <c r="T397" t="s">
        <v>14</v>
      </c>
      <c r="U397" s="34">
        <v>0</v>
      </c>
      <c r="V397" s="34">
        <v>5</v>
      </c>
      <c r="W397" s="25">
        <v>2.5</v>
      </c>
      <c r="X397" s="25">
        <v>5</v>
      </c>
      <c r="Y397">
        <v>1.8866792160000001</v>
      </c>
      <c r="Z397" t="s">
        <v>1109</v>
      </c>
      <c r="AA397" t="s">
        <v>622</v>
      </c>
      <c r="AB397">
        <v>1</v>
      </c>
      <c r="AC397">
        <v>7.85</v>
      </c>
      <c r="AF397" t="s">
        <v>521</v>
      </c>
      <c r="AG397" s="32" t="s">
        <v>1377</v>
      </c>
      <c r="AH397" s="32" t="s">
        <v>1378</v>
      </c>
      <c r="AI397" s="32" t="s">
        <v>1379</v>
      </c>
      <c r="AJ397" s="31" t="s">
        <v>2828</v>
      </c>
      <c r="AK397" s="31">
        <v>0.255</v>
      </c>
      <c r="AL397" s="31">
        <v>2.121982351874278E-2</v>
      </c>
      <c r="AM397" s="31">
        <v>6.199517067240537E-2</v>
      </c>
      <c r="AN397" s="31">
        <v>0.87125653275190706</v>
      </c>
      <c r="AO397" s="31">
        <v>2.5454357525496891</v>
      </c>
      <c r="AP397" s="31">
        <v>1.6437815921472466E-3</v>
      </c>
      <c r="AQ397" s="31">
        <v>4.8024207299988183E-3</v>
      </c>
      <c r="AR397" s="31">
        <v>0.13341858489683281</v>
      </c>
    </row>
    <row r="398" spans="1:44" x14ac:dyDescent="0.5">
      <c r="A398" s="31">
        <v>397</v>
      </c>
      <c r="B398" s="31">
        <v>28</v>
      </c>
      <c r="C398" s="225" t="s">
        <v>9</v>
      </c>
      <c r="D398" s="35">
        <v>8.1667000000000005</v>
      </c>
      <c r="E398" s="33">
        <v>77.733333299999998</v>
      </c>
      <c r="F398">
        <v>0</v>
      </c>
      <c r="G398">
        <f>F398*1609.344</f>
        <v>0</v>
      </c>
      <c r="H398" s="32" t="s">
        <v>10</v>
      </c>
      <c r="I398">
        <v>0</v>
      </c>
      <c r="J398">
        <v>711.68543837782499</v>
      </c>
      <c r="K398" s="26">
        <v>2017</v>
      </c>
      <c r="L398" t="s">
        <v>11</v>
      </c>
      <c r="M398" s="32">
        <v>300</v>
      </c>
      <c r="N398">
        <v>36.542166029999997</v>
      </c>
      <c r="O398">
        <v>4.75</v>
      </c>
      <c r="P398" t="s">
        <v>12</v>
      </c>
      <c r="Q398">
        <v>89</v>
      </c>
      <c r="R398" t="s">
        <v>13</v>
      </c>
      <c r="S398" t="s">
        <v>14</v>
      </c>
      <c r="T398" t="s">
        <v>14</v>
      </c>
      <c r="U398" s="34">
        <v>0</v>
      </c>
      <c r="V398" s="34">
        <v>5</v>
      </c>
      <c r="W398" s="25">
        <v>2.5</v>
      </c>
      <c r="X398" s="25">
        <v>5</v>
      </c>
      <c r="Y398">
        <v>1.5753479850000001</v>
      </c>
      <c r="Z398" t="s">
        <v>1109</v>
      </c>
      <c r="AA398" t="s">
        <v>622</v>
      </c>
      <c r="AB398">
        <v>1</v>
      </c>
      <c r="AC398">
        <v>8.8819999999999997</v>
      </c>
      <c r="AF398" t="s">
        <v>521</v>
      </c>
      <c r="AG398" s="32" t="s">
        <v>1380</v>
      </c>
      <c r="AH398" s="32" t="s">
        <v>1378</v>
      </c>
      <c r="AI398" s="32" t="s">
        <v>1381</v>
      </c>
      <c r="AJ398" s="31" t="s">
        <v>2829</v>
      </c>
      <c r="AK398" s="31">
        <v>0.255</v>
      </c>
      <c r="AL398" s="31">
        <v>2.8754408823520979E-2</v>
      </c>
      <c r="AM398" s="31">
        <v>8.4007978719698548E-2</v>
      </c>
      <c r="AN398" s="31">
        <v>1.1806161587905624</v>
      </c>
      <c r="AO398" s="31">
        <v>3.4492511305841917</v>
      </c>
      <c r="AP398" s="31">
        <v>1.8598812868091525E-3</v>
      </c>
      <c r="AQ398" s="31">
        <v>5.4337708183247787E-3</v>
      </c>
      <c r="AR398" s="31">
        <v>0.13341858489683281</v>
      </c>
    </row>
    <row r="399" spans="1:44" x14ac:dyDescent="0.5">
      <c r="A399" s="31">
        <v>398</v>
      </c>
      <c r="B399" s="31">
        <v>28</v>
      </c>
      <c r="C399" s="225" t="s">
        <v>9</v>
      </c>
      <c r="D399" s="35">
        <v>8.2750000000000004</v>
      </c>
      <c r="E399" s="33">
        <v>77.891000000000005</v>
      </c>
      <c r="F399">
        <v>0</v>
      </c>
      <c r="G399">
        <f>F399*1609.344</f>
        <v>0</v>
      </c>
      <c r="H399" s="32" t="s">
        <v>10</v>
      </c>
      <c r="I399">
        <v>0</v>
      </c>
      <c r="J399">
        <v>635.22687704949499</v>
      </c>
      <c r="K399" s="26">
        <v>2017</v>
      </c>
      <c r="L399" t="s">
        <v>11</v>
      </c>
      <c r="M399" s="32">
        <v>300</v>
      </c>
      <c r="N399">
        <v>36.542166029999997</v>
      </c>
      <c r="O399">
        <v>4.75</v>
      </c>
      <c r="P399" t="s">
        <v>12</v>
      </c>
      <c r="Q399">
        <v>89</v>
      </c>
      <c r="R399" t="s">
        <v>13</v>
      </c>
      <c r="S399" t="s">
        <v>14</v>
      </c>
      <c r="T399" t="s">
        <v>14</v>
      </c>
      <c r="U399" s="34">
        <v>0</v>
      </c>
      <c r="V399" s="34">
        <v>5</v>
      </c>
      <c r="W399" s="25">
        <v>2.5</v>
      </c>
      <c r="X399" s="25">
        <v>5</v>
      </c>
      <c r="Y399">
        <v>1.5753479850000001</v>
      </c>
      <c r="Z399" t="s">
        <v>1109</v>
      </c>
      <c r="AA399" t="s">
        <v>622</v>
      </c>
      <c r="AB399">
        <v>1</v>
      </c>
      <c r="AC399">
        <v>5.8029999999999999</v>
      </c>
      <c r="AF399" t="s">
        <v>521</v>
      </c>
      <c r="AG399" s="32" t="s">
        <v>1382</v>
      </c>
      <c r="AH399" s="32" t="s">
        <v>1378</v>
      </c>
      <c r="AI399" s="32" t="s">
        <v>1383</v>
      </c>
      <c r="AJ399" s="31" t="s">
        <v>2830</v>
      </c>
      <c r="AK399" s="31">
        <v>0.255</v>
      </c>
      <c r="AL399" s="31">
        <v>1.8786515920163508E-2</v>
      </c>
      <c r="AM399" s="31">
        <v>5.4886095531458096E-2</v>
      </c>
      <c r="AN399" s="31">
        <v>0.77134829649421699</v>
      </c>
      <c r="AO399" s="31">
        <v>2.2535469838752613</v>
      </c>
      <c r="AP399" s="31">
        <v>1.2151419846153475E-3</v>
      </c>
      <c r="AQ399" s="31">
        <v>3.5501207001507203E-3</v>
      </c>
      <c r="AR399" s="31">
        <v>0.13341858489683281</v>
      </c>
    </row>
    <row r="400" spans="1:44" x14ac:dyDescent="0.5">
      <c r="A400" s="31">
        <v>399</v>
      </c>
      <c r="B400" s="31">
        <v>28</v>
      </c>
      <c r="C400" s="225" t="s">
        <v>9</v>
      </c>
      <c r="D400" s="35">
        <v>8.3666999999999998</v>
      </c>
      <c r="E400" s="33">
        <v>78.066666699999999</v>
      </c>
      <c r="F400">
        <v>0</v>
      </c>
      <c r="G400">
        <f>F400*1609.344</f>
        <v>0</v>
      </c>
      <c r="H400" s="32" t="s">
        <v>10</v>
      </c>
      <c r="I400">
        <v>0</v>
      </c>
      <c r="J400">
        <v>559.29303968867498</v>
      </c>
      <c r="K400" s="26">
        <v>2017</v>
      </c>
      <c r="L400" t="s">
        <v>11</v>
      </c>
      <c r="M400" s="32">
        <v>300</v>
      </c>
      <c r="N400">
        <v>36.542166029999997</v>
      </c>
      <c r="O400">
        <v>4.75</v>
      </c>
      <c r="P400" t="s">
        <v>12</v>
      </c>
      <c r="Q400">
        <v>89</v>
      </c>
      <c r="R400" t="s">
        <v>13</v>
      </c>
      <c r="S400" t="s">
        <v>14</v>
      </c>
      <c r="T400" t="s">
        <v>14</v>
      </c>
      <c r="U400" s="34">
        <v>0</v>
      </c>
      <c r="V400" s="34">
        <v>5</v>
      </c>
      <c r="W400" s="25">
        <v>2.5</v>
      </c>
      <c r="X400" s="25">
        <v>5</v>
      </c>
      <c r="Y400">
        <v>1.5753479850000001</v>
      </c>
      <c r="Z400" t="s">
        <v>1109</v>
      </c>
      <c r="AA400" t="s">
        <v>622</v>
      </c>
      <c r="AB400">
        <v>1</v>
      </c>
      <c r="AC400">
        <v>2.9729999999999999</v>
      </c>
      <c r="AF400" t="s">
        <v>521</v>
      </c>
      <c r="AG400" s="32" t="s">
        <v>1384</v>
      </c>
      <c r="AH400" s="32" t="s">
        <v>1378</v>
      </c>
      <c r="AI400" s="32" t="s">
        <v>1385</v>
      </c>
      <c r="AJ400" s="31" t="s">
        <v>2831</v>
      </c>
      <c r="AK400" s="31">
        <v>0.255</v>
      </c>
      <c r="AL400" s="31">
        <v>9.6247306273731011E-3</v>
      </c>
      <c r="AM400" s="31">
        <v>2.811931104859984E-2</v>
      </c>
      <c r="AN400" s="31">
        <v>0.39517809503313917</v>
      </c>
      <c r="AO400" s="31">
        <v>1.1545399247046615</v>
      </c>
      <c r="AP400" s="31">
        <v>6.2254301572659432E-4</v>
      </c>
      <c r="AQ400" s="31">
        <v>1.8188021439855405E-3</v>
      </c>
      <c r="AR400" s="31">
        <v>0.13341858489683281</v>
      </c>
    </row>
    <row r="401" spans="1:44" x14ac:dyDescent="0.5">
      <c r="A401" s="31">
        <v>400</v>
      </c>
      <c r="B401" s="31">
        <v>28</v>
      </c>
      <c r="C401" s="225" t="s">
        <v>9</v>
      </c>
      <c r="D401" s="35">
        <v>8.49</v>
      </c>
      <c r="E401" s="33">
        <v>78.126000000000005</v>
      </c>
      <c r="F401">
        <v>0</v>
      </c>
      <c r="G401">
        <f>F401*1609.344</f>
        <v>0</v>
      </c>
      <c r="H401" s="32" t="s">
        <v>10</v>
      </c>
      <c r="I401">
        <v>0</v>
      </c>
      <c r="J401">
        <v>526.50537005512899</v>
      </c>
      <c r="K401" s="26">
        <v>2017</v>
      </c>
      <c r="L401" t="s">
        <v>11</v>
      </c>
      <c r="M401" s="32">
        <v>300</v>
      </c>
      <c r="N401">
        <v>36.542166029999997</v>
      </c>
      <c r="O401">
        <v>4.75</v>
      </c>
      <c r="P401" t="s">
        <v>12</v>
      </c>
      <c r="Q401">
        <v>89</v>
      </c>
      <c r="R401" t="s">
        <v>13</v>
      </c>
      <c r="S401" t="s">
        <v>14</v>
      </c>
      <c r="T401" t="s">
        <v>14</v>
      </c>
      <c r="U401" s="34">
        <v>0</v>
      </c>
      <c r="V401" s="34">
        <v>5</v>
      </c>
      <c r="W401" s="25">
        <v>2.5</v>
      </c>
      <c r="X401" s="25">
        <v>5</v>
      </c>
      <c r="Y401">
        <v>1.5753479850000001</v>
      </c>
      <c r="Z401" t="s">
        <v>1109</v>
      </c>
      <c r="AA401" t="s">
        <v>622</v>
      </c>
      <c r="AB401">
        <v>1</v>
      </c>
      <c r="AC401">
        <v>2.9529999999999998</v>
      </c>
      <c r="AF401" t="s">
        <v>521</v>
      </c>
      <c r="AG401" s="32" t="s">
        <v>1386</v>
      </c>
      <c r="AH401" s="32" t="s">
        <v>1378</v>
      </c>
      <c r="AI401" s="32" t="s">
        <v>1387</v>
      </c>
      <c r="AJ401" s="31" t="s">
        <v>2832</v>
      </c>
      <c r="AK401" s="31">
        <v>0.255</v>
      </c>
      <c r="AL401" s="31">
        <v>9.5599830281307644E-3</v>
      </c>
      <c r="AM401" s="31">
        <v>2.7930146493950668E-2</v>
      </c>
      <c r="AN401" s="31">
        <v>0.39251964837970393</v>
      </c>
      <c r="AO401" s="31">
        <v>1.1467730903642332</v>
      </c>
      <c r="AP401" s="31">
        <v>6.1835503714787517E-4</v>
      </c>
      <c r="AQ401" s="31">
        <v>1.8065666771575179E-3</v>
      </c>
      <c r="AR401" s="31">
        <v>0.13341858489683281</v>
      </c>
    </row>
    <row r="402" spans="1:44" x14ac:dyDescent="0.5">
      <c r="A402" s="31">
        <v>401</v>
      </c>
      <c r="B402" s="31">
        <v>28</v>
      </c>
      <c r="C402" s="225" t="s">
        <v>9</v>
      </c>
      <c r="D402" s="35">
        <v>8.74</v>
      </c>
      <c r="E402" s="33">
        <v>78.168000000000006</v>
      </c>
      <c r="F402">
        <v>0</v>
      </c>
      <c r="G402">
        <f>F402*1609.344</f>
        <v>0</v>
      </c>
      <c r="H402" s="32" t="s">
        <v>10</v>
      </c>
      <c r="I402">
        <v>0</v>
      </c>
      <c r="J402">
        <v>477.72868662517601</v>
      </c>
      <c r="K402" s="26">
        <v>2017</v>
      </c>
      <c r="L402" t="s">
        <v>11</v>
      </c>
      <c r="M402" s="32">
        <v>300</v>
      </c>
      <c r="N402">
        <v>36.542166029999997</v>
      </c>
      <c r="O402">
        <v>4.75</v>
      </c>
      <c r="P402" t="s">
        <v>12</v>
      </c>
      <c r="Q402">
        <v>89</v>
      </c>
      <c r="R402" t="s">
        <v>13</v>
      </c>
      <c r="S402" t="s">
        <v>14</v>
      </c>
      <c r="T402" t="s">
        <v>14</v>
      </c>
      <c r="U402" s="34">
        <v>0</v>
      </c>
      <c r="V402" s="34">
        <v>5</v>
      </c>
      <c r="W402" s="25">
        <v>2.5</v>
      </c>
      <c r="X402" s="25">
        <v>5</v>
      </c>
      <c r="Y402">
        <v>1.5753479850000001</v>
      </c>
      <c r="Z402" t="s">
        <v>1109</v>
      </c>
      <c r="AA402" t="s">
        <v>622</v>
      </c>
      <c r="AB402">
        <v>1</v>
      </c>
      <c r="AC402">
        <v>6.7850000000000001</v>
      </c>
      <c r="AF402" t="s">
        <v>521</v>
      </c>
      <c r="AG402" s="32" t="s">
        <v>1388</v>
      </c>
      <c r="AH402" s="32" t="s">
        <v>1378</v>
      </c>
      <c r="AI402" s="32" t="s">
        <v>1389</v>
      </c>
      <c r="AJ402" s="31" t="s">
        <v>2833</v>
      </c>
      <c r="AK402" s="31">
        <v>0.255</v>
      </c>
      <c r="AL402" s="31">
        <v>2.1965623042962151E-2</v>
      </c>
      <c r="AM402" s="31">
        <v>6.4174075164732558E-2</v>
      </c>
      <c r="AN402" s="31">
        <v>0.9018780271778839</v>
      </c>
      <c r="AO402" s="31">
        <v>2.6348985499902882</v>
      </c>
      <c r="AP402" s="31">
        <v>1.4207717328304547E-3</v>
      </c>
      <c r="AQ402" s="31">
        <v>4.1508821214066224E-3</v>
      </c>
      <c r="AR402" s="31">
        <v>0.13341858489683281</v>
      </c>
    </row>
    <row r="403" spans="1:44" x14ac:dyDescent="0.5">
      <c r="A403" s="31">
        <v>402</v>
      </c>
      <c r="B403" s="31">
        <v>28</v>
      </c>
      <c r="C403" s="225" t="s">
        <v>9</v>
      </c>
      <c r="D403" s="35">
        <v>9.2166999999999994</v>
      </c>
      <c r="E403" s="33">
        <v>78.783333299999995</v>
      </c>
      <c r="F403">
        <v>0</v>
      </c>
      <c r="G403">
        <f>F403*1609.344</f>
        <v>0</v>
      </c>
      <c r="H403" s="32" t="s">
        <v>10</v>
      </c>
      <c r="I403">
        <v>0</v>
      </c>
      <c r="J403">
        <v>436.16116137594503</v>
      </c>
      <c r="K403" s="26">
        <v>2017</v>
      </c>
      <c r="L403" t="s">
        <v>11</v>
      </c>
      <c r="M403" s="32">
        <v>300</v>
      </c>
      <c r="N403">
        <v>36.542166029999997</v>
      </c>
      <c r="O403">
        <v>4.75</v>
      </c>
      <c r="P403" t="s">
        <v>12</v>
      </c>
      <c r="Q403">
        <v>89</v>
      </c>
      <c r="R403" t="s">
        <v>13</v>
      </c>
      <c r="S403" t="s">
        <v>14</v>
      </c>
      <c r="T403" t="s">
        <v>14</v>
      </c>
      <c r="U403" s="34">
        <v>0</v>
      </c>
      <c r="V403" s="34">
        <v>5</v>
      </c>
      <c r="W403" s="25">
        <v>2.5</v>
      </c>
      <c r="X403" s="25">
        <v>5</v>
      </c>
      <c r="Y403">
        <v>1.5753479850000001</v>
      </c>
      <c r="Z403" t="s">
        <v>1109</v>
      </c>
      <c r="AA403" t="s">
        <v>622</v>
      </c>
      <c r="AB403">
        <v>1</v>
      </c>
      <c r="AC403">
        <v>1.748</v>
      </c>
      <c r="AF403" t="s">
        <v>521</v>
      </c>
      <c r="AG403" s="32" t="s">
        <v>1390</v>
      </c>
      <c r="AH403" s="32" t="s">
        <v>1378</v>
      </c>
      <c r="AI403" s="32" t="s">
        <v>1391</v>
      </c>
      <c r="AJ403" s="31" t="s">
        <v>2834</v>
      </c>
      <c r="AK403" s="31">
        <v>0.255</v>
      </c>
      <c r="AL403" s="31">
        <v>5.6589401737800818E-3</v>
      </c>
      <c r="AM403" s="31">
        <v>1.6532982076337886E-2</v>
      </c>
      <c r="AN403" s="31">
        <v>0.23234823751023459</v>
      </c>
      <c r="AO403" s="31">
        <v>0.67882132135343054</v>
      </c>
      <c r="AP403" s="31">
        <v>3.660293277800495E-4</v>
      </c>
      <c r="AQ403" s="31">
        <v>1.0693798007691644E-3</v>
      </c>
      <c r="AR403" s="31">
        <v>0.13341858489683281</v>
      </c>
    </row>
    <row r="404" spans="1:44" x14ac:dyDescent="0.5">
      <c r="A404" s="31">
        <v>403</v>
      </c>
      <c r="B404" s="31">
        <v>28</v>
      </c>
      <c r="C404" s="225" t="s">
        <v>9</v>
      </c>
      <c r="D404" s="35">
        <v>9.2833000000000006</v>
      </c>
      <c r="E404" s="33">
        <v>79.314999999999998</v>
      </c>
      <c r="F404">
        <v>0</v>
      </c>
      <c r="G404">
        <f>F404*1609.344</f>
        <v>0</v>
      </c>
      <c r="H404" s="32" t="s">
        <v>10</v>
      </c>
      <c r="I404">
        <v>0</v>
      </c>
      <c r="J404">
        <v>304.72710924006498</v>
      </c>
      <c r="K404" s="26">
        <v>2017</v>
      </c>
      <c r="L404" t="s">
        <v>11</v>
      </c>
      <c r="M404" s="32">
        <v>300</v>
      </c>
      <c r="N404">
        <v>36.542166029999997</v>
      </c>
      <c r="O404">
        <v>4.75</v>
      </c>
      <c r="P404" t="s">
        <v>12</v>
      </c>
      <c r="Q404">
        <v>89</v>
      </c>
      <c r="R404" t="s">
        <v>13</v>
      </c>
      <c r="S404" t="s">
        <v>14</v>
      </c>
      <c r="T404" t="s">
        <v>14</v>
      </c>
      <c r="U404" s="34">
        <v>0</v>
      </c>
      <c r="V404" s="34">
        <v>5</v>
      </c>
      <c r="W404" s="25">
        <v>2.5</v>
      </c>
      <c r="X404" s="25">
        <v>5</v>
      </c>
      <c r="Y404">
        <v>1.5753479850000001</v>
      </c>
      <c r="Z404" t="s">
        <v>1109</v>
      </c>
      <c r="AA404" t="s">
        <v>622</v>
      </c>
      <c r="AB404">
        <v>1</v>
      </c>
      <c r="AC404">
        <v>2.9529999999999998</v>
      </c>
      <c r="AF404" t="s">
        <v>521</v>
      </c>
      <c r="AG404" s="32" t="s">
        <v>1386</v>
      </c>
      <c r="AH404" s="32" t="s">
        <v>1378</v>
      </c>
      <c r="AI404" s="32" t="s">
        <v>1387</v>
      </c>
      <c r="AJ404" s="31" t="s">
        <v>2832</v>
      </c>
      <c r="AK404" s="31">
        <v>0.255</v>
      </c>
      <c r="AL404" s="31">
        <v>9.5599830281307644E-3</v>
      </c>
      <c r="AM404" s="31">
        <v>2.7930146493950668E-2</v>
      </c>
      <c r="AN404" s="31">
        <v>0.39251964837970393</v>
      </c>
      <c r="AO404" s="31">
        <v>1.1467730903642332</v>
      </c>
      <c r="AP404" s="31">
        <v>6.1835503714787517E-4</v>
      </c>
      <c r="AQ404" s="31">
        <v>1.8065666771575179E-3</v>
      </c>
      <c r="AR404" s="31">
        <v>0.13341858489683281</v>
      </c>
    </row>
    <row r="405" spans="1:44" x14ac:dyDescent="0.5">
      <c r="A405" s="31">
        <v>404</v>
      </c>
      <c r="B405" s="31">
        <v>28</v>
      </c>
      <c r="C405" s="225" t="s">
        <v>9</v>
      </c>
      <c r="D405" s="35">
        <v>9.7332999999999998</v>
      </c>
      <c r="E405" s="33">
        <v>79.016666700000002</v>
      </c>
      <c r="F405">
        <v>0</v>
      </c>
      <c r="G405">
        <f>F405*1609.344</f>
        <v>0</v>
      </c>
      <c r="H405" s="32" t="s">
        <v>10</v>
      </c>
      <c r="I405">
        <v>0</v>
      </c>
      <c r="J405">
        <v>450.83698004189199</v>
      </c>
      <c r="K405" s="26">
        <v>2017</v>
      </c>
      <c r="L405" t="s">
        <v>11</v>
      </c>
      <c r="M405" s="32">
        <v>300</v>
      </c>
      <c r="N405">
        <v>36.542166029999997</v>
      </c>
      <c r="O405">
        <v>4.75</v>
      </c>
      <c r="P405" t="s">
        <v>12</v>
      </c>
      <c r="Q405">
        <v>89</v>
      </c>
      <c r="R405" t="s">
        <v>13</v>
      </c>
      <c r="S405" t="s">
        <v>14</v>
      </c>
      <c r="T405" t="s">
        <v>14</v>
      </c>
      <c r="U405" s="34">
        <v>0</v>
      </c>
      <c r="V405" s="34">
        <v>5</v>
      </c>
      <c r="W405" s="25">
        <v>2.5</v>
      </c>
      <c r="X405" s="25">
        <v>5</v>
      </c>
      <c r="Y405">
        <v>1.5753479850000001</v>
      </c>
      <c r="Z405" t="s">
        <v>1109</v>
      </c>
      <c r="AA405" t="s">
        <v>622</v>
      </c>
      <c r="AB405">
        <v>1</v>
      </c>
      <c r="AC405">
        <v>1.7370000000000001</v>
      </c>
      <c r="AF405" t="s">
        <v>521</v>
      </c>
      <c r="AG405" s="32" t="s">
        <v>1392</v>
      </c>
      <c r="AH405" s="32" t="s">
        <v>1378</v>
      </c>
      <c r="AI405" s="32" t="s">
        <v>1393</v>
      </c>
      <c r="AJ405" s="31" t="s">
        <v>2835</v>
      </c>
      <c r="AK405" s="31">
        <v>0.255</v>
      </c>
      <c r="AL405" s="31">
        <v>5.6233289941967973E-3</v>
      </c>
      <c r="AM405" s="31">
        <v>1.6428941571280838E-2</v>
      </c>
      <c r="AN405" s="31">
        <v>0.23088609185084522</v>
      </c>
      <c r="AO405" s="31">
        <v>0.6745495624661948</v>
      </c>
      <c r="AP405" s="31">
        <v>3.6372593956175394E-4</v>
      </c>
      <c r="AQ405" s="31">
        <v>1.0626502940137515E-3</v>
      </c>
      <c r="AR405" s="31">
        <v>0.13341858489683281</v>
      </c>
    </row>
    <row r="406" spans="1:44" x14ac:dyDescent="0.5">
      <c r="A406" s="31">
        <v>405</v>
      </c>
      <c r="B406" s="31">
        <v>28</v>
      </c>
      <c r="C406" s="225" t="s">
        <v>9</v>
      </c>
      <c r="D406" s="35">
        <v>10.035</v>
      </c>
      <c r="E406" s="33">
        <v>79.260000000000005</v>
      </c>
      <c r="F406">
        <v>0</v>
      </c>
      <c r="G406">
        <f>F406*1609.344</f>
        <v>0</v>
      </c>
      <c r="H406" s="32" t="s">
        <v>10</v>
      </c>
      <c r="I406">
        <v>0</v>
      </c>
      <c r="J406">
        <v>516.345122785846</v>
      </c>
      <c r="K406" s="26">
        <v>2017</v>
      </c>
      <c r="L406" t="s">
        <v>11</v>
      </c>
      <c r="M406" s="32">
        <v>300</v>
      </c>
      <c r="N406">
        <v>36.542166029999997</v>
      </c>
      <c r="O406">
        <v>4.75</v>
      </c>
      <c r="P406" t="s">
        <v>12</v>
      </c>
      <c r="Q406">
        <v>89</v>
      </c>
      <c r="R406" t="s">
        <v>13</v>
      </c>
      <c r="S406" t="s">
        <v>14</v>
      </c>
      <c r="T406" t="s">
        <v>14</v>
      </c>
      <c r="U406" s="34">
        <v>0</v>
      </c>
      <c r="V406" s="34">
        <v>5</v>
      </c>
      <c r="W406" s="25">
        <v>2.5</v>
      </c>
      <c r="X406" s="25">
        <v>5</v>
      </c>
      <c r="Y406">
        <v>1.5753479850000001</v>
      </c>
      <c r="Z406" t="s">
        <v>1109</v>
      </c>
      <c r="AA406" t="s">
        <v>622</v>
      </c>
      <c r="AB406">
        <v>1</v>
      </c>
      <c r="AC406">
        <v>7.7880000000000003</v>
      </c>
      <c r="AF406" t="s">
        <v>521</v>
      </c>
      <c r="AG406" s="32" t="s">
        <v>1394</v>
      </c>
      <c r="AH406" s="32" t="s">
        <v>1378</v>
      </c>
      <c r="AI406" s="32" t="s">
        <v>1395</v>
      </c>
      <c r="AJ406" s="31" t="s">
        <v>2836</v>
      </c>
      <c r="AK406" s="31">
        <v>0.255</v>
      </c>
      <c r="AL406" s="31">
        <v>2.5212715144965259E-2</v>
      </c>
      <c r="AM406" s="31">
        <v>7.3660677580388689E-2</v>
      </c>
      <c r="AN406" s="31">
        <v>1.0351991268476584</v>
      </c>
      <c r="AO406" s="31">
        <v>3.0244052921627662</v>
      </c>
      <c r="AP406" s="31">
        <v>1.630798858553218E-3</v>
      </c>
      <c r="AQ406" s="31">
        <v>4.76449078283195E-3</v>
      </c>
      <c r="AR406" s="31">
        <v>0.13341858489683281</v>
      </c>
    </row>
    <row r="407" spans="1:44" x14ac:dyDescent="0.5">
      <c r="A407" s="31">
        <v>406</v>
      </c>
      <c r="B407" s="31">
        <v>28</v>
      </c>
      <c r="C407" s="225" t="s">
        <v>9</v>
      </c>
      <c r="D407" s="35">
        <v>10.266999999999999</v>
      </c>
      <c r="E407" s="33">
        <v>79.316666699999999</v>
      </c>
      <c r="F407">
        <v>0</v>
      </c>
      <c r="G407">
        <f>F407*1609.344</f>
        <v>0</v>
      </c>
      <c r="H407" s="32" t="s">
        <v>10</v>
      </c>
      <c r="I407">
        <v>0</v>
      </c>
      <c r="J407">
        <v>540.78024208045304</v>
      </c>
      <c r="K407" s="26">
        <v>2017</v>
      </c>
      <c r="L407" t="s">
        <v>11</v>
      </c>
      <c r="M407" s="32">
        <v>300</v>
      </c>
      <c r="N407">
        <v>36.542166029999997</v>
      </c>
      <c r="O407">
        <v>4.75</v>
      </c>
      <c r="P407" t="s">
        <v>12</v>
      </c>
      <c r="Q407">
        <v>89</v>
      </c>
      <c r="R407" t="s">
        <v>13</v>
      </c>
      <c r="S407" t="s">
        <v>14</v>
      </c>
      <c r="T407" t="s">
        <v>14</v>
      </c>
      <c r="U407" s="34">
        <v>0</v>
      </c>
      <c r="V407" s="34">
        <v>5</v>
      </c>
      <c r="W407" s="25">
        <v>2.5</v>
      </c>
      <c r="X407" s="25">
        <v>5</v>
      </c>
      <c r="Y407">
        <v>1.5476535380000001</v>
      </c>
      <c r="Z407" t="s">
        <v>1111</v>
      </c>
      <c r="AA407" t="s">
        <v>622</v>
      </c>
      <c r="AB407">
        <v>1</v>
      </c>
      <c r="AC407">
        <v>7.9459999999999997</v>
      </c>
      <c r="AF407" t="s">
        <v>521</v>
      </c>
      <c r="AG407" s="32" t="s">
        <v>1396</v>
      </c>
      <c r="AH407" s="32" t="s">
        <v>1378</v>
      </c>
      <c r="AI407" s="32" t="s">
        <v>1397</v>
      </c>
      <c r="AJ407" s="31" t="s">
        <v>2837</v>
      </c>
      <c r="AK407" s="31">
        <v>0.255</v>
      </c>
      <c r="AL407" s="31">
        <v>2.6184542602712677E-2</v>
      </c>
      <c r="AM407" s="31">
        <v>7.6499938192238992E-2</v>
      </c>
      <c r="AN407" s="31">
        <v>1.0751010148403763</v>
      </c>
      <c r="AO407" s="31">
        <v>3.1409813962983542</v>
      </c>
      <c r="AP407" s="31">
        <v>1.6638838893250989E-3</v>
      </c>
      <c r="AQ407" s="31">
        <v>4.8611509707733279E-3</v>
      </c>
      <c r="AR407" s="31">
        <v>0.13341858489683281</v>
      </c>
    </row>
    <row r="408" spans="1:44" x14ac:dyDescent="0.5">
      <c r="A408" s="31">
        <v>407</v>
      </c>
      <c r="B408" s="31">
        <v>28</v>
      </c>
      <c r="C408" s="225" t="s">
        <v>9</v>
      </c>
      <c r="D408" s="35">
        <v>10.618</v>
      </c>
      <c r="E408" s="33">
        <v>79.852999999999994</v>
      </c>
      <c r="F408">
        <v>0</v>
      </c>
      <c r="G408">
        <f>F408*1609.344</f>
        <v>0</v>
      </c>
      <c r="H408" s="32" t="s">
        <v>10</v>
      </c>
      <c r="I408">
        <v>0</v>
      </c>
      <c r="J408">
        <v>619.10663465840503</v>
      </c>
      <c r="K408" s="26">
        <v>2017</v>
      </c>
      <c r="L408" t="s">
        <v>11</v>
      </c>
      <c r="M408" s="32">
        <v>300</v>
      </c>
      <c r="N408">
        <v>36.542166029999997</v>
      </c>
      <c r="O408">
        <v>4.75</v>
      </c>
      <c r="P408" t="s">
        <v>12</v>
      </c>
      <c r="Q408">
        <v>89</v>
      </c>
      <c r="R408" t="s">
        <v>13</v>
      </c>
      <c r="S408" t="s">
        <v>14</v>
      </c>
      <c r="T408" t="s">
        <v>14</v>
      </c>
      <c r="U408" s="34">
        <v>0</v>
      </c>
      <c r="V408" s="34">
        <v>5</v>
      </c>
      <c r="W408" s="25">
        <v>2.5</v>
      </c>
      <c r="X408" s="25">
        <v>5</v>
      </c>
      <c r="Y408">
        <v>1.5476535380000001</v>
      </c>
      <c r="Z408" t="s">
        <v>1111</v>
      </c>
      <c r="AA408" t="s">
        <v>622</v>
      </c>
      <c r="AB408">
        <v>1</v>
      </c>
      <c r="AC408">
        <v>2.8879999999999999</v>
      </c>
      <c r="AF408" t="s">
        <v>521</v>
      </c>
      <c r="AG408" s="32" t="s">
        <v>1398</v>
      </c>
      <c r="AH408" s="32" t="s">
        <v>1378</v>
      </c>
      <c r="AI408" s="32" t="s">
        <v>1399</v>
      </c>
      <c r="AJ408" s="31" t="s">
        <v>2838</v>
      </c>
      <c r="AK408" s="31">
        <v>0.255</v>
      </c>
      <c r="AL408" s="31">
        <v>9.516858675639844E-3</v>
      </c>
      <c r="AM408" s="31">
        <v>2.7804155738634054E-2</v>
      </c>
      <c r="AN408" s="31">
        <v>0.39074902225761471</v>
      </c>
      <c r="AO408" s="31">
        <v>1.1416000846349921</v>
      </c>
      <c r="AP408" s="31">
        <v>6.0474410676703819E-4</v>
      </c>
      <c r="AQ408" s="31">
        <v>1.766801409966445E-3</v>
      </c>
      <c r="AR408" s="31">
        <v>0.13341858489683281</v>
      </c>
    </row>
    <row r="409" spans="1:44" x14ac:dyDescent="0.5">
      <c r="A409" s="31">
        <v>408</v>
      </c>
      <c r="B409" s="31">
        <v>28</v>
      </c>
      <c r="C409" s="225" t="s">
        <v>9</v>
      </c>
      <c r="D409" s="35">
        <v>10.782999999999999</v>
      </c>
      <c r="E409" s="33">
        <v>79.850999999999999</v>
      </c>
      <c r="F409">
        <v>0</v>
      </c>
      <c r="G409">
        <f>F409*1609.344</f>
        <v>0</v>
      </c>
      <c r="H409" s="32" t="s">
        <v>10</v>
      </c>
      <c r="I409">
        <v>0</v>
      </c>
      <c r="J409">
        <v>625.97347645735397</v>
      </c>
      <c r="K409" s="26">
        <v>2017</v>
      </c>
      <c r="L409" t="s">
        <v>11</v>
      </c>
      <c r="M409" s="32">
        <v>300</v>
      </c>
      <c r="N409">
        <v>36.542166029999997</v>
      </c>
      <c r="O409">
        <v>4.75</v>
      </c>
      <c r="P409" t="s">
        <v>12</v>
      </c>
      <c r="Q409">
        <v>89</v>
      </c>
      <c r="R409" t="s">
        <v>13</v>
      </c>
      <c r="S409" t="s">
        <v>14</v>
      </c>
      <c r="T409" t="s">
        <v>14</v>
      </c>
      <c r="U409" s="34">
        <v>0</v>
      </c>
      <c r="V409" s="34">
        <v>5</v>
      </c>
      <c r="W409" s="25">
        <v>2.5</v>
      </c>
      <c r="X409" s="25">
        <v>5</v>
      </c>
      <c r="Y409">
        <v>1.5476535380000001</v>
      </c>
      <c r="Z409" t="s">
        <v>1111</v>
      </c>
      <c r="AA409" t="s">
        <v>622</v>
      </c>
      <c r="AB409">
        <v>1</v>
      </c>
      <c r="AC409">
        <v>2.86</v>
      </c>
      <c r="AF409" t="s">
        <v>521</v>
      </c>
      <c r="AG409" s="32" t="s">
        <v>1400</v>
      </c>
      <c r="AH409" s="32" t="s">
        <v>1378</v>
      </c>
      <c r="AI409" s="32" t="s">
        <v>1401</v>
      </c>
      <c r="AJ409" s="31" t="s">
        <v>2839</v>
      </c>
      <c r="AK409" s="31">
        <v>0.255</v>
      </c>
      <c r="AL409" s="31">
        <v>9.424589962718128E-3</v>
      </c>
      <c r="AM409" s="31">
        <v>2.7534586361666686E-2</v>
      </c>
      <c r="AN409" s="31">
        <v>0.38696059683406442</v>
      </c>
      <c r="AO409" s="31">
        <v>1.1305319397701097</v>
      </c>
      <c r="AP409" s="31">
        <v>5.9888093675683138E-4</v>
      </c>
      <c r="AQ409" s="31">
        <v>1.7496717564072133E-3</v>
      </c>
      <c r="AR409" s="31">
        <v>0.13341858489683281</v>
      </c>
    </row>
    <row r="410" spans="1:44" x14ac:dyDescent="0.5">
      <c r="A410" s="31">
        <v>409</v>
      </c>
      <c r="B410" s="31">
        <v>28</v>
      </c>
      <c r="C410" s="225" t="s">
        <v>9</v>
      </c>
      <c r="D410" s="35">
        <v>10.917999999999999</v>
      </c>
      <c r="E410" s="33">
        <v>79.852999999999994</v>
      </c>
      <c r="F410">
        <v>0</v>
      </c>
      <c r="G410">
        <f>F410*1609.344</f>
        <v>0</v>
      </c>
      <c r="H410" s="32" t="s">
        <v>10</v>
      </c>
      <c r="I410">
        <v>0</v>
      </c>
      <c r="J410">
        <v>650.00099760573903</v>
      </c>
      <c r="K410" s="26">
        <v>2017</v>
      </c>
      <c r="L410" t="s">
        <v>11</v>
      </c>
      <c r="M410" s="32">
        <v>300</v>
      </c>
      <c r="N410">
        <v>36.542166029999997</v>
      </c>
      <c r="O410">
        <v>4.75</v>
      </c>
      <c r="P410" t="s">
        <v>12</v>
      </c>
      <c r="Q410">
        <v>89</v>
      </c>
      <c r="R410" t="s">
        <v>13</v>
      </c>
      <c r="S410" t="s">
        <v>14</v>
      </c>
      <c r="T410" t="s">
        <v>14</v>
      </c>
      <c r="U410" s="34">
        <v>0</v>
      </c>
      <c r="V410" s="34">
        <v>5</v>
      </c>
      <c r="W410" s="25">
        <v>2.5</v>
      </c>
      <c r="X410" s="25">
        <v>5</v>
      </c>
      <c r="Y410">
        <v>1.5476535380000001</v>
      </c>
      <c r="Z410" t="s">
        <v>1111</v>
      </c>
      <c r="AA410" t="s">
        <v>622</v>
      </c>
      <c r="AB410">
        <v>1</v>
      </c>
      <c r="AC410">
        <v>17.739999999999998</v>
      </c>
      <c r="AF410" t="s">
        <v>521</v>
      </c>
      <c r="AG410" s="32" t="s">
        <v>1402</v>
      </c>
      <c r="AH410" s="32" t="s">
        <v>1378</v>
      </c>
      <c r="AI410" s="32" t="s">
        <v>1403</v>
      </c>
      <c r="AJ410" s="31" t="s">
        <v>2840</v>
      </c>
      <c r="AK410" s="31">
        <v>0.255</v>
      </c>
      <c r="AL410" s="31">
        <v>5.845882025825859E-2</v>
      </c>
      <c r="AM410" s="31">
        <v>0.1707914552643241</v>
      </c>
      <c r="AN410" s="31">
        <v>2.4002381076350705</v>
      </c>
      <c r="AO410" s="31">
        <v>7.0124603536789305</v>
      </c>
      <c r="AP410" s="31">
        <v>3.7147369993238417E-3</v>
      </c>
      <c r="AQ410" s="31">
        <v>1.0852859076455928E-2</v>
      </c>
      <c r="AR410" s="31">
        <v>0.13341858489683281</v>
      </c>
    </row>
    <row r="411" spans="1:44" x14ac:dyDescent="0.5">
      <c r="A411" s="31">
        <v>410</v>
      </c>
      <c r="B411" s="31">
        <v>28</v>
      </c>
      <c r="C411" s="225" t="s">
        <v>9</v>
      </c>
      <c r="D411" s="35">
        <v>11.143000000000001</v>
      </c>
      <c r="E411" s="33">
        <v>79.856999999999999</v>
      </c>
      <c r="F411">
        <v>0</v>
      </c>
      <c r="G411">
        <f>F411*1609.344</f>
        <v>0</v>
      </c>
      <c r="H411" s="32" t="s">
        <v>10</v>
      </c>
      <c r="I411">
        <v>0</v>
      </c>
      <c r="J411">
        <v>684.40888665765999</v>
      </c>
      <c r="K411" s="26">
        <v>2017</v>
      </c>
      <c r="L411" t="s">
        <v>11</v>
      </c>
      <c r="M411" s="32">
        <v>300</v>
      </c>
      <c r="N411">
        <v>36.542166029999997</v>
      </c>
      <c r="O411">
        <v>4.75</v>
      </c>
      <c r="P411" t="s">
        <v>12</v>
      </c>
      <c r="Q411">
        <v>89</v>
      </c>
      <c r="R411" t="s">
        <v>13</v>
      </c>
      <c r="S411" t="s">
        <v>14</v>
      </c>
      <c r="T411" t="s">
        <v>14</v>
      </c>
      <c r="U411" s="34">
        <v>0</v>
      </c>
      <c r="V411" s="34">
        <v>5</v>
      </c>
      <c r="W411" s="25">
        <v>2.5</v>
      </c>
      <c r="X411" s="25">
        <v>5</v>
      </c>
      <c r="Y411">
        <v>1.5476535380000001</v>
      </c>
      <c r="Z411" t="s">
        <v>1111</v>
      </c>
      <c r="AA411" t="s">
        <v>622</v>
      </c>
      <c r="AB411">
        <v>1</v>
      </c>
      <c r="AC411">
        <v>8.8640000000000008</v>
      </c>
      <c r="AF411" t="s">
        <v>521</v>
      </c>
      <c r="AG411" s="32" t="s">
        <v>1404</v>
      </c>
      <c r="AH411" s="32" t="s">
        <v>1378</v>
      </c>
      <c r="AI411" s="32" t="s">
        <v>1405</v>
      </c>
      <c r="AJ411" s="31" t="s">
        <v>2841</v>
      </c>
      <c r="AK411" s="31">
        <v>0.255</v>
      </c>
      <c r="AL411" s="31">
        <v>2.920963826207465E-2</v>
      </c>
      <c r="AM411" s="31">
        <v>8.5337962765669073E-2</v>
      </c>
      <c r="AN411" s="31">
        <v>1.1993072483696319</v>
      </c>
      <c r="AO411" s="31">
        <v>3.5038584315112775</v>
      </c>
      <c r="AP411" s="31">
        <v>1.8561121060883055E-3</v>
      </c>
      <c r="AQ411" s="31">
        <v>5.42275889817956E-3</v>
      </c>
      <c r="AR411" s="31">
        <v>0.13341858489683281</v>
      </c>
    </row>
    <row r="412" spans="1:44" x14ac:dyDescent="0.5">
      <c r="A412" s="31">
        <v>411</v>
      </c>
      <c r="B412" s="31">
        <v>28</v>
      </c>
      <c r="C412" s="225" t="s">
        <v>9</v>
      </c>
      <c r="D412" s="35">
        <v>11.356</v>
      </c>
      <c r="E412" s="33">
        <v>79.835999999999999</v>
      </c>
      <c r="F412">
        <v>0</v>
      </c>
      <c r="G412">
        <f>F412*1609.344</f>
        <v>0</v>
      </c>
      <c r="H412" s="32" t="s">
        <v>10</v>
      </c>
      <c r="I412">
        <v>0</v>
      </c>
      <c r="J412">
        <v>671.92257964891803</v>
      </c>
      <c r="K412" s="26">
        <v>2017</v>
      </c>
      <c r="L412" t="s">
        <v>11</v>
      </c>
      <c r="M412" s="32">
        <v>300</v>
      </c>
      <c r="N412">
        <v>36.542166029999997</v>
      </c>
      <c r="O412">
        <v>4.75</v>
      </c>
      <c r="P412" t="s">
        <v>12</v>
      </c>
      <c r="Q412">
        <v>89</v>
      </c>
      <c r="R412" t="s">
        <v>13</v>
      </c>
      <c r="S412" t="s">
        <v>14</v>
      </c>
      <c r="T412" t="s">
        <v>14</v>
      </c>
      <c r="U412" s="34">
        <v>0</v>
      </c>
      <c r="V412" s="34">
        <v>5</v>
      </c>
      <c r="W412" s="25">
        <v>2.5</v>
      </c>
      <c r="X412" s="25">
        <v>5</v>
      </c>
      <c r="Y412">
        <v>1.5476535380000001</v>
      </c>
      <c r="Z412" t="s">
        <v>1111</v>
      </c>
      <c r="AA412" t="s">
        <v>622</v>
      </c>
      <c r="AB412">
        <v>1</v>
      </c>
      <c r="AC412">
        <v>8.8420000000000005</v>
      </c>
      <c r="AF412" t="s">
        <v>521</v>
      </c>
      <c r="AG412" s="32" t="s">
        <v>1406</v>
      </c>
      <c r="AH412" s="32" t="s">
        <v>1378</v>
      </c>
      <c r="AI412" s="32" t="s">
        <v>1407</v>
      </c>
      <c r="AJ412" s="31" t="s">
        <v>2842</v>
      </c>
      <c r="AK412" s="31">
        <v>0.255</v>
      </c>
      <c r="AL412" s="31">
        <v>2.9137141416207588E-2</v>
      </c>
      <c r="AM412" s="31">
        <v>8.512615825519472E-2</v>
      </c>
      <c r="AN412" s="31">
        <v>1.1963306283939854</v>
      </c>
      <c r="AO412" s="31">
        <v>3.4951620319745844</v>
      </c>
      <c r="AP412" s="31">
        <v>1.851505329651715E-3</v>
      </c>
      <c r="AQ412" s="31">
        <v>5.4092998846687352E-3</v>
      </c>
      <c r="AR412" s="31">
        <v>0.13341858489683281</v>
      </c>
    </row>
    <row r="413" spans="1:44" x14ac:dyDescent="0.5">
      <c r="A413" s="31">
        <v>412</v>
      </c>
      <c r="B413" s="31">
        <v>28</v>
      </c>
      <c r="C413" s="225" t="s">
        <v>9</v>
      </c>
      <c r="D413" s="35">
        <v>11.516999999999999</v>
      </c>
      <c r="E413" s="33">
        <v>79.766666700000002</v>
      </c>
      <c r="F413">
        <v>0</v>
      </c>
      <c r="G413">
        <f>F413*1609.344</f>
        <v>0</v>
      </c>
      <c r="H413" s="32" t="s">
        <v>10</v>
      </c>
      <c r="I413">
        <v>0</v>
      </c>
      <c r="J413">
        <v>648.98424549838899</v>
      </c>
      <c r="K413" s="26">
        <v>2017</v>
      </c>
      <c r="L413" t="s">
        <v>11</v>
      </c>
      <c r="M413" s="32">
        <v>300</v>
      </c>
      <c r="N413">
        <v>36.542166029999997</v>
      </c>
      <c r="O413">
        <v>4.75</v>
      </c>
      <c r="P413" t="s">
        <v>12</v>
      </c>
      <c r="Q413">
        <v>89</v>
      </c>
      <c r="R413" t="s">
        <v>13</v>
      </c>
      <c r="S413" t="s">
        <v>14</v>
      </c>
      <c r="T413" t="s">
        <v>14</v>
      </c>
      <c r="U413" s="34">
        <v>0</v>
      </c>
      <c r="V413" s="34">
        <v>5</v>
      </c>
      <c r="W413" s="25">
        <v>2.5</v>
      </c>
      <c r="X413" s="25">
        <v>5</v>
      </c>
      <c r="Y413">
        <v>1.5476535380000001</v>
      </c>
      <c r="Z413" t="s">
        <v>1111</v>
      </c>
      <c r="AA413" t="s">
        <v>622</v>
      </c>
      <c r="AB413">
        <v>1</v>
      </c>
      <c r="AC413">
        <v>4.968</v>
      </c>
      <c r="AF413" t="s">
        <v>521</v>
      </c>
      <c r="AG413" s="32" t="s">
        <v>1408</v>
      </c>
      <c r="AH413" s="32" t="s">
        <v>1378</v>
      </c>
      <c r="AI413" s="32" t="s">
        <v>1409</v>
      </c>
      <c r="AJ413" s="31" t="s">
        <v>2843</v>
      </c>
      <c r="AK413" s="31">
        <v>0.255</v>
      </c>
      <c r="AL413" s="31">
        <v>1.6371105921253029E-2</v>
      </c>
      <c r="AM413" s="31">
        <v>4.7829309456209834E-2</v>
      </c>
      <c r="AN413" s="31">
        <v>0.67217491086420711</v>
      </c>
      <c r="AO413" s="31">
        <v>1.9638051317405265</v>
      </c>
      <c r="AP413" s="31">
        <v>1.0402938789538247E-3</v>
      </c>
      <c r="AQ413" s="31">
        <v>3.0392899600807819E-3</v>
      </c>
      <c r="AR413" s="31">
        <v>0.13341858489683281</v>
      </c>
    </row>
    <row r="414" spans="1:44" x14ac:dyDescent="0.5">
      <c r="A414" s="31">
        <v>413</v>
      </c>
      <c r="B414" s="31">
        <v>28</v>
      </c>
      <c r="C414" s="225" t="s">
        <v>9</v>
      </c>
      <c r="D414" s="35">
        <v>11.743</v>
      </c>
      <c r="E414" s="33">
        <v>79.787999999999997</v>
      </c>
      <c r="F414">
        <v>0</v>
      </c>
      <c r="G414">
        <f>F414*1609.344</f>
        <v>0</v>
      </c>
      <c r="H414" s="32" t="s">
        <v>10</v>
      </c>
      <c r="I414">
        <v>0</v>
      </c>
      <c r="J414">
        <v>636.41403988321804</v>
      </c>
      <c r="K414" s="26">
        <v>2017</v>
      </c>
      <c r="L414" t="s">
        <v>11</v>
      </c>
      <c r="M414" s="32">
        <v>300</v>
      </c>
      <c r="N414">
        <v>36.542166029999997</v>
      </c>
      <c r="O414">
        <v>4.75</v>
      </c>
      <c r="P414" t="s">
        <v>12</v>
      </c>
      <c r="Q414">
        <v>89</v>
      </c>
      <c r="R414" t="s">
        <v>13</v>
      </c>
      <c r="S414" t="s">
        <v>14</v>
      </c>
      <c r="T414" t="s">
        <v>14</v>
      </c>
      <c r="U414" s="34">
        <v>0</v>
      </c>
      <c r="V414" s="34">
        <v>5</v>
      </c>
      <c r="W414" s="25">
        <v>2.5</v>
      </c>
      <c r="X414" s="25">
        <v>5</v>
      </c>
      <c r="Y414">
        <v>1.5476535380000001</v>
      </c>
      <c r="Z414" t="s">
        <v>1111</v>
      </c>
      <c r="AA414" t="s">
        <v>622</v>
      </c>
      <c r="AB414">
        <v>1</v>
      </c>
      <c r="AC414">
        <v>8.8320000000000007</v>
      </c>
      <c r="AF414" t="s">
        <v>521</v>
      </c>
      <c r="AG414" s="32" t="s">
        <v>1410</v>
      </c>
      <c r="AH414" s="32" t="s">
        <v>1378</v>
      </c>
      <c r="AI414" s="32" t="s">
        <v>1411</v>
      </c>
      <c r="AJ414" s="31" t="s">
        <v>2844</v>
      </c>
      <c r="AK414" s="31">
        <v>0.255</v>
      </c>
      <c r="AL414" s="31">
        <v>2.9104188304449833E-2</v>
      </c>
      <c r="AM414" s="31">
        <v>8.5029883477706375E-2</v>
      </c>
      <c r="AN414" s="31">
        <v>1.1949776193141459</v>
      </c>
      <c r="AO414" s="31">
        <v>3.4912091230942695</v>
      </c>
      <c r="AP414" s="31">
        <v>1.8494113403623551E-3</v>
      </c>
      <c r="AQ414" s="31">
        <v>5.4031821512547235E-3</v>
      </c>
      <c r="AR414" s="31">
        <v>0.13341858489683281</v>
      </c>
    </row>
    <row r="415" spans="1:44" x14ac:dyDescent="0.5">
      <c r="A415" s="31">
        <v>414</v>
      </c>
      <c r="B415" s="31">
        <v>28</v>
      </c>
      <c r="C415" s="225" t="s">
        <v>9</v>
      </c>
      <c r="D415" s="35">
        <v>11.930999999999999</v>
      </c>
      <c r="E415" s="33">
        <v>79.835999999999999</v>
      </c>
      <c r="F415">
        <v>0</v>
      </c>
      <c r="G415">
        <f>F415*1609.344</f>
        <v>0</v>
      </c>
      <c r="H415" s="32" t="s">
        <v>10</v>
      </c>
      <c r="I415">
        <v>0</v>
      </c>
      <c r="J415">
        <v>653.11778245177595</v>
      </c>
      <c r="K415" s="26">
        <v>2017</v>
      </c>
      <c r="L415" t="s">
        <v>11</v>
      </c>
      <c r="M415" s="32">
        <v>300</v>
      </c>
      <c r="N415">
        <v>36.542166029999997</v>
      </c>
      <c r="O415">
        <v>4.75</v>
      </c>
      <c r="P415" t="s">
        <v>12</v>
      </c>
      <c r="Q415">
        <v>89</v>
      </c>
      <c r="R415" t="s">
        <v>13</v>
      </c>
      <c r="S415" t="s">
        <v>14</v>
      </c>
      <c r="T415" t="s">
        <v>14</v>
      </c>
      <c r="U415" s="34">
        <v>0</v>
      </c>
      <c r="V415" s="34">
        <v>5</v>
      </c>
      <c r="W415" s="25">
        <v>2.5</v>
      </c>
      <c r="X415" s="25">
        <v>5</v>
      </c>
      <c r="Y415">
        <v>1.5476535380000001</v>
      </c>
      <c r="Z415" t="s">
        <v>1111</v>
      </c>
      <c r="AA415" t="s">
        <v>622</v>
      </c>
      <c r="AB415">
        <v>1</v>
      </c>
      <c r="AC415">
        <v>13.813000000000001</v>
      </c>
      <c r="AF415" t="s">
        <v>521</v>
      </c>
      <c r="AG415" s="32" t="s">
        <v>1412</v>
      </c>
      <c r="AH415" s="32" t="s">
        <v>1378</v>
      </c>
      <c r="AI415" s="32" t="s">
        <v>1413</v>
      </c>
      <c r="AJ415" s="31" t="s">
        <v>2845</v>
      </c>
      <c r="AK415" s="31">
        <v>0.255</v>
      </c>
      <c r="AL415" s="31">
        <v>4.5518133270987943E-2</v>
      </c>
      <c r="AM415" s="31">
        <v>0.13298435014465104</v>
      </c>
      <c r="AN415" s="31">
        <v>1.8689114419821442</v>
      </c>
      <c r="AO415" s="31">
        <v>5.4601530363792055</v>
      </c>
      <c r="AP415" s="31">
        <v>2.8924274053923472E-3</v>
      </c>
      <c r="AQ415" s="31">
        <v>8.45042516477372E-3</v>
      </c>
      <c r="AR415" s="31">
        <v>0.13341858489683281</v>
      </c>
    </row>
    <row r="416" spans="1:44" x14ac:dyDescent="0.5">
      <c r="A416" s="31">
        <v>415</v>
      </c>
      <c r="B416" s="31">
        <v>28</v>
      </c>
      <c r="C416" s="225" t="s">
        <v>9</v>
      </c>
      <c r="D416" s="35">
        <v>12.167</v>
      </c>
      <c r="E416" s="33">
        <v>79.95</v>
      </c>
      <c r="F416">
        <v>0</v>
      </c>
      <c r="G416">
        <f>F416*1609.344</f>
        <v>0</v>
      </c>
      <c r="H416" s="32" t="s">
        <v>10</v>
      </c>
      <c r="I416">
        <v>0</v>
      </c>
      <c r="J416">
        <v>1034.2302230676601</v>
      </c>
      <c r="K416" s="26">
        <v>2017</v>
      </c>
      <c r="L416" t="s">
        <v>11</v>
      </c>
      <c r="M416" s="32">
        <v>300</v>
      </c>
      <c r="N416">
        <v>36.542166029999997</v>
      </c>
      <c r="O416">
        <v>4.75</v>
      </c>
      <c r="P416" t="s">
        <v>12</v>
      </c>
      <c r="Q416">
        <v>89</v>
      </c>
      <c r="R416" t="s">
        <v>13</v>
      </c>
      <c r="S416" t="s">
        <v>14</v>
      </c>
      <c r="T416" t="s">
        <v>14</v>
      </c>
      <c r="U416" s="34">
        <v>0</v>
      </c>
      <c r="V416" s="34">
        <v>5</v>
      </c>
      <c r="W416" s="25">
        <v>2.5</v>
      </c>
      <c r="X416" s="25">
        <v>5</v>
      </c>
      <c r="Y416">
        <v>1.5476535380000001</v>
      </c>
      <c r="Z416" t="s">
        <v>1111</v>
      </c>
      <c r="AA416" t="s">
        <v>622</v>
      </c>
      <c r="AB416">
        <v>1</v>
      </c>
      <c r="AC416">
        <v>3.8919999999999999</v>
      </c>
      <c r="AF416" t="s">
        <v>521</v>
      </c>
      <c r="AG416" s="32" t="s">
        <v>1414</v>
      </c>
      <c r="AH416" s="32" t="s">
        <v>1378</v>
      </c>
      <c r="AI416" s="32" t="s">
        <v>1415</v>
      </c>
      <c r="AJ416" s="31" t="s">
        <v>2846</v>
      </c>
      <c r="AK416" s="31">
        <v>0.255</v>
      </c>
      <c r="AL416" s="31">
        <v>1.2825351096118515E-2</v>
      </c>
      <c r="AM416" s="31">
        <v>3.7470143398463898E-2</v>
      </c>
      <c r="AN416" s="31">
        <v>0.52659113387348899</v>
      </c>
      <c r="AO416" s="31">
        <v>1.5384721362186249</v>
      </c>
      <c r="AP416" s="31">
        <v>8.1498063141873694E-4</v>
      </c>
      <c r="AQ416" s="31">
        <v>2.3810218447331728E-3</v>
      </c>
      <c r="AR416" s="31">
        <v>0.13341858489683281</v>
      </c>
    </row>
    <row r="417" spans="1:45" x14ac:dyDescent="0.5">
      <c r="A417" s="31">
        <v>416</v>
      </c>
      <c r="B417" s="31">
        <v>28</v>
      </c>
      <c r="C417" s="225" t="s">
        <v>9</v>
      </c>
      <c r="D417" s="35">
        <v>12.605</v>
      </c>
      <c r="E417" s="33">
        <v>80.194999999999993</v>
      </c>
      <c r="F417">
        <v>0</v>
      </c>
      <c r="G417">
        <f>F417*1609.344</f>
        <v>0</v>
      </c>
      <c r="H417" s="32" t="s">
        <v>10</v>
      </c>
      <c r="I417">
        <v>0</v>
      </c>
      <c r="J417">
        <v>1168.3901636088201</v>
      </c>
      <c r="K417" s="26">
        <v>2017</v>
      </c>
      <c r="L417" t="s">
        <v>11</v>
      </c>
      <c r="M417" s="32">
        <v>300</v>
      </c>
      <c r="N417">
        <v>36.542166029999997</v>
      </c>
      <c r="O417">
        <v>4.75</v>
      </c>
      <c r="P417" t="s">
        <v>12</v>
      </c>
      <c r="Q417">
        <v>89</v>
      </c>
      <c r="R417" t="s">
        <v>13</v>
      </c>
      <c r="S417" t="s">
        <v>14</v>
      </c>
      <c r="T417" t="s">
        <v>14</v>
      </c>
      <c r="U417" s="34">
        <v>0</v>
      </c>
      <c r="V417" s="34">
        <v>5</v>
      </c>
      <c r="W417" s="25">
        <v>2.5</v>
      </c>
      <c r="X417" s="25">
        <v>5</v>
      </c>
      <c r="Y417">
        <v>1.5476535380000001</v>
      </c>
      <c r="Z417" t="s">
        <v>1111</v>
      </c>
      <c r="AA417" t="s">
        <v>622</v>
      </c>
      <c r="AB417">
        <v>1</v>
      </c>
      <c r="AC417">
        <v>7.798</v>
      </c>
      <c r="AF417" t="s">
        <v>521</v>
      </c>
      <c r="AG417" s="32" t="s">
        <v>1416</v>
      </c>
      <c r="AH417" s="32" t="s">
        <v>1378</v>
      </c>
      <c r="AI417" s="32" t="s">
        <v>1417</v>
      </c>
      <c r="AJ417" s="31" t="s">
        <v>2847</v>
      </c>
      <c r="AK417" s="31">
        <v>0.255</v>
      </c>
      <c r="AL417" s="31">
        <v>2.569683654869789E-2</v>
      </c>
      <c r="AM417" s="31">
        <v>7.5075071485411482E-2</v>
      </c>
      <c r="AN417" s="31">
        <v>1.0550764804587534</v>
      </c>
      <c r="AO417" s="31">
        <v>3.0824783448696911</v>
      </c>
      <c r="AP417" s="31">
        <v>1.6328928478425775E-3</v>
      </c>
      <c r="AQ417" s="31">
        <v>4.7706085162459617E-3</v>
      </c>
      <c r="AR417" s="31">
        <v>0.13341858489683281</v>
      </c>
    </row>
    <row r="418" spans="1:45" x14ac:dyDescent="0.5">
      <c r="A418" s="31">
        <v>417</v>
      </c>
      <c r="B418" s="31">
        <v>28</v>
      </c>
      <c r="C418" s="225" t="s">
        <v>9</v>
      </c>
      <c r="D418" s="35">
        <v>12.824</v>
      </c>
      <c r="E418" s="33">
        <v>80.248000000000005</v>
      </c>
      <c r="F418">
        <v>0</v>
      </c>
      <c r="G418">
        <f>F418*1609.344</f>
        <v>0</v>
      </c>
      <c r="H418" s="32" t="s">
        <v>10</v>
      </c>
      <c r="I418">
        <v>0</v>
      </c>
      <c r="J418">
        <v>1078.0594893539201</v>
      </c>
      <c r="K418" s="26">
        <v>2017</v>
      </c>
      <c r="L418" t="s">
        <v>11</v>
      </c>
      <c r="M418" s="32">
        <v>300</v>
      </c>
      <c r="N418">
        <v>36.542166029999997</v>
      </c>
      <c r="O418">
        <v>4.75</v>
      </c>
      <c r="P418" t="s">
        <v>12</v>
      </c>
      <c r="Q418">
        <v>89</v>
      </c>
      <c r="R418" t="s">
        <v>13</v>
      </c>
      <c r="S418" t="s">
        <v>14</v>
      </c>
      <c r="T418" t="s">
        <v>14</v>
      </c>
      <c r="U418" s="34">
        <v>0</v>
      </c>
      <c r="V418" s="34">
        <v>5</v>
      </c>
      <c r="W418" s="25">
        <v>2.5</v>
      </c>
      <c r="X418" s="25">
        <v>5</v>
      </c>
      <c r="Y418">
        <v>1.5476535380000001</v>
      </c>
      <c r="Z418" t="s">
        <v>1111</v>
      </c>
      <c r="AA418" t="s">
        <v>622</v>
      </c>
      <c r="AB418">
        <v>1</v>
      </c>
      <c r="AC418">
        <v>28.855</v>
      </c>
      <c r="AF418" t="s">
        <v>521</v>
      </c>
      <c r="AG418" s="32" t="s">
        <v>1418</v>
      </c>
      <c r="AH418" s="32" t="s">
        <v>1378</v>
      </c>
      <c r="AI418" s="32" t="s">
        <v>1419</v>
      </c>
      <c r="AJ418" s="31" t="s">
        <v>2848</v>
      </c>
      <c r="AK418" s="31">
        <v>0.255</v>
      </c>
      <c r="AL418" s="31">
        <v>9.5086203977004041E-2</v>
      </c>
      <c r="AM418" s="31">
        <v>0.2778008704426197</v>
      </c>
      <c r="AN418" s="31">
        <v>3.904107699876548</v>
      </c>
      <c r="AO418" s="31">
        <v>11.406118574149133</v>
      </c>
      <c r="AP418" s="31">
        <v>6.042206094446982E-3</v>
      </c>
      <c r="AQ418" s="31">
        <v>1.7652719766129421E-2</v>
      </c>
      <c r="AR418" s="31">
        <v>0.13341858489683281</v>
      </c>
    </row>
    <row r="419" spans="1:45" x14ac:dyDescent="0.5">
      <c r="A419" s="31">
        <v>418</v>
      </c>
      <c r="B419" s="31">
        <v>28</v>
      </c>
      <c r="C419" s="225" t="s">
        <v>9</v>
      </c>
      <c r="D419" s="35">
        <v>13.007</v>
      </c>
      <c r="E419" s="33">
        <v>80.275000000000006</v>
      </c>
      <c r="F419">
        <v>0</v>
      </c>
      <c r="G419">
        <f>F419*1609.344</f>
        <v>0</v>
      </c>
      <c r="H419" s="32" t="s">
        <v>10</v>
      </c>
      <c r="I419">
        <v>0</v>
      </c>
      <c r="J419">
        <v>1028.5359276578399</v>
      </c>
      <c r="K419" s="26">
        <v>2017</v>
      </c>
      <c r="L419" t="s">
        <v>11</v>
      </c>
      <c r="M419" s="32">
        <v>300</v>
      </c>
      <c r="N419">
        <v>36.542166029999997</v>
      </c>
      <c r="O419">
        <v>4.75</v>
      </c>
      <c r="P419" t="s">
        <v>12</v>
      </c>
      <c r="Q419">
        <v>89</v>
      </c>
      <c r="R419" t="s">
        <v>13</v>
      </c>
      <c r="S419" t="s">
        <v>14</v>
      </c>
      <c r="T419" t="s">
        <v>14</v>
      </c>
      <c r="U419" s="34">
        <v>0</v>
      </c>
      <c r="V419" s="34">
        <v>5</v>
      </c>
      <c r="W419" s="25">
        <v>2.5</v>
      </c>
      <c r="X419" s="25">
        <v>5</v>
      </c>
      <c r="Y419">
        <v>1.1840535889999999</v>
      </c>
      <c r="Z419" t="s">
        <v>1111</v>
      </c>
      <c r="AA419" t="s">
        <v>622</v>
      </c>
      <c r="AB419">
        <v>1</v>
      </c>
      <c r="AC419">
        <v>64.040999999999997</v>
      </c>
      <c r="AF419" t="s">
        <v>521</v>
      </c>
      <c r="AG419" s="32" t="s">
        <v>1420</v>
      </c>
      <c r="AH419" s="32" t="s">
        <v>1378</v>
      </c>
      <c r="AI419" s="32" t="s">
        <v>1421</v>
      </c>
      <c r="AJ419" s="31" t="s">
        <v>2849</v>
      </c>
      <c r="AK419" s="31">
        <v>0.255</v>
      </c>
      <c r="AL419" s="31">
        <v>0.27583979562600691</v>
      </c>
      <c r="AM419" s="31">
        <v>0.80588489310343203</v>
      </c>
      <c r="AN419" s="31">
        <v>11.325599561176194</v>
      </c>
      <c r="AO419" s="31">
        <v>33.088516365004956</v>
      </c>
      <c r="AP419" s="31">
        <v>1.3410116807987498E-2</v>
      </c>
      <c r="AQ419" s="31">
        <v>3.9178576556669349E-2</v>
      </c>
      <c r="AR419" s="31">
        <v>0.13341858489683281</v>
      </c>
    </row>
    <row r="420" spans="1:45" x14ac:dyDescent="0.5">
      <c r="A420" s="31">
        <v>419</v>
      </c>
      <c r="B420" s="31">
        <v>28</v>
      </c>
      <c r="C420" s="225" t="s">
        <v>9</v>
      </c>
      <c r="D420" s="35">
        <v>13.067</v>
      </c>
      <c r="E420" s="33">
        <v>80.290000000000006</v>
      </c>
      <c r="F420">
        <v>0</v>
      </c>
      <c r="G420">
        <f>F420*1609.344</f>
        <v>0</v>
      </c>
      <c r="H420" s="32" t="s">
        <v>10</v>
      </c>
      <c r="I420">
        <v>0</v>
      </c>
      <c r="J420">
        <v>1030.1341926744501</v>
      </c>
      <c r="K420" s="26">
        <v>2017</v>
      </c>
      <c r="L420" t="s">
        <v>11</v>
      </c>
      <c r="M420" s="32">
        <v>300</v>
      </c>
      <c r="N420">
        <v>36.542166029999997</v>
      </c>
      <c r="O420">
        <v>4.75</v>
      </c>
      <c r="P420" t="s">
        <v>12</v>
      </c>
      <c r="Q420">
        <v>89</v>
      </c>
      <c r="R420" t="s">
        <v>13</v>
      </c>
      <c r="S420" t="s">
        <v>14</v>
      </c>
      <c r="T420" t="s">
        <v>14</v>
      </c>
      <c r="U420" s="34">
        <v>0</v>
      </c>
      <c r="V420" s="34">
        <v>5</v>
      </c>
      <c r="W420" s="25">
        <v>2.5</v>
      </c>
      <c r="X420" s="25">
        <v>5</v>
      </c>
      <c r="Y420">
        <v>1.1840535889999999</v>
      </c>
      <c r="Z420" t="s">
        <v>1111</v>
      </c>
      <c r="AA420" t="s">
        <v>622</v>
      </c>
      <c r="AB420">
        <v>1</v>
      </c>
      <c r="AC420">
        <v>50.033999999999999</v>
      </c>
      <c r="AF420" t="s">
        <v>521</v>
      </c>
      <c r="AG420" s="32" t="s">
        <v>1422</v>
      </c>
      <c r="AH420" s="32" t="s">
        <v>1378</v>
      </c>
      <c r="AI420" s="32" t="s">
        <v>1423</v>
      </c>
      <c r="AJ420" s="31" t="s">
        <v>2850</v>
      </c>
      <c r="AK420" s="31">
        <v>0.255</v>
      </c>
      <c r="AL420" s="31">
        <v>0.2155083202066119</v>
      </c>
      <c r="AM420" s="31">
        <v>0.62962234727029742</v>
      </c>
      <c r="AN420" s="31">
        <v>8.8484728290296797</v>
      </c>
      <c r="AO420" s="31">
        <v>25.851420618145532</v>
      </c>
      <c r="AP420" s="31">
        <v>1.0477066010381574E-2</v>
      </c>
      <c r="AQ420" s="31">
        <v>3.0609467363663812E-2</v>
      </c>
      <c r="AR420" s="31">
        <v>0.13341858489683281</v>
      </c>
    </row>
    <row r="421" spans="1:45" x14ac:dyDescent="0.5">
      <c r="A421" s="31">
        <v>420</v>
      </c>
      <c r="B421" s="31">
        <v>28</v>
      </c>
      <c r="C421" s="225" t="s">
        <v>9</v>
      </c>
      <c r="D421" s="35">
        <v>13.208</v>
      </c>
      <c r="E421" s="33">
        <v>80.322999999999993</v>
      </c>
      <c r="F421">
        <v>0</v>
      </c>
      <c r="G421">
        <f>F421*1609.344</f>
        <v>0</v>
      </c>
      <c r="H421" s="32" t="s">
        <v>10</v>
      </c>
      <c r="I421">
        <v>0</v>
      </c>
      <c r="J421">
        <v>1036.82475311646</v>
      </c>
      <c r="K421" s="26">
        <v>2017</v>
      </c>
      <c r="L421" t="s">
        <v>11</v>
      </c>
      <c r="M421" s="32">
        <v>300</v>
      </c>
      <c r="N421">
        <v>36.542166029999997</v>
      </c>
      <c r="O421">
        <v>4.75</v>
      </c>
      <c r="P421" t="s">
        <v>12</v>
      </c>
      <c r="Q421">
        <v>89</v>
      </c>
      <c r="R421" t="s">
        <v>13</v>
      </c>
      <c r="S421" t="s">
        <v>14</v>
      </c>
      <c r="T421" t="s">
        <v>14</v>
      </c>
      <c r="U421" s="34">
        <v>0</v>
      </c>
      <c r="V421" s="34">
        <v>5</v>
      </c>
      <c r="W421" s="25">
        <v>2.5</v>
      </c>
      <c r="X421" s="25">
        <v>5</v>
      </c>
      <c r="Y421">
        <v>1.1840535889999999</v>
      </c>
      <c r="Z421" t="s">
        <v>1111</v>
      </c>
      <c r="AA421" t="s">
        <v>622</v>
      </c>
      <c r="AB421">
        <v>1</v>
      </c>
      <c r="AC421">
        <v>21.882000000000001</v>
      </c>
      <c r="AF421" t="s">
        <v>521</v>
      </c>
      <c r="AG421" s="32" t="s">
        <v>1424</v>
      </c>
      <c r="AH421" s="32" t="s">
        <v>1378</v>
      </c>
      <c r="AI421" s="32" t="s">
        <v>1425</v>
      </c>
      <c r="AJ421" s="31" t="s">
        <v>2851</v>
      </c>
      <c r="AK421" s="31">
        <v>0.255</v>
      </c>
      <c r="AL421" s="31">
        <v>9.4250970595216893E-2</v>
      </c>
      <c r="AM421" s="31">
        <v>0.27536067879779047</v>
      </c>
      <c r="AN421" s="31">
        <v>3.8698141752573747</v>
      </c>
      <c r="AO421" s="31">
        <v>11.305927688497032</v>
      </c>
      <c r="AP421" s="31">
        <v>4.5820673629765694E-3</v>
      </c>
      <c r="AQ421" s="31">
        <v>1.3386824256539384E-2</v>
      </c>
      <c r="AR421" s="31">
        <v>0.13341858489683281</v>
      </c>
    </row>
    <row r="422" spans="1:45" hidden="1" x14ac:dyDescent="0.5">
      <c r="A422" s="31">
        <v>75</v>
      </c>
      <c r="B422" s="31">
        <v>7</v>
      </c>
      <c r="C422" s="225" t="s">
        <v>41</v>
      </c>
      <c r="D422" s="36">
        <v>-67.567389000000006</v>
      </c>
      <c r="E422" s="37">
        <v>-68.124832999999995</v>
      </c>
      <c r="F422">
        <v>0</v>
      </c>
      <c r="G422">
        <f>F422*1609.344</f>
        <v>0</v>
      </c>
      <c r="H422" s="32" t="s">
        <v>614</v>
      </c>
      <c r="I422">
        <v>0</v>
      </c>
      <c r="J422">
        <v>0</v>
      </c>
      <c r="K422" s="26">
        <v>2016</v>
      </c>
      <c r="L422" t="s">
        <v>30</v>
      </c>
      <c r="M422" s="32">
        <v>100</v>
      </c>
      <c r="N422">
        <v>11.428783320000001</v>
      </c>
      <c r="O422">
        <v>5</v>
      </c>
      <c r="P422" t="s">
        <v>12</v>
      </c>
      <c r="Q422">
        <v>89</v>
      </c>
      <c r="R422" t="s">
        <v>13</v>
      </c>
      <c r="S422" t="s">
        <v>14</v>
      </c>
      <c r="T422" t="s">
        <v>14</v>
      </c>
      <c r="U422" s="34">
        <v>0</v>
      </c>
      <c r="V422" s="34">
        <v>3</v>
      </c>
      <c r="W422" s="25">
        <v>1.5</v>
      </c>
      <c r="X422" s="25">
        <v>3</v>
      </c>
      <c r="Y422">
        <v>0.77305769000000002</v>
      </c>
      <c r="Z422" t="s">
        <v>1096</v>
      </c>
      <c r="AA422" t="s">
        <v>622</v>
      </c>
      <c r="AB422">
        <v>1</v>
      </c>
      <c r="AC422">
        <v>0</v>
      </c>
      <c r="AF422" t="s">
        <v>520</v>
      </c>
      <c r="AG422" s="32">
        <v>0</v>
      </c>
      <c r="AH422" s="32" t="s">
        <v>671</v>
      </c>
      <c r="AI422" s="32" t="s">
        <v>1129</v>
      </c>
      <c r="AJ422" s="31" t="s">
        <v>1130</v>
      </c>
      <c r="AK422" s="31">
        <v>0.59524549999999998</v>
      </c>
      <c r="AL422" s="31">
        <v>0</v>
      </c>
      <c r="AM422" s="31">
        <v>0</v>
      </c>
      <c r="AN422" s="31">
        <v>0</v>
      </c>
      <c r="AO422" s="31">
        <v>0</v>
      </c>
      <c r="AP422" s="31">
        <v>0</v>
      </c>
      <c r="AQ422" s="31">
        <v>0</v>
      </c>
      <c r="AR422" s="31">
        <v>0.13341858489683281</v>
      </c>
    </row>
    <row r="423" spans="1:45" hidden="1" x14ac:dyDescent="0.5">
      <c r="A423" s="31">
        <v>76</v>
      </c>
      <c r="B423" s="31">
        <v>7</v>
      </c>
      <c r="C423" s="225" t="s">
        <v>41</v>
      </c>
      <c r="D423" s="36">
        <v>-67.567055999999994</v>
      </c>
      <c r="E423" s="37">
        <v>-68.125332999999998</v>
      </c>
      <c r="F423">
        <v>0</v>
      </c>
      <c r="G423">
        <f>F423*1609.344</f>
        <v>0</v>
      </c>
      <c r="H423" s="32" t="s">
        <v>614</v>
      </c>
      <c r="I423">
        <v>0</v>
      </c>
      <c r="J423">
        <v>0</v>
      </c>
      <c r="K423" s="26">
        <v>2016</v>
      </c>
      <c r="L423" t="s">
        <v>30</v>
      </c>
      <c r="M423" s="32">
        <v>100</v>
      </c>
      <c r="N423">
        <v>11.428783320000001</v>
      </c>
      <c r="O423">
        <v>5</v>
      </c>
      <c r="P423" t="s">
        <v>12</v>
      </c>
      <c r="Q423">
        <v>89</v>
      </c>
      <c r="R423" t="s">
        <v>13</v>
      </c>
      <c r="S423" t="s">
        <v>14</v>
      </c>
      <c r="T423" t="s">
        <v>14</v>
      </c>
      <c r="U423" s="34">
        <v>0</v>
      </c>
      <c r="V423" s="34">
        <v>3</v>
      </c>
      <c r="W423" s="25">
        <v>1.5</v>
      </c>
      <c r="X423" s="25">
        <v>3</v>
      </c>
      <c r="Y423">
        <v>0.77305769000000002</v>
      </c>
      <c r="Z423" t="s">
        <v>1096</v>
      </c>
      <c r="AA423" t="s">
        <v>622</v>
      </c>
      <c r="AB423">
        <v>1</v>
      </c>
      <c r="AC423">
        <v>1</v>
      </c>
      <c r="AF423" t="s">
        <v>520</v>
      </c>
      <c r="AG423" s="32" t="s">
        <v>1215</v>
      </c>
      <c r="AH423" s="32" t="s">
        <v>671</v>
      </c>
      <c r="AI423" s="32" t="s">
        <v>1129</v>
      </c>
      <c r="AJ423" s="31" t="s">
        <v>1130</v>
      </c>
      <c r="AK423" s="31">
        <v>0.59524549999999998</v>
      </c>
      <c r="AL423" s="31">
        <v>76.998845972284428</v>
      </c>
      <c r="AM423" s="31">
        <v>52.357606066890057</v>
      </c>
      <c r="AN423" s="31">
        <v>988.76755787336356</v>
      </c>
      <c r="AO423" s="31">
        <v>672.34127516000444</v>
      </c>
      <c r="AP423" s="31">
        <v>0.76437436423652372</v>
      </c>
      <c r="AQ423" s="31">
        <v>0.51975859306684735</v>
      </c>
      <c r="AR423" s="31">
        <v>0.13341858489683281</v>
      </c>
    </row>
    <row r="424" spans="1:45" hidden="1" x14ac:dyDescent="0.5">
      <c r="A424" s="31">
        <v>77</v>
      </c>
      <c r="B424" s="31">
        <v>7</v>
      </c>
      <c r="C424" s="225" t="s">
        <v>41</v>
      </c>
      <c r="D424" s="36">
        <v>-67.567055999999994</v>
      </c>
      <c r="E424" s="37">
        <v>-68.125332999999998</v>
      </c>
      <c r="F424">
        <v>0</v>
      </c>
      <c r="G424">
        <f>F424*1609.344</f>
        <v>0</v>
      </c>
      <c r="H424" s="32" t="s">
        <v>614</v>
      </c>
      <c r="I424">
        <v>0</v>
      </c>
      <c r="J424">
        <v>0</v>
      </c>
      <c r="K424" s="26">
        <v>2016</v>
      </c>
      <c r="L424" t="s">
        <v>30</v>
      </c>
      <c r="M424" s="32">
        <v>100</v>
      </c>
      <c r="N424">
        <v>11.428783320000001</v>
      </c>
      <c r="O424">
        <v>5</v>
      </c>
      <c r="P424" t="s">
        <v>12</v>
      </c>
      <c r="Q424">
        <v>89</v>
      </c>
      <c r="R424" t="s">
        <v>13</v>
      </c>
      <c r="S424" t="s">
        <v>14</v>
      </c>
      <c r="T424" t="s">
        <v>14</v>
      </c>
      <c r="U424" s="34">
        <v>0</v>
      </c>
      <c r="V424" s="34">
        <v>3</v>
      </c>
      <c r="W424" s="25">
        <v>1.5</v>
      </c>
      <c r="X424" s="25">
        <v>3</v>
      </c>
      <c r="Y424">
        <v>0.77305769000000002</v>
      </c>
      <c r="Z424" t="s">
        <v>1096</v>
      </c>
      <c r="AA424" t="s">
        <v>622</v>
      </c>
      <c r="AB424">
        <v>1</v>
      </c>
      <c r="AC424">
        <v>2</v>
      </c>
      <c r="AF424" t="s">
        <v>520</v>
      </c>
      <c r="AG424" s="32" t="s">
        <v>1216</v>
      </c>
      <c r="AH424" s="32" t="s">
        <v>671</v>
      </c>
      <c r="AI424" s="32" t="s">
        <v>1129</v>
      </c>
      <c r="AJ424" s="31" t="s">
        <v>1130</v>
      </c>
      <c r="AK424" s="31">
        <v>0.59524549999999998</v>
      </c>
      <c r="AL424" s="31">
        <v>153.99769194456886</v>
      </c>
      <c r="AM424" s="31">
        <v>104.71521213378011</v>
      </c>
      <c r="AN424" s="31">
        <v>1977.5351157467271</v>
      </c>
      <c r="AO424" s="31">
        <v>1344.6825503200089</v>
      </c>
      <c r="AP424" s="31">
        <v>1.5287487284730474</v>
      </c>
      <c r="AQ424" s="31">
        <v>1.0395171861336947</v>
      </c>
      <c r="AR424" s="31">
        <v>0.13341858489683281</v>
      </c>
    </row>
    <row r="425" spans="1:45" hidden="1" x14ac:dyDescent="0.5">
      <c r="A425" s="31">
        <v>78</v>
      </c>
      <c r="B425" s="31">
        <v>7</v>
      </c>
      <c r="C425" s="225" t="s">
        <v>41</v>
      </c>
      <c r="D425" s="36">
        <v>-67.567055999999994</v>
      </c>
      <c r="E425" s="37">
        <v>-68.125332999999998</v>
      </c>
      <c r="F425">
        <v>0</v>
      </c>
      <c r="G425">
        <f>F425*1609.344</f>
        <v>0</v>
      </c>
      <c r="H425" s="32" t="s">
        <v>614</v>
      </c>
      <c r="I425">
        <v>0</v>
      </c>
      <c r="J425">
        <v>0</v>
      </c>
      <c r="K425" s="26">
        <v>2016</v>
      </c>
      <c r="L425" t="s">
        <v>30</v>
      </c>
      <c r="M425" s="32">
        <v>100</v>
      </c>
      <c r="N425">
        <v>11.428783320000001</v>
      </c>
      <c r="O425">
        <v>5</v>
      </c>
      <c r="P425" t="s">
        <v>12</v>
      </c>
      <c r="Q425">
        <v>89</v>
      </c>
      <c r="R425" t="s">
        <v>13</v>
      </c>
      <c r="S425" t="s">
        <v>14</v>
      </c>
      <c r="T425" t="s">
        <v>14</v>
      </c>
      <c r="U425" s="34">
        <v>0</v>
      </c>
      <c r="V425" s="34">
        <v>3</v>
      </c>
      <c r="W425" s="25">
        <v>1.5</v>
      </c>
      <c r="X425" s="25">
        <v>3</v>
      </c>
      <c r="Y425">
        <v>0.77305769000000002</v>
      </c>
      <c r="Z425" t="s">
        <v>1096</v>
      </c>
      <c r="AA425" t="s">
        <v>622</v>
      </c>
      <c r="AB425">
        <v>1</v>
      </c>
      <c r="AC425">
        <v>3</v>
      </c>
      <c r="AF425" t="s">
        <v>520</v>
      </c>
      <c r="AG425" s="32" t="s">
        <v>1217</v>
      </c>
      <c r="AH425" s="32" t="s">
        <v>671</v>
      </c>
      <c r="AI425" s="32" t="s">
        <v>1129</v>
      </c>
      <c r="AJ425" s="31" t="s">
        <v>1130</v>
      </c>
      <c r="AK425" s="31">
        <v>0.59524549999999998</v>
      </c>
      <c r="AL425" s="31">
        <v>230.99653791685324</v>
      </c>
      <c r="AM425" s="31">
        <v>157.0728182006701</v>
      </c>
      <c r="AN425" s="31">
        <v>2966.30267362009</v>
      </c>
      <c r="AO425" s="31">
        <v>2017.0238254800122</v>
      </c>
      <c r="AP425" s="31">
        <v>2.2931230927095707</v>
      </c>
      <c r="AQ425" s="31">
        <v>1.5592757792005416</v>
      </c>
      <c r="AR425" s="31">
        <v>0.13341858489683281</v>
      </c>
    </row>
    <row r="426" spans="1:45" hidden="1" x14ac:dyDescent="0.5">
      <c r="A426" s="31">
        <v>79</v>
      </c>
      <c r="B426" s="31">
        <v>7</v>
      </c>
      <c r="C426" s="225" t="s">
        <v>41</v>
      </c>
      <c r="D426" s="36">
        <v>-67.566861000000003</v>
      </c>
      <c r="E426" s="37">
        <v>-68.125193999999993</v>
      </c>
      <c r="F426">
        <v>0.01</v>
      </c>
      <c r="G426">
        <f>F426*1609.344</f>
        <v>16.093440000000001</v>
      </c>
      <c r="H426" s="32" t="s">
        <v>614</v>
      </c>
      <c r="I426">
        <v>0</v>
      </c>
      <c r="J426">
        <v>0</v>
      </c>
      <c r="K426" s="26">
        <v>2016</v>
      </c>
      <c r="L426" t="s">
        <v>30</v>
      </c>
      <c r="M426" s="32">
        <v>100</v>
      </c>
      <c r="N426">
        <v>11.428783320000001</v>
      </c>
      <c r="O426">
        <v>5</v>
      </c>
      <c r="P426" t="s">
        <v>12</v>
      </c>
      <c r="Q426">
        <v>89</v>
      </c>
      <c r="R426" t="s">
        <v>13</v>
      </c>
      <c r="S426" t="s">
        <v>14</v>
      </c>
      <c r="T426" t="s">
        <v>14</v>
      </c>
      <c r="U426" s="34">
        <v>0</v>
      </c>
      <c r="V426" s="34">
        <v>3</v>
      </c>
      <c r="W426" s="25">
        <v>1.5</v>
      </c>
      <c r="X426" s="25">
        <v>3</v>
      </c>
      <c r="Y426">
        <v>0.77305769000000002</v>
      </c>
      <c r="Z426" t="s">
        <v>1096</v>
      </c>
      <c r="AA426" t="s">
        <v>622</v>
      </c>
      <c r="AB426">
        <v>1</v>
      </c>
      <c r="AC426">
        <v>0</v>
      </c>
      <c r="AF426" t="s">
        <v>520</v>
      </c>
      <c r="AG426" s="32">
        <v>0</v>
      </c>
      <c r="AH426" s="32" t="s">
        <v>671</v>
      </c>
      <c r="AI426" s="32" t="s">
        <v>1129</v>
      </c>
      <c r="AJ426" s="31" t="s">
        <v>1130</v>
      </c>
      <c r="AK426" s="31">
        <v>0.59524549999999998</v>
      </c>
      <c r="AL426" s="31">
        <v>0</v>
      </c>
      <c r="AM426" s="31">
        <v>0</v>
      </c>
      <c r="AN426" s="31">
        <v>0</v>
      </c>
      <c r="AO426" s="31">
        <v>0</v>
      </c>
      <c r="AP426" s="31">
        <v>0</v>
      </c>
      <c r="AQ426" s="31">
        <v>0</v>
      </c>
      <c r="AR426" s="31">
        <v>0.13341858489683281</v>
      </c>
    </row>
    <row r="427" spans="1:45" hidden="1" x14ac:dyDescent="0.5">
      <c r="A427" s="31">
        <v>80</v>
      </c>
      <c r="B427" s="31">
        <v>7</v>
      </c>
      <c r="C427" s="225" t="s">
        <v>41</v>
      </c>
      <c r="D427" s="36">
        <v>-67.566861000000003</v>
      </c>
      <c r="E427" s="37">
        <v>-68.125193999999993</v>
      </c>
      <c r="F427">
        <v>0.01</v>
      </c>
      <c r="G427">
        <f>F427*1609.344</f>
        <v>16.093440000000001</v>
      </c>
      <c r="H427" s="32" t="s">
        <v>614</v>
      </c>
      <c r="I427">
        <v>0</v>
      </c>
      <c r="J427">
        <v>0</v>
      </c>
      <c r="K427" s="26">
        <v>2016</v>
      </c>
      <c r="L427" t="s">
        <v>30</v>
      </c>
      <c r="M427" s="32">
        <v>100</v>
      </c>
      <c r="N427">
        <v>11.428783320000001</v>
      </c>
      <c r="O427">
        <v>5</v>
      </c>
      <c r="P427" t="s">
        <v>12</v>
      </c>
      <c r="Q427">
        <v>89</v>
      </c>
      <c r="R427" t="s">
        <v>13</v>
      </c>
      <c r="S427" t="s">
        <v>14</v>
      </c>
      <c r="T427" t="s">
        <v>14</v>
      </c>
      <c r="U427" s="34">
        <v>0</v>
      </c>
      <c r="V427" s="34">
        <v>3</v>
      </c>
      <c r="W427" s="25">
        <v>1.5</v>
      </c>
      <c r="X427" s="25">
        <v>3</v>
      </c>
      <c r="Y427">
        <v>0.77305769000000002</v>
      </c>
      <c r="Z427" t="s">
        <v>1096</v>
      </c>
      <c r="AA427" t="s">
        <v>622</v>
      </c>
      <c r="AB427">
        <v>1</v>
      </c>
      <c r="AC427">
        <v>0</v>
      </c>
      <c r="AF427" t="s">
        <v>520</v>
      </c>
      <c r="AG427" s="32">
        <v>0</v>
      </c>
      <c r="AH427" s="32" t="s">
        <v>671</v>
      </c>
      <c r="AI427" s="32" t="s">
        <v>1129</v>
      </c>
      <c r="AJ427" s="31" t="s">
        <v>1130</v>
      </c>
      <c r="AK427" s="31">
        <v>0.59524549999999998</v>
      </c>
      <c r="AL427" s="31">
        <v>0</v>
      </c>
      <c r="AM427" s="31">
        <v>0</v>
      </c>
      <c r="AN427" s="31">
        <v>0</v>
      </c>
      <c r="AO427" s="31">
        <v>0</v>
      </c>
      <c r="AP427" s="31">
        <v>0</v>
      </c>
      <c r="AQ427" s="31">
        <v>0</v>
      </c>
      <c r="AR427" s="31">
        <v>0.13341858489683281</v>
      </c>
    </row>
    <row r="428" spans="1:45" hidden="1" x14ac:dyDescent="0.5">
      <c r="A428" s="31">
        <v>81</v>
      </c>
      <c r="B428" s="31">
        <v>7</v>
      </c>
      <c r="C428" s="225" t="s">
        <v>41</v>
      </c>
      <c r="D428" s="36">
        <v>-67.566861000000003</v>
      </c>
      <c r="E428" s="37">
        <v>-68.125193999999993</v>
      </c>
      <c r="F428">
        <v>0.01</v>
      </c>
      <c r="G428">
        <f>F428*1609.344</f>
        <v>16.093440000000001</v>
      </c>
      <c r="H428" s="32" t="s">
        <v>614</v>
      </c>
      <c r="I428">
        <v>0</v>
      </c>
      <c r="J428">
        <v>0</v>
      </c>
      <c r="K428" s="26">
        <v>2016</v>
      </c>
      <c r="L428" t="s">
        <v>30</v>
      </c>
      <c r="M428" s="32">
        <v>100</v>
      </c>
      <c r="N428">
        <v>11.428783320000001</v>
      </c>
      <c r="O428">
        <v>5</v>
      </c>
      <c r="P428" t="s">
        <v>12</v>
      </c>
      <c r="Q428">
        <v>89</v>
      </c>
      <c r="R428" t="s">
        <v>13</v>
      </c>
      <c r="S428" t="s">
        <v>14</v>
      </c>
      <c r="T428" t="s">
        <v>14</v>
      </c>
      <c r="U428" s="34">
        <v>0</v>
      </c>
      <c r="V428" s="34">
        <v>3</v>
      </c>
      <c r="W428" s="25">
        <v>1.5</v>
      </c>
      <c r="X428" s="25">
        <v>3</v>
      </c>
      <c r="Y428">
        <v>0.77305769000000002</v>
      </c>
      <c r="Z428" t="s">
        <v>1096</v>
      </c>
      <c r="AA428" t="s">
        <v>622</v>
      </c>
      <c r="AB428">
        <v>1</v>
      </c>
      <c r="AC428">
        <v>1</v>
      </c>
      <c r="AF428" t="s">
        <v>520</v>
      </c>
      <c r="AG428" s="32" t="s">
        <v>1215</v>
      </c>
      <c r="AH428" s="32" t="s">
        <v>671</v>
      </c>
      <c r="AI428" s="32" t="s">
        <v>1129</v>
      </c>
      <c r="AJ428" s="31" t="s">
        <v>1130</v>
      </c>
      <c r="AK428" s="31">
        <v>0.59524549999999998</v>
      </c>
      <c r="AL428" s="31">
        <v>76.998845972284428</v>
      </c>
      <c r="AM428" s="31">
        <v>52.357606066890057</v>
      </c>
      <c r="AN428" s="31">
        <v>988.76755787336356</v>
      </c>
      <c r="AO428" s="31">
        <v>672.34127516000444</v>
      </c>
      <c r="AP428" s="31">
        <v>0.76437436423652372</v>
      </c>
      <c r="AQ428" s="31">
        <v>0.51975859306684735</v>
      </c>
      <c r="AR428" s="31">
        <v>0.13341858489683281</v>
      </c>
    </row>
    <row r="429" spans="1:45" hidden="1" x14ac:dyDescent="0.5">
      <c r="A429" s="31">
        <v>82</v>
      </c>
      <c r="B429" s="31">
        <v>7</v>
      </c>
      <c r="C429" s="225" t="s">
        <v>41</v>
      </c>
      <c r="D429" s="32">
        <v>-67.565721999999994</v>
      </c>
      <c r="E429" s="38">
        <v>-68.123610999999997</v>
      </c>
      <c r="F429">
        <v>0.01</v>
      </c>
      <c r="G429">
        <f>F429*1609.344</f>
        <v>16.093440000000001</v>
      </c>
      <c r="H429" s="32" t="s">
        <v>614</v>
      </c>
      <c r="I429">
        <v>0</v>
      </c>
      <c r="J429">
        <v>0</v>
      </c>
      <c r="K429" s="26">
        <v>2016</v>
      </c>
      <c r="L429" t="s">
        <v>30</v>
      </c>
      <c r="M429" s="32">
        <v>100</v>
      </c>
      <c r="N429">
        <v>11.428783320000001</v>
      </c>
      <c r="O429">
        <v>5</v>
      </c>
      <c r="P429" t="s">
        <v>12</v>
      </c>
      <c r="Q429">
        <v>89</v>
      </c>
      <c r="R429" t="s">
        <v>13</v>
      </c>
      <c r="S429" t="s">
        <v>14</v>
      </c>
      <c r="T429" t="s">
        <v>14</v>
      </c>
      <c r="U429" s="34">
        <v>0</v>
      </c>
      <c r="V429" s="34">
        <v>3</v>
      </c>
      <c r="W429" s="25">
        <v>1.5</v>
      </c>
      <c r="X429" s="25">
        <v>3</v>
      </c>
      <c r="Y429">
        <v>0.77305769000000002</v>
      </c>
      <c r="Z429" t="s">
        <v>1096</v>
      </c>
      <c r="AA429" t="s">
        <v>622</v>
      </c>
      <c r="AB429">
        <v>1</v>
      </c>
      <c r="AC429">
        <v>0</v>
      </c>
      <c r="AF429" t="s">
        <v>520</v>
      </c>
      <c r="AG429" s="32">
        <v>0</v>
      </c>
      <c r="AH429" s="32" t="s">
        <v>671</v>
      </c>
      <c r="AI429" s="32" t="s">
        <v>1129</v>
      </c>
      <c r="AJ429" s="31" t="s">
        <v>1130</v>
      </c>
      <c r="AK429" s="31">
        <v>0.59524549999999998</v>
      </c>
      <c r="AL429" s="31">
        <v>0</v>
      </c>
      <c r="AM429" s="31">
        <v>0</v>
      </c>
      <c r="AN429" s="31">
        <v>0</v>
      </c>
      <c r="AO429" s="31">
        <v>0</v>
      </c>
      <c r="AP429" s="31">
        <v>0</v>
      </c>
      <c r="AQ429" s="31">
        <v>0</v>
      </c>
      <c r="AR429" s="31">
        <v>0.13341858489683281</v>
      </c>
    </row>
    <row r="430" spans="1:45" hidden="1" x14ac:dyDescent="0.5">
      <c r="A430" s="31">
        <v>429</v>
      </c>
      <c r="B430" s="31">
        <v>30</v>
      </c>
      <c r="C430" s="225" t="s">
        <v>43</v>
      </c>
      <c r="D430" s="41">
        <v>37.862000000000002</v>
      </c>
      <c r="E430" s="43">
        <v>119.444</v>
      </c>
      <c r="F430">
        <v>15.63</v>
      </c>
      <c r="G430">
        <f>F430*1609.344</f>
        <v>25154.046720000002</v>
      </c>
      <c r="H430" s="32" t="s">
        <v>614</v>
      </c>
      <c r="I430">
        <v>10</v>
      </c>
      <c r="J430">
        <v>307.01972836720603</v>
      </c>
      <c r="K430" s="26">
        <v>2016</v>
      </c>
      <c r="L430" t="s">
        <v>30</v>
      </c>
      <c r="M430" s="32">
        <v>65</v>
      </c>
      <c r="N430">
        <v>7.2453993929999996</v>
      </c>
      <c r="O430">
        <v>5</v>
      </c>
      <c r="P430" t="s">
        <v>12</v>
      </c>
      <c r="Q430">
        <v>92.5</v>
      </c>
      <c r="R430" t="s">
        <v>13</v>
      </c>
      <c r="S430" t="s">
        <v>14</v>
      </c>
      <c r="T430" t="s">
        <v>14</v>
      </c>
      <c r="U430" s="34">
        <v>0</v>
      </c>
      <c r="X430" s="25">
        <v>0</v>
      </c>
      <c r="Y430">
        <v>0.61037440899999995</v>
      </c>
      <c r="Z430" t="s">
        <v>812</v>
      </c>
      <c r="AA430" t="s">
        <v>619</v>
      </c>
      <c r="AB430">
        <v>15</v>
      </c>
      <c r="AC430">
        <v>7.82</v>
      </c>
      <c r="AD430">
        <v>3.1</v>
      </c>
      <c r="AE430" t="s">
        <v>519</v>
      </c>
      <c r="AF430" t="s">
        <v>527</v>
      </c>
      <c r="AG430" s="32" t="s">
        <v>1439</v>
      </c>
      <c r="AH430" s="32">
        <v>0.93879999999999997</v>
      </c>
      <c r="AI430" s="32">
        <v>146.82831999999999</v>
      </c>
      <c r="AJ430" s="31" t="s">
        <v>2859</v>
      </c>
      <c r="AK430" s="31">
        <v>0.93879999999999997</v>
      </c>
      <c r="AL430" s="31">
        <v>146.82831999999999</v>
      </c>
      <c r="AM430" s="31">
        <v>9.5716800000000148</v>
      </c>
      <c r="AN430" s="31">
        <v>1150.0862925440103</v>
      </c>
      <c r="AO430" s="31">
        <v>74.973669688638211</v>
      </c>
      <c r="AP430" s="31">
        <v>0.70198324111055133</v>
      </c>
      <c r="AQ430" s="31">
        <v>4.5762009326763754E-2</v>
      </c>
      <c r="AR430" s="31">
        <v>0.13208853699948581</v>
      </c>
      <c r="AS430" s="221">
        <f>AI430*0.6213</f>
        <v>91.224435215999989</v>
      </c>
    </row>
    <row r="431" spans="1:45" hidden="1" x14ac:dyDescent="0.5">
      <c r="A431" s="31">
        <v>430</v>
      </c>
      <c r="B431" s="31">
        <v>30</v>
      </c>
      <c r="C431" s="225" t="s">
        <v>43</v>
      </c>
      <c r="D431" s="41">
        <v>38.095999999999997</v>
      </c>
      <c r="E431" s="43">
        <v>120.04300000000001</v>
      </c>
      <c r="F431">
        <v>31.4</v>
      </c>
      <c r="G431">
        <f>F431*1609.344</f>
        <v>50533.401599999997</v>
      </c>
      <c r="H431" s="32" t="s">
        <v>614</v>
      </c>
      <c r="I431">
        <v>10</v>
      </c>
      <c r="J431">
        <v>508.67404102934699</v>
      </c>
      <c r="K431" s="26">
        <v>2016</v>
      </c>
      <c r="L431" t="s">
        <v>30</v>
      </c>
      <c r="M431" s="32">
        <v>65</v>
      </c>
      <c r="N431">
        <v>7.2453993929999996</v>
      </c>
      <c r="O431">
        <v>5</v>
      </c>
      <c r="P431" t="s">
        <v>12</v>
      </c>
      <c r="Q431">
        <v>92.5</v>
      </c>
      <c r="R431" t="s">
        <v>13</v>
      </c>
      <c r="S431" t="s">
        <v>14</v>
      </c>
      <c r="T431" t="s">
        <v>14</v>
      </c>
      <c r="U431" s="34">
        <v>0</v>
      </c>
      <c r="X431" s="25">
        <v>0</v>
      </c>
      <c r="Y431">
        <v>0.61037440899999995</v>
      </c>
      <c r="Z431" t="s">
        <v>812</v>
      </c>
      <c r="AA431" t="s">
        <v>619</v>
      </c>
      <c r="AB431">
        <v>18</v>
      </c>
      <c r="AC431">
        <v>11.45</v>
      </c>
      <c r="AD431">
        <v>0.82</v>
      </c>
      <c r="AE431" t="s">
        <v>519</v>
      </c>
      <c r="AF431" t="s">
        <v>527</v>
      </c>
      <c r="AG431" s="32">
        <v>229</v>
      </c>
      <c r="AH431" s="32">
        <v>0.93879999999999997</v>
      </c>
      <c r="AI431" s="32">
        <v>214.98519999999999</v>
      </c>
      <c r="AJ431" s="31" t="s">
        <v>2860</v>
      </c>
      <c r="AK431" s="31">
        <v>0.93879999999999997</v>
      </c>
      <c r="AL431" s="31">
        <v>214.98519999999999</v>
      </c>
      <c r="AM431" s="31">
        <v>14.014800000000008</v>
      </c>
      <c r="AN431" s="31">
        <v>1683.9498784691714</v>
      </c>
      <c r="AO431" s="31">
        <v>109.77602531136914</v>
      </c>
      <c r="AP431" s="31">
        <v>1.0278399118562422</v>
      </c>
      <c r="AQ431" s="31">
        <v>6.7004476571795979E-2</v>
      </c>
      <c r="AR431" s="31">
        <v>0.13208853699948581</v>
      </c>
      <c r="AS431" s="221">
        <f t="shared" ref="AS431:AS442" si="4">AI431*0.6213</f>
        <v>133.57030476</v>
      </c>
    </row>
    <row r="432" spans="1:45" hidden="1" x14ac:dyDescent="0.5">
      <c r="A432" s="31">
        <v>431</v>
      </c>
      <c r="B432" s="31">
        <v>30</v>
      </c>
      <c r="C432" s="225" t="s">
        <v>43</v>
      </c>
      <c r="D432" s="41">
        <v>33.716884</v>
      </c>
      <c r="E432" s="43">
        <v>123.390299</v>
      </c>
      <c r="F432">
        <v>168.05</v>
      </c>
      <c r="G432">
        <f>F432*1609.344</f>
        <v>270450.25920000003</v>
      </c>
      <c r="H432" s="32" t="s">
        <v>614</v>
      </c>
      <c r="I432">
        <v>20</v>
      </c>
      <c r="J432">
        <v>0</v>
      </c>
      <c r="K432" s="26">
        <v>2016</v>
      </c>
      <c r="L432" t="s">
        <v>30</v>
      </c>
      <c r="M432" s="32">
        <v>65</v>
      </c>
      <c r="N432">
        <v>7.2453993929999996</v>
      </c>
      <c r="O432">
        <v>5</v>
      </c>
      <c r="P432" t="s">
        <v>12</v>
      </c>
      <c r="Q432">
        <v>92.5</v>
      </c>
      <c r="R432" t="s">
        <v>13</v>
      </c>
      <c r="S432" t="s">
        <v>14</v>
      </c>
      <c r="T432" t="s">
        <v>14</v>
      </c>
      <c r="U432" s="34">
        <v>0</v>
      </c>
      <c r="X432" s="25">
        <v>0</v>
      </c>
      <c r="Y432">
        <v>0.61037440899999995</v>
      </c>
      <c r="Z432" t="s">
        <v>812</v>
      </c>
      <c r="AA432" t="s">
        <v>619</v>
      </c>
      <c r="AB432">
        <v>12</v>
      </c>
      <c r="AC432">
        <v>4.3899999999999997</v>
      </c>
      <c r="AD432">
        <v>1.1100000000000001</v>
      </c>
      <c r="AE432" t="s">
        <v>519</v>
      </c>
      <c r="AF432" t="s">
        <v>527</v>
      </c>
      <c r="AG432" s="32" t="s">
        <v>1440</v>
      </c>
      <c r="AH432" s="32">
        <v>0.93879999999999997</v>
      </c>
      <c r="AI432" s="32">
        <v>82.426640000000006</v>
      </c>
      <c r="AJ432" s="31" t="s">
        <v>2861</v>
      </c>
      <c r="AK432" s="31">
        <v>0.93879999999999997</v>
      </c>
      <c r="AL432" s="31">
        <v>82.426639999999992</v>
      </c>
      <c r="AM432" s="31">
        <v>5.3733600000000052</v>
      </c>
      <c r="AN432" s="31">
        <v>645.63667829516703</v>
      </c>
      <c r="AO432" s="31">
        <v>42.088799224184335</v>
      </c>
      <c r="AP432" s="31">
        <v>0.39408010594313564</v>
      </c>
      <c r="AQ432" s="31">
        <v>2.568992595198117E-2</v>
      </c>
      <c r="AR432" s="31">
        <v>0.13077174832993385</v>
      </c>
      <c r="AS432" s="221">
        <f t="shared" si="4"/>
        <v>51.211671432000003</v>
      </c>
    </row>
    <row r="433" spans="1:45" hidden="1" x14ac:dyDescent="0.5">
      <c r="A433" s="31">
        <v>432</v>
      </c>
      <c r="B433" s="31">
        <v>30</v>
      </c>
      <c r="C433" s="225" t="s">
        <v>43</v>
      </c>
      <c r="D433" s="41">
        <v>38.585999999999999</v>
      </c>
      <c r="E433" s="43">
        <v>118.854</v>
      </c>
      <c r="F433">
        <v>27.43</v>
      </c>
      <c r="G433">
        <f>F433*1609.344</f>
        <v>44144.305919999999</v>
      </c>
      <c r="H433" s="32" t="s">
        <v>614</v>
      </c>
      <c r="I433">
        <v>20</v>
      </c>
      <c r="J433">
        <v>227.925659844145</v>
      </c>
      <c r="K433" s="26">
        <v>2016</v>
      </c>
      <c r="L433" t="s">
        <v>30</v>
      </c>
      <c r="M433" s="32">
        <v>65</v>
      </c>
      <c r="N433">
        <v>7.2453993929999996</v>
      </c>
      <c r="O433">
        <v>5</v>
      </c>
      <c r="P433" t="s">
        <v>12</v>
      </c>
      <c r="Q433">
        <v>92.5</v>
      </c>
      <c r="R433" t="s">
        <v>13</v>
      </c>
      <c r="S433" t="s">
        <v>14</v>
      </c>
      <c r="T433" t="s">
        <v>14</v>
      </c>
      <c r="U433" s="34">
        <v>0</v>
      </c>
      <c r="X433" s="25">
        <v>0</v>
      </c>
      <c r="Y433">
        <v>0.61037440899999995</v>
      </c>
      <c r="Z433" t="s">
        <v>812</v>
      </c>
      <c r="AA433" t="s">
        <v>619</v>
      </c>
      <c r="AB433">
        <v>12</v>
      </c>
      <c r="AC433">
        <v>9.8000000000000007</v>
      </c>
      <c r="AD433">
        <v>1.97</v>
      </c>
      <c r="AE433" t="s">
        <v>519</v>
      </c>
      <c r="AF433" t="s">
        <v>527</v>
      </c>
      <c r="AG433" s="32">
        <v>196</v>
      </c>
      <c r="AH433" s="32">
        <v>0.93879999999999997</v>
      </c>
      <c r="AI433" s="32">
        <v>184.00479999999999</v>
      </c>
      <c r="AJ433" s="31" t="s">
        <v>2862</v>
      </c>
      <c r="AK433" s="31">
        <v>0.93879999999999997</v>
      </c>
      <c r="AL433" s="31">
        <v>184.00479999999999</v>
      </c>
      <c r="AM433" s="31">
        <v>11.995200000000011</v>
      </c>
      <c r="AN433" s="31">
        <v>1441.2846121395526</v>
      </c>
      <c r="AO433" s="31">
        <v>93.95677275558235</v>
      </c>
      <c r="AP433" s="31">
        <v>0.87972324333547358</v>
      </c>
      <c r="AQ433" s="31">
        <v>5.7348809642235876E-2</v>
      </c>
      <c r="AR433" s="31">
        <v>0.13077174832993385</v>
      </c>
      <c r="AS433" s="221">
        <f t="shared" si="4"/>
        <v>114.32218223999999</v>
      </c>
    </row>
    <row r="434" spans="1:45" hidden="1" x14ac:dyDescent="0.5">
      <c r="A434" s="31">
        <v>433</v>
      </c>
      <c r="B434" s="31">
        <v>30</v>
      </c>
      <c r="C434" s="225" t="s">
        <v>43</v>
      </c>
      <c r="D434" s="41">
        <v>39.396999999999998</v>
      </c>
      <c r="E434" s="43">
        <v>120.20399999999999</v>
      </c>
      <c r="F434">
        <v>56.52</v>
      </c>
      <c r="G434">
        <f>F434*1609.344</f>
        <v>90960.12288000001</v>
      </c>
      <c r="H434" s="32" t="s">
        <v>614</v>
      </c>
      <c r="I434">
        <v>30</v>
      </c>
      <c r="J434">
        <v>620.20670093891601</v>
      </c>
      <c r="K434" s="26">
        <v>2016</v>
      </c>
      <c r="L434" t="s">
        <v>30</v>
      </c>
      <c r="M434" s="32">
        <v>65</v>
      </c>
      <c r="N434">
        <v>7.2453993929999996</v>
      </c>
      <c r="O434">
        <v>5</v>
      </c>
      <c r="P434" t="s">
        <v>12</v>
      </c>
      <c r="Q434">
        <v>92.5</v>
      </c>
      <c r="R434" t="s">
        <v>13</v>
      </c>
      <c r="S434" t="s">
        <v>14</v>
      </c>
      <c r="T434" t="s">
        <v>14</v>
      </c>
      <c r="U434" s="34">
        <v>0</v>
      </c>
      <c r="X434" s="25">
        <v>0</v>
      </c>
      <c r="Y434">
        <v>0.61037440899999995</v>
      </c>
      <c r="Z434" t="s">
        <v>812</v>
      </c>
      <c r="AA434" t="s">
        <v>619</v>
      </c>
      <c r="AB434">
        <v>21</v>
      </c>
      <c r="AC434">
        <v>6.24</v>
      </c>
      <c r="AD434">
        <v>1.66</v>
      </c>
      <c r="AE434" t="s">
        <v>519</v>
      </c>
      <c r="AF434" t="s">
        <v>527</v>
      </c>
      <c r="AG434" s="32" t="s">
        <v>1441</v>
      </c>
      <c r="AH434" s="32">
        <v>0.93879999999999997</v>
      </c>
      <c r="AI434" s="32">
        <v>117.16224</v>
      </c>
      <c r="AJ434" s="31" t="s">
        <v>2863</v>
      </c>
      <c r="AK434" s="31">
        <v>0.93879999999999997</v>
      </c>
      <c r="AL434" s="31">
        <v>117.16224000000001</v>
      </c>
      <c r="AM434" s="31">
        <v>7.6377600000000001</v>
      </c>
      <c r="AN434" s="31">
        <v>917.71591630110299</v>
      </c>
      <c r="AO434" s="31">
        <v>59.825536938248305</v>
      </c>
      <c r="AP434" s="31">
        <v>0.56015031004217908</v>
      </c>
      <c r="AQ434" s="31">
        <v>3.6515976751790975E-2</v>
      </c>
      <c r="AR434" s="31">
        <v>0.12946808670713136</v>
      </c>
      <c r="AS434" s="221">
        <f t="shared" si="4"/>
        <v>72.792899711999993</v>
      </c>
    </row>
    <row r="435" spans="1:45" hidden="1" x14ac:dyDescent="0.5">
      <c r="A435" s="31">
        <v>434</v>
      </c>
      <c r="B435" s="31">
        <v>30</v>
      </c>
      <c r="C435" s="225" t="s">
        <v>43</v>
      </c>
      <c r="D435" s="41">
        <v>35.270245000000003</v>
      </c>
      <c r="E435" s="43">
        <v>122.83520300000001</v>
      </c>
      <c r="F435">
        <v>138.99</v>
      </c>
      <c r="G435">
        <f>F435*1609.344</f>
        <v>223682.72256000002</v>
      </c>
      <c r="H435" s="32" t="s">
        <v>614</v>
      </c>
      <c r="I435">
        <v>45</v>
      </c>
      <c r="J435">
        <v>0</v>
      </c>
      <c r="K435" s="26">
        <v>2016</v>
      </c>
      <c r="L435" t="s">
        <v>30</v>
      </c>
      <c r="M435" s="32">
        <v>65</v>
      </c>
      <c r="N435">
        <v>7.2453993929999996</v>
      </c>
      <c r="O435">
        <v>5</v>
      </c>
      <c r="P435" t="s">
        <v>12</v>
      </c>
      <c r="Q435">
        <v>92.5</v>
      </c>
      <c r="R435" t="s">
        <v>13</v>
      </c>
      <c r="S435" t="s">
        <v>14</v>
      </c>
      <c r="T435" t="s">
        <v>14</v>
      </c>
      <c r="U435" s="34">
        <v>0</v>
      </c>
      <c r="X435" s="25">
        <v>0</v>
      </c>
      <c r="Y435">
        <v>0.61037440899999995</v>
      </c>
      <c r="Z435" t="s">
        <v>812</v>
      </c>
      <c r="AA435" t="s">
        <v>619</v>
      </c>
      <c r="AB435">
        <v>24</v>
      </c>
      <c r="AC435">
        <v>2.85</v>
      </c>
      <c r="AD435">
        <v>0.98</v>
      </c>
      <c r="AE435" t="s">
        <v>519</v>
      </c>
      <c r="AF435" t="s">
        <v>527</v>
      </c>
      <c r="AG435" s="32">
        <v>57</v>
      </c>
      <c r="AH435" s="32">
        <v>0.93879999999999997</v>
      </c>
      <c r="AI435" s="32">
        <v>53.511600000000001</v>
      </c>
      <c r="AJ435" s="31" t="s">
        <v>2864</v>
      </c>
      <c r="AK435" s="31">
        <v>0.93879999999999997</v>
      </c>
      <c r="AL435" s="31">
        <v>53.511600000000001</v>
      </c>
      <c r="AM435" s="31">
        <v>3.4883999999999986</v>
      </c>
      <c r="AN435" s="31">
        <v>419.149096387523</v>
      </c>
      <c r="AO435" s="31">
        <v>27.324163505449935</v>
      </c>
      <c r="AP435" s="31">
        <v>0.25583788199041835</v>
      </c>
      <c r="AQ435" s="31">
        <v>1.6677970151058371E-2</v>
      </c>
      <c r="AR435" s="31">
        <v>0.12753692157911437</v>
      </c>
      <c r="AS435" s="221">
        <f t="shared" si="4"/>
        <v>33.246757080000002</v>
      </c>
    </row>
    <row r="436" spans="1:45" hidden="1" x14ac:dyDescent="0.5">
      <c r="A436" s="31">
        <v>435</v>
      </c>
      <c r="B436" s="31">
        <v>30</v>
      </c>
      <c r="C436" s="225" t="s">
        <v>43</v>
      </c>
      <c r="D436" s="41">
        <v>38.585999999999999</v>
      </c>
      <c r="E436" s="43">
        <v>121.928</v>
      </c>
      <c r="F436">
        <v>25.67</v>
      </c>
      <c r="G436">
        <f>F436*1609.344</f>
        <v>41311.860480000003</v>
      </c>
      <c r="H436" s="32" t="s">
        <v>614</v>
      </c>
      <c r="I436">
        <v>45</v>
      </c>
      <c r="J436">
        <v>1192.9369333013001</v>
      </c>
      <c r="K436" s="26">
        <v>2016</v>
      </c>
      <c r="L436" t="s">
        <v>30</v>
      </c>
      <c r="M436" s="32">
        <v>65</v>
      </c>
      <c r="N436">
        <v>7.2453993929999996</v>
      </c>
      <c r="O436">
        <v>5</v>
      </c>
      <c r="P436" t="s">
        <v>12</v>
      </c>
      <c r="Q436">
        <v>92.5</v>
      </c>
      <c r="R436" t="s">
        <v>13</v>
      </c>
      <c r="S436" t="s">
        <v>14</v>
      </c>
      <c r="T436" t="s">
        <v>14</v>
      </c>
      <c r="U436" s="34">
        <v>0</v>
      </c>
      <c r="X436" s="25">
        <v>0</v>
      </c>
      <c r="Y436">
        <v>0.61037440899999995</v>
      </c>
      <c r="Z436" t="s">
        <v>812</v>
      </c>
      <c r="AA436" t="s">
        <v>619</v>
      </c>
      <c r="AB436">
        <v>9</v>
      </c>
      <c r="AC436">
        <v>4.5</v>
      </c>
      <c r="AD436">
        <v>0.56000000000000005</v>
      </c>
      <c r="AE436" t="s">
        <v>519</v>
      </c>
      <c r="AF436" t="s">
        <v>527</v>
      </c>
      <c r="AG436" s="32">
        <v>90</v>
      </c>
      <c r="AH436" s="32">
        <v>0.93879999999999997</v>
      </c>
      <c r="AI436" s="32">
        <v>84.492000000000004</v>
      </c>
      <c r="AJ436" s="31" t="s">
        <v>2865</v>
      </c>
      <c r="AK436" s="31">
        <v>0.93879999999999997</v>
      </c>
      <c r="AL436" s="31">
        <v>84.49199999999999</v>
      </c>
      <c r="AM436" s="31">
        <v>5.5080000000000098</v>
      </c>
      <c r="AN436" s="31">
        <v>661.81436271714165</v>
      </c>
      <c r="AO436" s="31">
        <v>43.143416061236827</v>
      </c>
      <c r="AP436" s="31">
        <v>0.40395455051118695</v>
      </c>
      <c r="AQ436" s="31">
        <v>2.6333637080618533E-2</v>
      </c>
      <c r="AR436" s="31">
        <v>0.12753692157911437</v>
      </c>
      <c r="AS436" s="221">
        <f t="shared" si="4"/>
        <v>52.494879599999997</v>
      </c>
    </row>
    <row r="437" spans="1:45" hidden="1" x14ac:dyDescent="0.5">
      <c r="A437" s="31">
        <v>436</v>
      </c>
      <c r="B437" s="31">
        <v>30</v>
      </c>
      <c r="C437" s="225" t="s">
        <v>43</v>
      </c>
      <c r="D437" s="41">
        <v>37.106000000000002</v>
      </c>
      <c r="E437" s="43">
        <v>123.639</v>
      </c>
      <c r="F437">
        <v>57.75</v>
      </c>
      <c r="G437">
        <f>F437*1609.344</f>
        <v>92939.616000000009</v>
      </c>
      <c r="H437" s="32" t="s">
        <v>614</v>
      </c>
      <c r="I437">
        <v>50</v>
      </c>
      <c r="J437">
        <v>470.46576232910201</v>
      </c>
      <c r="K437" s="26">
        <v>2016</v>
      </c>
      <c r="L437" t="s">
        <v>30</v>
      </c>
      <c r="M437" s="32">
        <v>65</v>
      </c>
      <c r="N437">
        <v>7.2453993929999996</v>
      </c>
      <c r="O437">
        <v>5</v>
      </c>
      <c r="P437" t="s">
        <v>12</v>
      </c>
      <c r="Q437">
        <v>92.5</v>
      </c>
      <c r="R437" t="s">
        <v>13</v>
      </c>
      <c r="S437" t="s">
        <v>14</v>
      </c>
      <c r="T437" t="s">
        <v>14</v>
      </c>
      <c r="U437" s="34">
        <v>0</v>
      </c>
      <c r="X437" s="25">
        <v>0</v>
      </c>
      <c r="Y437">
        <v>0.61037440899999995</v>
      </c>
      <c r="Z437" t="s">
        <v>812</v>
      </c>
      <c r="AA437" t="s">
        <v>619</v>
      </c>
      <c r="AB437">
        <v>21</v>
      </c>
      <c r="AC437">
        <v>5.42</v>
      </c>
      <c r="AD437">
        <v>2.37</v>
      </c>
      <c r="AE437" t="s">
        <v>519</v>
      </c>
      <c r="AF437" t="s">
        <v>527</v>
      </c>
      <c r="AG437" s="32" t="s">
        <v>1442</v>
      </c>
      <c r="AH437" s="32">
        <v>0.93879999999999997</v>
      </c>
      <c r="AI437" s="32">
        <v>101.76591999999999</v>
      </c>
      <c r="AJ437" s="31" t="s">
        <v>2866</v>
      </c>
      <c r="AK437" s="31">
        <v>0.93879999999999997</v>
      </c>
      <c r="AL437" s="31">
        <v>101.76592000000001</v>
      </c>
      <c r="AM437" s="31">
        <v>6.6340799999999973</v>
      </c>
      <c r="AN437" s="31">
        <v>797.11863242820164</v>
      </c>
      <c r="AO437" s="31">
        <v>51.963847789311799</v>
      </c>
      <c r="AP437" s="31">
        <v>0.48654081417125178</v>
      </c>
      <c r="AQ437" s="31">
        <v>3.1717402883767142E-2</v>
      </c>
      <c r="AR437" s="31">
        <v>0.12689962245301062</v>
      </c>
      <c r="AS437" s="221">
        <f t="shared" si="4"/>
        <v>63.227166095999991</v>
      </c>
    </row>
    <row r="438" spans="1:45" hidden="1" x14ac:dyDescent="0.5">
      <c r="A438" s="31">
        <v>437</v>
      </c>
      <c r="B438" s="31">
        <v>30</v>
      </c>
      <c r="C438" s="225" t="s">
        <v>43</v>
      </c>
      <c r="D438" s="41">
        <v>36.189942000000002</v>
      </c>
      <c r="E438" s="43">
        <v>122.87322899999999</v>
      </c>
      <c r="F438">
        <v>51.02</v>
      </c>
      <c r="G438">
        <f>F438*1609.344</f>
        <v>82108.730880000003</v>
      </c>
      <c r="H438" s="32" t="s">
        <v>614</v>
      </c>
      <c r="I438">
        <v>51</v>
      </c>
      <c r="J438">
        <v>609.33688856151002</v>
      </c>
      <c r="K438" s="26">
        <v>2016</v>
      </c>
      <c r="L438" t="s">
        <v>30</v>
      </c>
      <c r="M438" s="32">
        <v>65</v>
      </c>
      <c r="N438">
        <v>7.2453993929999996</v>
      </c>
      <c r="O438">
        <v>5</v>
      </c>
      <c r="P438" t="s">
        <v>12</v>
      </c>
      <c r="Q438">
        <v>92.5</v>
      </c>
      <c r="R438" t="s">
        <v>13</v>
      </c>
      <c r="S438" t="s">
        <v>14</v>
      </c>
      <c r="T438" t="s">
        <v>14</v>
      </c>
      <c r="U438" s="34">
        <v>0</v>
      </c>
      <c r="X438" s="25">
        <v>0</v>
      </c>
      <c r="Y438">
        <v>0.61037440899999995</v>
      </c>
      <c r="Z438" t="s">
        <v>812</v>
      </c>
      <c r="AA438" t="s">
        <v>619</v>
      </c>
      <c r="AB438">
        <v>24</v>
      </c>
      <c r="AC438">
        <v>3.45</v>
      </c>
      <c r="AD438">
        <v>1.6</v>
      </c>
      <c r="AE438" t="s">
        <v>519</v>
      </c>
      <c r="AF438" t="s">
        <v>527</v>
      </c>
      <c r="AG438" s="32">
        <v>69</v>
      </c>
      <c r="AH438" s="32">
        <v>0.93879999999999997</v>
      </c>
      <c r="AI438" s="32">
        <v>64.777199999999993</v>
      </c>
      <c r="AJ438" s="31" t="s">
        <v>2867</v>
      </c>
      <c r="AK438" s="31">
        <v>0.93879999999999997</v>
      </c>
      <c r="AL438" s="31">
        <v>64.777199999999993</v>
      </c>
      <c r="AM438" s="31">
        <v>4.2228000000000065</v>
      </c>
      <c r="AN438" s="31">
        <v>507.39101141647512</v>
      </c>
      <c r="AO438" s="31">
        <v>33.076618980281566</v>
      </c>
      <c r="AP438" s="31">
        <v>0.30969848872524325</v>
      </c>
      <c r="AQ438" s="31">
        <v>2.0189121761807542E-2</v>
      </c>
      <c r="AR438" s="31">
        <v>0.12677254528648768</v>
      </c>
      <c r="AS438" s="221">
        <f t="shared" si="4"/>
        <v>40.246074359999994</v>
      </c>
    </row>
    <row r="439" spans="1:45" hidden="1" x14ac:dyDescent="0.5">
      <c r="A439" s="31">
        <v>438</v>
      </c>
      <c r="B439" s="31">
        <v>30</v>
      </c>
      <c r="C439" s="225" t="s">
        <v>43</v>
      </c>
      <c r="D439" s="41">
        <v>38.088000000000001</v>
      </c>
      <c r="E439" s="43">
        <v>121.282</v>
      </c>
      <c r="F439">
        <v>23.26</v>
      </c>
      <c r="G439">
        <f>F439*1609.344</f>
        <v>37433.341440000004</v>
      </c>
      <c r="H439" s="32" t="s">
        <v>614</v>
      </c>
      <c r="I439">
        <v>55</v>
      </c>
      <c r="J439">
        <v>1061.55757817721</v>
      </c>
      <c r="K439" s="26">
        <v>2016</v>
      </c>
      <c r="L439" t="s">
        <v>30</v>
      </c>
      <c r="M439" s="32">
        <v>65</v>
      </c>
      <c r="N439">
        <v>7.2453993929999996</v>
      </c>
      <c r="O439">
        <v>5</v>
      </c>
      <c r="P439" t="s">
        <v>12</v>
      </c>
      <c r="Q439">
        <v>92.5</v>
      </c>
      <c r="R439" t="s">
        <v>13</v>
      </c>
      <c r="S439" t="s">
        <v>14</v>
      </c>
      <c r="T439" t="s">
        <v>14</v>
      </c>
      <c r="U439" s="34">
        <v>0</v>
      </c>
      <c r="X439" s="25">
        <v>0</v>
      </c>
      <c r="Y439">
        <v>0.61037440899999995</v>
      </c>
      <c r="Z439" t="s">
        <v>812</v>
      </c>
      <c r="AA439" t="s">
        <v>619</v>
      </c>
      <c r="AB439">
        <v>9</v>
      </c>
      <c r="AC439">
        <v>11.03</v>
      </c>
      <c r="AD439">
        <v>5.62</v>
      </c>
      <c r="AE439" t="s">
        <v>519</v>
      </c>
      <c r="AF439" t="s">
        <v>527</v>
      </c>
      <c r="AG439" s="32" t="s">
        <v>1443</v>
      </c>
      <c r="AH439" s="32">
        <v>0.93879999999999997</v>
      </c>
      <c r="AI439" s="32">
        <v>207.09927999999999</v>
      </c>
      <c r="AJ439" s="31" t="s">
        <v>2868</v>
      </c>
      <c r="AK439" s="31">
        <v>0.93879999999999997</v>
      </c>
      <c r="AL439" s="31">
        <v>207.09927999999999</v>
      </c>
      <c r="AM439" s="31">
        <v>13.500720000000001</v>
      </c>
      <c r="AN439" s="31">
        <v>1622.1805379489049</v>
      </c>
      <c r="AO439" s="31">
        <v>105.74930647898699</v>
      </c>
      <c r="AP439" s="31">
        <v>0.99013748714186489</v>
      </c>
      <c r="AQ439" s="31">
        <v>6.4546670444271551E-2</v>
      </c>
      <c r="AR439" s="31">
        <v>0.12626550789629359</v>
      </c>
      <c r="AS439" s="221">
        <f t="shared" si="4"/>
        <v>128.670782664</v>
      </c>
    </row>
    <row r="440" spans="1:45" hidden="1" x14ac:dyDescent="0.5">
      <c r="A440" s="31">
        <v>439</v>
      </c>
      <c r="B440" s="31">
        <v>30</v>
      </c>
      <c r="C440" s="225" t="s">
        <v>43</v>
      </c>
      <c r="D440" s="41">
        <v>33.864114999999998</v>
      </c>
      <c r="E440" s="43">
        <v>123.066439</v>
      </c>
      <c r="F440">
        <v>147.52000000000001</v>
      </c>
      <c r="G440">
        <f>F440*1609.344</f>
        <v>237410.42688000001</v>
      </c>
      <c r="H440" s="32" t="s">
        <v>614</v>
      </c>
      <c r="I440">
        <v>60</v>
      </c>
      <c r="J440">
        <v>0</v>
      </c>
      <c r="K440" s="26">
        <v>2016</v>
      </c>
      <c r="L440" t="s">
        <v>30</v>
      </c>
      <c r="M440" s="32">
        <v>65</v>
      </c>
      <c r="N440">
        <v>7.2453993929999996</v>
      </c>
      <c r="O440">
        <v>5</v>
      </c>
      <c r="P440" t="s">
        <v>12</v>
      </c>
      <c r="Q440">
        <v>92.5</v>
      </c>
      <c r="R440" t="s">
        <v>13</v>
      </c>
      <c r="S440" t="s">
        <v>14</v>
      </c>
      <c r="T440" t="s">
        <v>14</v>
      </c>
      <c r="U440" s="34">
        <v>0</v>
      </c>
      <c r="X440" s="25">
        <v>0</v>
      </c>
      <c r="Y440">
        <v>0.61037440899999995</v>
      </c>
      <c r="Z440" t="s">
        <v>812</v>
      </c>
      <c r="AA440" t="s">
        <v>619</v>
      </c>
      <c r="AB440">
        <v>21</v>
      </c>
      <c r="AC440">
        <v>3.33</v>
      </c>
      <c r="AD440">
        <v>0.89</v>
      </c>
      <c r="AE440" t="s">
        <v>519</v>
      </c>
      <c r="AF440" t="s">
        <v>527</v>
      </c>
      <c r="AG440" s="32" t="s">
        <v>1444</v>
      </c>
      <c r="AH440" s="32">
        <v>0.93879999999999997</v>
      </c>
      <c r="AI440" s="32">
        <v>62.524079999999998</v>
      </c>
      <c r="AJ440" s="31" t="s">
        <v>2869</v>
      </c>
      <c r="AK440" s="31">
        <v>0.93879999999999997</v>
      </c>
      <c r="AL440" s="31">
        <v>62.524079999999991</v>
      </c>
      <c r="AM440" s="31">
        <v>4.0759200000000035</v>
      </c>
      <c r="AN440" s="31">
        <v>489.74262841068469</v>
      </c>
      <c r="AO440" s="31">
        <v>31.926127885315225</v>
      </c>
      <c r="AP440" s="31">
        <v>0.29892636737827821</v>
      </c>
      <c r="AQ440" s="31">
        <v>1.9486891439657698E-2</v>
      </c>
      <c r="AR440" s="31">
        <v>0.12563456199574177</v>
      </c>
      <c r="AS440" s="221">
        <f t="shared" si="4"/>
        <v>38.846210903999996</v>
      </c>
    </row>
    <row r="441" spans="1:45" hidden="1" x14ac:dyDescent="0.5">
      <c r="A441" s="31">
        <v>440</v>
      </c>
      <c r="B441" s="31">
        <v>30</v>
      </c>
      <c r="C441" s="225" t="s">
        <v>43</v>
      </c>
      <c r="D441" s="41">
        <v>35.972209999999997</v>
      </c>
      <c r="E441" s="43">
        <v>122.846682</v>
      </c>
      <c r="F441">
        <v>67.53</v>
      </c>
      <c r="G441">
        <f>F441*1609.344</f>
        <v>108679.00032000001</v>
      </c>
      <c r="H441" s="32" t="s">
        <v>614</v>
      </c>
      <c r="I441">
        <v>60</v>
      </c>
      <c r="J441">
        <v>1016.8504227348</v>
      </c>
      <c r="K441" s="26">
        <v>2016</v>
      </c>
      <c r="L441" t="s">
        <v>30</v>
      </c>
      <c r="M441" s="32">
        <v>65</v>
      </c>
      <c r="N441">
        <v>7.2453993929999996</v>
      </c>
      <c r="O441">
        <v>5</v>
      </c>
      <c r="P441" t="s">
        <v>12</v>
      </c>
      <c r="Q441">
        <v>92.5</v>
      </c>
      <c r="R441" t="s">
        <v>13</v>
      </c>
      <c r="S441" t="s">
        <v>14</v>
      </c>
      <c r="T441" t="s">
        <v>14</v>
      </c>
      <c r="U441" s="34">
        <v>0</v>
      </c>
      <c r="X441" s="25">
        <v>0</v>
      </c>
      <c r="Y441">
        <v>0.61037440899999995</v>
      </c>
      <c r="Z441" t="s">
        <v>812</v>
      </c>
      <c r="AA441" t="s">
        <v>619</v>
      </c>
      <c r="AB441">
        <v>18</v>
      </c>
      <c r="AC441">
        <v>4.57</v>
      </c>
      <c r="AD441">
        <v>1.6</v>
      </c>
      <c r="AE441" t="s">
        <v>519</v>
      </c>
      <c r="AF441" t="s">
        <v>527</v>
      </c>
      <c r="AG441" s="32" t="s">
        <v>1445</v>
      </c>
      <c r="AH441" s="32">
        <v>0.93879999999999997</v>
      </c>
      <c r="AI441" s="32">
        <v>85.806319999999999</v>
      </c>
      <c r="AJ441" s="31" t="s">
        <v>2870</v>
      </c>
      <c r="AK441" s="31">
        <v>0.93879999999999997</v>
      </c>
      <c r="AL441" s="31">
        <v>85.806319999999999</v>
      </c>
      <c r="AM441" s="31">
        <v>5.5936800000000062</v>
      </c>
      <c r="AN441" s="31">
        <v>672.10925280385266</v>
      </c>
      <c r="AO441" s="31">
        <v>43.814535866633818</v>
      </c>
      <c r="AP441" s="31">
        <v>0.41023828796358314</v>
      </c>
      <c r="AQ441" s="31">
        <v>2.6743271435205915E-2</v>
      </c>
      <c r="AR441" s="31">
        <v>0.12563456199574177</v>
      </c>
      <c r="AS441" s="221">
        <f t="shared" si="4"/>
        <v>53.311466615999997</v>
      </c>
    </row>
    <row r="442" spans="1:45" hidden="1" x14ac:dyDescent="0.5">
      <c r="A442" s="31">
        <v>441</v>
      </c>
      <c r="B442" s="31">
        <v>30</v>
      </c>
      <c r="C442" s="225" t="s">
        <v>43</v>
      </c>
      <c r="D442" s="41">
        <v>38.348999999999997</v>
      </c>
      <c r="E442" s="43">
        <v>123.17100000000001</v>
      </c>
      <c r="F442">
        <v>68.67</v>
      </c>
      <c r="G442">
        <f>F442*1609.344</f>
        <v>110513.65248</v>
      </c>
      <c r="H442" s="32" t="s">
        <v>614</v>
      </c>
      <c r="I442">
        <v>65</v>
      </c>
      <c r="J442">
        <v>606.25406677598903</v>
      </c>
      <c r="K442" s="26">
        <v>2016</v>
      </c>
      <c r="L442" t="s">
        <v>30</v>
      </c>
      <c r="M442" s="32">
        <v>65</v>
      </c>
      <c r="N442">
        <v>7.2453993929999996</v>
      </c>
      <c r="O442">
        <v>5</v>
      </c>
      <c r="P442" t="s">
        <v>12</v>
      </c>
      <c r="Q442">
        <v>92.5</v>
      </c>
      <c r="R442" t="s">
        <v>13</v>
      </c>
      <c r="S442" t="s">
        <v>14</v>
      </c>
      <c r="T442" t="s">
        <v>14</v>
      </c>
      <c r="U442" s="34">
        <v>0</v>
      </c>
      <c r="X442" s="25">
        <v>0</v>
      </c>
      <c r="Y442">
        <v>0.61037440899999995</v>
      </c>
      <c r="Z442" t="s">
        <v>812</v>
      </c>
      <c r="AA442" t="s">
        <v>619</v>
      </c>
      <c r="AB442">
        <v>12</v>
      </c>
      <c r="AC442">
        <v>5.13</v>
      </c>
      <c r="AD442">
        <v>2.56</v>
      </c>
      <c r="AE442" t="s">
        <v>519</v>
      </c>
      <c r="AF442" t="s">
        <v>527</v>
      </c>
      <c r="AG442" s="32" t="s">
        <v>1446</v>
      </c>
      <c r="AH442" s="32">
        <v>0.93879999999999997</v>
      </c>
      <c r="AI442" s="32">
        <v>96.320880000000002</v>
      </c>
      <c r="AJ442" s="31" t="s">
        <v>2871</v>
      </c>
      <c r="AK442" s="31">
        <v>0.93879999999999997</v>
      </c>
      <c r="AL442" s="31">
        <v>96.320879999999988</v>
      </c>
      <c r="AM442" s="31">
        <v>6.279120000000006</v>
      </c>
      <c r="AN442" s="31">
        <v>754.46837349754139</v>
      </c>
      <c r="AO442" s="31">
        <v>49.183494309809952</v>
      </c>
      <c r="AP442" s="31">
        <v>0.46050818758275303</v>
      </c>
      <c r="AQ442" s="31">
        <v>3.0020346271905109E-2</v>
      </c>
      <c r="AR442" s="31">
        <v>0.1250067689176515</v>
      </c>
      <c r="AS442" s="221">
        <f t="shared" si="4"/>
        <v>59.844162743999995</v>
      </c>
    </row>
    <row r="443" spans="1:45" hidden="1" x14ac:dyDescent="0.5">
      <c r="A443" s="31">
        <v>83</v>
      </c>
      <c r="B443" s="31">
        <v>7</v>
      </c>
      <c r="C443" s="225" t="s">
        <v>41</v>
      </c>
      <c r="D443" s="32">
        <v>-67.565721999999994</v>
      </c>
      <c r="E443" s="38">
        <v>-68.123610999999997</v>
      </c>
      <c r="F443">
        <v>0.01</v>
      </c>
      <c r="G443">
        <f>F443*1609.344</f>
        <v>16.093440000000001</v>
      </c>
      <c r="H443" s="32" t="s">
        <v>614</v>
      </c>
      <c r="I443">
        <v>0</v>
      </c>
      <c r="J443">
        <v>0</v>
      </c>
      <c r="K443" s="26">
        <v>2016</v>
      </c>
      <c r="L443" t="s">
        <v>30</v>
      </c>
      <c r="M443" s="32">
        <v>100</v>
      </c>
      <c r="N443">
        <v>11.428783320000001</v>
      </c>
      <c r="O443">
        <v>5</v>
      </c>
      <c r="P443" t="s">
        <v>12</v>
      </c>
      <c r="Q443">
        <v>89</v>
      </c>
      <c r="R443" t="s">
        <v>13</v>
      </c>
      <c r="S443" t="s">
        <v>14</v>
      </c>
      <c r="T443" t="s">
        <v>14</v>
      </c>
      <c r="U443" s="34">
        <v>0</v>
      </c>
      <c r="V443" s="34">
        <v>3</v>
      </c>
      <c r="W443" s="25">
        <v>1.5</v>
      </c>
      <c r="X443" s="25">
        <v>3</v>
      </c>
      <c r="Y443">
        <v>0.77305769000000002</v>
      </c>
      <c r="Z443" t="s">
        <v>1096</v>
      </c>
      <c r="AA443" t="s">
        <v>622</v>
      </c>
      <c r="AB443">
        <v>1</v>
      </c>
      <c r="AC443">
        <v>0</v>
      </c>
      <c r="AF443" t="s">
        <v>520</v>
      </c>
      <c r="AG443" s="32">
        <v>0</v>
      </c>
      <c r="AH443" s="32" t="s">
        <v>671</v>
      </c>
      <c r="AI443" s="32" t="s">
        <v>1129</v>
      </c>
      <c r="AJ443" s="31" t="s">
        <v>1130</v>
      </c>
      <c r="AK443" s="31">
        <v>0.59524549999999998</v>
      </c>
      <c r="AL443" s="31">
        <v>0</v>
      </c>
      <c r="AM443" s="31">
        <v>0</v>
      </c>
      <c r="AN443" s="31">
        <v>0</v>
      </c>
      <c r="AO443" s="31">
        <v>0</v>
      </c>
      <c r="AP443" s="31">
        <v>0</v>
      </c>
      <c r="AQ443" s="31">
        <v>0</v>
      </c>
      <c r="AR443" s="31">
        <v>0.13341858489683281</v>
      </c>
    </row>
    <row r="444" spans="1:45" hidden="1" x14ac:dyDescent="0.5">
      <c r="A444" s="31">
        <v>84</v>
      </c>
      <c r="B444" s="31">
        <v>7</v>
      </c>
      <c r="C444" s="225" t="s">
        <v>41</v>
      </c>
      <c r="D444" s="32">
        <v>-67.565721999999994</v>
      </c>
      <c r="E444" s="38">
        <v>-68.123610999999997</v>
      </c>
      <c r="F444">
        <v>0.01</v>
      </c>
      <c r="G444">
        <f>F444*1609.344</f>
        <v>16.093440000000001</v>
      </c>
      <c r="H444" s="32" t="s">
        <v>614</v>
      </c>
      <c r="I444">
        <v>0</v>
      </c>
      <c r="J444">
        <v>0</v>
      </c>
      <c r="K444" s="26">
        <v>2016</v>
      </c>
      <c r="L444" t="s">
        <v>30</v>
      </c>
      <c r="M444" s="32">
        <v>100</v>
      </c>
      <c r="N444">
        <v>11.428783320000001</v>
      </c>
      <c r="O444">
        <v>5</v>
      </c>
      <c r="P444" t="s">
        <v>12</v>
      </c>
      <c r="Q444">
        <v>89</v>
      </c>
      <c r="R444" t="s">
        <v>13</v>
      </c>
      <c r="S444" t="s">
        <v>14</v>
      </c>
      <c r="T444" t="s">
        <v>14</v>
      </c>
      <c r="U444" s="34">
        <v>0</v>
      </c>
      <c r="V444" s="34">
        <v>3</v>
      </c>
      <c r="W444" s="25">
        <v>1.5</v>
      </c>
      <c r="X444" s="25">
        <v>3</v>
      </c>
      <c r="Y444">
        <v>0.77305769000000002</v>
      </c>
      <c r="Z444" t="s">
        <v>1096</v>
      </c>
      <c r="AA444" t="s">
        <v>622</v>
      </c>
      <c r="AB444">
        <v>1</v>
      </c>
      <c r="AC444">
        <v>0</v>
      </c>
      <c r="AF444" t="s">
        <v>520</v>
      </c>
      <c r="AG444" s="32">
        <v>0</v>
      </c>
      <c r="AH444" s="32" t="s">
        <v>671</v>
      </c>
      <c r="AI444" s="32" t="s">
        <v>1129</v>
      </c>
      <c r="AJ444" s="31" t="s">
        <v>1130</v>
      </c>
      <c r="AK444" s="31">
        <v>0.59524549999999998</v>
      </c>
      <c r="AL444" s="31">
        <v>0</v>
      </c>
      <c r="AM444" s="31">
        <v>0</v>
      </c>
      <c r="AN444" s="31">
        <v>0</v>
      </c>
      <c r="AO444" s="31">
        <v>0</v>
      </c>
      <c r="AP444" s="31">
        <v>0</v>
      </c>
      <c r="AQ444" s="31">
        <v>0</v>
      </c>
      <c r="AR444" s="31">
        <v>0.13341858489683281</v>
      </c>
    </row>
    <row r="445" spans="1:45" hidden="1" x14ac:dyDescent="0.5">
      <c r="A445" s="31">
        <v>85</v>
      </c>
      <c r="B445" s="31">
        <v>7</v>
      </c>
      <c r="C445" s="225" t="s">
        <v>41</v>
      </c>
      <c r="D445" s="36">
        <v>-67.566693999999998</v>
      </c>
      <c r="E445" s="37">
        <v>-68.123333000000002</v>
      </c>
      <c r="F445">
        <v>0.04</v>
      </c>
      <c r="G445">
        <f>F445*1609.344</f>
        <v>64.373760000000004</v>
      </c>
      <c r="H445" s="32" t="s">
        <v>614</v>
      </c>
      <c r="I445">
        <v>2</v>
      </c>
      <c r="J445">
        <v>0</v>
      </c>
      <c r="K445" s="26">
        <v>2016</v>
      </c>
      <c r="L445" t="s">
        <v>30</v>
      </c>
      <c r="M445" s="32">
        <v>100</v>
      </c>
      <c r="N445">
        <v>11.428783320000001</v>
      </c>
      <c r="O445">
        <v>5</v>
      </c>
      <c r="P445" t="s">
        <v>12</v>
      </c>
      <c r="Q445">
        <v>89</v>
      </c>
      <c r="R445" t="s">
        <v>13</v>
      </c>
      <c r="S445" t="s">
        <v>14</v>
      </c>
      <c r="T445" t="s">
        <v>14</v>
      </c>
      <c r="U445" s="34">
        <v>0</v>
      </c>
      <c r="V445" s="34">
        <v>3</v>
      </c>
      <c r="W445" s="25">
        <v>1.5</v>
      </c>
      <c r="X445" s="25">
        <v>3</v>
      </c>
      <c r="Y445">
        <v>0.77305769000000002</v>
      </c>
      <c r="Z445" t="s">
        <v>1096</v>
      </c>
      <c r="AA445" t="s">
        <v>622</v>
      </c>
      <c r="AB445">
        <v>1</v>
      </c>
      <c r="AC445">
        <v>2</v>
      </c>
      <c r="AF445" t="s">
        <v>520</v>
      </c>
      <c r="AG445" s="32" t="s">
        <v>1216</v>
      </c>
      <c r="AH445" s="32" t="s">
        <v>671</v>
      </c>
      <c r="AI445" s="32" t="s">
        <v>1129</v>
      </c>
      <c r="AJ445" s="31" t="s">
        <v>1130</v>
      </c>
      <c r="AK445" s="31">
        <v>0.59524549999999998</v>
      </c>
      <c r="AL445" s="31">
        <v>153.99769194456886</v>
      </c>
      <c r="AM445" s="31">
        <v>104.71521213378011</v>
      </c>
      <c r="AN445" s="31">
        <v>1977.5351157467271</v>
      </c>
      <c r="AO445" s="31">
        <v>1344.6825503200089</v>
      </c>
      <c r="AP445" s="31">
        <v>1.5287487284730474</v>
      </c>
      <c r="AQ445" s="31">
        <v>1.0395171861336947</v>
      </c>
      <c r="AR445" s="31">
        <v>0.13315150818983643</v>
      </c>
    </row>
    <row r="446" spans="1:45" hidden="1" x14ac:dyDescent="0.5">
      <c r="A446" s="31">
        <v>86</v>
      </c>
      <c r="B446" s="31">
        <v>7</v>
      </c>
      <c r="C446" s="225" t="s">
        <v>41</v>
      </c>
      <c r="D446" s="36">
        <v>-67.566693999999998</v>
      </c>
      <c r="E446" s="37">
        <v>-68.123333000000002</v>
      </c>
      <c r="F446">
        <v>0.04</v>
      </c>
      <c r="G446">
        <f>F446*1609.344</f>
        <v>64.373760000000004</v>
      </c>
      <c r="H446" s="32" t="s">
        <v>614</v>
      </c>
      <c r="I446">
        <v>2</v>
      </c>
      <c r="J446">
        <v>0</v>
      </c>
      <c r="K446" s="26">
        <v>2016</v>
      </c>
      <c r="L446" t="s">
        <v>30</v>
      </c>
      <c r="M446" s="32">
        <v>100</v>
      </c>
      <c r="N446">
        <v>11.428783320000001</v>
      </c>
      <c r="O446">
        <v>5</v>
      </c>
      <c r="P446" t="s">
        <v>12</v>
      </c>
      <c r="Q446">
        <v>89</v>
      </c>
      <c r="R446" t="s">
        <v>13</v>
      </c>
      <c r="S446" t="s">
        <v>14</v>
      </c>
      <c r="T446" t="s">
        <v>14</v>
      </c>
      <c r="U446" s="34">
        <v>0</v>
      </c>
      <c r="V446" s="34">
        <v>3</v>
      </c>
      <c r="W446" s="25">
        <v>1.5</v>
      </c>
      <c r="X446" s="25">
        <v>3</v>
      </c>
      <c r="Y446">
        <v>0.77305769000000002</v>
      </c>
      <c r="Z446" t="s">
        <v>1096</v>
      </c>
      <c r="AA446" t="s">
        <v>622</v>
      </c>
      <c r="AB446">
        <v>1</v>
      </c>
      <c r="AC446">
        <v>2</v>
      </c>
      <c r="AF446" t="s">
        <v>520</v>
      </c>
      <c r="AG446" s="32" t="s">
        <v>1216</v>
      </c>
      <c r="AH446" s="32" t="s">
        <v>671</v>
      </c>
      <c r="AI446" s="32" t="s">
        <v>1129</v>
      </c>
      <c r="AJ446" s="31" t="s">
        <v>1130</v>
      </c>
      <c r="AK446" s="31">
        <v>0.59524549999999998</v>
      </c>
      <c r="AL446" s="31">
        <v>153.99769194456886</v>
      </c>
      <c r="AM446" s="31">
        <v>104.71521213378011</v>
      </c>
      <c r="AN446" s="31">
        <v>1977.5351157467271</v>
      </c>
      <c r="AO446" s="31">
        <v>1344.6825503200089</v>
      </c>
      <c r="AP446" s="31">
        <v>1.5287487284730474</v>
      </c>
      <c r="AQ446" s="31">
        <v>1.0395171861336947</v>
      </c>
      <c r="AR446" s="31">
        <v>0.13315150818983643</v>
      </c>
    </row>
    <row r="447" spans="1:45" hidden="1" x14ac:dyDescent="0.5">
      <c r="A447" s="31">
        <v>87</v>
      </c>
      <c r="B447" s="31">
        <v>7</v>
      </c>
      <c r="C447" s="225" t="s">
        <v>41</v>
      </c>
      <c r="D447" s="36">
        <v>-67.566693999999998</v>
      </c>
      <c r="E447" s="37">
        <v>-68.123333000000002</v>
      </c>
      <c r="F447">
        <v>0.04</v>
      </c>
      <c r="G447">
        <f>F447*1609.344</f>
        <v>64.373760000000004</v>
      </c>
      <c r="H447" s="32" t="s">
        <v>614</v>
      </c>
      <c r="I447">
        <v>2</v>
      </c>
      <c r="J447">
        <v>0</v>
      </c>
      <c r="K447" s="26">
        <v>2016</v>
      </c>
      <c r="L447" t="s">
        <v>30</v>
      </c>
      <c r="M447" s="32">
        <v>100</v>
      </c>
      <c r="N447">
        <v>11.428783320000001</v>
      </c>
      <c r="O447">
        <v>5</v>
      </c>
      <c r="P447" t="s">
        <v>12</v>
      </c>
      <c r="Q447">
        <v>89</v>
      </c>
      <c r="R447" t="s">
        <v>13</v>
      </c>
      <c r="S447" t="s">
        <v>14</v>
      </c>
      <c r="T447" t="s">
        <v>14</v>
      </c>
      <c r="U447" s="34">
        <v>0</v>
      </c>
      <c r="V447" s="34">
        <v>3</v>
      </c>
      <c r="W447" s="25">
        <v>1.5</v>
      </c>
      <c r="X447" s="25">
        <v>3</v>
      </c>
      <c r="Y447">
        <v>0.77305769000000002</v>
      </c>
      <c r="Z447" t="s">
        <v>1096</v>
      </c>
      <c r="AA447" t="s">
        <v>622</v>
      </c>
      <c r="AB447">
        <v>1</v>
      </c>
      <c r="AC447">
        <v>10</v>
      </c>
      <c r="AF447" t="s">
        <v>520</v>
      </c>
      <c r="AG447" s="32" t="s">
        <v>1218</v>
      </c>
      <c r="AH447" s="32" t="s">
        <v>671</v>
      </c>
      <c r="AI447" s="32" t="s">
        <v>1129</v>
      </c>
      <c r="AJ447" s="31" t="s">
        <v>1130</v>
      </c>
      <c r="AK447" s="31">
        <v>0.59524549999999998</v>
      </c>
      <c r="AL447" s="31">
        <v>769.98845972284414</v>
      </c>
      <c r="AM447" s="31">
        <v>523.57606066890037</v>
      </c>
      <c r="AN447" s="31">
        <v>9887.6755787336333</v>
      </c>
      <c r="AO447" s="31">
        <v>6723.4127516000417</v>
      </c>
      <c r="AP447" s="31">
        <v>7.6437436423652354</v>
      </c>
      <c r="AQ447" s="31">
        <v>5.1975859306684722</v>
      </c>
      <c r="AR447" s="31">
        <v>0.13315150818983643</v>
      </c>
    </row>
    <row r="448" spans="1:45" hidden="1" x14ac:dyDescent="0.5">
      <c r="A448" s="31">
        <v>88</v>
      </c>
      <c r="B448" s="31">
        <v>7</v>
      </c>
      <c r="C448" s="225" t="s">
        <v>41</v>
      </c>
      <c r="D448" s="32">
        <v>-67.566500000000005</v>
      </c>
      <c r="E448" s="38">
        <v>-68.116193999999993</v>
      </c>
      <c r="F448">
        <v>0</v>
      </c>
      <c r="G448">
        <f>F448*1609.344</f>
        <v>0</v>
      </c>
      <c r="H448" s="32" t="s">
        <v>614</v>
      </c>
      <c r="I448">
        <v>2</v>
      </c>
      <c r="J448">
        <v>0</v>
      </c>
      <c r="K448" s="26">
        <v>2016</v>
      </c>
      <c r="L448" t="s">
        <v>30</v>
      </c>
      <c r="M448" s="32">
        <v>100</v>
      </c>
      <c r="N448">
        <v>11.428783320000001</v>
      </c>
      <c r="O448">
        <v>5</v>
      </c>
      <c r="P448" t="s">
        <v>12</v>
      </c>
      <c r="Q448">
        <v>89</v>
      </c>
      <c r="R448" t="s">
        <v>13</v>
      </c>
      <c r="S448" t="s">
        <v>14</v>
      </c>
      <c r="T448" t="s">
        <v>14</v>
      </c>
      <c r="U448" s="34">
        <v>0</v>
      </c>
      <c r="V448" s="34">
        <v>3</v>
      </c>
      <c r="W448" s="25">
        <v>1.5</v>
      </c>
      <c r="X448" s="25">
        <v>3</v>
      </c>
      <c r="Y448">
        <v>0.77305769000000002</v>
      </c>
      <c r="Z448" t="s">
        <v>1096</v>
      </c>
      <c r="AA448" t="s">
        <v>622</v>
      </c>
      <c r="AB448">
        <v>1</v>
      </c>
      <c r="AC448">
        <v>0</v>
      </c>
      <c r="AF448" t="s">
        <v>520</v>
      </c>
      <c r="AG448" s="32">
        <v>0</v>
      </c>
      <c r="AH448" s="32" t="s">
        <v>671</v>
      </c>
      <c r="AI448" s="32" t="s">
        <v>1129</v>
      </c>
      <c r="AJ448" s="31" t="s">
        <v>1130</v>
      </c>
      <c r="AK448" s="31">
        <v>0.59524549999999998</v>
      </c>
      <c r="AL448" s="31">
        <v>0</v>
      </c>
      <c r="AM448" s="31">
        <v>0</v>
      </c>
      <c r="AN448" s="31">
        <v>0</v>
      </c>
      <c r="AO448" s="31">
        <v>0</v>
      </c>
      <c r="AP448" s="31">
        <v>0</v>
      </c>
      <c r="AQ448" s="31">
        <v>0</v>
      </c>
      <c r="AR448" s="31">
        <v>0.13315150818983643</v>
      </c>
    </row>
    <row r="449" spans="1:44" hidden="1" x14ac:dyDescent="0.5">
      <c r="A449" s="31">
        <v>89</v>
      </c>
      <c r="B449" s="31">
        <v>7</v>
      </c>
      <c r="C449" s="225" t="s">
        <v>41</v>
      </c>
      <c r="D449" s="32">
        <v>-67.566500000000005</v>
      </c>
      <c r="E449" s="38">
        <v>-68.116193999999993</v>
      </c>
      <c r="F449">
        <v>0</v>
      </c>
      <c r="G449">
        <f>F449*1609.344</f>
        <v>0</v>
      </c>
      <c r="H449" s="32" t="s">
        <v>614</v>
      </c>
      <c r="I449">
        <v>2</v>
      </c>
      <c r="J449">
        <v>0</v>
      </c>
      <c r="K449" s="26">
        <v>2016</v>
      </c>
      <c r="L449" t="s">
        <v>30</v>
      </c>
      <c r="M449" s="32">
        <v>100</v>
      </c>
      <c r="N449">
        <v>11.428783320000001</v>
      </c>
      <c r="O449">
        <v>5</v>
      </c>
      <c r="P449" t="s">
        <v>12</v>
      </c>
      <c r="Q449">
        <v>89</v>
      </c>
      <c r="R449" t="s">
        <v>13</v>
      </c>
      <c r="S449" t="s">
        <v>14</v>
      </c>
      <c r="T449" t="s">
        <v>14</v>
      </c>
      <c r="U449" s="34">
        <v>0</v>
      </c>
      <c r="V449" s="34">
        <v>3</v>
      </c>
      <c r="W449" s="25">
        <v>1.5</v>
      </c>
      <c r="X449" s="25">
        <v>3</v>
      </c>
      <c r="Y449">
        <v>0.77305769000000002</v>
      </c>
      <c r="Z449" t="s">
        <v>1096</v>
      </c>
      <c r="AA449" t="s">
        <v>622</v>
      </c>
      <c r="AB449">
        <v>1</v>
      </c>
      <c r="AC449">
        <v>0</v>
      </c>
      <c r="AF449" t="s">
        <v>520</v>
      </c>
      <c r="AG449" s="32">
        <v>0</v>
      </c>
      <c r="AH449" s="32" t="s">
        <v>671</v>
      </c>
      <c r="AI449" s="32" t="s">
        <v>1129</v>
      </c>
      <c r="AJ449" s="31" t="s">
        <v>1130</v>
      </c>
      <c r="AK449" s="31">
        <v>0.59524549999999998</v>
      </c>
      <c r="AL449" s="31">
        <v>0</v>
      </c>
      <c r="AM449" s="31">
        <v>0</v>
      </c>
      <c r="AN449" s="31">
        <v>0</v>
      </c>
      <c r="AO449" s="31">
        <v>0</v>
      </c>
      <c r="AP449" s="31">
        <v>0</v>
      </c>
      <c r="AQ449" s="31">
        <v>0</v>
      </c>
      <c r="AR449" s="31">
        <v>0.13315150818983643</v>
      </c>
    </row>
    <row r="450" spans="1:44" hidden="1" x14ac:dyDescent="0.5">
      <c r="A450" s="31">
        <v>90</v>
      </c>
      <c r="B450" s="31">
        <v>7</v>
      </c>
      <c r="C450" s="225" t="s">
        <v>41</v>
      </c>
      <c r="D450" s="32">
        <v>-67.566500000000005</v>
      </c>
      <c r="E450" s="38">
        <v>-68.116193999999993</v>
      </c>
      <c r="F450">
        <v>0</v>
      </c>
      <c r="G450">
        <f>F450*1609.344</f>
        <v>0</v>
      </c>
      <c r="H450" s="32" t="s">
        <v>614</v>
      </c>
      <c r="I450">
        <v>2</v>
      </c>
      <c r="J450">
        <v>0</v>
      </c>
      <c r="K450" s="26">
        <v>2016</v>
      </c>
      <c r="L450" t="s">
        <v>30</v>
      </c>
      <c r="M450" s="32">
        <v>100</v>
      </c>
      <c r="N450">
        <v>11.428783320000001</v>
      </c>
      <c r="O450">
        <v>5</v>
      </c>
      <c r="P450" t="s">
        <v>12</v>
      </c>
      <c r="Q450">
        <v>89</v>
      </c>
      <c r="R450" t="s">
        <v>13</v>
      </c>
      <c r="S450" t="s">
        <v>14</v>
      </c>
      <c r="T450" t="s">
        <v>14</v>
      </c>
      <c r="U450" s="34">
        <v>0</v>
      </c>
      <c r="V450" s="34">
        <v>3</v>
      </c>
      <c r="W450" s="25">
        <v>1.5</v>
      </c>
      <c r="X450" s="25">
        <v>3</v>
      </c>
      <c r="Y450">
        <v>0.77305769000000002</v>
      </c>
      <c r="Z450" t="s">
        <v>1096</v>
      </c>
      <c r="AA450" t="s">
        <v>622</v>
      </c>
      <c r="AB450">
        <v>1</v>
      </c>
      <c r="AC450">
        <v>1</v>
      </c>
      <c r="AF450" t="s">
        <v>520</v>
      </c>
      <c r="AG450" s="32" t="s">
        <v>1215</v>
      </c>
      <c r="AH450" s="32" t="s">
        <v>671</v>
      </c>
      <c r="AI450" s="32" t="s">
        <v>1129</v>
      </c>
      <c r="AJ450" s="31" t="s">
        <v>1130</v>
      </c>
      <c r="AK450" s="31">
        <v>0.59524549999999998</v>
      </c>
      <c r="AL450" s="31">
        <v>76.998845972284428</v>
      </c>
      <c r="AM450" s="31">
        <v>52.357606066890057</v>
      </c>
      <c r="AN450" s="31">
        <v>988.76755787336356</v>
      </c>
      <c r="AO450" s="31">
        <v>672.34127516000444</v>
      </c>
      <c r="AP450" s="31">
        <v>0.76437436423652372</v>
      </c>
      <c r="AQ450" s="31">
        <v>0.51975859306684735</v>
      </c>
      <c r="AR450" s="31">
        <v>0.13315150818983643</v>
      </c>
    </row>
    <row r="451" spans="1:44" hidden="1" x14ac:dyDescent="0.5">
      <c r="A451" s="31">
        <v>91</v>
      </c>
      <c r="B451" s="31">
        <v>7</v>
      </c>
      <c r="C451" s="225" t="s">
        <v>41</v>
      </c>
      <c r="D451" s="36">
        <v>-67.566999999999993</v>
      </c>
      <c r="E451" s="37">
        <v>-68.123138999999995</v>
      </c>
      <c r="F451">
        <v>0.03</v>
      </c>
      <c r="G451">
        <f>F451*1609.344</f>
        <v>48.280320000000003</v>
      </c>
      <c r="H451" s="32" t="s">
        <v>614</v>
      </c>
      <c r="I451">
        <v>5</v>
      </c>
      <c r="J451">
        <v>0</v>
      </c>
      <c r="K451" s="26">
        <v>2016</v>
      </c>
      <c r="L451" t="s">
        <v>30</v>
      </c>
      <c r="M451" s="32">
        <v>100</v>
      </c>
      <c r="N451">
        <v>11.428783320000001</v>
      </c>
      <c r="O451">
        <v>5</v>
      </c>
      <c r="P451" t="s">
        <v>12</v>
      </c>
      <c r="Q451">
        <v>89</v>
      </c>
      <c r="R451" t="s">
        <v>13</v>
      </c>
      <c r="S451" t="s">
        <v>14</v>
      </c>
      <c r="T451" t="s">
        <v>14</v>
      </c>
      <c r="U451" s="34">
        <v>0</v>
      </c>
      <c r="V451" s="34">
        <v>3</v>
      </c>
      <c r="W451" s="25">
        <v>1.5</v>
      </c>
      <c r="X451" s="25">
        <v>3</v>
      </c>
      <c r="Y451">
        <v>0.77305769000000002</v>
      </c>
      <c r="Z451" t="s">
        <v>1096</v>
      </c>
      <c r="AA451" t="s">
        <v>622</v>
      </c>
      <c r="AB451">
        <v>1</v>
      </c>
      <c r="AC451">
        <v>0</v>
      </c>
      <c r="AF451" t="s">
        <v>520</v>
      </c>
      <c r="AG451" s="32">
        <v>0</v>
      </c>
      <c r="AH451" s="32" t="s">
        <v>671</v>
      </c>
      <c r="AI451" s="32" t="s">
        <v>1129</v>
      </c>
      <c r="AJ451" s="31" t="s">
        <v>1130</v>
      </c>
      <c r="AK451" s="31">
        <v>0.59524549999999998</v>
      </c>
      <c r="AL451" s="31">
        <v>0</v>
      </c>
      <c r="AM451" s="31">
        <v>0</v>
      </c>
      <c r="AN451" s="31">
        <v>0</v>
      </c>
      <c r="AO451" s="31">
        <v>0</v>
      </c>
      <c r="AP451" s="31">
        <v>0</v>
      </c>
      <c r="AQ451" s="31">
        <v>0</v>
      </c>
      <c r="AR451" s="31">
        <v>0.13275189523153463</v>
      </c>
    </row>
    <row r="452" spans="1:44" hidden="1" x14ac:dyDescent="0.5">
      <c r="A452" s="31">
        <v>92</v>
      </c>
      <c r="B452" s="31">
        <v>7</v>
      </c>
      <c r="C452" s="225" t="s">
        <v>41</v>
      </c>
      <c r="D452" s="36">
        <v>-67.566999999999993</v>
      </c>
      <c r="E452" s="37">
        <v>-68.123138999999995</v>
      </c>
      <c r="F452">
        <v>0.03</v>
      </c>
      <c r="G452">
        <f>F452*1609.344</f>
        <v>48.280320000000003</v>
      </c>
      <c r="H452" s="32" t="s">
        <v>614</v>
      </c>
      <c r="I452">
        <v>5</v>
      </c>
      <c r="J452">
        <v>0</v>
      </c>
      <c r="K452" s="26">
        <v>2016</v>
      </c>
      <c r="L452" t="s">
        <v>30</v>
      </c>
      <c r="M452" s="32">
        <v>100</v>
      </c>
      <c r="N452">
        <v>11.428783320000001</v>
      </c>
      <c r="O452">
        <v>5</v>
      </c>
      <c r="P452" t="s">
        <v>12</v>
      </c>
      <c r="Q452">
        <v>89</v>
      </c>
      <c r="R452" t="s">
        <v>13</v>
      </c>
      <c r="S452" t="s">
        <v>14</v>
      </c>
      <c r="T452" t="s">
        <v>14</v>
      </c>
      <c r="U452" s="34">
        <v>0</v>
      </c>
      <c r="V452" s="34">
        <v>3</v>
      </c>
      <c r="W452" s="25">
        <v>1.5</v>
      </c>
      <c r="X452" s="25">
        <v>3</v>
      </c>
      <c r="Y452">
        <v>0.77305769000000002</v>
      </c>
      <c r="Z452" t="s">
        <v>1096</v>
      </c>
      <c r="AA452" t="s">
        <v>622</v>
      </c>
      <c r="AB452">
        <v>1</v>
      </c>
      <c r="AC452">
        <v>0</v>
      </c>
      <c r="AF452" t="s">
        <v>520</v>
      </c>
      <c r="AG452" s="32">
        <v>0</v>
      </c>
      <c r="AH452" s="32" t="s">
        <v>671</v>
      </c>
      <c r="AI452" s="32" t="s">
        <v>1129</v>
      </c>
      <c r="AJ452" s="31" t="s">
        <v>1130</v>
      </c>
      <c r="AK452" s="31">
        <v>0.59524549999999998</v>
      </c>
      <c r="AL452" s="31">
        <v>0</v>
      </c>
      <c r="AM452" s="31">
        <v>0</v>
      </c>
      <c r="AN452" s="31">
        <v>0</v>
      </c>
      <c r="AO452" s="31">
        <v>0</v>
      </c>
      <c r="AP452" s="31">
        <v>0</v>
      </c>
      <c r="AQ452" s="31">
        <v>0</v>
      </c>
      <c r="AR452" s="31">
        <v>0.13275189523153463</v>
      </c>
    </row>
    <row r="453" spans="1:44" hidden="1" x14ac:dyDescent="0.5">
      <c r="A453" s="31">
        <v>93</v>
      </c>
      <c r="B453" s="31">
        <v>7</v>
      </c>
      <c r="C453" s="225" t="s">
        <v>41</v>
      </c>
      <c r="D453" s="36">
        <v>-67.566999999999993</v>
      </c>
      <c r="E453" s="37">
        <v>-68.123138999999995</v>
      </c>
      <c r="F453">
        <v>0.03</v>
      </c>
      <c r="G453">
        <f>F453*1609.344</f>
        <v>48.280320000000003</v>
      </c>
      <c r="H453" s="32" t="s">
        <v>614</v>
      </c>
      <c r="I453">
        <v>5</v>
      </c>
      <c r="J453">
        <v>0</v>
      </c>
      <c r="K453" s="26">
        <v>2016</v>
      </c>
      <c r="L453" t="s">
        <v>30</v>
      </c>
      <c r="M453" s="32">
        <v>100</v>
      </c>
      <c r="N453">
        <v>11.428783320000001</v>
      </c>
      <c r="O453">
        <v>5</v>
      </c>
      <c r="P453" t="s">
        <v>12</v>
      </c>
      <c r="Q453">
        <v>89</v>
      </c>
      <c r="R453" t="s">
        <v>13</v>
      </c>
      <c r="S453" t="s">
        <v>14</v>
      </c>
      <c r="T453" t="s">
        <v>14</v>
      </c>
      <c r="U453" s="34">
        <v>0</v>
      </c>
      <c r="V453" s="34">
        <v>3</v>
      </c>
      <c r="W453" s="25">
        <v>1.5</v>
      </c>
      <c r="X453" s="25">
        <v>3</v>
      </c>
      <c r="Y453">
        <v>0.77305769000000002</v>
      </c>
      <c r="Z453" t="s">
        <v>1096</v>
      </c>
      <c r="AA453" t="s">
        <v>622</v>
      </c>
      <c r="AB453">
        <v>1</v>
      </c>
      <c r="AC453">
        <v>2</v>
      </c>
      <c r="AF453" t="s">
        <v>520</v>
      </c>
      <c r="AG453" s="32" t="s">
        <v>1216</v>
      </c>
      <c r="AH453" s="32" t="s">
        <v>671</v>
      </c>
      <c r="AI453" s="32" t="s">
        <v>1129</v>
      </c>
      <c r="AJ453" s="31" t="s">
        <v>1130</v>
      </c>
      <c r="AK453" s="31">
        <v>0.59524549999999998</v>
      </c>
      <c r="AL453" s="31">
        <v>153.99769194456886</v>
      </c>
      <c r="AM453" s="31">
        <v>104.71521213378011</v>
      </c>
      <c r="AN453" s="31">
        <v>1977.5351157467271</v>
      </c>
      <c r="AO453" s="31">
        <v>1344.6825503200089</v>
      </c>
      <c r="AP453" s="31">
        <v>1.5287487284730474</v>
      </c>
      <c r="AQ453" s="31">
        <v>1.0395171861336947</v>
      </c>
      <c r="AR453" s="31">
        <v>0.13275189523153463</v>
      </c>
    </row>
    <row r="454" spans="1:44" hidden="1" x14ac:dyDescent="0.5">
      <c r="A454" s="31">
        <v>94</v>
      </c>
      <c r="B454" s="31">
        <v>7</v>
      </c>
      <c r="C454" s="225" t="s">
        <v>41</v>
      </c>
      <c r="D454" s="36">
        <v>-67.566917000000004</v>
      </c>
      <c r="E454" s="37">
        <v>-68.123056000000005</v>
      </c>
      <c r="F454">
        <v>0.04</v>
      </c>
      <c r="G454">
        <f>F454*1609.344</f>
        <v>64.373760000000004</v>
      </c>
      <c r="H454" s="32" t="s">
        <v>614</v>
      </c>
      <c r="I454">
        <v>5</v>
      </c>
      <c r="J454">
        <v>0</v>
      </c>
      <c r="K454" s="26">
        <v>2016</v>
      </c>
      <c r="L454" t="s">
        <v>30</v>
      </c>
      <c r="M454" s="32">
        <v>100</v>
      </c>
      <c r="N454">
        <v>11.428783320000001</v>
      </c>
      <c r="O454">
        <v>5</v>
      </c>
      <c r="P454" t="s">
        <v>12</v>
      </c>
      <c r="Q454">
        <v>89</v>
      </c>
      <c r="R454" t="s">
        <v>13</v>
      </c>
      <c r="S454" t="s">
        <v>14</v>
      </c>
      <c r="T454" t="s">
        <v>14</v>
      </c>
      <c r="U454" s="34">
        <v>0</v>
      </c>
      <c r="V454" s="34">
        <v>3</v>
      </c>
      <c r="W454" s="25">
        <v>1.5</v>
      </c>
      <c r="X454" s="25">
        <v>3</v>
      </c>
      <c r="Y454">
        <v>0.77305769000000002</v>
      </c>
      <c r="Z454" t="s">
        <v>1096</v>
      </c>
      <c r="AA454" t="s">
        <v>622</v>
      </c>
      <c r="AB454">
        <v>1</v>
      </c>
      <c r="AC454">
        <v>0</v>
      </c>
      <c r="AF454" t="s">
        <v>520</v>
      </c>
      <c r="AG454" s="32">
        <v>0</v>
      </c>
      <c r="AH454" s="32" t="s">
        <v>671</v>
      </c>
      <c r="AI454" s="32" t="s">
        <v>1129</v>
      </c>
      <c r="AJ454" s="31" t="s">
        <v>1130</v>
      </c>
      <c r="AK454" s="31">
        <v>0.59524549999999998</v>
      </c>
      <c r="AL454" s="31">
        <v>0</v>
      </c>
      <c r="AM454" s="31">
        <v>0</v>
      </c>
      <c r="AN454" s="31">
        <v>0</v>
      </c>
      <c r="AO454" s="31">
        <v>0</v>
      </c>
      <c r="AP454" s="31">
        <v>0</v>
      </c>
      <c r="AQ454" s="31">
        <v>0</v>
      </c>
      <c r="AR454" s="31">
        <v>0.13275189523153463</v>
      </c>
    </row>
    <row r="455" spans="1:44" hidden="1" x14ac:dyDescent="0.5">
      <c r="A455" s="31">
        <v>95</v>
      </c>
      <c r="B455" s="31">
        <v>7</v>
      </c>
      <c r="C455" s="225" t="s">
        <v>41</v>
      </c>
      <c r="D455" s="36">
        <v>-67.566917000000004</v>
      </c>
      <c r="E455" s="37">
        <v>-68.123056000000005</v>
      </c>
      <c r="F455">
        <v>0.04</v>
      </c>
      <c r="G455">
        <f>F455*1609.344</f>
        <v>64.373760000000004</v>
      </c>
      <c r="H455" s="32" t="s">
        <v>614</v>
      </c>
      <c r="I455">
        <v>5</v>
      </c>
      <c r="J455">
        <v>0</v>
      </c>
      <c r="K455" s="26">
        <v>2016</v>
      </c>
      <c r="L455" t="s">
        <v>30</v>
      </c>
      <c r="M455" s="32">
        <v>100</v>
      </c>
      <c r="N455">
        <v>11.428783320000001</v>
      </c>
      <c r="O455">
        <v>5</v>
      </c>
      <c r="P455" t="s">
        <v>12</v>
      </c>
      <c r="Q455">
        <v>89</v>
      </c>
      <c r="R455" t="s">
        <v>13</v>
      </c>
      <c r="S455" t="s">
        <v>14</v>
      </c>
      <c r="T455" t="s">
        <v>14</v>
      </c>
      <c r="U455" s="34">
        <v>0</v>
      </c>
      <c r="V455" s="34">
        <v>3</v>
      </c>
      <c r="W455" s="25">
        <v>1.5</v>
      </c>
      <c r="X455" s="25">
        <v>3</v>
      </c>
      <c r="Y455">
        <v>0.77305769000000002</v>
      </c>
      <c r="Z455" t="s">
        <v>1096</v>
      </c>
      <c r="AA455" t="s">
        <v>622</v>
      </c>
      <c r="AB455">
        <v>1</v>
      </c>
      <c r="AC455">
        <v>0</v>
      </c>
      <c r="AF455" t="s">
        <v>520</v>
      </c>
      <c r="AG455" s="32">
        <v>0</v>
      </c>
      <c r="AH455" s="32" t="s">
        <v>671</v>
      </c>
      <c r="AI455" s="32" t="s">
        <v>1129</v>
      </c>
      <c r="AJ455" s="31" t="s">
        <v>1130</v>
      </c>
      <c r="AK455" s="31">
        <v>0.59524549999999998</v>
      </c>
      <c r="AL455" s="31">
        <v>0</v>
      </c>
      <c r="AM455" s="31">
        <v>0</v>
      </c>
      <c r="AN455" s="31">
        <v>0</v>
      </c>
      <c r="AO455" s="31">
        <v>0</v>
      </c>
      <c r="AP455" s="31">
        <v>0</v>
      </c>
      <c r="AQ455" s="31">
        <v>0</v>
      </c>
      <c r="AR455" s="31">
        <v>0.13275189523153463</v>
      </c>
    </row>
    <row r="456" spans="1:44" hidden="1" x14ac:dyDescent="0.5">
      <c r="A456" s="31">
        <v>96</v>
      </c>
      <c r="B456" s="31">
        <v>7</v>
      </c>
      <c r="C456" s="225" t="s">
        <v>41</v>
      </c>
      <c r="D456" s="36">
        <v>-67.566917000000004</v>
      </c>
      <c r="E456" s="37">
        <v>-68.123056000000005</v>
      </c>
      <c r="F456">
        <v>0.04</v>
      </c>
      <c r="G456">
        <f>F456*1609.344</f>
        <v>64.373760000000004</v>
      </c>
      <c r="H456" s="32" t="s">
        <v>614</v>
      </c>
      <c r="I456">
        <v>5</v>
      </c>
      <c r="J456">
        <v>0</v>
      </c>
      <c r="K456" s="26">
        <v>2016</v>
      </c>
      <c r="L456" t="s">
        <v>30</v>
      </c>
      <c r="M456" s="32">
        <v>100</v>
      </c>
      <c r="N456">
        <v>11.428783320000001</v>
      </c>
      <c r="O456">
        <v>5</v>
      </c>
      <c r="P456" t="s">
        <v>12</v>
      </c>
      <c r="Q456">
        <v>89</v>
      </c>
      <c r="R456" t="s">
        <v>13</v>
      </c>
      <c r="S456" t="s">
        <v>14</v>
      </c>
      <c r="T456" t="s">
        <v>14</v>
      </c>
      <c r="U456" s="34">
        <v>0</v>
      </c>
      <c r="V456" s="34">
        <v>3</v>
      </c>
      <c r="W456" s="25">
        <v>1.5</v>
      </c>
      <c r="X456" s="25">
        <v>3</v>
      </c>
      <c r="Y456">
        <v>0.77305769000000002</v>
      </c>
      <c r="Z456" t="s">
        <v>1096</v>
      </c>
      <c r="AA456" t="s">
        <v>622</v>
      </c>
      <c r="AB456">
        <v>1</v>
      </c>
      <c r="AC456">
        <v>1</v>
      </c>
      <c r="AF456" t="s">
        <v>520</v>
      </c>
      <c r="AG456" s="32" t="s">
        <v>1215</v>
      </c>
      <c r="AH456" s="32" t="s">
        <v>671</v>
      </c>
      <c r="AI456" s="32" t="s">
        <v>1129</v>
      </c>
      <c r="AJ456" s="31" t="s">
        <v>1130</v>
      </c>
      <c r="AK456" s="31">
        <v>0.59524549999999998</v>
      </c>
      <c r="AL456" s="31">
        <v>76.998845972284428</v>
      </c>
      <c r="AM456" s="31">
        <v>52.357606066890057</v>
      </c>
      <c r="AN456" s="31">
        <v>988.76755787336356</v>
      </c>
      <c r="AO456" s="31">
        <v>672.34127516000444</v>
      </c>
      <c r="AP456" s="31">
        <v>0.76437436423652372</v>
      </c>
      <c r="AQ456" s="31">
        <v>0.51975859306684735</v>
      </c>
      <c r="AR456" s="31">
        <v>0.13275189523153463</v>
      </c>
    </row>
    <row r="457" spans="1:44" hidden="1" x14ac:dyDescent="0.5">
      <c r="A457" s="31">
        <v>97</v>
      </c>
      <c r="B457" s="31">
        <v>7</v>
      </c>
      <c r="C457" s="225" t="s">
        <v>41</v>
      </c>
      <c r="D457" s="32">
        <v>-67.566444000000004</v>
      </c>
      <c r="E457" s="38">
        <v>-68.122416999999999</v>
      </c>
      <c r="F457">
        <v>0.06</v>
      </c>
      <c r="G457">
        <f>F457*1609.344</f>
        <v>96.560640000000006</v>
      </c>
      <c r="H457" s="32" t="s">
        <v>614</v>
      </c>
      <c r="I457">
        <v>5</v>
      </c>
      <c r="J457">
        <v>0</v>
      </c>
      <c r="K457" s="26">
        <v>2016</v>
      </c>
      <c r="L457" t="s">
        <v>30</v>
      </c>
      <c r="M457" s="32">
        <v>100</v>
      </c>
      <c r="N457">
        <v>11.428783320000001</v>
      </c>
      <c r="O457">
        <v>5</v>
      </c>
      <c r="P457" t="s">
        <v>12</v>
      </c>
      <c r="Q457">
        <v>89</v>
      </c>
      <c r="R457" t="s">
        <v>13</v>
      </c>
      <c r="S457" t="s">
        <v>14</v>
      </c>
      <c r="T457" t="s">
        <v>14</v>
      </c>
      <c r="U457" s="34">
        <v>0</v>
      </c>
      <c r="V457" s="34">
        <v>3</v>
      </c>
      <c r="W457" s="25">
        <v>1.5</v>
      </c>
      <c r="X457" s="25">
        <v>3</v>
      </c>
      <c r="Y457">
        <v>0.77305769000000002</v>
      </c>
      <c r="Z457" t="s">
        <v>1096</v>
      </c>
      <c r="AA457" t="s">
        <v>622</v>
      </c>
      <c r="AB457">
        <v>1</v>
      </c>
      <c r="AC457">
        <v>0</v>
      </c>
      <c r="AF457" t="s">
        <v>520</v>
      </c>
      <c r="AG457" s="32">
        <v>0</v>
      </c>
      <c r="AH457" s="32" t="s">
        <v>671</v>
      </c>
      <c r="AI457" s="32" t="s">
        <v>1129</v>
      </c>
      <c r="AJ457" s="31" t="s">
        <v>1130</v>
      </c>
      <c r="AK457" s="31">
        <v>0.59524549999999998</v>
      </c>
      <c r="AL457" s="31">
        <v>0</v>
      </c>
      <c r="AM457" s="31">
        <v>0</v>
      </c>
      <c r="AN457" s="31">
        <v>0</v>
      </c>
      <c r="AO457" s="31">
        <v>0</v>
      </c>
      <c r="AP457" s="31">
        <v>0</v>
      </c>
      <c r="AQ457" s="31">
        <v>0</v>
      </c>
      <c r="AR457" s="31">
        <v>0.13275189523153463</v>
      </c>
    </row>
    <row r="458" spans="1:44" hidden="1" x14ac:dyDescent="0.5">
      <c r="A458" s="31">
        <v>98</v>
      </c>
      <c r="B458" s="31">
        <v>7</v>
      </c>
      <c r="C458" s="225" t="s">
        <v>41</v>
      </c>
      <c r="D458" s="32">
        <v>-67.566444000000004</v>
      </c>
      <c r="E458" s="38">
        <v>-68.122416999999999</v>
      </c>
      <c r="F458">
        <v>0.06</v>
      </c>
      <c r="G458">
        <f>F458*1609.344</f>
        <v>96.560640000000006</v>
      </c>
      <c r="H458" s="32" t="s">
        <v>614</v>
      </c>
      <c r="I458">
        <v>5</v>
      </c>
      <c r="J458">
        <v>0</v>
      </c>
      <c r="K458" s="26">
        <v>2016</v>
      </c>
      <c r="L458" t="s">
        <v>30</v>
      </c>
      <c r="M458" s="32">
        <v>100</v>
      </c>
      <c r="N458">
        <v>11.428783320000001</v>
      </c>
      <c r="O458">
        <v>5</v>
      </c>
      <c r="P458" t="s">
        <v>12</v>
      </c>
      <c r="Q458">
        <v>89</v>
      </c>
      <c r="R458" t="s">
        <v>13</v>
      </c>
      <c r="S458" t="s">
        <v>14</v>
      </c>
      <c r="T458" t="s">
        <v>14</v>
      </c>
      <c r="U458" s="34">
        <v>0</v>
      </c>
      <c r="V458" s="34">
        <v>3</v>
      </c>
      <c r="W458" s="25">
        <v>1.5</v>
      </c>
      <c r="X458" s="25">
        <v>3</v>
      </c>
      <c r="Y458">
        <v>0.77305769000000002</v>
      </c>
      <c r="Z458" t="s">
        <v>1096</v>
      </c>
      <c r="AA458" t="s">
        <v>622</v>
      </c>
      <c r="AB458">
        <v>1</v>
      </c>
      <c r="AC458">
        <v>0</v>
      </c>
      <c r="AF458" t="s">
        <v>520</v>
      </c>
      <c r="AG458" s="32">
        <v>0</v>
      </c>
      <c r="AH458" s="32" t="s">
        <v>671</v>
      </c>
      <c r="AI458" s="32" t="s">
        <v>1129</v>
      </c>
      <c r="AJ458" s="31" t="s">
        <v>1130</v>
      </c>
      <c r="AK458" s="31">
        <v>0.59524549999999998</v>
      </c>
      <c r="AL458" s="31">
        <v>0</v>
      </c>
      <c r="AM458" s="31">
        <v>0</v>
      </c>
      <c r="AN458" s="31">
        <v>0</v>
      </c>
      <c r="AO458" s="31">
        <v>0</v>
      </c>
      <c r="AP458" s="31">
        <v>0</v>
      </c>
      <c r="AQ458" s="31">
        <v>0</v>
      </c>
      <c r="AR458" s="31">
        <v>0.13275189523153463</v>
      </c>
    </row>
    <row r="459" spans="1:44" hidden="1" x14ac:dyDescent="0.5">
      <c r="A459" s="31">
        <v>99</v>
      </c>
      <c r="B459" s="31">
        <v>7</v>
      </c>
      <c r="C459" s="225" t="s">
        <v>41</v>
      </c>
      <c r="D459" s="32">
        <v>-67.566444000000004</v>
      </c>
      <c r="E459" s="38">
        <v>-68.122416999999999</v>
      </c>
      <c r="F459">
        <v>0.06</v>
      </c>
      <c r="G459">
        <f>F459*1609.344</f>
        <v>96.560640000000006</v>
      </c>
      <c r="H459" s="32" t="s">
        <v>614</v>
      </c>
      <c r="I459">
        <v>5</v>
      </c>
      <c r="J459">
        <v>0</v>
      </c>
      <c r="K459" s="26">
        <v>2016</v>
      </c>
      <c r="L459" t="s">
        <v>30</v>
      </c>
      <c r="M459" s="32">
        <v>100</v>
      </c>
      <c r="N459">
        <v>11.428783320000001</v>
      </c>
      <c r="O459">
        <v>5</v>
      </c>
      <c r="P459" t="s">
        <v>12</v>
      </c>
      <c r="Q459">
        <v>89</v>
      </c>
      <c r="R459" t="s">
        <v>13</v>
      </c>
      <c r="S459" t="s">
        <v>14</v>
      </c>
      <c r="T459" t="s">
        <v>14</v>
      </c>
      <c r="U459" s="34">
        <v>0</v>
      </c>
      <c r="V459" s="34">
        <v>3</v>
      </c>
      <c r="W459" s="25">
        <v>1.5</v>
      </c>
      <c r="X459" s="25">
        <v>3</v>
      </c>
      <c r="Y459">
        <v>0.77305769000000002</v>
      </c>
      <c r="Z459" t="s">
        <v>1096</v>
      </c>
      <c r="AA459" t="s">
        <v>622</v>
      </c>
      <c r="AB459">
        <v>1</v>
      </c>
      <c r="AC459">
        <v>0</v>
      </c>
      <c r="AF459" t="s">
        <v>520</v>
      </c>
      <c r="AG459" s="32">
        <v>0</v>
      </c>
      <c r="AH459" s="32" t="s">
        <v>671</v>
      </c>
      <c r="AI459" s="32" t="s">
        <v>1129</v>
      </c>
      <c r="AJ459" s="31" t="s">
        <v>1130</v>
      </c>
      <c r="AK459" s="31">
        <v>0.59524549999999998</v>
      </c>
      <c r="AL459" s="31">
        <v>0</v>
      </c>
      <c r="AM459" s="31">
        <v>0</v>
      </c>
      <c r="AN459" s="31">
        <v>0</v>
      </c>
      <c r="AO459" s="31">
        <v>0</v>
      </c>
      <c r="AP459" s="31">
        <v>0</v>
      </c>
      <c r="AQ459" s="31">
        <v>0</v>
      </c>
      <c r="AR459" s="31">
        <v>0.13275189523153463</v>
      </c>
    </row>
    <row r="460" spans="1:44" hidden="1" x14ac:dyDescent="0.5">
      <c r="A460" s="31">
        <v>100</v>
      </c>
      <c r="B460" s="31">
        <v>7</v>
      </c>
      <c r="C460" s="225" t="s">
        <v>41</v>
      </c>
      <c r="D460" s="32">
        <v>-67.610167000000004</v>
      </c>
      <c r="E460" s="38">
        <v>-68.210306000000003</v>
      </c>
      <c r="F460">
        <v>0.74</v>
      </c>
      <c r="G460">
        <f>F460*1609.344</f>
        <v>1190.9145599999999</v>
      </c>
      <c r="H460" s="32" t="s">
        <v>614</v>
      </c>
      <c r="I460">
        <v>10</v>
      </c>
      <c r="J460">
        <v>0</v>
      </c>
      <c r="K460" s="26">
        <v>2016</v>
      </c>
      <c r="L460" t="s">
        <v>30</v>
      </c>
      <c r="M460" s="32">
        <v>100</v>
      </c>
      <c r="N460">
        <v>11.428783320000001</v>
      </c>
      <c r="O460">
        <v>5</v>
      </c>
      <c r="P460" t="s">
        <v>12</v>
      </c>
      <c r="Q460">
        <v>89</v>
      </c>
      <c r="R460" t="s">
        <v>13</v>
      </c>
      <c r="S460" t="s">
        <v>14</v>
      </c>
      <c r="T460" t="s">
        <v>14</v>
      </c>
      <c r="U460" s="34">
        <v>0</v>
      </c>
      <c r="V460" s="34">
        <v>3</v>
      </c>
      <c r="W460" s="25">
        <v>1.5</v>
      </c>
      <c r="X460" s="25">
        <v>3</v>
      </c>
      <c r="Y460">
        <v>0.77305769000000002</v>
      </c>
      <c r="Z460" t="s">
        <v>1096</v>
      </c>
      <c r="AA460" t="s">
        <v>622</v>
      </c>
      <c r="AB460">
        <v>1</v>
      </c>
      <c r="AC460">
        <v>0</v>
      </c>
      <c r="AF460" t="s">
        <v>520</v>
      </c>
      <c r="AG460" s="32">
        <v>0</v>
      </c>
      <c r="AH460" s="32" t="s">
        <v>671</v>
      </c>
      <c r="AI460" s="32" t="s">
        <v>1129</v>
      </c>
      <c r="AJ460" s="31" t="s">
        <v>1130</v>
      </c>
      <c r="AK460" s="31">
        <v>0.59524549999999998</v>
      </c>
      <c r="AL460" s="31">
        <v>0</v>
      </c>
      <c r="AM460" s="31">
        <v>0</v>
      </c>
      <c r="AN460" s="31">
        <v>0</v>
      </c>
      <c r="AO460" s="31">
        <v>0</v>
      </c>
      <c r="AP460" s="31">
        <v>0</v>
      </c>
      <c r="AQ460" s="31">
        <v>0</v>
      </c>
      <c r="AR460" s="31">
        <v>0.13208853699948581</v>
      </c>
    </row>
    <row r="461" spans="1:44" hidden="1" x14ac:dyDescent="0.5">
      <c r="A461" s="31">
        <v>101</v>
      </c>
      <c r="B461" s="31">
        <v>7</v>
      </c>
      <c r="C461" s="225" t="s">
        <v>41</v>
      </c>
      <c r="D461" s="32">
        <v>-67.610167000000004</v>
      </c>
      <c r="E461" s="38">
        <v>-68.210306000000003</v>
      </c>
      <c r="F461">
        <v>0.74</v>
      </c>
      <c r="G461">
        <f>F461*1609.344</f>
        <v>1190.9145599999999</v>
      </c>
      <c r="H461" s="32" t="s">
        <v>614</v>
      </c>
      <c r="I461">
        <v>10</v>
      </c>
      <c r="J461">
        <v>0</v>
      </c>
      <c r="K461" s="26">
        <v>2016</v>
      </c>
      <c r="L461" t="s">
        <v>30</v>
      </c>
      <c r="M461" s="32">
        <v>100</v>
      </c>
      <c r="N461">
        <v>11.428783320000001</v>
      </c>
      <c r="O461">
        <v>5</v>
      </c>
      <c r="P461" t="s">
        <v>12</v>
      </c>
      <c r="Q461">
        <v>89</v>
      </c>
      <c r="R461" t="s">
        <v>13</v>
      </c>
      <c r="S461" t="s">
        <v>14</v>
      </c>
      <c r="T461" t="s">
        <v>14</v>
      </c>
      <c r="U461" s="34">
        <v>0</v>
      </c>
      <c r="V461" s="34">
        <v>3</v>
      </c>
      <c r="W461" s="25">
        <v>1.5</v>
      </c>
      <c r="X461" s="25">
        <v>3</v>
      </c>
      <c r="Y461">
        <v>0.77305769000000002</v>
      </c>
      <c r="Z461" t="s">
        <v>1096</v>
      </c>
      <c r="AA461" t="s">
        <v>622</v>
      </c>
      <c r="AB461">
        <v>1</v>
      </c>
      <c r="AC461">
        <v>0</v>
      </c>
      <c r="AF461" t="s">
        <v>520</v>
      </c>
      <c r="AG461" s="32">
        <v>0</v>
      </c>
      <c r="AH461" s="32" t="s">
        <v>671</v>
      </c>
      <c r="AI461" s="32" t="s">
        <v>1129</v>
      </c>
      <c r="AJ461" s="31" t="s">
        <v>1130</v>
      </c>
      <c r="AK461" s="31">
        <v>0.59524549999999998</v>
      </c>
      <c r="AL461" s="31">
        <v>0</v>
      </c>
      <c r="AM461" s="31">
        <v>0</v>
      </c>
      <c r="AN461" s="31">
        <v>0</v>
      </c>
      <c r="AO461" s="31">
        <v>0</v>
      </c>
      <c r="AP461" s="31">
        <v>0</v>
      </c>
      <c r="AQ461" s="31">
        <v>0</v>
      </c>
      <c r="AR461" s="31">
        <v>0.13208853699948581</v>
      </c>
    </row>
    <row r="462" spans="1:44" hidden="1" x14ac:dyDescent="0.5">
      <c r="A462" s="31">
        <v>102</v>
      </c>
      <c r="B462" s="31">
        <v>7</v>
      </c>
      <c r="C462" s="225" t="s">
        <v>41</v>
      </c>
      <c r="D462" s="32">
        <v>-67.610167000000004</v>
      </c>
      <c r="E462" s="38">
        <v>-68.210306000000003</v>
      </c>
      <c r="F462">
        <v>0.74</v>
      </c>
      <c r="G462">
        <f>F462*1609.344</f>
        <v>1190.9145599999999</v>
      </c>
      <c r="H462" s="32" t="s">
        <v>614</v>
      </c>
      <c r="I462">
        <v>10</v>
      </c>
      <c r="J462">
        <v>0</v>
      </c>
      <c r="K462" s="26">
        <v>2016</v>
      </c>
      <c r="L462" t="s">
        <v>30</v>
      </c>
      <c r="M462" s="32">
        <v>100</v>
      </c>
      <c r="N462">
        <v>11.428783320000001</v>
      </c>
      <c r="O462">
        <v>5</v>
      </c>
      <c r="P462" t="s">
        <v>12</v>
      </c>
      <c r="Q462">
        <v>89</v>
      </c>
      <c r="R462" t="s">
        <v>13</v>
      </c>
      <c r="S462" t="s">
        <v>14</v>
      </c>
      <c r="T462" t="s">
        <v>14</v>
      </c>
      <c r="U462" s="34">
        <v>0</v>
      </c>
      <c r="V462" s="34">
        <v>3</v>
      </c>
      <c r="W462" s="25">
        <v>1.5</v>
      </c>
      <c r="X462" s="25">
        <v>3</v>
      </c>
      <c r="Y462">
        <v>0.77305769000000002</v>
      </c>
      <c r="Z462" t="s">
        <v>1096</v>
      </c>
      <c r="AA462" t="s">
        <v>622</v>
      </c>
      <c r="AB462">
        <v>1</v>
      </c>
      <c r="AC462">
        <v>0</v>
      </c>
      <c r="AF462" t="s">
        <v>520</v>
      </c>
      <c r="AG462" s="32">
        <v>0</v>
      </c>
      <c r="AH462" s="32" t="s">
        <v>671</v>
      </c>
      <c r="AI462" s="32" t="s">
        <v>1129</v>
      </c>
      <c r="AJ462" s="31" t="s">
        <v>1130</v>
      </c>
      <c r="AK462" s="31">
        <v>0.59524549999999998</v>
      </c>
      <c r="AL462" s="31">
        <v>0</v>
      </c>
      <c r="AM462" s="31">
        <v>0</v>
      </c>
      <c r="AN462" s="31">
        <v>0</v>
      </c>
      <c r="AO462" s="31">
        <v>0</v>
      </c>
      <c r="AP462" s="31">
        <v>0</v>
      </c>
      <c r="AQ462" s="31">
        <v>0</v>
      </c>
      <c r="AR462" s="31">
        <v>0.13208853699948581</v>
      </c>
    </row>
    <row r="463" spans="1:44" hidden="1" x14ac:dyDescent="0.5">
      <c r="A463" s="31">
        <v>103</v>
      </c>
      <c r="B463" s="31">
        <v>7</v>
      </c>
      <c r="C463" s="225" t="s">
        <v>41</v>
      </c>
      <c r="D463" s="32">
        <v>-67.610056</v>
      </c>
      <c r="E463" s="38">
        <v>-68.208749999999995</v>
      </c>
      <c r="F463">
        <v>0.76</v>
      </c>
      <c r="G463">
        <f>F463*1609.344</f>
        <v>1223.1014400000001</v>
      </c>
      <c r="H463" s="32" t="s">
        <v>614</v>
      </c>
      <c r="I463">
        <v>10</v>
      </c>
      <c r="J463">
        <v>0</v>
      </c>
      <c r="K463" s="26">
        <v>2016</v>
      </c>
      <c r="L463" t="s">
        <v>30</v>
      </c>
      <c r="M463" s="32">
        <v>100</v>
      </c>
      <c r="N463">
        <v>11.428783320000001</v>
      </c>
      <c r="O463">
        <v>5</v>
      </c>
      <c r="P463" t="s">
        <v>12</v>
      </c>
      <c r="Q463">
        <v>89</v>
      </c>
      <c r="R463" t="s">
        <v>13</v>
      </c>
      <c r="S463" t="s">
        <v>14</v>
      </c>
      <c r="T463" t="s">
        <v>14</v>
      </c>
      <c r="U463" s="34">
        <v>0</v>
      </c>
      <c r="V463" s="34">
        <v>3</v>
      </c>
      <c r="W463" s="25">
        <v>1.5</v>
      </c>
      <c r="X463" s="25">
        <v>3</v>
      </c>
      <c r="Y463">
        <v>0.77305769000000002</v>
      </c>
      <c r="Z463" t="s">
        <v>1096</v>
      </c>
      <c r="AA463" t="s">
        <v>622</v>
      </c>
      <c r="AB463">
        <v>1</v>
      </c>
      <c r="AC463">
        <v>0</v>
      </c>
      <c r="AF463" t="s">
        <v>520</v>
      </c>
      <c r="AG463" s="32">
        <v>0</v>
      </c>
      <c r="AH463" s="32" t="s">
        <v>671</v>
      </c>
      <c r="AI463" s="32" t="s">
        <v>1129</v>
      </c>
      <c r="AJ463" s="31" t="s">
        <v>1130</v>
      </c>
      <c r="AK463" s="31">
        <v>0.59524549999999998</v>
      </c>
      <c r="AL463" s="31">
        <v>0</v>
      </c>
      <c r="AM463" s="31">
        <v>0</v>
      </c>
      <c r="AN463" s="31">
        <v>0</v>
      </c>
      <c r="AO463" s="31">
        <v>0</v>
      </c>
      <c r="AP463" s="31">
        <v>0</v>
      </c>
      <c r="AQ463" s="31">
        <v>0</v>
      </c>
      <c r="AR463" s="31">
        <v>0.13208853699948581</v>
      </c>
    </row>
    <row r="464" spans="1:44" hidden="1" x14ac:dyDescent="0.5">
      <c r="A464" s="31">
        <v>463</v>
      </c>
      <c r="B464" s="31">
        <v>32</v>
      </c>
      <c r="C464" s="225" t="s">
        <v>9</v>
      </c>
      <c r="D464" s="35">
        <v>34.902205000000002</v>
      </c>
      <c r="E464" s="33">
        <v>128.11167900000001</v>
      </c>
      <c r="F464">
        <v>0</v>
      </c>
      <c r="G464">
        <f>F464*1609.344</f>
        <v>0</v>
      </c>
      <c r="H464" s="32" t="s">
        <v>10</v>
      </c>
      <c r="I464">
        <v>0</v>
      </c>
      <c r="J464">
        <v>369.20040730181302</v>
      </c>
      <c r="K464" s="26">
        <v>2016</v>
      </c>
      <c r="L464" t="s">
        <v>11</v>
      </c>
      <c r="M464" s="32">
        <v>20</v>
      </c>
      <c r="N464">
        <v>2.0820431909999999</v>
      </c>
      <c r="O464">
        <v>1</v>
      </c>
      <c r="P464" t="s">
        <v>18</v>
      </c>
      <c r="Q464">
        <v>81</v>
      </c>
      <c r="R464" t="s">
        <v>13</v>
      </c>
      <c r="S464" t="s">
        <v>14</v>
      </c>
      <c r="T464" t="s">
        <v>14</v>
      </c>
      <c r="U464" s="34">
        <v>0</v>
      </c>
      <c r="V464" s="34">
        <v>0.25</v>
      </c>
      <c r="W464" s="25">
        <v>0.125</v>
      </c>
      <c r="X464" s="25">
        <v>0.25</v>
      </c>
      <c r="Y464">
        <v>1.3089407900000001</v>
      </c>
      <c r="Z464" t="s">
        <v>1110</v>
      </c>
      <c r="AA464" t="s">
        <v>622</v>
      </c>
      <c r="AB464">
        <v>120</v>
      </c>
      <c r="AC464">
        <v>18910</v>
      </c>
      <c r="AD464">
        <v>23235</v>
      </c>
      <c r="AE464" t="s">
        <v>519</v>
      </c>
      <c r="AF464" t="s">
        <v>521</v>
      </c>
      <c r="AG464" s="32" t="s">
        <v>1465</v>
      </c>
      <c r="AH464" s="32" t="s">
        <v>1466</v>
      </c>
      <c r="AI464" s="32" t="s">
        <v>1467</v>
      </c>
      <c r="AJ464" s="31" t="s">
        <v>2889</v>
      </c>
      <c r="AK464" s="31">
        <v>3.0800000000000001E-2</v>
      </c>
      <c r="AL464" s="31">
        <v>177.98452136249799</v>
      </c>
      <c r="AM464" s="31">
        <v>5600.7337046926314</v>
      </c>
      <c r="AN464" s="31">
        <v>457.49563062491728</v>
      </c>
      <c r="AO464" s="31">
        <v>14396.258610443825</v>
      </c>
      <c r="AP464" s="31">
        <v>0.59883469217172747</v>
      </c>
      <c r="AQ464" s="31">
        <v>18.843850118598642</v>
      </c>
      <c r="AR464" s="31">
        <v>0.13341858489683281</v>
      </c>
    </row>
    <row r="465" spans="1:44" hidden="1" x14ac:dyDescent="0.5">
      <c r="A465" s="31">
        <v>464</v>
      </c>
      <c r="B465" s="31">
        <v>32</v>
      </c>
      <c r="C465" s="225" t="s">
        <v>9</v>
      </c>
      <c r="D465" s="35">
        <v>36.470801000000002</v>
      </c>
      <c r="E465" s="33">
        <v>126.487071</v>
      </c>
      <c r="F465">
        <v>0</v>
      </c>
      <c r="G465">
        <f>F465*1609.344</f>
        <v>0</v>
      </c>
      <c r="H465" s="32" t="s">
        <v>10</v>
      </c>
      <c r="I465">
        <v>0</v>
      </c>
      <c r="J465">
        <v>696.86537203000898</v>
      </c>
      <c r="K465" s="26">
        <v>2016</v>
      </c>
      <c r="L465" t="s">
        <v>11</v>
      </c>
      <c r="M465" s="32">
        <v>20</v>
      </c>
      <c r="N465">
        <v>2.0820431909999999</v>
      </c>
      <c r="O465">
        <v>1</v>
      </c>
      <c r="P465" t="s">
        <v>18</v>
      </c>
      <c r="Q465">
        <v>81</v>
      </c>
      <c r="R465" t="s">
        <v>13</v>
      </c>
      <c r="S465" t="s">
        <v>14</v>
      </c>
      <c r="T465" t="s">
        <v>14</v>
      </c>
      <c r="U465" s="34">
        <v>0</v>
      </c>
      <c r="V465" s="34">
        <v>0.25</v>
      </c>
      <c r="W465" s="25">
        <v>0.125</v>
      </c>
      <c r="X465" s="25">
        <v>0.25</v>
      </c>
      <c r="Y465">
        <v>0.72222678100000004</v>
      </c>
      <c r="Z465" t="s">
        <v>804</v>
      </c>
      <c r="AA465" t="s">
        <v>630</v>
      </c>
      <c r="AB465">
        <v>72</v>
      </c>
      <c r="AC465">
        <v>9433</v>
      </c>
      <c r="AD465">
        <v>11039</v>
      </c>
      <c r="AE465" t="s">
        <v>519</v>
      </c>
      <c r="AF465" t="s">
        <v>521</v>
      </c>
      <c r="AG465" s="32" t="s">
        <v>1468</v>
      </c>
      <c r="AH465" s="32" t="s">
        <v>1466</v>
      </c>
      <c r="AI465" s="32" t="s">
        <v>1469</v>
      </c>
      <c r="AJ465" s="31" t="s">
        <v>2890</v>
      </c>
      <c r="AK465" s="31">
        <v>3.0800000000000001E-2</v>
      </c>
      <c r="AL465" s="31">
        <v>160.91145199446709</v>
      </c>
      <c r="AM465" s="31">
        <v>5063.4863400336853</v>
      </c>
      <c r="AN465" s="31">
        <v>413.61060861605381</v>
      </c>
      <c r="AO465" s="31">
        <v>13015.305255541538</v>
      </c>
      <c r="AP465" s="31">
        <v>0.29872065844822343</v>
      </c>
      <c r="AQ465" s="31">
        <v>9.400002018442148</v>
      </c>
      <c r="AR465" s="31">
        <v>0.13341858489683281</v>
      </c>
    </row>
    <row r="466" spans="1:44" hidden="1" x14ac:dyDescent="0.5">
      <c r="A466" s="31">
        <v>465</v>
      </c>
      <c r="B466" s="31">
        <v>32</v>
      </c>
      <c r="C466" s="225" t="s">
        <v>9</v>
      </c>
      <c r="D466" s="35">
        <v>37.071357999999996</v>
      </c>
      <c r="E466" s="33">
        <v>129.414931</v>
      </c>
      <c r="F466">
        <v>0</v>
      </c>
      <c r="G466">
        <f>F466*1609.344</f>
        <v>0</v>
      </c>
      <c r="H466" s="32" t="s">
        <v>10</v>
      </c>
      <c r="I466">
        <v>0</v>
      </c>
      <c r="J466">
        <v>83.196943327495404</v>
      </c>
      <c r="K466" s="26">
        <v>2016</v>
      </c>
      <c r="L466" t="s">
        <v>11</v>
      </c>
      <c r="M466" s="32">
        <v>20</v>
      </c>
      <c r="N466">
        <v>2.0820431909999999</v>
      </c>
      <c r="O466">
        <v>1</v>
      </c>
      <c r="P466" t="s">
        <v>18</v>
      </c>
      <c r="Q466">
        <v>81</v>
      </c>
      <c r="R466" t="s">
        <v>13</v>
      </c>
      <c r="S466" t="s">
        <v>14</v>
      </c>
      <c r="T466" t="s">
        <v>14</v>
      </c>
      <c r="U466" s="34">
        <v>0</v>
      </c>
      <c r="V466" s="34">
        <v>0.25</v>
      </c>
      <c r="W466" s="25">
        <v>0.125</v>
      </c>
      <c r="X466" s="25">
        <v>0.25</v>
      </c>
      <c r="Y466">
        <v>0.57979506199999997</v>
      </c>
      <c r="Z466" t="s">
        <v>804</v>
      </c>
      <c r="AA466" t="s">
        <v>630</v>
      </c>
      <c r="AB466">
        <v>48</v>
      </c>
      <c r="AC466">
        <v>5750</v>
      </c>
      <c r="AD466">
        <v>5932</v>
      </c>
      <c r="AE466" t="s">
        <v>519</v>
      </c>
      <c r="AF466" t="s">
        <v>521</v>
      </c>
      <c r="AG466" s="32" t="s">
        <v>1470</v>
      </c>
      <c r="AH466" s="32" t="s">
        <v>1466</v>
      </c>
      <c r="AI466" s="32" t="s">
        <v>1471</v>
      </c>
      <c r="AJ466" s="31" t="s">
        <v>2891</v>
      </c>
      <c r="AK466" s="31">
        <v>3.0800000000000001E-2</v>
      </c>
      <c r="AL466" s="31">
        <v>122.1811026738272</v>
      </c>
      <c r="AM466" s="31">
        <v>3844.7378153075751</v>
      </c>
      <c r="AN466" s="31">
        <v>314.05720109989358</v>
      </c>
      <c r="AO466" s="31">
        <v>9882.6051722732736</v>
      </c>
      <c r="AP466" s="31">
        <v>0.18208881438325927</v>
      </c>
      <c r="AQ466" s="31">
        <v>5.729885678579703</v>
      </c>
      <c r="AR466" s="31">
        <v>0.13341858489683281</v>
      </c>
    </row>
    <row r="467" spans="1:44" customFormat="1" hidden="1" x14ac:dyDescent="0.5">
      <c r="A467">
        <v>466</v>
      </c>
      <c r="B467">
        <v>32</v>
      </c>
      <c r="C467" s="226" t="s">
        <v>9</v>
      </c>
      <c r="D467" s="227">
        <v>34.902205000000002</v>
      </c>
      <c r="E467" s="228">
        <v>128.11167900000001</v>
      </c>
      <c r="F467">
        <v>0</v>
      </c>
      <c r="G467">
        <f>F467*1609.344</f>
        <v>0</v>
      </c>
      <c r="H467" t="s">
        <v>10</v>
      </c>
      <c r="I467">
        <v>0</v>
      </c>
      <c r="J467">
        <v>369.20040730181302</v>
      </c>
      <c r="K467" s="26">
        <v>2016</v>
      </c>
      <c r="L467" t="s">
        <v>11</v>
      </c>
      <c r="M467" s="30">
        <v>1000</v>
      </c>
      <c r="N467">
        <v>130.61708849999999</v>
      </c>
      <c r="O467">
        <v>5</v>
      </c>
      <c r="P467" t="s">
        <v>17</v>
      </c>
      <c r="Q467">
        <v>100</v>
      </c>
      <c r="R467" t="s">
        <v>13</v>
      </c>
      <c r="S467" t="s">
        <v>14</v>
      </c>
      <c r="T467" t="s">
        <v>14</v>
      </c>
      <c r="U467" s="25">
        <v>0</v>
      </c>
      <c r="V467" s="25">
        <v>0.25</v>
      </c>
      <c r="W467" s="25">
        <v>0.125</v>
      </c>
      <c r="X467" s="25">
        <v>0.25</v>
      </c>
      <c r="Y467">
        <v>1.3089407900000001</v>
      </c>
      <c r="Z467" t="s">
        <v>1110</v>
      </c>
      <c r="AA467" t="s">
        <v>622</v>
      </c>
      <c r="AB467">
        <v>120</v>
      </c>
      <c r="AC467">
        <v>425</v>
      </c>
      <c r="AD467">
        <v>621</v>
      </c>
      <c r="AE467" t="s">
        <v>519</v>
      </c>
      <c r="AF467" t="s">
        <v>521</v>
      </c>
      <c r="AG467" s="30">
        <v>129.8760045517414</v>
      </c>
      <c r="AH467" s="30">
        <v>3.0800000000000001E-2</v>
      </c>
      <c r="AI467" s="30">
        <v>4.0001809401936352</v>
      </c>
      <c r="AJ467">
        <v>125.87582361154777</v>
      </c>
      <c r="AK467">
        <v>3.0800000000000001E-2</v>
      </c>
      <c r="AL467">
        <v>4.0001809401936352</v>
      </c>
      <c r="AM467">
        <v>125.87582361154777</v>
      </c>
      <c r="AN467">
        <v>522.49198788128524</v>
      </c>
      <c r="AO467">
        <v>16441.533592679923</v>
      </c>
      <c r="AP467">
        <v>0.68391107538600004</v>
      </c>
      <c r="AQ467">
        <v>21.520993969614</v>
      </c>
      <c r="AR467">
        <v>0.13341858489683281</v>
      </c>
    </row>
    <row r="468" spans="1:44" customFormat="1" hidden="1" x14ac:dyDescent="0.5">
      <c r="A468">
        <v>467</v>
      </c>
      <c r="B468">
        <v>32</v>
      </c>
      <c r="C468" s="226" t="s">
        <v>9</v>
      </c>
      <c r="D468" s="227">
        <v>36.470801000000002</v>
      </c>
      <c r="E468" s="228">
        <v>126.487071</v>
      </c>
      <c r="F468">
        <v>0</v>
      </c>
      <c r="G468">
        <f>F468*1609.344</f>
        <v>0</v>
      </c>
      <c r="H468" t="s">
        <v>10</v>
      </c>
      <c r="I468">
        <v>0</v>
      </c>
      <c r="J468">
        <v>696.86537203000898</v>
      </c>
      <c r="K468" s="26">
        <v>2016</v>
      </c>
      <c r="L468" t="s">
        <v>11</v>
      </c>
      <c r="M468" s="30">
        <v>1000</v>
      </c>
      <c r="N468">
        <v>130.61708849999999</v>
      </c>
      <c r="O468">
        <v>5</v>
      </c>
      <c r="P468" t="s">
        <v>17</v>
      </c>
      <c r="Q468">
        <v>100</v>
      </c>
      <c r="R468" t="s">
        <v>13</v>
      </c>
      <c r="S468" t="s">
        <v>14</v>
      </c>
      <c r="T468" t="s">
        <v>14</v>
      </c>
      <c r="U468" s="25">
        <v>0</v>
      </c>
      <c r="V468" s="25">
        <v>0.25</v>
      </c>
      <c r="W468" s="25">
        <v>0.125</v>
      </c>
      <c r="X468" s="25">
        <v>0.25</v>
      </c>
      <c r="Y468">
        <v>0.72222678100000004</v>
      </c>
      <c r="Z468" t="s">
        <v>804</v>
      </c>
      <c r="AA468" t="s">
        <v>630</v>
      </c>
      <c r="AB468">
        <v>72</v>
      </c>
      <c r="AC468">
        <v>5</v>
      </c>
      <c r="AD468">
        <v>9.6</v>
      </c>
      <c r="AE468" t="s">
        <v>519</v>
      </c>
      <c r="AF468" t="s">
        <v>521</v>
      </c>
      <c r="AG468" s="30">
        <v>2.7692132895304526</v>
      </c>
      <c r="AH468" s="30">
        <v>3.0800000000000001E-2</v>
      </c>
      <c r="AI468" s="30">
        <v>8.5291769317537944E-2</v>
      </c>
      <c r="AJ468">
        <v>2.6839215202129147</v>
      </c>
      <c r="AK468">
        <v>3.0800000000000001E-2</v>
      </c>
      <c r="AL468">
        <v>8.5291769317537944E-2</v>
      </c>
      <c r="AM468">
        <v>2.6839215202129147</v>
      </c>
      <c r="AN468">
        <v>11.140562581270437</v>
      </c>
      <c r="AO468">
        <v>350.56601473270479</v>
      </c>
      <c r="AP468">
        <v>8.0460126515999996E-3</v>
      </c>
      <c r="AQ468">
        <v>0.25318816434839997</v>
      </c>
      <c r="AR468">
        <v>0.13341858489683281</v>
      </c>
    </row>
    <row r="469" spans="1:44" customFormat="1" hidden="1" x14ac:dyDescent="0.5">
      <c r="A469">
        <v>468</v>
      </c>
      <c r="B469">
        <v>32</v>
      </c>
      <c r="C469" s="226" t="s">
        <v>9</v>
      </c>
      <c r="D469" s="227">
        <v>37.071357999999996</v>
      </c>
      <c r="E469" s="228">
        <v>129.414931</v>
      </c>
      <c r="F469">
        <v>0</v>
      </c>
      <c r="G469">
        <f>F469*1609.344</f>
        <v>0</v>
      </c>
      <c r="H469" t="s">
        <v>10</v>
      </c>
      <c r="I469">
        <v>0</v>
      </c>
      <c r="J469">
        <v>83.196943327495404</v>
      </c>
      <c r="K469" s="26">
        <v>2016</v>
      </c>
      <c r="L469" t="s">
        <v>11</v>
      </c>
      <c r="M469" s="30">
        <v>1000</v>
      </c>
      <c r="N469">
        <v>130.61708849999999</v>
      </c>
      <c r="O469">
        <v>5</v>
      </c>
      <c r="P469" t="s">
        <v>17</v>
      </c>
      <c r="Q469">
        <v>100</v>
      </c>
      <c r="R469" t="s">
        <v>13</v>
      </c>
      <c r="S469" t="s">
        <v>14</v>
      </c>
      <c r="T469" t="s">
        <v>14</v>
      </c>
      <c r="U469" s="25">
        <v>0</v>
      </c>
      <c r="V469" s="25">
        <v>0.25</v>
      </c>
      <c r="W469" s="25">
        <v>0.125</v>
      </c>
      <c r="X469" s="25">
        <v>0.25</v>
      </c>
      <c r="Y469">
        <v>0.57979506199999997</v>
      </c>
      <c r="Z469" t="s">
        <v>804</v>
      </c>
      <c r="AA469" t="s">
        <v>630</v>
      </c>
      <c r="AB469">
        <v>48</v>
      </c>
      <c r="AC469">
        <v>128</v>
      </c>
      <c r="AD469">
        <v>198</v>
      </c>
      <c r="AE469" t="s">
        <v>519</v>
      </c>
      <c r="AF469" t="s">
        <v>521</v>
      </c>
      <c r="AG469" s="30">
        <v>88.307064608977313</v>
      </c>
      <c r="AH469" s="30">
        <v>3.0800000000000001E-2</v>
      </c>
      <c r="AI469" s="30">
        <v>2.7198575899565012</v>
      </c>
      <c r="AJ469">
        <v>85.587207019020809</v>
      </c>
      <c r="AK469">
        <v>3.0800000000000001E-2</v>
      </c>
      <c r="AL469">
        <v>2.7198575899565012</v>
      </c>
      <c r="AM469">
        <v>85.587207019020809</v>
      </c>
      <c r="AN469">
        <v>355.25987953474498</v>
      </c>
      <c r="AO469">
        <v>11179.151793671263</v>
      </c>
      <c r="AP469">
        <v>0.20597792388095998</v>
      </c>
      <c r="AQ469">
        <v>6.4816170073190404</v>
      </c>
      <c r="AR469">
        <v>0.13341858489683281</v>
      </c>
    </row>
    <row r="470" spans="1:44" hidden="1" x14ac:dyDescent="0.5">
      <c r="A470" s="31">
        <v>104</v>
      </c>
      <c r="B470" s="31">
        <v>7</v>
      </c>
      <c r="C470" s="225" t="s">
        <v>41</v>
      </c>
      <c r="D470" s="32">
        <v>-67.610056</v>
      </c>
      <c r="E470" s="38">
        <v>-68.208749999999995</v>
      </c>
      <c r="F470">
        <v>0.76</v>
      </c>
      <c r="G470">
        <f>F470*1609.344</f>
        <v>1223.1014400000001</v>
      </c>
      <c r="H470" s="32" t="s">
        <v>614</v>
      </c>
      <c r="I470">
        <v>10</v>
      </c>
      <c r="J470">
        <v>0</v>
      </c>
      <c r="K470" s="26">
        <v>2016</v>
      </c>
      <c r="L470" t="s">
        <v>30</v>
      </c>
      <c r="M470" s="32">
        <v>100</v>
      </c>
      <c r="N470">
        <v>11.428783320000001</v>
      </c>
      <c r="O470">
        <v>5</v>
      </c>
      <c r="P470" t="s">
        <v>12</v>
      </c>
      <c r="Q470">
        <v>89</v>
      </c>
      <c r="R470" t="s">
        <v>13</v>
      </c>
      <c r="S470" t="s">
        <v>14</v>
      </c>
      <c r="T470" t="s">
        <v>14</v>
      </c>
      <c r="U470" s="34">
        <v>0</v>
      </c>
      <c r="V470" s="34">
        <v>3</v>
      </c>
      <c r="W470" s="25">
        <v>1.5</v>
      </c>
      <c r="X470" s="25">
        <v>3</v>
      </c>
      <c r="Y470">
        <v>0.77305769000000002</v>
      </c>
      <c r="Z470" t="s">
        <v>1096</v>
      </c>
      <c r="AA470" t="s">
        <v>622</v>
      </c>
      <c r="AB470">
        <v>1</v>
      </c>
      <c r="AC470">
        <v>0</v>
      </c>
      <c r="AF470" t="s">
        <v>520</v>
      </c>
      <c r="AG470" s="32">
        <v>0</v>
      </c>
      <c r="AH470" s="32" t="s">
        <v>671</v>
      </c>
      <c r="AI470" s="32" t="s">
        <v>1129</v>
      </c>
      <c r="AJ470" s="31" t="s">
        <v>1130</v>
      </c>
      <c r="AK470" s="31">
        <v>0.59524549999999998</v>
      </c>
      <c r="AL470" s="31">
        <v>0</v>
      </c>
      <c r="AM470" s="31">
        <v>0</v>
      </c>
      <c r="AN470" s="31">
        <v>0</v>
      </c>
      <c r="AO470" s="31">
        <v>0</v>
      </c>
      <c r="AP470" s="31">
        <v>0</v>
      </c>
      <c r="AQ470" s="31">
        <v>0</v>
      </c>
      <c r="AR470" s="31">
        <v>0.13208853699948581</v>
      </c>
    </row>
    <row r="471" spans="1:44" hidden="1" x14ac:dyDescent="0.5">
      <c r="A471" s="31">
        <v>105</v>
      </c>
      <c r="B471" s="31">
        <v>7</v>
      </c>
      <c r="C471" s="225" t="s">
        <v>41</v>
      </c>
      <c r="D471" s="32">
        <v>-67.610056</v>
      </c>
      <c r="E471" s="38">
        <v>-68.208749999999995</v>
      </c>
      <c r="F471">
        <v>0.76</v>
      </c>
      <c r="G471">
        <f>F471*1609.344</f>
        <v>1223.1014400000001</v>
      </c>
      <c r="H471" s="32" t="s">
        <v>614</v>
      </c>
      <c r="I471">
        <v>10</v>
      </c>
      <c r="J471">
        <v>0</v>
      </c>
      <c r="K471" s="26">
        <v>2016</v>
      </c>
      <c r="L471" t="s">
        <v>30</v>
      </c>
      <c r="M471" s="32">
        <v>100</v>
      </c>
      <c r="N471">
        <v>11.428783320000001</v>
      </c>
      <c r="O471">
        <v>5</v>
      </c>
      <c r="P471" t="s">
        <v>12</v>
      </c>
      <c r="Q471">
        <v>89</v>
      </c>
      <c r="R471" t="s">
        <v>13</v>
      </c>
      <c r="S471" t="s">
        <v>14</v>
      </c>
      <c r="T471" t="s">
        <v>14</v>
      </c>
      <c r="U471" s="34">
        <v>0</v>
      </c>
      <c r="V471" s="34">
        <v>3</v>
      </c>
      <c r="W471" s="25">
        <v>1.5</v>
      </c>
      <c r="X471" s="25">
        <v>3</v>
      </c>
      <c r="Y471">
        <v>0.77305769000000002</v>
      </c>
      <c r="Z471" t="s">
        <v>1096</v>
      </c>
      <c r="AA471" t="s">
        <v>622</v>
      </c>
      <c r="AB471">
        <v>1</v>
      </c>
      <c r="AC471">
        <v>0</v>
      </c>
      <c r="AF471" t="s">
        <v>520</v>
      </c>
      <c r="AG471" s="32">
        <v>0</v>
      </c>
      <c r="AH471" s="32" t="s">
        <v>671</v>
      </c>
      <c r="AI471" s="32" t="s">
        <v>1129</v>
      </c>
      <c r="AJ471" s="31" t="s">
        <v>1130</v>
      </c>
      <c r="AK471" s="31">
        <v>0.59524549999999998</v>
      </c>
      <c r="AL471" s="31">
        <v>0</v>
      </c>
      <c r="AM471" s="31">
        <v>0</v>
      </c>
      <c r="AN471" s="31">
        <v>0</v>
      </c>
      <c r="AO471" s="31">
        <v>0</v>
      </c>
      <c r="AP471" s="31">
        <v>0</v>
      </c>
      <c r="AQ471" s="31">
        <v>0</v>
      </c>
      <c r="AR471" s="31">
        <v>0.13208853699948581</v>
      </c>
    </row>
    <row r="472" spans="1:44" hidden="1" x14ac:dyDescent="0.5">
      <c r="A472" s="31">
        <v>106</v>
      </c>
      <c r="B472" s="31">
        <v>7</v>
      </c>
      <c r="C472" s="225" t="s">
        <v>41</v>
      </c>
      <c r="D472" s="32">
        <v>-67.570250000000001</v>
      </c>
      <c r="E472" s="38">
        <v>-68.132750000000001</v>
      </c>
      <c r="F472">
        <v>0.03</v>
      </c>
      <c r="G472">
        <f>F472*1609.344</f>
        <v>48.280320000000003</v>
      </c>
      <c r="H472" s="32" t="s">
        <v>614</v>
      </c>
      <c r="I472">
        <v>10</v>
      </c>
      <c r="J472">
        <v>0</v>
      </c>
      <c r="K472" s="26">
        <v>2016</v>
      </c>
      <c r="L472" t="s">
        <v>30</v>
      </c>
      <c r="M472" s="32">
        <v>100</v>
      </c>
      <c r="N472">
        <v>11.428783320000001</v>
      </c>
      <c r="O472">
        <v>5</v>
      </c>
      <c r="P472" t="s">
        <v>12</v>
      </c>
      <c r="Q472">
        <v>89</v>
      </c>
      <c r="R472" t="s">
        <v>13</v>
      </c>
      <c r="S472" t="s">
        <v>14</v>
      </c>
      <c r="T472" t="s">
        <v>14</v>
      </c>
      <c r="U472" s="34">
        <v>0</v>
      </c>
      <c r="V472" s="34">
        <v>3</v>
      </c>
      <c r="W472" s="25">
        <v>1.5</v>
      </c>
      <c r="X472" s="25">
        <v>3</v>
      </c>
      <c r="Y472">
        <v>0.77305769000000002</v>
      </c>
      <c r="Z472" t="s">
        <v>1096</v>
      </c>
      <c r="AA472" t="s">
        <v>622</v>
      </c>
      <c r="AB472">
        <v>1</v>
      </c>
      <c r="AC472">
        <v>0</v>
      </c>
      <c r="AF472" t="s">
        <v>520</v>
      </c>
      <c r="AG472" s="32">
        <v>0</v>
      </c>
      <c r="AH472" s="32" t="s">
        <v>671</v>
      </c>
      <c r="AI472" s="32" t="s">
        <v>1129</v>
      </c>
      <c r="AJ472" s="31" t="s">
        <v>1130</v>
      </c>
      <c r="AK472" s="31">
        <v>0.59524549999999998</v>
      </c>
      <c r="AL472" s="31">
        <v>0</v>
      </c>
      <c r="AM472" s="31">
        <v>0</v>
      </c>
      <c r="AN472" s="31">
        <v>0</v>
      </c>
      <c r="AO472" s="31">
        <v>0</v>
      </c>
      <c r="AP472" s="31">
        <v>0</v>
      </c>
      <c r="AQ472" s="31">
        <v>0</v>
      </c>
      <c r="AR472" s="31">
        <v>0.13208853699948581</v>
      </c>
    </row>
    <row r="473" spans="1:44" hidden="1" x14ac:dyDescent="0.5">
      <c r="A473" s="31">
        <v>107</v>
      </c>
      <c r="B473" s="31">
        <v>7</v>
      </c>
      <c r="C473" s="225" t="s">
        <v>41</v>
      </c>
      <c r="D473" s="32">
        <v>-67.570250000000001</v>
      </c>
      <c r="E473" s="38">
        <v>-68.132750000000001</v>
      </c>
      <c r="F473">
        <v>0.03</v>
      </c>
      <c r="G473">
        <f>F473*1609.344</f>
        <v>48.280320000000003</v>
      </c>
      <c r="H473" s="32" t="s">
        <v>614</v>
      </c>
      <c r="I473">
        <v>10</v>
      </c>
      <c r="J473">
        <v>0</v>
      </c>
      <c r="K473" s="26">
        <v>2016</v>
      </c>
      <c r="L473" t="s">
        <v>30</v>
      </c>
      <c r="M473" s="32">
        <v>100</v>
      </c>
      <c r="N473">
        <v>11.428783320000001</v>
      </c>
      <c r="O473">
        <v>5</v>
      </c>
      <c r="P473" t="s">
        <v>12</v>
      </c>
      <c r="Q473">
        <v>89</v>
      </c>
      <c r="R473" t="s">
        <v>13</v>
      </c>
      <c r="S473" t="s">
        <v>14</v>
      </c>
      <c r="T473" t="s">
        <v>14</v>
      </c>
      <c r="U473" s="34">
        <v>0</v>
      </c>
      <c r="V473" s="34">
        <v>3</v>
      </c>
      <c r="W473" s="25">
        <v>1.5</v>
      </c>
      <c r="X473" s="25">
        <v>3</v>
      </c>
      <c r="Y473">
        <v>0.77305769000000002</v>
      </c>
      <c r="Z473" t="s">
        <v>1096</v>
      </c>
      <c r="AA473" t="s">
        <v>622</v>
      </c>
      <c r="AB473">
        <v>1</v>
      </c>
      <c r="AC473">
        <v>0</v>
      </c>
      <c r="AF473" t="s">
        <v>520</v>
      </c>
      <c r="AG473" s="32">
        <v>0</v>
      </c>
      <c r="AH473" s="32" t="s">
        <v>671</v>
      </c>
      <c r="AI473" s="32" t="s">
        <v>1129</v>
      </c>
      <c r="AJ473" s="31" t="s">
        <v>1130</v>
      </c>
      <c r="AK473" s="31">
        <v>0.59524549999999998</v>
      </c>
      <c r="AL473" s="31">
        <v>0</v>
      </c>
      <c r="AM473" s="31">
        <v>0</v>
      </c>
      <c r="AN473" s="31">
        <v>0</v>
      </c>
      <c r="AO473" s="31">
        <v>0</v>
      </c>
      <c r="AP473" s="31">
        <v>0</v>
      </c>
      <c r="AQ473" s="31">
        <v>0</v>
      </c>
      <c r="AR473" s="31">
        <v>0.13208853699948581</v>
      </c>
    </row>
    <row r="474" spans="1:44" hidden="1" x14ac:dyDescent="0.5">
      <c r="A474" s="31">
        <v>108</v>
      </c>
      <c r="B474" s="31">
        <v>7</v>
      </c>
      <c r="C474" s="225" t="s">
        <v>41</v>
      </c>
      <c r="D474" s="32">
        <v>-67.570250000000001</v>
      </c>
      <c r="E474" s="38">
        <v>-68.132750000000001</v>
      </c>
      <c r="F474">
        <v>0.03</v>
      </c>
      <c r="G474">
        <f>F474*1609.344</f>
        <v>48.280320000000003</v>
      </c>
      <c r="H474" s="32" t="s">
        <v>614</v>
      </c>
      <c r="I474">
        <v>10</v>
      </c>
      <c r="J474">
        <v>0</v>
      </c>
      <c r="K474" s="26">
        <v>2016</v>
      </c>
      <c r="L474" t="s">
        <v>30</v>
      </c>
      <c r="M474" s="32">
        <v>100</v>
      </c>
      <c r="N474">
        <v>11.428783320000001</v>
      </c>
      <c r="O474">
        <v>5</v>
      </c>
      <c r="P474" t="s">
        <v>12</v>
      </c>
      <c r="Q474">
        <v>89</v>
      </c>
      <c r="R474" t="s">
        <v>13</v>
      </c>
      <c r="S474" t="s">
        <v>14</v>
      </c>
      <c r="T474" t="s">
        <v>14</v>
      </c>
      <c r="U474" s="34">
        <v>0</v>
      </c>
      <c r="V474" s="34">
        <v>3</v>
      </c>
      <c r="W474" s="25">
        <v>1.5</v>
      </c>
      <c r="X474" s="25">
        <v>3</v>
      </c>
      <c r="Y474">
        <v>0.77305769000000002</v>
      </c>
      <c r="Z474" t="s">
        <v>1096</v>
      </c>
      <c r="AA474" t="s">
        <v>622</v>
      </c>
      <c r="AB474">
        <v>1</v>
      </c>
      <c r="AC474">
        <v>0</v>
      </c>
      <c r="AF474" t="s">
        <v>520</v>
      </c>
      <c r="AG474" s="32">
        <v>0</v>
      </c>
      <c r="AH474" s="32" t="s">
        <v>671</v>
      </c>
      <c r="AI474" s="32" t="s">
        <v>1129</v>
      </c>
      <c r="AJ474" s="31" t="s">
        <v>1130</v>
      </c>
      <c r="AK474" s="31">
        <v>0.59524549999999998</v>
      </c>
      <c r="AL474" s="31">
        <v>0</v>
      </c>
      <c r="AM474" s="31">
        <v>0</v>
      </c>
      <c r="AN474" s="31">
        <v>0</v>
      </c>
      <c r="AO474" s="31">
        <v>0</v>
      </c>
      <c r="AP474" s="31">
        <v>0</v>
      </c>
      <c r="AQ474" s="31">
        <v>0</v>
      </c>
      <c r="AR474" s="31">
        <v>0.13208853699948581</v>
      </c>
    </row>
    <row r="475" spans="1:44" hidden="1" x14ac:dyDescent="0.5">
      <c r="A475" s="31">
        <v>109</v>
      </c>
      <c r="B475" s="31">
        <v>7</v>
      </c>
      <c r="C475" s="225" t="s">
        <v>41</v>
      </c>
      <c r="D475" s="32">
        <v>-67.570110999999997</v>
      </c>
      <c r="E475" s="38">
        <v>-68.132806000000002</v>
      </c>
      <c r="F475">
        <v>0.03</v>
      </c>
      <c r="G475">
        <f>F475*1609.344</f>
        <v>48.280320000000003</v>
      </c>
      <c r="H475" s="32" t="s">
        <v>614</v>
      </c>
      <c r="I475">
        <v>10</v>
      </c>
      <c r="J475">
        <v>0</v>
      </c>
      <c r="K475" s="26">
        <v>2016</v>
      </c>
      <c r="L475" t="s">
        <v>30</v>
      </c>
      <c r="M475" s="32">
        <v>100</v>
      </c>
      <c r="N475">
        <v>11.428783320000001</v>
      </c>
      <c r="O475">
        <v>5</v>
      </c>
      <c r="P475" t="s">
        <v>12</v>
      </c>
      <c r="Q475">
        <v>89</v>
      </c>
      <c r="R475" t="s">
        <v>13</v>
      </c>
      <c r="S475" t="s">
        <v>14</v>
      </c>
      <c r="T475" t="s">
        <v>14</v>
      </c>
      <c r="U475" s="34">
        <v>0</v>
      </c>
      <c r="V475" s="34">
        <v>3</v>
      </c>
      <c r="W475" s="25">
        <v>1.5</v>
      </c>
      <c r="X475" s="25">
        <v>3</v>
      </c>
      <c r="Y475">
        <v>0.77305769000000002</v>
      </c>
      <c r="Z475" t="s">
        <v>1096</v>
      </c>
      <c r="AA475" t="s">
        <v>622</v>
      </c>
      <c r="AB475">
        <v>1</v>
      </c>
      <c r="AC475">
        <v>0</v>
      </c>
      <c r="AF475" t="s">
        <v>520</v>
      </c>
      <c r="AG475" s="32">
        <v>0</v>
      </c>
      <c r="AH475" s="32" t="s">
        <v>671</v>
      </c>
      <c r="AI475" s="32" t="s">
        <v>1129</v>
      </c>
      <c r="AJ475" s="31" t="s">
        <v>1130</v>
      </c>
      <c r="AK475" s="31">
        <v>0.59524549999999998</v>
      </c>
      <c r="AL475" s="31">
        <v>0</v>
      </c>
      <c r="AM475" s="31">
        <v>0</v>
      </c>
      <c r="AN475" s="31">
        <v>0</v>
      </c>
      <c r="AO475" s="31">
        <v>0</v>
      </c>
      <c r="AP475" s="31">
        <v>0</v>
      </c>
      <c r="AQ475" s="31">
        <v>0</v>
      </c>
      <c r="AR475" s="31">
        <v>0.13208853699948581</v>
      </c>
    </row>
    <row r="476" spans="1:44" hidden="1" x14ac:dyDescent="0.5">
      <c r="A476" s="31">
        <v>110</v>
      </c>
      <c r="B476" s="31">
        <v>7</v>
      </c>
      <c r="C476" s="225" t="s">
        <v>41</v>
      </c>
      <c r="D476" s="32">
        <v>-67.570110999999997</v>
      </c>
      <c r="E476" s="38">
        <v>-68.132806000000002</v>
      </c>
      <c r="F476">
        <v>0.03</v>
      </c>
      <c r="G476">
        <f>F476*1609.344</f>
        <v>48.280320000000003</v>
      </c>
      <c r="H476" s="32" t="s">
        <v>614</v>
      </c>
      <c r="I476">
        <v>10</v>
      </c>
      <c r="J476">
        <v>0</v>
      </c>
      <c r="K476" s="26">
        <v>2016</v>
      </c>
      <c r="L476" t="s">
        <v>30</v>
      </c>
      <c r="M476" s="32">
        <v>100</v>
      </c>
      <c r="N476">
        <v>11.428783320000001</v>
      </c>
      <c r="O476">
        <v>5</v>
      </c>
      <c r="P476" t="s">
        <v>12</v>
      </c>
      <c r="Q476">
        <v>89</v>
      </c>
      <c r="R476" t="s">
        <v>13</v>
      </c>
      <c r="S476" t="s">
        <v>14</v>
      </c>
      <c r="T476" t="s">
        <v>14</v>
      </c>
      <c r="U476" s="34">
        <v>0</v>
      </c>
      <c r="V476" s="34">
        <v>3</v>
      </c>
      <c r="W476" s="25">
        <v>1.5</v>
      </c>
      <c r="X476" s="25">
        <v>3</v>
      </c>
      <c r="Y476">
        <v>0.77305769000000002</v>
      </c>
      <c r="Z476" t="s">
        <v>1096</v>
      </c>
      <c r="AA476" t="s">
        <v>622</v>
      </c>
      <c r="AB476">
        <v>1</v>
      </c>
      <c r="AC476">
        <v>0</v>
      </c>
      <c r="AF476" t="s">
        <v>520</v>
      </c>
      <c r="AG476" s="32">
        <v>0</v>
      </c>
      <c r="AH476" s="32" t="s">
        <v>671</v>
      </c>
      <c r="AI476" s="32" t="s">
        <v>1129</v>
      </c>
      <c r="AJ476" s="31" t="s">
        <v>1130</v>
      </c>
      <c r="AK476" s="31">
        <v>0.59524549999999998</v>
      </c>
      <c r="AL476" s="31">
        <v>0</v>
      </c>
      <c r="AM476" s="31">
        <v>0</v>
      </c>
      <c r="AN476" s="31">
        <v>0</v>
      </c>
      <c r="AO476" s="31">
        <v>0</v>
      </c>
      <c r="AP476" s="31">
        <v>0</v>
      </c>
      <c r="AQ476" s="31">
        <v>0</v>
      </c>
      <c r="AR476" s="31">
        <v>0.13208853699948581</v>
      </c>
    </row>
    <row r="477" spans="1:44" hidden="1" x14ac:dyDescent="0.5">
      <c r="A477" s="31">
        <v>111</v>
      </c>
      <c r="B477" s="31">
        <v>7</v>
      </c>
      <c r="C477" s="225" t="s">
        <v>41</v>
      </c>
      <c r="D477" s="32">
        <v>-67.570110999999997</v>
      </c>
      <c r="E477" s="38">
        <v>-68.132806000000002</v>
      </c>
      <c r="F477">
        <v>0.03</v>
      </c>
      <c r="G477">
        <f>F477*1609.344</f>
        <v>48.280320000000003</v>
      </c>
      <c r="H477" s="32" t="s">
        <v>614</v>
      </c>
      <c r="I477">
        <v>10</v>
      </c>
      <c r="J477">
        <v>0</v>
      </c>
      <c r="K477" s="26">
        <v>2016</v>
      </c>
      <c r="L477" t="s">
        <v>30</v>
      </c>
      <c r="M477" s="32">
        <v>100</v>
      </c>
      <c r="N477">
        <v>11.428783320000001</v>
      </c>
      <c r="O477">
        <v>5</v>
      </c>
      <c r="P477" t="s">
        <v>12</v>
      </c>
      <c r="Q477">
        <v>89</v>
      </c>
      <c r="R477" t="s">
        <v>13</v>
      </c>
      <c r="S477" t="s">
        <v>14</v>
      </c>
      <c r="T477" t="s">
        <v>14</v>
      </c>
      <c r="U477" s="34">
        <v>0</v>
      </c>
      <c r="V477" s="34">
        <v>3</v>
      </c>
      <c r="W477" s="25">
        <v>1.5</v>
      </c>
      <c r="X477" s="25">
        <v>3</v>
      </c>
      <c r="Y477">
        <v>0.77305769000000002</v>
      </c>
      <c r="Z477" t="s">
        <v>1096</v>
      </c>
      <c r="AA477" t="s">
        <v>622</v>
      </c>
      <c r="AB477">
        <v>1</v>
      </c>
      <c r="AC477">
        <v>0</v>
      </c>
      <c r="AF477" t="s">
        <v>520</v>
      </c>
      <c r="AG477" s="32">
        <v>0</v>
      </c>
      <c r="AH477" s="32" t="s">
        <v>671</v>
      </c>
      <c r="AI477" s="32" t="s">
        <v>1129</v>
      </c>
      <c r="AJ477" s="31" t="s">
        <v>1130</v>
      </c>
      <c r="AK477" s="31">
        <v>0.59524549999999998</v>
      </c>
      <c r="AL477" s="31">
        <v>0</v>
      </c>
      <c r="AM477" s="31">
        <v>0</v>
      </c>
      <c r="AN477" s="31">
        <v>0</v>
      </c>
      <c r="AO477" s="31">
        <v>0</v>
      </c>
      <c r="AP477" s="31">
        <v>0</v>
      </c>
      <c r="AQ477" s="31">
        <v>0</v>
      </c>
      <c r="AR477" s="31">
        <v>0.13208853699948581</v>
      </c>
    </row>
    <row r="478" spans="1:44" hidden="1" x14ac:dyDescent="0.5">
      <c r="A478" s="31">
        <v>112</v>
      </c>
      <c r="B478" s="31">
        <v>7</v>
      </c>
      <c r="C478" s="225" t="s">
        <v>41</v>
      </c>
      <c r="D478" s="32">
        <v>-67.610221999999993</v>
      </c>
      <c r="E478" s="38">
        <v>-68.211139000000003</v>
      </c>
      <c r="F478">
        <v>0.72</v>
      </c>
      <c r="G478">
        <f>F478*1609.344</f>
        <v>1158.72768</v>
      </c>
      <c r="H478" s="32" t="s">
        <v>614</v>
      </c>
      <c r="I478">
        <v>15</v>
      </c>
      <c r="J478">
        <v>0</v>
      </c>
      <c r="K478" s="26">
        <v>2016</v>
      </c>
      <c r="L478" t="s">
        <v>30</v>
      </c>
      <c r="M478" s="32">
        <v>100</v>
      </c>
      <c r="N478">
        <v>11.428783320000001</v>
      </c>
      <c r="O478">
        <v>5</v>
      </c>
      <c r="P478" t="s">
        <v>12</v>
      </c>
      <c r="Q478">
        <v>89</v>
      </c>
      <c r="R478" t="s">
        <v>13</v>
      </c>
      <c r="S478" t="s">
        <v>14</v>
      </c>
      <c r="T478" t="s">
        <v>14</v>
      </c>
      <c r="U478" s="34">
        <v>0</v>
      </c>
      <c r="V478" s="34">
        <v>3</v>
      </c>
      <c r="W478" s="25">
        <v>1.5</v>
      </c>
      <c r="X478" s="25">
        <v>3</v>
      </c>
      <c r="Y478">
        <v>0.77305769000000002</v>
      </c>
      <c r="Z478" t="s">
        <v>1096</v>
      </c>
      <c r="AA478" t="s">
        <v>622</v>
      </c>
      <c r="AB478">
        <v>1</v>
      </c>
      <c r="AC478">
        <v>0</v>
      </c>
      <c r="AF478" t="s">
        <v>520</v>
      </c>
      <c r="AG478" s="32">
        <v>0</v>
      </c>
      <c r="AH478" s="32" t="s">
        <v>671</v>
      </c>
      <c r="AI478" s="32" t="s">
        <v>1129</v>
      </c>
      <c r="AJ478" s="31" t="s">
        <v>1130</v>
      </c>
      <c r="AK478" s="31">
        <v>0.59524549999999998</v>
      </c>
      <c r="AL478" s="31">
        <v>0</v>
      </c>
      <c r="AM478" s="31">
        <v>0</v>
      </c>
      <c r="AN478" s="31">
        <v>0</v>
      </c>
      <c r="AO478" s="31">
        <v>0</v>
      </c>
      <c r="AP478" s="31">
        <v>0</v>
      </c>
      <c r="AQ478" s="31">
        <v>0</v>
      </c>
      <c r="AR478" s="31">
        <v>0.13142849355358946</v>
      </c>
    </row>
    <row r="479" spans="1:44" hidden="1" x14ac:dyDescent="0.5">
      <c r="A479" s="31">
        <v>113</v>
      </c>
      <c r="B479" s="31">
        <v>7</v>
      </c>
      <c r="C479" s="225" t="s">
        <v>41</v>
      </c>
      <c r="D479" s="32">
        <v>-67.610221999999993</v>
      </c>
      <c r="E479" s="38">
        <v>-68.211139000000003</v>
      </c>
      <c r="F479">
        <v>0.72</v>
      </c>
      <c r="G479">
        <f>F479*1609.344</f>
        <v>1158.72768</v>
      </c>
      <c r="H479" s="32" t="s">
        <v>614</v>
      </c>
      <c r="I479">
        <v>15</v>
      </c>
      <c r="J479">
        <v>0</v>
      </c>
      <c r="K479" s="26">
        <v>2016</v>
      </c>
      <c r="L479" t="s">
        <v>30</v>
      </c>
      <c r="M479" s="32">
        <v>100</v>
      </c>
      <c r="N479">
        <v>11.428783320000001</v>
      </c>
      <c r="O479">
        <v>5</v>
      </c>
      <c r="P479" t="s">
        <v>12</v>
      </c>
      <c r="Q479">
        <v>89</v>
      </c>
      <c r="R479" t="s">
        <v>13</v>
      </c>
      <c r="S479" t="s">
        <v>14</v>
      </c>
      <c r="T479" t="s">
        <v>14</v>
      </c>
      <c r="U479" s="34">
        <v>0</v>
      </c>
      <c r="V479" s="34">
        <v>3</v>
      </c>
      <c r="W479" s="25">
        <v>1.5</v>
      </c>
      <c r="X479" s="25">
        <v>3</v>
      </c>
      <c r="Y479">
        <v>0.77305769000000002</v>
      </c>
      <c r="Z479" t="s">
        <v>1096</v>
      </c>
      <c r="AA479" t="s">
        <v>622</v>
      </c>
      <c r="AB479">
        <v>1</v>
      </c>
      <c r="AC479">
        <v>0</v>
      </c>
      <c r="AF479" t="s">
        <v>520</v>
      </c>
      <c r="AG479" s="32">
        <v>0</v>
      </c>
      <c r="AH479" s="32" t="s">
        <v>671</v>
      </c>
      <c r="AI479" s="32" t="s">
        <v>1129</v>
      </c>
      <c r="AJ479" s="31" t="s">
        <v>1130</v>
      </c>
      <c r="AK479" s="31">
        <v>0.59524549999999998</v>
      </c>
      <c r="AL479" s="31">
        <v>0</v>
      </c>
      <c r="AM479" s="31">
        <v>0</v>
      </c>
      <c r="AN479" s="31">
        <v>0</v>
      </c>
      <c r="AO479" s="31">
        <v>0</v>
      </c>
      <c r="AP479" s="31">
        <v>0</v>
      </c>
      <c r="AQ479" s="31">
        <v>0</v>
      </c>
      <c r="AR479" s="31">
        <v>0.13142849355358946</v>
      </c>
    </row>
    <row r="480" spans="1:44" hidden="1" x14ac:dyDescent="0.5">
      <c r="A480" s="31">
        <v>114</v>
      </c>
      <c r="B480" s="31">
        <v>7</v>
      </c>
      <c r="C480" s="225" t="s">
        <v>41</v>
      </c>
      <c r="D480" s="32">
        <v>-67.610221999999993</v>
      </c>
      <c r="E480" s="38">
        <v>-68.211139000000003</v>
      </c>
      <c r="F480">
        <v>0.72</v>
      </c>
      <c r="G480">
        <f>F480*1609.344</f>
        <v>1158.72768</v>
      </c>
      <c r="H480" s="32" t="s">
        <v>614</v>
      </c>
      <c r="I480">
        <v>15</v>
      </c>
      <c r="J480">
        <v>0</v>
      </c>
      <c r="K480" s="26">
        <v>2016</v>
      </c>
      <c r="L480" t="s">
        <v>30</v>
      </c>
      <c r="M480" s="32">
        <v>100</v>
      </c>
      <c r="N480">
        <v>11.428783320000001</v>
      </c>
      <c r="O480">
        <v>5</v>
      </c>
      <c r="P480" t="s">
        <v>12</v>
      </c>
      <c r="Q480">
        <v>89</v>
      </c>
      <c r="R480" t="s">
        <v>13</v>
      </c>
      <c r="S480" t="s">
        <v>14</v>
      </c>
      <c r="T480" t="s">
        <v>14</v>
      </c>
      <c r="U480" s="34">
        <v>0</v>
      </c>
      <c r="V480" s="34">
        <v>3</v>
      </c>
      <c r="W480" s="25">
        <v>1.5</v>
      </c>
      <c r="X480" s="25">
        <v>3</v>
      </c>
      <c r="Y480">
        <v>0.77305769000000002</v>
      </c>
      <c r="Z480" t="s">
        <v>1096</v>
      </c>
      <c r="AA480" t="s">
        <v>622</v>
      </c>
      <c r="AB480">
        <v>1</v>
      </c>
      <c r="AC480">
        <v>0</v>
      </c>
      <c r="AF480" t="s">
        <v>520</v>
      </c>
      <c r="AG480" s="32">
        <v>0</v>
      </c>
      <c r="AH480" s="32" t="s">
        <v>671</v>
      </c>
      <c r="AI480" s="32" t="s">
        <v>1129</v>
      </c>
      <c r="AJ480" s="31" t="s">
        <v>1130</v>
      </c>
      <c r="AK480" s="31">
        <v>0.59524549999999998</v>
      </c>
      <c r="AL480" s="31">
        <v>0</v>
      </c>
      <c r="AM480" s="31">
        <v>0</v>
      </c>
      <c r="AN480" s="31">
        <v>0</v>
      </c>
      <c r="AO480" s="31">
        <v>0</v>
      </c>
      <c r="AP480" s="31">
        <v>0</v>
      </c>
      <c r="AQ480" s="31">
        <v>0</v>
      </c>
      <c r="AR480" s="31">
        <v>0.13142849355358946</v>
      </c>
    </row>
    <row r="481" spans="1:44" hidden="1" x14ac:dyDescent="0.5">
      <c r="A481" s="31">
        <v>115</v>
      </c>
      <c r="B481" s="31">
        <v>7</v>
      </c>
      <c r="C481" s="225" t="s">
        <v>41</v>
      </c>
      <c r="D481" s="32">
        <v>-67.573250000000002</v>
      </c>
      <c r="E481" s="38">
        <v>-68.125332999999998</v>
      </c>
      <c r="F481">
        <v>0.06</v>
      </c>
      <c r="G481">
        <f>F481*1609.344</f>
        <v>96.560640000000006</v>
      </c>
      <c r="H481" s="32" t="s">
        <v>614</v>
      </c>
      <c r="I481">
        <v>15</v>
      </c>
      <c r="J481">
        <v>0</v>
      </c>
      <c r="K481" s="26">
        <v>2016</v>
      </c>
      <c r="L481" t="s">
        <v>30</v>
      </c>
      <c r="M481" s="32">
        <v>100</v>
      </c>
      <c r="N481">
        <v>11.428783320000001</v>
      </c>
      <c r="O481">
        <v>5</v>
      </c>
      <c r="P481" t="s">
        <v>12</v>
      </c>
      <c r="Q481">
        <v>89</v>
      </c>
      <c r="R481" t="s">
        <v>13</v>
      </c>
      <c r="S481" t="s">
        <v>14</v>
      </c>
      <c r="T481" t="s">
        <v>14</v>
      </c>
      <c r="U481" s="34">
        <v>0</v>
      </c>
      <c r="V481" s="34">
        <v>3</v>
      </c>
      <c r="W481" s="25">
        <v>1.5</v>
      </c>
      <c r="X481" s="25">
        <v>3</v>
      </c>
      <c r="Y481">
        <v>0.77305769000000002</v>
      </c>
      <c r="Z481" t="s">
        <v>1096</v>
      </c>
      <c r="AA481" t="s">
        <v>622</v>
      </c>
      <c r="AB481">
        <v>1</v>
      </c>
      <c r="AC481">
        <v>0</v>
      </c>
      <c r="AF481" t="s">
        <v>520</v>
      </c>
      <c r="AG481" s="32">
        <v>0</v>
      </c>
      <c r="AH481" s="32" t="s">
        <v>671</v>
      </c>
      <c r="AI481" s="32" t="s">
        <v>1129</v>
      </c>
      <c r="AJ481" s="31" t="s">
        <v>1130</v>
      </c>
      <c r="AK481" s="31">
        <v>0.59524549999999998</v>
      </c>
      <c r="AL481" s="31">
        <v>0</v>
      </c>
      <c r="AM481" s="31">
        <v>0</v>
      </c>
      <c r="AN481" s="31">
        <v>0</v>
      </c>
      <c r="AO481" s="31">
        <v>0</v>
      </c>
      <c r="AP481" s="31">
        <v>0</v>
      </c>
      <c r="AQ481" s="31">
        <v>0</v>
      </c>
      <c r="AR481" s="31">
        <v>0.13142849355358946</v>
      </c>
    </row>
    <row r="482" spans="1:44" hidden="1" x14ac:dyDescent="0.5">
      <c r="A482" s="31">
        <v>116</v>
      </c>
      <c r="B482" s="31">
        <v>7</v>
      </c>
      <c r="C482" s="225" t="s">
        <v>41</v>
      </c>
      <c r="D482" s="32">
        <v>-67.573250000000002</v>
      </c>
      <c r="E482" s="38">
        <v>-68.125332999999998</v>
      </c>
      <c r="F482">
        <v>0.06</v>
      </c>
      <c r="G482">
        <f>F482*1609.344</f>
        <v>96.560640000000006</v>
      </c>
      <c r="H482" s="32" t="s">
        <v>614</v>
      </c>
      <c r="I482">
        <v>15</v>
      </c>
      <c r="J482">
        <v>0</v>
      </c>
      <c r="K482" s="26">
        <v>2016</v>
      </c>
      <c r="L482" t="s">
        <v>30</v>
      </c>
      <c r="M482" s="32">
        <v>100</v>
      </c>
      <c r="N482">
        <v>11.428783320000001</v>
      </c>
      <c r="O482">
        <v>5</v>
      </c>
      <c r="P482" t="s">
        <v>12</v>
      </c>
      <c r="Q482">
        <v>89</v>
      </c>
      <c r="R482" t="s">
        <v>13</v>
      </c>
      <c r="S482" t="s">
        <v>14</v>
      </c>
      <c r="T482" t="s">
        <v>14</v>
      </c>
      <c r="U482" s="34">
        <v>0</v>
      </c>
      <c r="V482" s="34">
        <v>3</v>
      </c>
      <c r="W482" s="25">
        <v>1.5</v>
      </c>
      <c r="X482" s="25">
        <v>3</v>
      </c>
      <c r="Y482">
        <v>0.77305769000000002</v>
      </c>
      <c r="Z482" t="s">
        <v>1096</v>
      </c>
      <c r="AA482" t="s">
        <v>622</v>
      </c>
      <c r="AB482">
        <v>1</v>
      </c>
      <c r="AC482">
        <v>1</v>
      </c>
      <c r="AF482" t="s">
        <v>520</v>
      </c>
      <c r="AG482" s="32" t="s">
        <v>1215</v>
      </c>
      <c r="AH482" s="32" t="s">
        <v>671</v>
      </c>
      <c r="AI482" s="32" t="s">
        <v>1129</v>
      </c>
      <c r="AJ482" s="31" t="s">
        <v>1130</v>
      </c>
      <c r="AK482" s="31">
        <v>0.59524549999999998</v>
      </c>
      <c r="AL482" s="31">
        <v>76.998845972284428</v>
      </c>
      <c r="AM482" s="31">
        <v>52.357606066890057</v>
      </c>
      <c r="AN482" s="31">
        <v>988.76755787336356</v>
      </c>
      <c r="AO482" s="31">
        <v>672.34127516000444</v>
      </c>
      <c r="AP482" s="31">
        <v>0.76437436423652372</v>
      </c>
      <c r="AQ482" s="31">
        <v>0.51975859306684735</v>
      </c>
      <c r="AR482" s="31">
        <v>0.13142849355358946</v>
      </c>
    </row>
    <row r="483" spans="1:44" hidden="1" x14ac:dyDescent="0.5">
      <c r="A483" s="31">
        <v>117</v>
      </c>
      <c r="B483" s="31">
        <v>7</v>
      </c>
      <c r="C483" s="225" t="s">
        <v>41</v>
      </c>
      <c r="D483" s="32">
        <v>-67.573250000000002</v>
      </c>
      <c r="E483" s="38">
        <v>-68.125332999999998</v>
      </c>
      <c r="F483">
        <v>0.06</v>
      </c>
      <c r="G483">
        <f>F483*1609.344</f>
        <v>96.560640000000006</v>
      </c>
      <c r="H483" s="32" t="s">
        <v>614</v>
      </c>
      <c r="I483">
        <v>15</v>
      </c>
      <c r="J483">
        <v>0</v>
      </c>
      <c r="K483" s="26">
        <v>2016</v>
      </c>
      <c r="L483" t="s">
        <v>30</v>
      </c>
      <c r="M483" s="32">
        <v>100</v>
      </c>
      <c r="N483">
        <v>11.428783320000001</v>
      </c>
      <c r="O483">
        <v>5</v>
      </c>
      <c r="P483" t="s">
        <v>12</v>
      </c>
      <c r="Q483">
        <v>89</v>
      </c>
      <c r="R483" t="s">
        <v>13</v>
      </c>
      <c r="S483" t="s">
        <v>14</v>
      </c>
      <c r="T483" t="s">
        <v>14</v>
      </c>
      <c r="U483" s="34">
        <v>0</v>
      </c>
      <c r="V483" s="34">
        <v>3</v>
      </c>
      <c r="W483" s="25">
        <v>1.5</v>
      </c>
      <c r="X483" s="25">
        <v>3</v>
      </c>
      <c r="Y483">
        <v>0.77305769000000002</v>
      </c>
      <c r="Z483" t="s">
        <v>1096</v>
      </c>
      <c r="AA483" t="s">
        <v>622</v>
      </c>
      <c r="AB483">
        <v>1</v>
      </c>
      <c r="AC483">
        <v>1</v>
      </c>
      <c r="AF483" t="s">
        <v>520</v>
      </c>
      <c r="AG483" s="32" t="s">
        <v>1215</v>
      </c>
      <c r="AH483" s="32" t="s">
        <v>671</v>
      </c>
      <c r="AI483" s="32" t="s">
        <v>1129</v>
      </c>
      <c r="AJ483" s="31" t="s">
        <v>1130</v>
      </c>
      <c r="AK483" s="31">
        <v>0.59524549999999998</v>
      </c>
      <c r="AL483" s="31">
        <v>76.998845972284428</v>
      </c>
      <c r="AM483" s="31">
        <v>52.357606066890057</v>
      </c>
      <c r="AN483" s="31">
        <v>988.76755787336356</v>
      </c>
      <c r="AO483" s="31">
        <v>672.34127516000444</v>
      </c>
      <c r="AP483" s="31">
        <v>0.76437436423652372</v>
      </c>
      <c r="AQ483" s="31">
        <v>0.51975859306684735</v>
      </c>
      <c r="AR483" s="31">
        <v>0.13142849355358946</v>
      </c>
    </row>
    <row r="484" spans="1:44" hidden="1" x14ac:dyDescent="0.5">
      <c r="A484" s="31">
        <v>118</v>
      </c>
      <c r="B484" s="31">
        <v>7</v>
      </c>
      <c r="C484" s="225" t="s">
        <v>41</v>
      </c>
      <c r="D484" s="32">
        <v>-67.562416999999996</v>
      </c>
      <c r="E484" s="38">
        <v>-68.169528</v>
      </c>
      <c r="F484">
        <v>0.08</v>
      </c>
      <c r="G484">
        <f>F484*1609.344</f>
        <v>128.74752000000001</v>
      </c>
      <c r="H484" s="32" t="s">
        <v>614</v>
      </c>
      <c r="I484">
        <v>15</v>
      </c>
      <c r="J484">
        <v>0</v>
      </c>
      <c r="K484" s="26">
        <v>2016</v>
      </c>
      <c r="L484" t="s">
        <v>30</v>
      </c>
      <c r="M484" s="32">
        <v>100</v>
      </c>
      <c r="N484">
        <v>11.428783320000001</v>
      </c>
      <c r="O484">
        <v>5</v>
      </c>
      <c r="P484" t="s">
        <v>12</v>
      </c>
      <c r="Q484">
        <v>89</v>
      </c>
      <c r="R484" t="s">
        <v>13</v>
      </c>
      <c r="S484" t="s">
        <v>14</v>
      </c>
      <c r="T484" t="s">
        <v>14</v>
      </c>
      <c r="U484" s="34">
        <v>0</v>
      </c>
      <c r="V484" s="34">
        <v>3</v>
      </c>
      <c r="W484" s="25">
        <v>1.5</v>
      </c>
      <c r="X484" s="25">
        <v>3</v>
      </c>
      <c r="Y484">
        <v>0.77305769000000002</v>
      </c>
      <c r="Z484" t="s">
        <v>1096</v>
      </c>
      <c r="AA484" t="s">
        <v>622</v>
      </c>
      <c r="AB484">
        <v>1</v>
      </c>
      <c r="AC484">
        <v>0</v>
      </c>
      <c r="AF484" t="s">
        <v>520</v>
      </c>
      <c r="AG484" s="32">
        <v>0</v>
      </c>
      <c r="AH484" s="32" t="s">
        <v>671</v>
      </c>
      <c r="AI484" s="32" t="s">
        <v>1129</v>
      </c>
      <c r="AJ484" s="31" t="s">
        <v>1130</v>
      </c>
      <c r="AK484" s="31">
        <v>0.59524549999999998</v>
      </c>
      <c r="AL484" s="31">
        <v>0</v>
      </c>
      <c r="AM484" s="31">
        <v>0</v>
      </c>
      <c r="AN484" s="31">
        <v>0</v>
      </c>
      <c r="AO484" s="31">
        <v>0</v>
      </c>
      <c r="AP484" s="31">
        <v>0</v>
      </c>
      <c r="AQ484" s="31">
        <v>0</v>
      </c>
      <c r="AR484" s="31">
        <v>0.13142849355358946</v>
      </c>
    </row>
    <row r="485" spans="1:44" hidden="1" x14ac:dyDescent="0.5">
      <c r="A485" s="31">
        <v>119</v>
      </c>
      <c r="B485" s="31">
        <v>7</v>
      </c>
      <c r="C485" s="225" t="s">
        <v>41</v>
      </c>
      <c r="D485" s="32">
        <v>-67.562416999999996</v>
      </c>
      <c r="E485" s="38">
        <v>-68.169528</v>
      </c>
      <c r="F485">
        <v>0.08</v>
      </c>
      <c r="G485">
        <f>F485*1609.344</f>
        <v>128.74752000000001</v>
      </c>
      <c r="H485" s="32" t="s">
        <v>614</v>
      </c>
      <c r="I485">
        <v>15</v>
      </c>
      <c r="J485">
        <v>0</v>
      </c>
      <c r="K485" s="26">
        <v>2016</v>
      </c>
      <c r="L485" t="s">
        <v>30</v>
      </c>
      <c r="M485" s="32">
        <v>100</v>
      </c>
      <c r="N485">
        <v>11.428783320000001</v>
      </c>
      <c r="O485">
        <v>5</v>
      </c>
      <c r="P485" t="s">
        <v>12</v>
      </c>
      <c r="Q485">
        <v>89</v>
      </c>
      <c r="R485" t="s">
        <v>13</v>
      </c>
      <c r="S485" t="s">
        <v>14</v>
      </c>
      <c r="T485" t="s">
        <v>14</v>
      </c>
      <c r="U485" s="34">
        <v>0</v>
      </c>
      <c r="V485" s="34">
        <v>3</v>
      </c>
      <c r="W485" s="25">
        <v>1.5</v>
      </c>
      <c r="X485" s="25">
        <v>3</v>
      </c>
      <c r="Y485">
        <v>0.77305769000000002</v>
      </c>
      <c r="Z485" t="s">
        <v>1096</v>
      </c>
      <c r="AA485" t="s">
        <v>622</v>
      </c>
      <c r="AB485">
        <v>1</v>
      </c>
      <c r="AC485">
        <v>0</v>
      </c>
      <c r="AF485" t="s">
        <v>520</v>
      </c>
      <c r="AG485" s="32">
        <v>0</v>
      </c>
      <c r="AH485" s="32" t="s">
        <v>671</v>
      </c>
      <c r="AI485" s="32" t="s">
        <v>1129</v>
      </c>
      <c r="AJ485" s="31" t="s">
        <v>1130</v>
      </c>
      <c r="AK485" s="31">
        <v>0.59524549999999998</v>
      </c>
      <c r="AL485" s="31">
        <v>0</v>
      </c>
      <c r="AM485" s="31">
        <v>0</v>
      </c>
      <c r="AN485" s="31">
        <v>0</v>
      </c>
      <c r="AO485" s="31">
        <v>0</v>
      </c>
      <c r="AP485" s="31">
        <v>0</v>
      </c>
      <c r="AQ485" s="31">
        <v>0</v>
      </c>
      <c r="AR485" s="31">
        <v>0.13142849355358946</v>
      </c>
    </row>
    <row r="486" spans="1:44" hidden="1" x14ac:dyDescent="0.5">
      <c r="A486" s="31">
        <v>120</v>
      </c>
      <c r="B486" s="31">
        <v>7</v>
      </c>
      <c r="C486" s="225" t="s">
        <v>41</v>
      </c>
      <c r="D486" s="32">
        <v>-67.562416999999996</v>
      </c>
      <c r="E486" s="38">
        <v>-68.169528</v>
      </c>
      <c r="F486">
        <v>0.08</v>
      </c>
      <c r="G486">
        <f>F486*1609.344</f>
        <v>128.74752000000001</v>
      </c>
      <c r="H486" s="32" t="s">
        <v>614</v>
      </c>
      <c r="I486">
        <v>15</v>
      </c>
      <c r="J486">
        <v>0</v>
      </c>
      <c r="K486" s="26">
        <v>2016</v>
      </c>
      <c r="L486" t="s">
        <v>30</v>
      </c>
      <c r="M486" s="32">
        <v>100</v>
      </c>
      <c r="N486">
        <v>11.428783320000001</v>
      </c>
      <c r="O486">
        <v>5</v>
      </c>
      <c r="P486" t="s">
        <v>12</v>
      </c>
      <c r="Q486">
        <v>89</v>
      </c>
      <c r="R486" t="s">
        <v>13</v>
      </c>
      <c r="S486" t="s">
        <v>14</v>
      </c>
      <c r="T486" t="s">
        <v>14</v>
      </c>
      <c r="U486" s="34">
        <v>0</v>
      </c>
      <c r="V486" s="34">
        <v>3</v>
      </c>
      <c r="W486" s="25">
        <v>1.5</v>
      </c>
      <c r="X486" s="25">
        <v>3</v>
      </c>
      <c r="Y486">
        <v>0.77305769000000002</v>
      </c>
      <c r="Z486" t="s">
        <v>1096</v>
      </c>
      <c r="AA486" t="s">
        <v>622</v>
      </c>
      <c r="AB486">
        <v>1</v>
      </c>
      <c r="AC486">
        <v>1</v>
      </c>
      <c r="AF486" t="s">
        <v>520</v>
      </c>
      <c r="AG486" s="32" t="s">
        <v>1215</v>
      </c>
      <c r="AH486" s="32" t="s">
        <v>671</v>
      </c>
      <c r="AI486" s="32" t="s">
        <v>1129</v>
      </c>
      <c r="AJ486" s="31" t="s">
        <v>1130</v>
      </c>
      <c r="AK486" s="31">
        <v>0.59524549999999998</v>
      </c>
      <c r="AL486" s="31">
        <v>76.998845972284428</v>
      </c>
      <c r="AM486" s="31">
        <v>52.357606066890057</v>
      </c>
      <c r="AN486" s="31">
        <v>988.76755787336356</v>
      </c>
      <c r="AO486" s="31">
        <v>672.34127516000444</v>
      </c>
      <c r="AP486" s="31">
        <v>0.76437436423652372</v>
      </c>
      <c r="AQ486" s="31">
        <v>0.51975859306684735</v>
      </c>
      <c r="AR486" s="31">
        <v>0.13142849355358946</v>
      </c>
    </row>
    <row r="487" spans="1:44" hidden="1" x14ac:dyDescent="0.5">
      <c r="A487" s="31">
        <v>121</v>
      </c>
      <c r="B487" s="31">
        <v>7</v>
      </c>
      <c r="C487" s="225" t="s">
        <v>41</v>
      </c>
      <c r="D487" s="32">
        <v>-67.562083000000001</v>
      </c>
      <c r="E487" s="38">
        <v>-68.169167000000002</v>
      </c>
      <c r="F487">
        <v>0.06</v>
      </c>
      <c r="G487">
        <f>F487*1609.344</f>
        <v>96.560640000000006</v>
      </c>
      <c r="H487" s="32" t="s">
        <v>614</v>
      </c>
      <c r="I487">
        <v>15</v>
      </c>
      <c r="J487">
        <v>0</v>
      </c>
      <c r="K487" s="26">
        <v>2016</v>
      </c>
      <c r="L487" t="s">
        <v>30</v>
      </c>
      <c r="M487" s="32">
        <v>100</v>
      </c>
      <c r="N487">
        <v>11.428783320000001</v>
      </c>
      <c r="O487">
        <v>5</v>
      </c>
      <c r="P487" t="s">
        <v>12</v>
      </c>
      <c r="Q487">
        <v>89</v>
      </c>
      <c r="R487" t="s">
        <v>13</v>
      </c>
      <c r="S487" t="s">
        <v>14</v>
      </c>
      <c r="T487" t="s">
        <v>14</v>
      </c>
      <c r="U487" s="34">
        <v>0</v>
      </c>
      <c r="V487" s="34">
        <v>3</v>
      </c>
      <c r="W487" s="25">
        <v>1.5</v>
      </c>
      <c r="X487" s="25">
        <v>3</v>
      </c>
      <c r="Y487">
        <v>0.77305769000000002</v>
      </c>
      <c r="Z487" t="s">
        <v>1096</v>
      </c>
      <c r="AA487" t="s">
        <v>622</v>
      </c>
      <c r="AB487">
        <v>1</v>
      </c>
      <c r="AC487">
        <v>0</v>
      </c>
      <c r="AF487" t="s">
        <v>520</v>
      </c>
      <c r="AG487" s="32">
        <v>0</v>
      </c>
      <c r="AH487" s="32" t="s">
        <v>671</v>
      </c>
      <c r="AI487" s="32" t="s">
        <v>1129</v>
      </c>
      <c r="AJ487" s="31" t="s">
        <v>1130</v>
      </c>
      <c r="AK487" s="31">
        <v>0.59524549999999998</v>
      </c>
      <c r="AL487" s="31">
        <v>0</v>
      </c>
      <c r="AM487" s="31">
        <v>0</v>
      </c>
      <c r="AN487" s="31">
        <v>0</v>
      </c>
      <c r="AO487" s="31">
        <v>0</v>
      </c>
      <c r="AP487" s="31">
        <v>0</v>
      </c>
      <c r="AQ487" s="31">
        <v>0</v>
      </c>
      <c r="AR487" s="31">
        <v>0.13142849355358946</v>
      </c>
    </row>
    <row r="488" spans="1:44" hidden="1" x14ac:dyDescent="0.5">
      <c r="A488" s="31">
        <v>122</v>
      </c>
      <c r="B488" s="31">
        <v>7</v>
      </c>
      <c r="C488" s="225" t="s">
        <v>41</v>
      </c>
      <c r="D488" s="32">
        <v>-67.562083000000001</v>
      </c>
      <c r="E488" s="38">
        <v>-68.169167000000002</v>
      </c>
      <c r="F488">
        <v>0.06</v>
      </c>
      <c r="G488">
        <f>F488*1609.344</f>
        <v>96.560640000000006</v>
      </c>
      <c r="H488" s="32" t="s">
        <v>614</v>
      </c>
      <c r="I488">
        <v>15</v>
      </c>
      <c r="J488">
        <v>0</v>
      </c>
      <c r="K488" s="26">
        <v>2016</v>
      </c>
      <c r="L488" t="s">
        <v>30</v>
      </c>
      <c r="M488" s="32">
        <v>100</v>
      </c>
      <c r="N488">
        <v>11.428783320000001</v>
      </c>
      <c r="O488">
        <v>5</v>
      </c>
      <c r="P488" t="s">
        <v>12</v>
      </c>
      <c r="Q488">
        <v>89</v>
      </c>
      <c r="R488" t="s">
        <v>13</v>
      </c>
      <c r="S488" t="s">
        <v>14</v>
      </c>
      <c r="T488" t="s">
        <v>14</v>
      </c>
      <c r="U488" s="34">
        <v>0</v>
      </c>
      <c r="V488" s="34">
        <v>3</v>
      </c>
      <c r="W488" s="25">
        <v>1.5</v>
      </c>
      <c r="X488" s="25">
        <v>3</v>
      </c>
      <c r="Y488">
        <v>0.77305769000000002</v>
      </c>
      <c r="Z488" t="s">
        <v>1096</v>
      </c>
      <c r="AA488" t="s">
        <v>622</v>
      </c>
      <c r="AB488">
        <v>1</v>
      </c>
      <c r="AC488">
        <v>0</v>
      </c>
      <c r="AF488" t="s">
        <v>520</v>
      </c>
      <c r="AG488" s="32">
        <v>0</v>
      </c>
      <c r="AH488" s="32" t="s">
        <v>671</v>
      </c>
      <c r="AI488" s="32" t="s">
        <v>1129</v>
      </c>
      <c r="AJ488" s="31" t="s">
        <v>1130</v>
      </c>
      <c r="AK488" s="31">
        <v>0.59524549999999998</v>
      </c>
      <c r="AL488" s="31">
        <v>0</v>
      </c>
      <c r="AM488" s="31">
        <v>0</v>
      </c>
      <c r="AN488" s="31">
        <v>0</v>
      </c>
      <c r="AO488" s="31">
        <v>0</v>
      </c>
      <c r="AP488" s="31">
        <v>0</v>
      </c>
      <c r="AQ488" s="31">
        <v>0</v>
      </c>
      <c r="AR488" s="31">
        <v>0.13142849355358946</v>
      </c>
    </row>
    <row r="489" spans="1:44" hidden="1" x14ac:dyDescent="0.5">
      <c r="A489" s="31">
        <v>123</v>
      </c>
      <c r="B489" s="31">
        <v>7</v>
      </c>
      <c r="C489" s="225" t="s">
        <v>41</v>
      </c>
      <c r="D489" s="32">
        <v>-67.562083000000001</v>
      </c>
      <c r="E489" s="38">
        <v>-68.169167000000002</v>
      </c>
      <c r="F489">
        <v>0.06</v>
      </c>
      <c r="G489">
        <f>F489*1609.344</f>
        <v>96.560640000000006</v>
      </c>
      <c r="H489" s="32" t="s">
        <v>614</v>
      </c>
      <c r="I489">
        <v>15</v>
      </c>
      <c r="J489">
        <v>0</v>
      </c>
      <c r="K489" s="26">
        <v>2016</v>
      </c>
      <c r="L489" t="s">
        <v>30</v>
      </c>
      <c r="M489" s="32">
        <v>100</v>
      </c>
      <c r="N489">
        <v>11.428783320000001</v>
      </c>
      <c r="O489">
        <v>5</v>
      </c>
      <c r="P489" t="s">
        <v>12</v>
      </c>
      <c r="Q489">
        <v>89</v>
      </c>
      <c r="R489" t="s">
        <v>13</v>
      </c>
      <c r="S489" t="s">
        <v>14</v>
      </c>
      <c r="T489" t="s">
        <v>14</v>
      </c>
      <c r="U489" s="34">
        <v>0</v>
      </c>
      <c r="V489" s="34">
        <v>3</v>
      </c>
      <c r="W489" s="25">
        <v>1.5</v>
      </c>
      <c r="X489" s="25">
        <v>3</v>
      </c>
      <c r="Y489">
        <v>0.77305769000000002</v>
      </c>
      <c r="Z489" t="s">
        <v>1096</v>
      </c>
      <c r="AA489" t="s">
        <v>622</v>
      </c>
      <c r="AB489">
        <v>1</v>
      </c>
      <c r="AC489">
        <v>1</v>
      </c>
      <c r="AF489" t="s">
        <v>520</v>
      </c>
      <c r="AG489" s="32" t="s">
        <v>1215</v>
      </c>
      <c r="AH489" s="32" t="s">
        <v>671</v>
      </c>
      <c r="AI489" s="32" t="s">
        <v>1129</v>
      </c>
      <c r="AJ489" s="31" t="s">
        <v>1130</v>
      </c>
      <c r="AK489" s="31">
        <v>0.59524549999999998</v>
      </c>
      <c r="AL489" s="31">
        <v>76.998845972284428</v>
      </c>
      <c r="AM489" s="31">
        <v>52.357606066890057</v>
      </c>
      <c r="AN489" s="31">
        <v>988.76755787336356</v>
      </c>
      <c r="AO489" s="31">
        <v>672.34127516000444</v>
      </c>
      <c r="AP489" s="31">
        <v>0.76437436423652372</v>
      </c>
      <c r="AQ489" s="31">
        <v>0.51975859306684735</v>
      </c>
      <c r="AR489" s="31">
        <v>0.13142849355358946</v>
      </c>
    </row>
    <row r="490" spans="1:44" hidden="1" x14ac:dyDescent="0.5">
      <c r="A490" s="31">
        <v>124</v>
      </c>
      <c r="B490" s="31">
        <v>7</v>
      </c>
      <c r="C490" s="225" t="s">
        <v>41</v>
      </c>
      <c r="D490" s="32">
        <v>-67.539083000000005</v>
      </c>
      <c r="E490" s="38">
        <v>-68.073943999999997</v>
      </c>
      <c r="F490">
        <v>1.06</v>
      </c>
      <c r="G490">
        <f>F490*1609.344</f>
        <v>1705.9046400000002</v>
      </c>
      <c r="H490" s="32" t="s">
        <v>614</v>
      </c>
      <c r="I490">
        <v>20</v>
      </c>
      <c r="J490">
        <v>0</v>
      </c>
      <c r="K490" s="26">
        <v>2016</v>
      </c>
      <c r="L490" t="s">
        <v>30</v>
      </c>
      <c r="M490" s="32">
        <v>100</v>
      </c>
      <c r="N490">
        <v>11.428783320000001</v>
      </c>
      <c r="O490">
        <v>5</v>
      </c>
      <c r="P490" t="s">
        <v>12</v>
      </c>
      <c r="Q490">
        <v>89</v>
      </c>
      <c r="R490" t="s">
        <v>13</v>
      </c>
      <c r="S490" t="s">
        <v>14</v>
      </c>
      <c r="T490" t="s">
        <v>14</v>
      </c>
      <c r="U490" s="34">
        <v>0</v>
      </c>
      <c r="V490" s="34">
        <v>3</v>
      </c>
      <c r="W490" s="25">
        <v>1.5</v>
      </c>
      <c r="X490" s="25">
        <v>3</v>
      </c>
      <c r="Y490">
        <v>0.77305769000000002</v>
      </c>
      <c r="Z490" t="s">
        <v>1096</v>
      </c>
      <c r="AA490" t="s">
        <v>622</v>
      </c>
      <c r="AB490">
        <v>1</v>
      </c>
      <c r="AC490">
        <v>0</v>
      </c>
      <c r="AF490" t="s">
        <v>520</v>
      </c>
      <c r="AG490" s="32">
        <v>0</v>
      </c>
      <c r="AH490" s="32" t="s">
        <v>671</v>
      </c>
      <c r="AI490" s="32" t="s">
        <v>1129</v>
      </c>
      <c r="AJ490" s="31" t="s">
        <v>1130</v>
      </c>
      <c r="AK490" s="31">
        <v>0.59524549999999998</v>
      </c>
      <c r="AL490" s="31">
        <v>0</v>
      </c>
      <c r="AM490" s="31">
        <v>0</v>
      </c>
      <c r="AN490" s="31">
        <v>0</v>
      </c>
      <c r="AO490" s="31">
        <v>0</v>
      </c>
      <c r="AP490" s="31">
        <v>0</v>
      </c>
      <c r="AQ490" s="31">
        <v>0</v>
      </c>
      <c r="AR490" s="31">
        <v>0.13077174832993385</v>
      </c>
    </row>
    <row r="491" spans="1:44" hidden="1" x14ac:dyDescent="0.5">
      <c r="A491" s="31">
        <v>125</v>
      </c>
      <c r="B491" s="31">
        <v>7</v>
      </c>
      <c r="C491" s="225" t="s">
        <v>41</v>
      </c>
      <c r="D491" s="32">
        <v>-67.539083000000005</v>
      </c>
      <c r="E491" s="38">
        <v>-68.073943999999997</v>
      </c>
      <c r="F491">
        <v>1.06</v>
      </c>
      <c r="G491">
        <f>F491*1609.344</f>
        <v>1705.9046400000002</v>
      </c>
      <c r="H491" s="32" t="s">
        <v>614</v>
      </c>
      <c r="I491">
        <v>20</v>
      </c>
      <c r="J491">
        <v>0</v>
      </c>
      <c r="K491" s="26">
        <v>2016</v>
      </c>
      <c r="L491" t="s">
        <v>30</v>
      </c>
      <c r="M491" s="32">
        <v>100</v>
      </c>
      <c r="N491">
        <v>11.428783320000001</v>
      </c>
      <c r="O491">
        <v>5</v>
      </c>
      <c r="P491" t="s">
        <v>12</v>
      </c>
      <c r="Q491">
        <v>89</v>
      </c>
      <c r="R491" t="s">
        <v>13</v>
      </c>
      <c r="S491" t="s">
        <v>14</v>
      </c>
      <c r="T491" t="s">
        <v>14</v>
      </c>
      <c r="U491" s="34">
        <v>0</v>
      </c>
      <c r="V491" s="34">
        <v>3</v>
      </c>
      <c r="W491" s="25">
        <v>1.5</v>
      </c>
      <c r="X491" s="25">
        <v>3</v>
      </c>
      <c r="Y491">
        <v>0.77305769000000002</v>
      </c>
      <c r="Z491" t="s">
        <v>1096</v>
      </c>
      <c r="AA491" t="s">
        <v>622</v>
      </c>
      <c r="AB491">
        <v>1</v>
      </c>
      <c r="AC491">
        <v>0</v>
      </c>
      <c r="AF491" t="s">
        <v>520</v>
      </c>
      <c r="AG491" s="32">
        <v>0</v>
      </c>
      <c r="AH491" s="32" t="s">
        <v>671</v>
      </c>
      <c r="AI491" s="32" t="s">
        <v>1129</v>
      </c>
      <c r="AJ491" s="31" t="s">
        <v>1130</v>
      </c>
      <c r="AK491" s="31">
        <v>0.59524549999999998</v>
      </c>
      <c r="AL491" s="31">
        <v>0</v>
      </c>
      <c r="AM491" s="31">
        <v>0</v>
      </c>
      <c r="AN491" s="31">
        <v>0</v>
      </c>
      <c r="AO491" s="31">
        <v>0</v>
      </c>
      <c r="AP491" s="31">
        <v>0</v>
      </c>
      <c r="AQ491" s="31">
        <v>0</v>
      </c>
      <c r="AR491" s="31">
        <v>0.13077174832993385</v>
      </c>
    </row>
    <row r="492" spans="1:44" hidden="1" x14ac:dyDescent="0.5">
      <c r="A492" s="31">
        <v>126</v>
      </c>
      <c r="B492" s="31">
        <v>7</v>
      </c>
      <c r="C492" s="225" t="s">
        <v>41</v>
      </c>
      <c r="D492" s="32">
        <v>-67.539083000000005</v>
      </c>
      <c r="E492" s="38">
        <v>-68.073943999999997</v>
      </c>
      <c r="F492">
        <v>1.06</v>
      </c>
      <c r="G492">
        <f>F492*1609.344</f>
        <v>1705.9046400000002</v>
      </c>
      <c r="H492" s="32" t="s">
        <v>614</v>
      </c>
      <c r="I492">
        <v>20</v>
      </c>
      <c r="J492">
        <v>0</v>
      </c>
      <c r="K492" s="26">
        <v>2016</v>
      </c>
      <c r="L492" t="s">
        <v>30</v>
      </c>
      <c r="M492" s="32">
        <v>100</v>
      </c>
      <c r="N492">
        <v>11.428783320000001</v>
      </c>
      <c r="O492">
        <v>5</v>
      </c>
      <c r="P492" t="s">
        <v>12</v>
      </c>
      <c r="Q492">
        <v>89</v>
      </c>
      <c r="R492" t="s">
        <v>13</v>
      </c>
      <c r="S492" t="s">
        <v>14</v>
      </c>
      <c r="T492" t="s">
        <v>14</v>
      </c>
      <c r="U492" s="34">
        <v>0</v>
      </c>
      <c r="V492" s="34">
        <v>3</v>
      </c>
      <c r="W492" s="25">
        <v>1.5</v>
      </c>
      <c r="X492" s="25">
        <v>3</v>
      </c>
      <c r="Y492">
        <v>0.77305769000000002</v>
      </c>
      <c r="Z492" t="s">
        <v>1096</v>
      </c>
      <c r="AA492" t="s">
        <v>622</v>
      </c>
      <c r="AB492">
        <v>1</v>
      </c>
      <c r="AC492">
        <v>1</v>
      </c>
      <c r="AF492" t="s">
        <v>520</v>
      </c>
      <c r="AG492" s="32" t="s">
        <v>1215</v>
      </c>
      <c r="AH492" s="32" t="s">
        <v>671</v>
      </c>
      <c r="AI492" s="32" t="s">
        <v>1129</v>
      </c>
      <c r="AJ492" s="31" t="s">
        <v>1130</v>
      </c>
      <c r="AK492" s="31">
        <v>0.59524549999999998</v>
      </c>
      <c r="AL492" s="31">
        <v>76.998845972284428</v>
      </c>
      <c r="AM492" s="31">
        <v>52.357606066890057</v>
      </c>
      <c r="AN492" s="31">
        <v>988.76755787336356</v>
      </c>
      <c r="AO492" s="31">
        <v>672.34127516000444</v>
      </c>
      <c r="AP492" s="31">
        <v>0.76437436423652372</v>
      </c>
      <c r="AQ492" s="31">
        <v>0.51975859306684735</v>
      </c>
      <c r="AR492" s="31">
        <v>0.13077174832993385</v>
      </c>
    </row>
    <row r="493" spans="1:44" hidden="1" x14ac:dyDescent="0.5">
      <c r="A493" s="31">
        <v>127</v>
      </c>
      <c r="B493" s="31">
        <v>7</v>
      </c>
      <c r="C493" s="225" t="s">
        <v>41</v>
      </c>
      <c r="D493" s="32">
        <v>-67.538694000000007</v>
      </c>
      <c r="E493" s="38">
        <v>-68.070750000000004</v>
      </c>
      <c r="F493">
        <v>1.1399999999999999</v>
      </c>
      <c r="G493">
        <f>F493*1609.344</f>
        <v>1834.6521599999999</v>
      </c>
      <c r="H493" s="32" t="s">
        <v>614</v>
      </c>
      <c r="I493">
        <v>20</v>
      </c>
      <c r="J493">
        <v>0</v>
      </c>
      <c r="K493" s="26">
        <v>2016</v>
      </c>
      <c r="L493" t="s">
        <v>30</v>
      </c>
      <c r="M493" s="32">
        <v>100</v>
      </c>
      <c r="N493">
        <v>11.428783320000001</v>
      </c>
      <c r="O493">
        <v>5</v>
      </c>
      <c r="P493" t="s">
        <v>12</v>
      </c>
      <c r="Q493">
        <v>89</v>
      </c>
      <c r="R493" t="s">
        <v>13</v>
      </c>
      <c r="S493" t="s">
        <v>14</v>
      </c>
      <c r="T493" t="s">
        <v>14</v>
      </c>
      <c r="U493" s="34">
        <v>0</v>
      </c>
      <c r="V493" s="34">
        <v>3</v>
      </c>
      <c r="W493" s="25">
        <v>1.5</v>
      </c>
      <c r="X493" s="25">
        <v>3</v>
      </c>
      <c r="Y493">
        <v>0.77305769000000002</v>
      </c>
      <c r="Z493" t="s">
        <v>1096</v>
      </c>
      <c r="AA493" t="s">
        <v>622</v>
      </c>
      <c r="AB493">
        <v>1</v>
      </c>
      <c r="AC493">
        <v>0</v>
      </c>
      <c r="AF493" t="s">
        <v>520</v>
      </c>
      <c r="AG493" s="32">
        <v>0</v>
      </c>
      <c r="AH493" s="32" t="s">
        <v>671</v>
      </c>
      <c r="AI493" s="32" t="s">
        <v>1129</v>
      </c>
      <c r="AJ493" s="31" t="s">
        <v>1130</v>
      </c>
      <c r="AK493" s="31">
        <v>0.59524549999999998</v>
      </c>
      <c r="AL493" s="31">
        <v>0</v>
      </c>
      <c r="AM493" s="31">
        <v>0</v>
      </c>
      <c r="AN493" s="31">
        <v>0</v>
      </c>
      <c r="AO493" s="31">
        <v>0</v>
      </c>
      <c r="AP493" s="31">
        <v>0</v>
      </c>
      <c r="AQ493" s="31">
        <v>0</v>
      </c>
      <c r="AR493" s="31">
        <v>0.13077174832993385</v>
      </c>
    </row>
    <row r="494" spans="1:44" hidden="1" x14ac:dyDescent="0.5">
      <c r="A494" s="31">
        <v>128</v>
      </c>
      <c r="B494" s="31">
        <v>7</v>
      </c>
      <c r="C494" s="225" t="s">
        <v>41</v>
      </c>
      <c r="D494" s="32">
        <v>-67.538694000000007</v>
      </c>
      <c r="E494" s="38">
        <v>-68.070750000000004</v>
      </c>
      <c r="F494">
        <v>1.1399999999999999</v>
      </c>
      <c r="G494">
        <f>F494*1609.344</f>
        <v>1834.6521599999999</v>
      </c>
      <c r="H494" s="32" t="s">
        <v>614</v>
      </c>
      <c r="I494">
        <v>20</v>
      </c>
      <c r="J494">
        <v>0</v>
      </c>
      <c r="K494" s="26">
        <v>2016</v>
      </c>
      <c r="L494" t="s">
        <v>30</v>
      </c>
      <c r="M494" s="32">
        <v>100</v>
      </c>
      <c r="N494">
        <v>11.428783320000001</v>
      </c>
      <c r="O494">
        <v>5</v>
      </c>
      <c r="P494" t="s">
        <v>12</v>
      </c>
      <c r="Q494">
        <v>89</v>
      </c>
      <c r="R494" t="s">
        <v>13</v>
      </c>
      <c r="S494" t="s">
        <v>14</v>
      </c>
      <c r="T494" t="s">
        <v>14</v>
      </c>
      <c r="U494" s="34">
        <v>0</v>
      </c>
      <c r="V494" s="34">
        <v>3</v>
      </c>
      <c r="W494" s="25">
        <v>1.5</v>
      </c>
      <c r="X494" s="25">
        <v>3</v>
      </c>
      <c r="Y494">
        <v>0.77305769000000002</v>
      </c>
      <c r="Z494" t="s">
        <v>1096</v>
      </c>
      <c r="AA494" t="s">
        <v>622</v>
      </c>
      <c r="AB494">
        <v>1</v>
      </c>
      <c r="AC494">
        <v>0</v>
      </c>
      <c r="AF494" t="s">
        <v>520</v>
      </c>
      <c r="AG494" s="32">
        <v>0</v>
      </c>
      <c r="AH494" s="32" t="s">
        <v>671</v>
      </c>
      <c r="AI494" s="32" t="s">
        <v>1129</v>
      </c>
      <c r="AJ494" s="31" t="s">
        <v>1130</v>
      </c>
      <c r="AK494" s="31">
        <v>0.59524549999999998</v>
      </c>
      <c r="AL494" s="31">
        <v>0</v>
      </c>
      <c r="AM494" s="31">
        <v>0</v>
      </c>
      <c r="AN494" s="31">
        <v>0</v>
      </c>
      <c r="AO494" s="31">
        <v>0</v>
      </c>
      <c r="AP494" s="31">
        <v>0</v>
      </c>
      <c r="AQ494" s="31">
        <v>0</v>
      </c>
      <c r="AR494" s="31">
        <v>0.13077174832993385</v>
      </c>
    </row>
    <row r="495" spans="1:44" hidden="1" x14ac:dyDescent="0.5">
      <c r="A495" s="31">
        <v>129</v>
      </c>
      <c r="B495" s="31">
        <v>7</v>
      </c>
      <c r="C495" s="225" t="s">
        <v>41</v>
      </c>
      <c r="D495" s="32">
        <v>-67.538694000000007</v>
      </c>
      <c r="E495" s="38">
        <v>-68.070750000000004</v>
      </c>
      <c r="F495">
        <v>1.1399999999999999</v>
      </c>
      <c r="G495">
        <f>F495*1609.344</f>
        <v>1834.6521599999999</v>
      </c>
      <c r="H495" s="32" t="s">
        <v>614</v>
      </c>
      <c r="I495">
        <v>20</v>
      </c>
      <c r="J495">
        <v>0</v>
      </c>
      <c r="K495" s="26">
        <v>2016</v>
      </c>
      <c r="L495" t="s">
        <v>30</v>
      </c>
      <c r="M495" s="32">
        <v>100</v>
      </c>
      <c r="N495">
        <v>11.428783320000001</v>
      </c>
      <c r="O495">
        <v>5</v>
      </c>
      <c r="P495" t="s">
        <v>12</v>
      </c>
      <c r="Q495">
        <v>89</v>
      </c>
      <c r="R495" t="s">
        <v>13</v>
      </c>
      <c r="S495" t="s">
        <v>14</v>
      </c>
      <c r="T495" t="s">
        <v>14</v>
      </c>
      <c r="U495" s="34">
        <v>0</v>
      </c>
      <c r="V495" s="34">
        <v>3</v>
      </c>
      <c r="W495" s="25">
        <v>1.5</v>
      </c>
      <c r="X495" s="25">
        <v>3</v>
      </c>
      <c r="Y495">
        <v>0.77305769000000002</v>
      </c>
      <c r="Z495" t="s">
        <v>1096</v>
      </c>
      <c r="AA495" t="s">
        <v>622</v>
      </c>
      <c r="AB495">
        <v>1</v>
      </c>
      <c r="AC495">
        <v>0</v>
      </c>
      <c r="AF495" t="s">
        <v>520</v>
      </c>
      <c r="AG495" s="32">
        <v>0</v>
      </c>
      <c r="AH495" s="32" t="s">
        <v>671</v>
      </c>
      <c r="AI495" s="32" t="s">
        <v>1129</v>
      </c>
      <c r="AJ495" s="31" t="s">
        <v>1130</v>
      </c>
      <c r="AK495" s="31">
        <v>0.59524549999999998</v>
      </c>
      <c r="AL495" s="31">
        <v>0</v>
      </c>
      <c r="AM495" s="31">
        <v>0</v>
      </c>
      <c r="AN495" s="31">
        <v>0</v>
      </c>
      <c r="AO495" s="31">
        <v>0</v>
      </c>
      <c r="AP495" s="31">
        <v>0</v>
      </c>
      <c r="AQ495" s="31">
        <v>0</v>
      </c>
      <c r="AR495" s="31">
        <v>0.13077174832993385</v>
      </c>
    </row>
    <row r="496" spans="1:44" hidden="1" x14ac:dyDescent="0.5">
      <c r="A496" s="31">
        <v>131</v>
      </c>
      <c r="B496" s="31">
        <v>8</v>
      </c>
      <c r="C496" s="225" t="s">
        <v>44</v>
      </c>
      <c r="D496" s="39">
        <v>83.050158999999994</v>
      </c>
      <c r="E496" s="40">
        <v>-164.07454899999999</v>
      </c>
      <c r="F496">
        <v>543</v>
      </c>
      <c r="G496">
        <f>F496*1609.344</f>
        <v>873873.79200000002</v>
      </c>
      <c r="H496" s="32" t="s">
        <v>612</v>
      </c>
      <c r="I496">
        <v>2212</v>
      </c>
      <c r="J496">
        <v>0</v>
      </c>
      <c r="K496" s="26">
        <v>2016</v>
      </c>
      <c r="L496" t="s">
        <v>30</v>
      </c>
      <c r="M496" s="32">
        <v>450</v>
      </c>
      <c r="N496">
        <v>56.117567630000003</v>
      </c>
      <c r="O496">
        <v>1.84</v>
      </c>
      <c r="P496" t="s">
        <v>35</v>
      </c>
      <c r="Q496">
        <v>93</v>
      </c>
      <c r="R496" t="s">
        <v>13</v>
      </c>
      <c r="S496" t="s">
        <v>14</v>
      </c>
      <c r="T496" t="s">
        <v>14</v>
      </c>
      <c r="U496" s="34">
        <v>0</v>
      </c>
      <c r="V496" s="34">
        <v>2</v>
      </c>
      <c r="W496" s="25">
        <v>1</v>
      </c>
      <c r="X496" s="25">
        <v>2</v>
      </c>
      <c r="Y496">
        <v>1.0101812539999999</v>
      </c>
      <c r="Z496" t="s">
        <v>1097</v>
      </c>
      <c r="AA496" t="s">
        <v>622</v>
      </c>
      <c r="AB496">
        <v>1</v>
      </c>
      <c r="AC496">
        <v>1</v>
      </c>
      <c r="AF496" t="s">
        <v>534</v>
      </c>
      <c r="AG496" s="32">
        <v>100</v>
      </c>
      <c r="AH496" s="32" t="s">
        <v>1219</v>
      </c>
      <c r="AI496" s="32" t="s">
        <v>1221</v>
      </c>
      <c r="AJ496" s="31" t="s">
        <v>2754</v>
      </c>
      <c r="AK496" s="31">
        <v>0.55600000000000005</v>
      </c>
      <c r="AL496" s="31">
        <v>55.600000000000009</v>
      </c>
      <c r="AM496" s="31">
        <v>44.399999999999991</v>
      </c>
      <c r="AN496" s="31">
        <v>3354.9857636860224</v>
      </c>
      <c r="AO496" s="31">
        <v>2679.1612933032256</v>
      </c>
      <c r="AP496" s="31">
        <v>3.3891437259124935</v>
      </c>
      <c r="AQ496" s="31">
        <v>2.7064385149373145</v>
      </c>
      <c r="AR496" s="31">
        <v>1.4545574866566637E-2</v>
      </c>
    </row>
    <row r="497" spans="1:44" hidden="1" x14ac:dyDescent="0.5">
      <c r="A497" s="31">
        <v>132</v>
      </c>
      <c r="B497" s="31">
        <v>8</v>
      </c>
      <c r="C497" s="225" t="s">
        <v>44</v>
      </c>
      <c r="D497" s="39">
        <v>83.80059</v>
      </c>
      <c r="E497" s="40">
        <v>-161.94995900000001</v>
      </c>
      <c r="F497">
        <v>499</v>
      </c>
      <c r="G497">
        <f>F497*1609.344</f>
        <v>803062.65600000008</v>
      </c>
      <c r="H497" s="32" t="s">
        <v>612</v>
      </c>
      <c r="I497">
        <v>2620</v>
      </c>
      <c r="J497">
        <v>0</v>
      </c>
      <c r="K497" s="26">
        <v>2016</v>
      </c>
      <c r="L497" t="s">
        <v>30</v>
      </c>
      <c r="M497" s="32">
        <v>450</v>
      </c>
      <c r="N497">
        <v>56.117567630000003</v>
      </c>
      <c r="O497">
        <v>1.84</v>
      </c>
      <c r="P497" t="s">
        <v>35</v>
      </c>
      <c r="Q497">
        <v>93</v>
      </c>
      <c r="R497" t="s">
        <v>13</v>
      </c>
      <c r="S497" t="s">
        <v>14</v>
      </c>
      <c r="T497" t="s">
        <v>14</v>
      </c>
      <c r="U497" s="34">
        <v>0</v>
      </c>
      <c r="V497" s="34">
        <v>2</v>
      </c>
      <c r="W497" s="25">
        <v>1</v>
      </c>
      <c r="X497" s="25">
        <v>2</v>
      </c>
      <c r="Y497">
        <v>1.062755103</v>
      </c>
      <c r="Z497" t="s">
        <v>1097</v>
      </c>
      <c r="AA497" t="s">
        <v>622</v>
      </c>
      <c r="AB497">
        <v>1</v>
      </c>
      <c r="AC497">
        <v>2</v>
      </c>
      <c r="AF497" t="s">
        <v>534</v>
      </c>
      <c r="AG497" s="32">
        <v>200</v>
      </c>
      <c r="AH497" s="32" t="s">
        <v>1219</v>
      </c>
      <c r="AI497" s="32" t="s">
        <v>1220</v>
      </c>
      <c r="AJ497" s="31" t="s">
        <v>2753</v>
      </c>
      <c r="AK497" s="31">
        <v>0.55600000000000005</v>
      </c>
      <c r="AL497" s="31">
        <v>111.20000000000002</v>
      </c>
      <c r="AM497" s="31">
        <v>88.799999999999983</v>
      </c>
      <c r="AN497" s="31">
        <v>6709.9715273720449</v>
      </c>
      <c r="AO497" s="31">
        <v>5358.3225866064513</v>
      </c>
      <c r="AP497" s="31">
        <v>7.1310564816993445</v>
      </c>
      <c r="AQ497" s="31">
        <v>5.6945846724361662</v>
      </c>
      <c r="AR497" s="31">
        <v>9.665001594209674E-3</v>
      </c>
    </row>
    <row r="498" spans="1:44" hidden="1" x14ac:dyDescent="0.5">
      <c r="A498" s="31">
        <v>133</v>
      </c>
      <c r="B498" s="31">
        <v>8</v>
      </c>
      <c r="C498" s="225" t="s">
        <v>44</v>
      </c>
      <c r="D498" s="39">
        <v>82.397999999999996</v>
      </c>
      <c r="E498" s="40">
        <v>-141.245</v>
      </c>
      <c r="F498">
        <v>420</v>
      </c>
      <c r="G498">
        <f>F498*1609.344</f>
        <v>675924.47999999998</v>
      </c>
      <c r="H498" s="32" t="s">
        <v>612</v>
      </c>
      <c r="I498">
        <v>2872</v>
      </c>
      <c r="J498">
        <v>0</v>
      </c>
      <c r="K498" s="26">
        <v>2016</v>
      </c>
      <c r="L498" t="s">
        <v>30</v>
      </c>
      <c r="M498" s="32">
        <v>450</v>
      </c>
      <c r="N498">
        <v>56.117567630000003</v>
      </c>
      <c r="O498">
        <v>1.84</v>
      </c>
      <c r="P498" t="s">
        <v>35</v>
      </c>
      <c r="Q498">
        <v>93</v>
      </c>
      <c r="R498" t="s">
        <v>13</v>
      </c>
      <c r="S498" t="s">
        <v>14</v>
      </c>
      <c r="T498" t="s">
        <v>14</v>
      </c>
      <c r="U498" s="34">
        <v>0</v>
      </c>
      <c r="V498" s="34">
        <v>2</v>
      </c>
      <c r="W498" s="25">
        <v>1</v>
      </c>
      <c r="X498" s="25">
        <v>2</v>
      </c>
      <c r="Y498">
        <v>0.81149232000000004</v>
      </c>
      <c r="Z498" t="s">
        <v>1097</v>
      </c>
      <c r="AA498" t="s">
        <v>622</v>
      </c>
      <c r="AB498">
        <v>1</v>
      </c>
      <c r="AC498">
        <v>0</v>
      </c>
      <c r="AF498" t="s">
        <v>534</v>
      </c>
      <c r="AG498" s="32">
        <v>0</v>
      </c>
      <c r="AH498" s="32" t="s">
        <v>671</v>
      </c>
      <c r="AI498" s="32" t="s">
        <v>1129</v>
      </c>
      <c r="AJ498" s="31" t="s">
        <v>1130</v>
      </c>
      <c r="AK498" s="31">
        <v>0.59524549999999998</v>
      </c>
      <c r="AL498" s="31">
        <v>0</v>
      </c>
      <c r="AM498" s="31">
        <v>0</v>
      </c>
      <c r="AN498" s="31">
        <v>0</v>
      </c>
      <c r="AO498" s="31">
        <v>0</v>
      </c>
      <c r="AP498" s="31">
        <v>0</v>
      </c>
      <c r="AQ498" s="31">
        <v>0</v>
      </c>
      <c r="AR498" s="31">
        <v>7.5084741512939967E-3</v>
      </c>
    </row>
    <row r="499" spans="1:44" hidden="1" x14ac:dyDescent="0.5">
      <c r="A499" s="31">
        <v>134</v>
      </c>
      <c r="B499" s="31">
        <v>8</v>
      </c>
      <c r="C499" s="225" t="s">
        <v>44</v>
      </c>
      <c r="D499" s="39">
        <v>83.508656000000002</v>
      </c>
      <c r="E499" s="40">
        <v>-173.18770000000001</v>
      </c>
      <c r="F499">
        <v>631</v>
      </c>
      <c r="G499">
        <f>F499*1609.344</f>
        <v>1015496.064</v>
      </c>
      <c r="H499" s="32" t="s">
        <v>612</v>
      </c>
      <c r="I499">
        <v>3066</v>
      </c>
      <c r="J499">
        <v>0</v>
      </c>
      <c r="K499" s="26">
        <v>2016</v>
      </c>
      <c r="L499" t="s">
        <v>30</v>
      </c>
      <c r="M499" s="32">
        <v>450</v>
      </c>
      <c r="N499">
        <v>56.117567630000003</v>
      </c>
      <c r="O499">
        <v>1.84</v>
      </c>
      <c r="P499" t="s">
        <v>35</v>
      </c>
      <c r="Q499">
        <v>93</v>
      </c>
      <c r="R499" t="s">
        <v>13</v>
      </c>
      <c r="S499" t="s">
        <v>14</v>
      </c>
      <c r="T499" t="s">
        <v>14</v>
      </c>
      <c r="U499" s="34">
        <v>0</v>
      </c>
      <c r="V499" s="34">
        <v>2</v>
      </c>
      <c r="W499" s="25">
        <v>1</v>
      </c>
      <c r="X499" s="25">
        <v>2</v>
      </c>
      <c r="Y499">
        <v>0.97619668900000001</v>
      </c>
      <c r="Z499" t="s">
        <v>1097</v>
      </c>
      <c r="AA499" t="s">
        <v>622</v>
      </c>
      <c r="AB499">
        <v>1</v>
      </c>
      <c r="AC499">
        <v>0</v>
      </c>
      <c r="AF499" t="s">
        <v>534</v>
      </c>
      <c r="AG499" s="32">
        <v>0</v>
      </c>
      <c r="AH499" s="32" t="s">
        <v>671</v>
      </c>
      <c r="AI499" s="32" t="s">
        <v>1129</v>
      </c>
      <c r="AJ499" s="31" t="s">
        <v>1130</v>
      </c>
      <c r="AK499" s="31">
        <v>0.59524549999999998</v>
      </c>
      <c r="AL499" s="31">
        <v>0</v>
      </c>
      <c r="AM499" s="31">
        <v>0</v>
      </c>
      <c r="AN499" s="31">
        <v>0</v>
      </c>
      <c r="AO499" s="31">
        <v>0</v>
      </c>
      <c r="AP499" s="31">
        <v>0</v>
      </c>
      <c r="AQ499" s="31">
        <v>0</v>
      </c>
      <c r="AR499" s="31">
        <v>6.1821339385059468E-3</v>
      </c>
    </row>
    <row r="500" spans="1:44" hidden="1" x14ac:dyDescent="0.5">
      <c r="A500" s="31">
        <v>136</v>
      </c>
      <c r="B500" s="31">
        <v>8</v>
      </c>
      <c r="C500" s="225" t="s">
        <v>44</v>
      </c>
      <c r="D500" s="39">
        <v>83.311300000000003</v>
      </c>
      <c r="E500" s="40">
        <v>-106.81875700000001</v>
      </c>
      <c r="F500">
        <v>359</v>
      </c>
      <c r="G500">
        <f>F500*1609.344</f>
        <v>577754.49600000004</v>
      </c>
      <c r="H500" s="32" t="s">
        <v>612</v>
      </c>
      <c r="I500">
        <v>3936</v>
      </c>
      <c r="J500">
        <v>0</v>
      </c>
      <c r="K500" s="26">
        <v>2016</v>
      </c>
      <c r="L500" t="s">
        <v>30</v>
      </c>
      <c r="M500" s="32">
        <v>450</v>
      </c>
      <c r="N500">
        <v>56.117567630000003</v>
      </c>
      <c r="O500">
        <v>1.84</v>
      </c>
      <c r="P500" t="s">
        <v>35</v>
      </c>
      <c r="Q500">
        <v>93</v>
      </c>
      <c r="R500" t="s">
        <v>13</v>
      </c>
      <c r="S500" t="s">
        <v>14</v>
      </c>
      <c r="T500" t="s">
        <v>14</v>
      </c>
      <c r="U500" s="34">
        <v>0</v>
      </c>
      <c r="V500" s="34">
        <v>2</v>
      </c>
      <c r="W500" s="25">
        <v>1</v>
      </c>
      <c r="X500" s="25">
        <v>2</v>
      </c>
      <c r="Y500">
        <v>0.78023669900000003</v>
      </c>
      <c r="Z500" t="s">
        <v>1097</v>
      </c>
      <c r="AA500" t="s">
        <v>622</v>
      </c>
      <c r="AB500">
        <v>1</v>
      </c>
      <c r="AC500">
        <v>1</v>
      </c>
      <c r="AF500" t="s">
        <v>534</v>
      </c>
      <c r="AG500" s="32">
        <v>100</v>
      </c>
      <c r="AH500" s="32" t="s">
        <v>1219</v>
      </c>
      <c r="AI500" s="32" t="s">
        <v>1221</v>
      </c>
      <c r="AJ500" s="31" t="s">
        <v>2754</v>
      </c>
      <c r="AK500" s="31">
        <v>0.55600000000000005</v>
      </c>
      <c r="AL500" s="31">
        <v>55.600000000000009</v>
      </c>
      <c r="AM500" s="31">
        <v>44.399999999999991</v>
      </c>
      <c r="AN500" s="31">
        <v>3354.9857636860224</v>
      </c>
      <c r="AO500" s="31">
        <v>2679.1612933032256</v>
      </c>
      <c r="AP500" s="31">
        <v>2.6176830174503762</v>
      </c>
      <c r="AQ500" s="31">
        <v>2.0903799635754798</v>
      </c>
      <c r="AR500" s="31">
        <v>2.5857349762102113E-3</v>
      </c>
    </row>
    <row r="501" spans="1:44" hidden="1" x14ac:dyDescent="0.5">
      <c r="A501" s="31">
        <v>137</v>
      </c>
      <c r="B501" s="31">
        <v>8</v>
      </c>
      <c r="C501" s="225" t="s">
        <v>44</v>
      </c>
      <c r="D501" s="41">
        <v>83.482488000000004</v>
      </c>
      <c r="E501" s="40">
        <v>-105.029066</v>
      </c>
      <c r="F501">
        <v>316</v>
      </c>
      <c r="G501">
        <f>F501*1609.344</f>
        <v>508552.70400000003</v>
      </c>
      <c r="H501" s="32" t="s">
        <v>612</v>
      </c>
      <c r="I501">
        <v>3941</v>
      </c>
      <c r="J501">
        <v>0</v>
      </c>
      <c r="K501" s="26">
        <v>2016</v>
      </c>
      <c r="L501" t="s">
        <v>30</v>
      </c>
      <c r="M501" s="32">
        <v>450</v>
      </c>
      <c r="N501">
        <v>56.117567630000003</v>
      </c>
      <c r="O501">
        <v>1.84</v>
      </c>
      <c r="P501" t="s">
        <v>35</v>
      </c>
      <c r="Q501">
        <v>93</v>
      </c>
      <c r="R501" t="s">
        <v>13</v>
      </c>
      <c r="S501" t="s">
        <v>14</v>
      </c>
      <c r="T501" t="s">
        <v>14</v>
      </c>
      <c r="U501" s="34">
        <v>0</v>
      </c>
      <c r="V501" s="34">
        <v>2</v>
      </c>
      <c r="W501" s="25">
        <v>1</v>
      </c>
      <c r="X501" s="25">
        <v>2</v>
      </c>
      <c r="Y501">
        <v>0.78023669900000003</v>
      </c>
      <c r="Z501" t="s">
        <v>1097</v>
      </c>
      <c r="AA501" t="s">
        <v>622</v>
      </c>
      <c r="AB501">
        <v>1</v>
      </c>
      <c r="AC501">
        <v>0</v>
      </c>
      <c r="AF501" t="s">
        <v>534</v>
      </c>
      <c r="AG501" s="32">
        <v>0</v>
      </c>
      <c r="AH501" s="32" t="s">
        <v>671</v>
      </c>
      <c r="AI501" s="32" t="s">
        <v>1129</v>
      </c>
      <c r="AJ501" s="31" t="s">
        <v>1130</v>
      </c>
      <c r="AK501" s="31">
        <v>0.59524549999999998</v>
      </c>
      <c r="AL501" s="31">
        <v>0</v>
      </c>
      <c r="AM501" s="31">
        <v>0</v>
      </c>
      <c r="AN501" s="31">
        <v>0</v>
      </c>
      <c r="AO501" s="31">
        <v>0</v>
      </c>
      <c r="AP501" s="31">
        <v>0</v>
      </c>
      <c r="AQ501" s="31">
        <v>0</v>
      </c>
      <c r="AR501" s="31">
        <v>2.5728141167424526E-3</v>
      </c>
    </row>
    <row r="502" spans="1:44" hidden="1" x14ac:dyDescent="0.5">
      <c r="A502" s="31">
        <v>139</v>
      </c>
      <c r="B502" s="31">
        <v>8</v>
      </c>
      <c r="C502" s="225" t="s">
        <v>44</v>
      </c>
      <c r="D502" s="39">
        <v>83.768209999999996</v>
      </c>
      <c r="E502" s="40">
        <v>-105.44485400000001</v>
      </c>
      <c r="F502">
        <v>369</v>
      </c>
      <c r="G502">
        <f>F502*1609.344</f>
        <v>593847.93599999999</v>
      </c>
      <c r="H502" s="32" t="s">
        <v>611</v>
      </c>
      <c r="I502">
        <v>1253</v>
      </c>
      <c r="J502">
        <v>0</v>
      </c>
      <c r="K502" s="26">
        <v>2016</v>
      </c>
      <c r="L502" t="s">
        <v>30</v>
      </c>
      <c r="M502" s="32">
        <v>450</v>
      </c>
      <c r="N502">
        <v>56.117567630000003</v>
      </c>
      <c r="O502">
        <v>1.84</v>
      </c>
      <c r="P502" t="s">
        <v>35</v>
      </c>
      <c r="Q502">
        <v>93</v>
      </c>
      <c r="R502" t="s">
        <v>13</v>
      </c>
      <c r="S502" t="s">
        <v>14</v>
      </c>
      <c r="T502" t="s">
        <v>14</v>
      </c>
      <c r="U502" s="34">
        <v>0</v>
      </c>
      <c r="V502" s="34">
        <v>2</v>
      </c>
      <c r="W502" s="25">
        <v>1</v>
      </c>
      <c r="X502" s="25">
        <v>2</v>
      </c>
      <c r="Y502">
        <v>0.77938720900000003</v>
      </c>
      <c r="Z502" t="s">
        <v>744</v>
      </c>
      <c r="AA502" t="s">
        <v>620</v>
      </c>
      <c r="AB502">
        <v>1</v>
      </c>
      <c r="AC502">
        <v>1</v>
      </c>
      <c r="AF502" t="s">
        <v>534</v>
      </c>
      <c r="AG502" s="32">
        <v>100</v>
      </c>
      <c r="AH502" s="32" t="s">
        <v>1219</v>
      </c>
      <c r="AI502" s="32" t="s">
        <v>1221</v>
      </c>
      <c r="AJ502" s="31" t="s">
        <v>2754</v>
      </c>
      <c r="AK502" s="31">
        <v>0.55600000000000005</v>
      </c>
      <c r="AL502" s="31">
        <v>55.600000000000009</v>
      </c>
      <c r="AM502" s="31">
        <v>44.399999999999991</v>
      </c>
      <c r="AN502" s="31">
        <v>3354.9857636860224</v>
      </c>
      <c r="AO502" s="31">
        <v>2679.1612933032256</v>
      </c>
      <c r="AP502" s="31">
        <v>2.6148329905939827</v>
      </c>
      <c r="AQ502" s="31">
        <v>2.0881040428484314</v>
      </c>
      <c r="AR502" s="31">
        <v>3.8019899978209745E-2</v>
      </c>
    </row>
    <row r="503" spans="1:44" hidden="1" x14ac:dyDescent="0.5">
      <c r="A503" s="31">
        <v>140</v>
      </c>
      <c r="B503" s="31">
        <v>8</v>
      </c>
      <c r="C503" s="225" t="s">
        <v>44</v>
      </c>
      <c r="D503" s="39">
        <v>84.966904</v>
      </c>
      <c r="E503" s="43">
        <v>35.997121999999997</v>
      </c>
      <c r="F503">
        <v>413</v>
      </c>
      <c r="G503">
        <f>F503*1609.344</f>
        <v>664659.07200000004</v>
      </c>
      <c r="H503" s="32" t="s">
        <v>611</v>
      </c>
      <c r="I503">
        <v>1269</v>
      </c>
      <c r="J503">
        <v>0</v>
      </c>
      <c r="K503" s="26">
        <v>2016</v>
      </c>
      <c r="L503" t="s">
        <v>30</v>
      </c>
      <c r="M503" s="32">
        <v>450</v>
      </c>
      <c r="N503">
        <v>56.117567630000003</v>
      </c>
      <c r="O503">
        <v>1.84</v>
      </c>
      <c r="P503" t="s">
        <v>35</v>
      </c>
      <c r="Q503">
        <v>93</v>
      </c>
      <c r="R503" t="s">
        <v>13</v>
      </c>
      <c r="S503" t="s">
        <v>14</v>
      </c>
      <c r="T503" t="s">
        <v>14</v>
      </c>
      <c r="U503" s="34">
        <v>0</v>
      </c>
      <c r="V503" s="34">
        <v>2</v>
      </c>
      <c r="W503" s="25">
        <v>1</v>
      </c>
      <c r="X503" s="25">
        <v>2</v>
      </c>
      <c r="Y503">
        <v>1.0353001390000001</v>
      </c>
      <c r="Z503" t="s">
        <v>1099</v>
      </c>
      <c r="AA503" t="s">
        <v>622</v>
      </c>
      <c r="AB503">
        <v>1</v>
      </c>
      <c r="AC503">
        <v>1</v>
      </c>
      <c r="AF503" t="s">
        <v>534</v>
      </c>
      <c r="AG503" s="32">
        <v>100</v>
      </c>
      <c r="AH503" s="32" t="s">
        <v>1219</v>
      </c>
      <c r="AI503" s="32" t="s">
        <v>1221</v>
      </c>
      <c r="AJ503" s="31" t="s">
        <v>2754</v>
      </c>
      <c r="AK503" s="31">
        <v>0.55600000000000005</v>
      </c>
      <c r="AL503" s="31">
        <v>55.600000000000009</v>
      </c>
      <c r="AM503" s="31">
        <v>44.399999999999991</v>
      </c>
      <c r="AN503" s="31">
        <v>3354.9857636860224</v>
      </c>
      <c r="AO503" s="31">
        <v>2679.1612933032256</v>
      </c>
      <c r="AP503" s="31">
        <v>3.4734172274871606</v>
      </c>
      <c r="AQ503" s="31">
        <v>2.7737360593602496</v>
      </c>
      <c r="AR503" s="31">
        <v>3.7415284338098605E-2</v>
      </c>
    </row>
    <row r="504" spans="1:44" hidden="1" x14ac:dyDescent="0.5">
      <c r="A504" s="31">
        <v>1250</v>
      </c>
      <c r="B504" s="31">
        <v>87</v>
      </c>
      <c r="C504" s="225" t="s">
        <v>20</v>
      </c>
      <c r="D504" s="46">
        <v>53.776829999999997</v>
      </c>
      <c r="E504" s="47">
        <v>7.2843299999999997</v>
      </c>
      <c r="F504">
        <v>3.73</v>
      </c>
      <c r="G504">
        <f>F504*1609.344</f>
        <v>6002.8531199999998</v>
      </c>
      <c r="H504" s="32" t="s">
        <v>614</v>
      </c>
      <c r="I504">
        <v>14</v>
      </c>
      <c r="J504">
        <v>174.77195598093201</v>
      </c>
      <c r="K504" s="26">
        <v>2014</v>
      </c>
      <c r="L504" t="s">
        <v>40</v>
      </c>
      <c r="M504" s="32">
        <v>11</v>
      </c>
      <c r="N504">
        <v>1.1060976250000001</v>
      </c>
      <c r="O504">
        <v>5</v>
      </c>
      <c r="P504" t="s">
        <v>23</v>
      </c>
      <c r="Q504">
        <v>95.5</v>
      </c>
      <c r="R504" t="s">
        <v>13</v>
      </c>
      <c r="S504" t="s">
        <v>14</v>
      </c>
      <c r="T504" t="s">
        <v>14</v>
      </c>
      <c r="U504" s="34">
        <v>0</v>
      </c>
      <c r="V504" s="34">
        <v>5</v>
      </c>
      <c r="W504" s="25">
        <v>2.5</v>
      </c>
      <c r="X504" s="25">
        <v>5</v>
      </c>
      <c r="Y504" s="244">
        <v>1.6048618480000001</v>
      </c>
      <c r="Z504" t="s">
        <v>1104</v>
      </c>
      <c r="AA504" t="s">
        <v>622</v>
      </c>
      <c r="AB504">
        <v>1</v>
      </c>
      <c r="AC504">
        <v>288.87</v>
      </c>
      <c r="AF504" t="s">
        <v>532</v>
      </c>
      <c r="AG504" s="32" t="s">
        <v>2387</v>
      </c>
      <c r="AH504" s="32" t="s">
        <v>671</v>
      </c>
      <c r="AI504" s="32" t="s">
        <v>1129</v>
      </c>
      <c r="AJ504" s="31" t="s">
        <v>1130</v>
      </c>
      <c r="AK504" s="31">
        <v>0.59524549999999998</v>
      </c>
      <c r="AL504" s="31">
        <v>171.96642494999998</v>
      </c>
      <c r="AM504" s="31">
        <v>116.93357505</v>
      </c>
      <c r="AN504" s="31">
        <v>199.17450703344056</v>
      </c>
      <c r="AO504" s="31">
        <v>135.43450224666415</v>
      </c>
      <c r="AP504" s="31">
        <v>0.31964756743217643</v>
      </c>
      <c r="AQ504" s="31">
        <v>0.21735366555854158</v>
      </c>
      <c r="AR504" s="31">
        <v>0.13156023785613885</v>
      </c>
    </row>
    <row r="505" spans="1:44" hidden="1" x14ac:dyDescent="0.5">
      <c r="A505" s="31">
        <v>442</v>
      </c>
      <c r="B505" s="31">
        <v>31</v>
      </c>
      <c r="C505" s="225" t="s">
        <v>32</v>
      </c>
      <c r="D505" s="35">
        <v>17.484000000000002</v>
      </c>
      <c r="E505" s="33">
        <v>-62.99</v>
      </c>
      <c r="F505">
        <v>0</v>
      </c>
      <c r="G505">
        <f>F505*1609.344</f>
        <v>0</v>
      </c>
      <c r="H505" s="32" t="s">
        <v>10</v>
      </c>
      <c r="I505">
        <v>0</v>
      </c>
      <c r="J505">
        <v>330.42549694015298</v>
      </c>
      <c r="K505" s="26">
        <v>2016</v>
      </c>
      <c r="L505" t="s">
        <v>11</v>
      </c>
      <c r="M505" s="32">
        <v>300</v>
      </c>
      <c r="N505">
        <v>36.542166029999997</v>
      </c>
      <c r="O505">
        <v>5</v>
      </c>
      <c r="P505" t="s">
        <v>12</v>
      </c>
      <c r="Q505">
        <v>83</v>
      </c>
      <c r="R505" t="s">
        <v>13</v>
      </c>
      <c r="S505" t="s">
        <v>16</v>
      </c>
      <c r="T505" t="s">
        <v>14</v>
      </c>
      <c r="U505" s="34">
        <v>0</v>
      </c>
      <c r="V505" s="34">
        <v>5</v>
      </c>
      <c r="W505" s="25">
        <v>2.5</v>
      </c>
      <c r="X505" s="25">
        <v>5</v>
      </c>
      <c r="Y505">
        <v>1.1947183480000001</v>
      </c>
      <c r="Z505" t="s">
        <v>1112</v>
      </c>
      <c r="AA505" t="s">
        <v>622</v>
      </c>
      <c r="AB505">
        <v>5</v>
      </c>
      <c r="AC505">
        <v>136</v>
      </c>
      <c r="AD505">
        <v>28</v>
      </c>
      <c r="AE505" t="s">
        <v>525</v>
      </c>
      <c r="AF505" t="s">
        <v>532</v>
      </c>
      <c r="AG505" s="32">
        <v>136</v>
      </c>
      <c r="AH505" s="32" t="s">
        <v>1447</v>
      </c>
      <c r="AI505" s="32" t="s">
        <v>1448</v>
      </c>
      <c r="AJ505" s="31" t="s">
        <v>2872</v>
      </c>
      <c r="AK505" s="31">
        <v>0.97</v>
      </c>
      <c r="AL505" s="31">
        <v>131.91999999999999</v>
      </c>
      <c r="AM505" s="31">
        <v>4.0800000000000125</v>
      </c>
      <c r="AN505" s="31">
        <v>5808.0030634669874</v>
      </c>
      <c r="AO505" s="31">
        <v>179.62896072578366</v>
      </c>
      <c r="AP505" s="31">
        <v>6.9389278251642192</v>
      </c>
      <c r="AQ505" s="31">
        <v>0.21460601521126516</v>
      </c>
      <c r="AR505" s="31">
        <v>0.13341858489683281</v>
      </c>
    </row>
    <row r="506" spans="1:44" hidden="1" x14ac:dyDescent="0.5">
      <c r="A506" s="31">
        <v>443</v>
      </c>
      <c r="B506" s="31">
        <v>31</v>
      </c>
      <c r="C506" s="225" t="s">
        <v>32</v>
      </c>
      <c r="D506" s="35">
        <v>17.504999999999999</v>
      </c>
      <c r="E506" s="33">
        <v>-62.98</v>
      </c>
      <c r="F506">
        <v>0</v>
      </c>
      <c r="G506">
        <f>F506*1609.344</f>
        <v>0</v>
      </c>
      <c r="H506" s="32" t="s">
        <v>10</v>
      </c>
      <c r="I506">
        <v>0</v>
      </c>
      <c r="J506">
        <v>330.42549694015298</v>
      </c>
      <c r="K506" s="26">
        <v>2016</v>
      </c>
      <c r="L506" t="s">
        <v>11</v>
      </c>
      <c r="M506" s="32">
        <v>300</v>
      </c>
      <c r="N506">
        <v>36.542166029999997</v>
      </c>
      <c r="O506">
        <v>5</v>
      </c>
      <c r="P506" t="s">
        <v>12</v>
      </c>
      <c r="Q506">
        <v>83</v>
      </c>
      <c r="R506" t="s">
        <v>13</v>
      </c>
      <c r="S506" t="s">
        <v>16</v>
      </c>
      <c r="T506" t="s">
        <v>14</v>
      </c>
      <c r="U506" s="34">
        <v>0</v>
      </c>
      <c r="V506" s="34">
        <v>5</v>
      </c>
      <c r="W506" s="25">
        <v>2.5</v>
      </c>
      <c r="X506" s="25">
        <v>5</v>
      </c>
      <c r="Y506">
        <v>1.1947183480000001</v>
      </c>
      <c r="Z506" t="s">
        <v>1112</v>
      </c>
      <c r="AA506" t="s">
        <v>622</v>
      </c>
      <c r="AB506">
        <v>5</v>
      </c>
      <c r="AC506">
        <v>124</v>
      </c>
      <c r="AD506">
        <v>16</v>
      </c>
      <c r="AE506" t="s">
        <v>525</v>
      </c>
      <c r="AF506" t="s">
        <v>532</v>
      </c>
      <c r="AG506" s="32">
        <v>124</v>
      </c>
      <c r="AH506" s="32" t="s">
        <v>1447</v>
      </c>
      <c r="AI506" s="32" t="s">
        <v>1449</v>
      </c>
      <c r="AJ506" s="31" t="s">
        <v>2873</v>
      </c>
      <c r="AK506" s="31">
        <v>0.97</v>
      </c>
      <c r="AL506" s="31">
        <v>120.28</v>
      </c>
      <c r="AM506" s="31">
        <v>3.7199999999999989</v>
      </c>
      <c r="AN506" s="31">
        <v>5295.5322049257829</v>
      </c>
      <c r="AO506" s="31">
        <v>163.77934654409631</v>
      </c>
      <c r="AP506" s="31">
        <v>6.3266694876497294</v>
      </c>
      <c r="AQ506" s="31">
        <v>0.19567019033968228</v>
      </c>
      <c r="AR506" s="31">
        <v>0.13341858489683281</v>
      </c>
    </row>
    <row r="507" spans="1:44" hidden="1" x14ac:dyDescent="0.5">
      <c r="A507" s="31">
        <v>444</v>
      </c>
      <c r="B507" s="31">
        <v>31</v>
      </c>
      <c r="C507" s="225" t="s">
        <v>32</v>
      </c>
      <c r="D507" s="35">
        <v>17.887</v>
      </c>
      <c r="E507" s="33">
        <v>-62.82</v>
      </c>
      <c r="F507">
        <v>0</v>
      </c>
      <c r="G507">
        <f>F507*1609.344</f>
        <v>0</v>
      </c>
      <c r="H507" s="32" t="s">
        <v>10</v>
      </c>
      <c r="I507">
        <v>0</v>
      </c>
      <c r="J507">
        <v>322.85095677752003</v>
      </c>
      <c r="K507" s="26">
        <v>2016</v>
      </c>
      <c r="L507" t="s">
        <v>11</v>
      </c>
      <c r="M507" s="32">
        <v>300</v>
      </c>
      <c r="N507">
        <v>36.542166029999997</v>
      </c>
      <c r="O507">
        <v>5</v>
      </c>
      <c r="P507" t="s">
        <v>12</v>
      </c>
      <c r="Q507">
        <v>83</v>
      </c>
      <c r="R507" t="s">
        <v>13</v>
      </c>
      <c r="S507" t="s">
        <v>16</v>
      </c>
      <c r="T507" t="s">
        <v>14</v>
      </c>
      <c r="U507" s="34">
        <v>0</v>
      </c>
      <c r="V507" s="34">
        <v>5</v>
      </c>
      <c r="W507" s="25">
        <v>2.5</v>
      </c>
      <c r="X507" s="25">
        <v>5</v>
      </c>
      <c r="Y507">
        <v>1.1947183480000001</v>
      </c>
      <c r="Z507" t="s">
        <v>1112</v>
      </c>
      <c r="AA507" t="s">
        <v>622</v>
      </c>
      <c r="AB507">
        <v>5</v>
      </c>
      <c r="AC507">
        <v>208</v>
      </c>
      <c r="AD507">
        <v>29</v>
      </c>
      <c r="AE507" t="s">
        <v>525</v>
      </c>
      <c r="AF507" t="s">
        <v>532</v>
      </c>
      <c r="AG507" s="32">
        <v>208</v>
      </c>
      <c r="AH507" s="32" t="s">
        <v>1447</v>
      </c>
      <c r="AI507" s="32" t="s">
        <v>1450</v>
      </c>
      <c r="AJ507" s="31" t="s">
        <v>2874</v>
      </c>
      <c r="AK507" s="31">
        <v>0.97</v>
      </c>
      <c r="AL507" s="31">
        <v>201.76</v>
      </c>
      <c r="AM507" s="31">
        <v>6.2400000000000091</v>
      </c>
      <c r="AN507" s="31">
        <v>8882.8282147142163</v>
      </c>
      <c r="AO507" s="31">
        <v>274.72664581590396</v>
      </c>
      <c r="AP507" s="31">
        <v>10.612477850251159</v>
      </c>
      <c r="AQ507" s="31">
        <v>0.32822096444075788</v>
      </c>
      <c r="AR507" s="31">
        <v>0.13341858489683281</v>
      </c>
    </row>
    <row r="508" spans="1:44" hidden="1" x14ac:dyDescent="0.5">
      <c r="A508" s="31">
        <v>445</v>
      </c>
      <c r="B508" s="31">
        <v>31</v>
      </c>
      <c r="C508" s="225" t="s">
        <v>32</v>
      </c>
      <c r="D508" s="35">
        <v>17.888000000000002</v>
      </c>
      <c r="E508" s="33">
        <v>-62.82</v>
      </c>
      <c r="F508">
        <v>0</v>
      </c>
      <c r="G508">
        <f>F508*1609.344</f>
        <v>0</v>
      </c>
      <c r="H508" s="32" t="s">
        <v>10</v>
      </c>
      <c r="I508">
        <v>0</v>
      </c>
      <c r="J508">
        <v>322.85095677752003</v>
      </c>
      <c r="K508" s="26">
        <v>2016</v>
      </c>
      <c r="L508" t="s">
        <v>11</v>
      </c>
      <c r="M508" s="32">
        <v>300</v>
      </c>
      <c r="N508">
        <v>36.542166029999997</v>
      </c>
      <c r="O508">
        <v>5</v>
      </c>
      <c r="P508" t="s">
        <v>12</v>
      </c>
      <c r="Q508">
        <v>83</v>
      </c>
      <c r="R508" t="s">
        <v>13</v>
      </c>
      <c r="S508" t="s">
        <v>16</v>
      </c>
      <c r="T508" t="s">
        <v>14</v>
      </c>
      <c r="U508" s="34">
        <v>0</v>
      </c>
      <c r="V508" s="34">
        <v>5</v>
      </c>
      <c r="W508" s="25">
        <v>2.5</v>
      </c>
      <c r="X508" s="25">
        <v>5</v>
      </c>
      <c r="Y508">
        <v>1.1947183480000001</v>
      </c>
      <c r="Z508" t="s">
        <v>1112</v>
      </c>
      <c r="AA508" t="s">
        <v>622</v>
      </c>
      <c r="AB508">
        <v>5</v>
      </c>
      <c r="AC508">
        <v>284</v>
      </c>
      <c r="AD508">
        <v>74</v>
      </c>
      <c r="AE508" t="s">
        <v>525</v>
      </c>
      <c r="AF508" t="s">
        <v>532</v>
      </c>
      <c r="AG508" s="32">
        <v>284</v>
      </c>
      <c r="AH508" s="32" t="s">
        <v>1447</v>
      </c>
      <c r="AI508" s="32" t="s">
        <v>1451</v>
      </c>
      <c r="AJ508" s="31" t="s">
        <v>2875</v>
      </c>
      <c r="AK508" s="31">
        <v>0.97</v>
      </c>
      <c r="AL508" s="31">
        <v>275.48</v>
      </c>
      <c r="AM508" s="31">
        <v>8.5199999999999818</v>
      </c>
      <c r="AN508" s="31">
        <v>12128.476985475179</v>
      </c>
      <c r="AO508" s="31">
        <v>375.10753563325216</v>
      </c>
      <c r="AP508" s="31">
        <v>14.490113987842928</v>
      </c>
      <c r="AQ508" s="31">
        <v>0.44814785529411022</v>
      </c>
      <c r="AR508" s="31">
        <v>0.13341858489683281</v>
      </c>
    </row>
    <row r="509" spans="1:44" hidden="1" x14ac:dyDescent="0.5">
      <c r="A509" s="31">
        <v>446</v>
      </c>
      <c r="B509" s="31">
        <v>31</v>
      </c>
      <c r="C509" s="225" t="s">
        <v>32</v>
      </c>
      <c r="D509" s="35">
        <v>17.893000000000001</v>
      </c>
      <c r="E509" s="33">
        <v>-62.85</v>
      </c>
      <c r="F509">
        <v>0</v>
      </c>
      <c r="G509">
        <f>F509*1609.344</f>
        <v>0</v>
      </c>
      <c r="H509" s="32" t="s">
        <v>10</v>
      </c>
      <c r="I509">
        <v>0</v>
      </c>
      <c r="J509">
        <v>330.31430783021898</v>
      </c>
      <c r="K509" s="26">
        <v>2016</v>
      </c>
      <c r="L509" t="s">
        <v>11</v>
      </c>
      <c r="M509" s="32">
        <v>300</v>
      </c>
      <c r="N509">
        <v>36.542166029999997</v>
      </c>
      <c r="O509">
        <v>5</v>
      </c>
      <c r="P509" t="s">
        <v>12</v>
      </c>
      <c r="Q509">
        <v>83</v>
      </c>
      <c r="R509" t="s">
        <v>13</v>
      </c>
      <c r="S509" t="s">
        <v>16</v>
      </c>
      <c r="T509" t="s">
        <v>14</v>
      </c>
      <c r="U509" s="34">
        <v>0</v>
      </c>
      <c r="V509" s="34">
        <v>5</v>
      </c>
      <c r="W509" s="25">
        <v>2.5</v>
      </c>
      <c r="X509" s="25">
        <v>5</v>
      </c>
      <c r="Y509">
        <v>1.1947183480000001</v>
      </c>
      <c r="Z509" t="s">
        <v>1112</v>
      </c>
      <c r="AA509" t="s">
        <v>622</v>
      </c>
      <c r="AB509">
        <v>5</v>
      </c>
      <c r="AC509">
        <v>296</v>
      </c>
      <c r="AD509">
        <v>50</v>
      </c>
      <c r="AE509" t="s">
        <v>525</v>
      </c>
      <c r="AF509" t="s">
        <v>532</v>
      </c>
      <c r="AG509" s="32">
        <v>296</v>
      </c>
      <c r="AH509" s="32" t="s">
        <v>1447</v>
      </c>
      <c r="AI509" s="32" t="s">
        <v>1452</v>
      </c>
      <c r="AJ509" s="31" t="s">
        <v>2876</v>
      </c>
      <c r="AK509" s="31">
        <v>0.97</v>
      </c>
      <c r="AL509" s="31">
        <v>287.12</v>
      </c>
      <c r="AM509" s="31">
        <v>8.8799999999999955</v>
      </c>
      <c r="AN509" s="31">
        <v>12640.947844016386</v>
      </c>
      <c r="AO509" s="31">
        <v>390.95714981493956</v>
      </c>
      <c r="AP509" s="31">
        <v>15.10237232535742</v>
      </c>
      <c r="AQ509" s="31">
        <v>0.46708368016569313</v>
      </c>
      <c r="AR509" s="31">
        <v>0.13341858489683281</v>
      </c>
    </row>
    <row r="510" spans="1:44" hidden="1" x14ac:dyDescent="0.5">
      <c r="A510" s="31">
        <v>447</v>
      </c>
      <c r="B510" s="31">
        <v>31</v>
      </c>
      <c r="C510" s="225" t="s">
        <v>32</v>
      </c>
      <c r="D510" s="35">
        <v>17.905000000000001</v>
      </c>
      <c r="E510" s="33">
        <v>-62.84</v>
      </c>
      <c r="F510">
        <v>0</v>
      </c>
      <c r="G510">
        <f>F510*1609.344</f>
        <v>0</v>
      </c>
      <c r="H510" s="32" t="s">
        <v>10</v>
      </c>
      <c r="I510">
        <v>0</v>
      </c>
      <c r="J510">
        <v>328.930785441399</v>
      </c>
      <c r="K510" s="26">
        <v>2016</v>
      </c>
      <c r="L510" t="s">
        <v>11</v>
      </c>
      <c r="M510" s="32">
        <v>300</v>
      </c>
      <c r="N510">
        <v>36.542166029999997</v>
      </c>
      <c r="O510">
        <v>5</v>
      </c>
      <c r="P510" t="s">
        <v>12</v>
      </c>
      <c r="Q510">
        <v>83</v>
      </c>
      <c r="R510" t="s">
        <v>13</v>
      </c>
      <c r="S510" t="s">
        <v>16</v>
      </c>
      <c r="T510" t="s">
        <v>14</v>
      </c>
      <c r="U510" s="34">
        <v>0</v>
      </c>
      <c r="V510" s="34">
        <v>5</v>
      </c>
      <c r="W510" s="25">
        <v>2.5</v>
      </c>
      <c r="X510" s="25">
        <v>5</v>
      </c>
      <c r="Y510">
        <v>1.1947183480000001</v>
      </c>
      <c r="Z510" t="s">
        <v>1112</v>
      </c>
      <c r="AA510" t="s">
        <v>622</v>
      </c>
      <c r="AB510">
        <v>5</v>
      </c>
      <c r="AC510">
        <v>176</v>
      </c>
      <c r="AD510">
        <v>21</v>
      </c>
      <c r="AE510" t="s">
        <v>525</v>
      </c>
      <c r="AF510" t="s">
        <v>532</v>
      </c>
      <c r="AG510" s="32">
        <v>176</v>
      </c>
      <c r="AH510" s="32" t="s">
        <v>1447</v>
      </c>
      <c r="AI510" s="32" t="s">
        <v>1453</v>
      </c>
      <c r="AJ510" s="31" t="s">
        <v>2877</v>
      </c>
      <c r="AK510" s="31">
        <v>0.97</v>
      </c>
      <c r="AL510" s="31">
        <v>170.72</v>
      </c>
      <c r="AM510" s="31">
        <v>5.2800000000000011</v>
      </c>
      <c r="AN510" s="31">
        <v>7516.239258604337</v>
      </c>
      <c r="AO510" s="31">
        <v>232.46100799807232</v>
      </c>
      <c r="AP510" s="31">
        <v>8.9797889502125194</v>
      </c>
      <c r="AQ510" s="31">
        <v>0.27772543144987177</v>
      </c>
      <c r="AR510" s="31">
        <v>0.13341858489683281</v>
      </c>
    </row>
    <row r="511" spans="1:44" hidden="1" x14ac:dyDescent="0.5">
      <c r="A511" s="31">
        <v>448</v>
      </c>
      <c r="B511" s="31">
        <v>31</v>
      </c>
      <c r="C511" s="225" t="s">
        <v>32</v>
      </c>
      <c r="D511" s="35">
        <v>17.907</v>
      </c>
      <c r="E511" s="33">
        <v>-62.83</v>
      </c>
      <c r="F511">
        <v>0</v>
      </c>
      <c r="G511">
        <f>F511*1609.344</f>
        <v>0</v>
      </c>
      <c r="H511" s="32" t="s">
        <v>10</v>
      </c>
      <c r="I511">
        <v>0</v>
      </c>
      <c r="J511">
        <v>326.53835136450601</v>
      </c>
      <c r="K511" s="26">
        <v>2016</v>
      </c>
      <c r="L511" t="s">
        <v>11</v>
      </c>
      <c r="M511" s="32">
        <v>300</v>
      </c>
      <c r="N511">
        <v>36.542166029999997</v>
      </c>
      <c r="O511">
        <v>5</v>
      </c>
      <c r="P511" t="s">
        <v>12</v>
      </c>
      <c r="Q511">
        <v>83</v>
      </c>
      <c r="R511" t="s">
        <v>13</v>
      </c>
      <c r="S511" t="s">
        <v>16</v>
      </c>
      <c r="T511" t="s">
        <v>14</v>
      </c>
      <c r="U511" s="34">
        <v>0</v>
      </c>
      <c r="V511" s="34">
        <v>5</v>
      </c>
      <c r="W511" s="25">
        <v>2.5</v>
      </c>
      <c r="X511" s="25">
        <v>5</v>
      </c>
      <c r="Y511">
        <v>1.1947183480000001</v>
      </c>
      <c r="Z511" t="s">
        <v>1112</v>
      </c>
      <c r="AA511" t="s">
        <v>622</v>
      </c>
      <c r="AB511">
        <v>5</v>
      </c>
      <c r="AC511">
        <v>232</v>
      </c>
      <c r="AD511">
        <v>41</v>
      </c>
      <c r="AE511" t="s">
        <v>525</v>
      </c>
      <c r="AF511" t="s">
        <v>532</v>
      </c>
      <c r="AG511" s="32">
        <v>232</v>
      </c>
      <c r="AH511" s="32" t="s">
        <v>1447</v>
      </c>
      <c r="AI511" s="32" t="s">
        <v>1454</v>
      </c>
      <c r="AJ511" s="31" t="s">
        <v>2878</v>
      </c>
      <c r="AK511" s="31">
        <v>0.97</v>
      </c>
      <c r="AL511" s="31">
        <v>225.04</v>
      </c>
      <c r="AM511" s="31">
        <v>6.960000000000008</v>
      </c>
      <c r="AN511" s="31">
        <v>9907.7699317966271</v>
      </c>
      <c r="AO511" s="31">
        <v>306.42587417927746</v>
      </c>
      <c r="AP511" s="31">
        <v>11.83699452528014</v>
      </c>
      <c r="AQ511" s="31">
        <v>0.36609261418392225</v>
      </c>
      <c r="AR511" s="31">
        <v>0.13341858489683281</v>
      </c>
    </row>
    <row r="512" spans="1:44" hidden="1" x14ac:dyDescent="0.5">
      <c r="A512" s="31">
        <v>449</v>
      </c>
      <c r="B512" s="31">
        <v>31</v>
      </c>
      <c r="C512" s="225" t="s">
        <v>32</v>
      </c>
      <c r="D512" s="35">
        <v>18.024000000000001</v>
      </c>
      <c r="E512" s="33">
        <v>-63.06</v>
      </c>
      <c r="F512">
        <v>0</v>
      </c>
      <c r="G512">
        <f>F512*1609.344</f>
        <v>0</v>
      </c>
      <c r="H512" s="32" t="s">
        <v>10</v>
      </c>
      <c r="I512">
        <v>0</v>
      </c>
      <c r="J512">
        <v>344.40537116684601</v>
      </c>
      <c r="K512" s="26">
        <v>2016</v>
      </c>
      <c r="L512" t="s">
        <v>11</v>
      </c>
      <c r="M512" s="32">
        <v>300</v>
      </c>
      <c r="N512">
        <v>36.542166029999997</v>
      </c>
      <c r="O512">
        <v>5</v>
      </c>
      <c r="P512" t="s">
        <v>12</v>
      </c>
      <c r="Q512">
        <v>83</v>
      </c>
      <c r="R512" t="s">
        <v>13</v>
      </c>
      <c r="S512" t="s">
        <v>16</v>
      </c>
      <c r="T512" t="s">
        <v>14</v>
      </c>
      <c r="U512" s="34">
        <v>0</v>
      </c>
      <c r="V512" s="34">
        <v>5</v>
      </c>
      <c r="W512" s="25">
        <v>2.5</v>
      </c>
      <c r="X512" s="25">
        <v>5</v>
      </c>
      <c r="Y512">
        <v>1.1947183480000001</v>
      </c>
      <c r="Z512" t="s">
        <v>1112</v>
      </c>
      <c r="AA512" t="s">
        <v>622</v>
      </c>
      <c r="AB512">
        <v>5</v>
      </c>
      <c r="AC512">
        <v>276</v>
      </c>
      <c r="AD512">
        <v>31</v>
      </c>
      <c r="AE512" t="s">
        <v>525</v>
      </c>
      <c r="AF512" t="s">
        <v>532</v>
      </c>
      <c r="AG512" s="32">
        <v>276</v>
      </c>
      <c r="AH512" s="32" t="s">
        <v>1447</v>
      </c>
      <c r="AI512" s="32" t="s">
        <v>1455</v>
      </c>
      <c r="AJ512" s="31" t="s">
        <v>2879</v>
      </c>
      <c r="AK512" s="31">
        <v>0.97</v>
      </c>
      <c r="AL512" s="31">
        <v>267.71999999999997</v>
      </c>
      <c r="AM512" s="31">
        <v>8.2800000000000296</v>
      </c>
      <c r="AN512" s="31">
        <v>11786.829746447707</v>
      </c>
      <c r="AO512" s="31">
        <v>364.5411261787965</v>
      </c>
      <c r="AP512" s="31">
        <v>14.081941762833265</v>
      </c>
      <c r="AQ512" s="31">
        <v>0.43552397204639137</v>
      </c>
      <c r="AR512" s="31">
        <v>0.13341858489683281</v>
      </c>
    </row>
    <row r="513" spans="1:44" customFormat="1" hidden="1" x14ac:dyDescent="0.5">
      <c r="A513">
        <v>512</v>
      </c>
      <c r="B513">
        <v>34</v>
      </c>
      <c r="C513" s="226" t="s">
        <v>9</v>
      </c>
      <c r="D513" s="230">
        <v>24.933816</v>
      </c>
      <c r="E513" s="231">
        <v>51.578955999999998</v>
      </c>
      <c r="F513">
        <v>0</v>
      </c>
      <c r="G513">
        <f>F513*1609.344</f>
        <v>0</v>
      </c>
      <c r="H513" t="s">
        <v>10</v>
      </c>
      <c r="I513">
        <v>0</v>
      </c>
      <c r="J513">
        <v>216.59753040583701</v>
      </c>
      <c r="K513" s="26">
        <v>2015</v>
      </c>
      <c r="L513" t="s">
        <v>11</v>
      </c>
      <c r="M513" s="30"/>
      <c r="N513">
        <v>1</v>
      </c>
      <c r="P513" t="s">
        <v>26</v>
      </c>
      <c r="Q513">
        <v>89</v>
      </c>
      <c r="R513" t="s">
        <v>13</v>
      </c>
      <c r="S513" t="s">
        <v>14</v>
      </c>
      <c r="T513" t="s">
        <v>14</v>
      </c>
      <c r="U513" s="25">
        <v>0</v>
      </c>
      <c r="V513" s="25">
        <v>2</v>
      </c>
      <c r="W513" s="25">
        <v>1</v>
      </c>
      <c r="X513" s="25">
        <v>2</v>
      </c>
      <c r="Y513">
        <v>1.6079212810000001</v>
      </c>
      <c r="Z513" t="s">
        <v>784</v>
      </c>
      <c r="AA513" t="s">
        <v>631</v>
      </c>
      <c r="AB513">
        <v>3</v>
      </c>
      <c r="AC513">
        <v>56.189</v>
      </c>
      <c r="AD513">
        <v>7.7220000000000004</v>
      </c>
      <c r="AF513" t="s">
        <v>521</v>
      </c>
      <c r="AG513" s="30">
        <v>1.747255934228785</v>
      </c>
      <c r="AH513" s="30">
        <v>0.35699999999999998</v>
      </c>
      <c r="AI513" s="30">
        <v>0.62377036851967627</v>
      </c>
      <c r="AJ513">
        <v>1.1234855657091087</v>
      </c>
      <c r="AK513">
        <v>0.35699999999999998</v>
      </c>
      <c r="AL513">
        <v>0.62377036851967627</v>
      </c>
      <c r="AM513">
        <v>1.1234855657091087</v>
      </c>
      <c r="AN513">
        <v>0.70086558260637777</v>
      </c>
      <c r="AO513">
        <v>1.2623433322574256</v>
      </c>
      <c r="AP513">
        <v>1.1269366853932585E-3</v>
      </c>
      <c r="AQ513">
        <v>2.0297487078651684E-3</v>
      </c>
      <c r="AR513">
        <v>0.13341858489683281</v>
      </c>
    </row>
    <row r="514" spans="1:44" customFormat="1" hidden="1" x14ac:dyDescent="0.5">
      <c r="A514">
        <v>513</v>
      </c>
      <c r="B514">
        <v>34</v>
      </c>
      <c r="C514" s="226" t="s">
        <v>9</v>
      </c>
      <c r="D514" s="227">
        <v>25.167693</v>
      </c>
      <c r="E514" s="228">
        <v>50.763269000000001</v>
      </c>
      <c r="F514">
        <v>0</v>
      </c>
      <c r="G514">
        <f>F514*1609.344</f>
        <v>0</v>
      </c>
      <c r="H514" t="s">
        <v>10</v>
      </c>
      <c r="I514">
        <v>0</v>
      </c>
      <c r="J514">
        <v>146.43361617652499</v>
      </c>
      <c r="K514" s="26">
        <v>2015</v>
      </c>
      <c r="L514" t="s">
        <v>11</v>
      </c>
      <c r="M514" s="30"/>
      <c r="N514">
        <v>1</v>
      </c>
      <c r="P514" t="s">
        <v>26</v>
      </c>
      <c r="Q514">
        <v>89</v>
      </c>
      <c r="R514" t="s">
        <v>13</v>
      </c>
      <c r="S514" t="s">
        <v>14</v>
      </c>
      <c r="T514" t="s">
        <v>14</v>
      </c>
      <c r="U514" s="25">
        <v>0</v>
      </c>
      <c r="V514" s="25">
        <v>2</v>
      </c>
      <c r="W514" s="25">
        <v>1</v>
      </c>
      <c r="X514" s="25">
        <v>2</v>
      </c>
      <c r="Y514">
        <v>0.98486695300000004</v>
      </c>
      <c r="Z514" t="s">
        <v>784</v>
      </c>
      <c r="AA514" t="s">
        <v>631</v>
      </c>
      <c r="AB514">
        <v>3</v>
      </c>
      <c r="AC514">
        <v>51.753999999999998</v>
      </c>
      <c r="AD514">
        <v>4.7089999999999996</v>
      </c>
      <c r="AF514" t="s">
        <v>521</v>
      </c>
      <c r="AG514" s="30">
        <v>2.6274614983451472</v>
      </c>
      <c r="AH514" s="30">
        <v>0.308</v>
      </c>
      <c r="AI514" s="30">
        <v>0.80925814149030528</v>
      </c>
      <c r="AJ514">
        <v>1.8182033568548419</v>
      </c>
      <c r="AK514">
        <v>0.308</v>
      </c>
      <c r="AL514">
        <v>0.80925814149030528</v>
      </c>
      <c r="AM514">
        <v>1.8182033568548419</v>
      </c>
      <c r="AN514">
        <v>0.90927881066326433</v>
      </c>
      <c r="AO514">
        <v>2.0429251200616201</v>
      </c>
      <c r="AP514">
        <v>8.9551865168539303E-4</v>
      </c>
      <c r="AQ514">
        <v>2.012009438202247E-3</v>
      </c>
      <c r="AR514">
        <v>0.13341858489683281</v>
      </c>
    </row>
    <row r="515" spans="1:44" customFormat="1" hidden="1" x14ac:dyDescent="0.5">
      <c r="A515">
        <v>514</v>
      </c>
      <c r="B515">
        <v>34</v>
      </c>
      <c r="C515" s="226" t="s">
        <v>9</v>
      </c>
      <c r="D515" s="227">
        <v>25.307821000000001</v>
      </c>
      <c r="E515" s="228">
        <v>51.519773000000001</v>
      </c>
      <c r="F515">
        <v>0</v>
      </c>
      <c r="G515">
        <f>F515*1609.344</f>
        <v>0</v>
      </c>
      <c r="H515" t="s">
        <v>10</v>
      </c>
      <c r="I515">
        <v>0</v>
      </c>
      <c r="J515">
        <v>261.558159031701</v>
      </c>
      <c r="K515" s="26">
        <v>2015</v>
      </c>
      <c r="L515" t="s">
        <v>11</v>
      </c>
      <c r="M515" s="30"/>
      <c r="N515">
        <v>1</v>
      </c>
      <c r="P515" t="s">
        <v>26</v>
      </c>
      <c r="Q515">
        <v>89</v>
      </c>
      <c r="R515" t="s">
        <v>13</v>
      </c>
      <c r="S515" t="s">
        <v>14</v>
      </c>
      <c r="T515" t="s">
        <v>14</v>
      </c>
      <c r="U515" s="25">
        <v>0</v>
      </c>
      <c r="V515" s="25">
        <v>2</v>
      </c>
      <c r="W515" s="25">
        <v>1</v>
      </c>
      <c r="X515" s="25">
        <v>2</v>
      </c>
      <c r="Y515">
        <v>1.6079212810000001</v>
      </c>
      <c r="Z515" t="s">
        <v>784</v>
      </c>
      <c r="AA515" t="s">
        <v>631</v>
      </c>
      <c r="AB515">
        <v>3</v>
      </c>
      <c r="AC515">
        <v>123.819</v>
      </c>
      <c r="AD515">
        <v>46.534999999999997</v>
      </c>
      <c r="AF515" t="s">
        <v>521</v>
      </c>
      <c r="AG515" s="30">
        <v>3.8502817725938163</v>
      </c>
      <c r="AH515" s="30">
        <v>0.38700000000000001</v>
      </c>
      <c r="AI515" s="30">
        <v>1.490059045993807</v>
      </c>
      <c r="AJ515">
        <v>2.3602227266000093</v>
      </c>
      <c r="AK515">
        <v>0.38700000000000001</v>
      </c>
      <c r="AL515">
        <v>1.490059045993807</v>
      </c>
      <c r="AM515">
        <v>2.3602227266000093</v>
      </c>
      <c r="AN515">
        <v>1.6742236471840528</v>
      </c>
      <c r="AO515">
        <v>2.6519356478651788</v>
      </c>
      <c r="AP515">
        <v>2.6920198314606741E-3</v>
      </c>
      <c r="AQ515">
        <v>4.2641037640449436E-3</v>
      </c>
      <c r="AR515">
        <v>0.13341858489683281</v>
      </c>
    </row>
    <row r="516" spans="1:44" customFormat="1" hidden="1" x14ac:dyDescent="0.5">
      <c r="A516">
        <v>515</v>
      </c>
      <c r="B516">
        <v>34</v>
      </c>
      <c r="C516" s="226" t="s">
        <v>9</v>
      </c>
      <c r="D516" s="227">
        <v>25.377338000000002</v>
      </c>
      <c r="E516" s="228">
        <v>51.541815</v>
      </c>
      <c r="F516">
        <v>0</v>
      </c>
      <c r="G516">
        <f>F516*1609.344</f>
        <v>0</v>
      </c>
      <c r="H516" t="s">
        <v>10</v>
      </c>
      <c r="I516">
        <v>0</v>
      </c>
      <c r="J516">
        <v>277.81899840628301</v>
      </c>
      <c r="K516" s="26">
        <v>2015</v>
      </c>
      <c r="L516" t="s">
        <v>11</v>
      </c>
      <c r="M516" s="30"/>
      <c r="N516">
        <v>1</v>
      </c>
      <c r="P516" t="s">
        <v>26</v>
      </c>
      <c r="Q516">
        <v>89</v>
      </c>
      <c r="R516" t="s">
        <v>13</v>
      </c>
      <c r="S516" t="s">
        <v>14</v>
      </c>
      <c r="T516" t="s">
        <v>14</v>
      </c>
      <c r="U516" s="25">
        <v>0</v>
      </c>
      <c r="V516" s="25">
        <v>2</v>
      </c>
      <c r="W516" s="25">
        <v>1</v>
      </c>
      <c r="X516" s="25">
        <v>2</v>
      </c>
      <c r="Y516">
        <v>1.6079212810000001</v>
      </c>
      <c r="Z516" t="s">
        <v>784</v>
      </c>
      <c r="AA516" t="s">
        <v>631</v>
      </c>
      <c r="AB516">
        <v>3</v>
      </c>
      <c r="AC516">
        <v>123.80200000000001</v>
      </c>
      <c r="AD516">
        <v>53.122</v>
      </c>
      <c r="AF516" t="s">
        <v>521</v>
      </c>
      <c r="AG516" s="30">
        <v>3.8497531397496316</v>
      </c>
      <c r="AH516" s="30">
        <v>0.51600000000000001</v>
      </c>
      <c r="AI516" s="30">
        <v>1.9864726201108101</v>
      </c>
      <c r="AJ516">
        <v>1.8632805196388216</v>
      </c>
      <c r="AK516">
        <v>0.51600000000000001</v>
      </c>
      <c r="AL516">
        <v>1.9864726201108101</v>
      </c>
      <c r="AM516">
        <v>1.8632805196388216</v>
      </c>
      <c r="AN516">
        <v>2.2319917079896743</v>
      </c>
      <c r="AO516">
        <v>2.0935736175717099</v>
      </c>
      <c r="AP516">
        <v>3.5888669662921353E-3</v>
      </c>
      <c r="AQ516">
        <v>3.3663015730337081E-3</v>
      </c>
      <c r="AR516">
        <v>0.13341858489683281</v>
      </c>
    </row>
    <row r="517" spans="1:44" customFormat="1" hidden="1" x14ac:dyDescent="0.5">
      <c r="A517">
        <v>516</v>
      </c>
      <c r="B517">
        <v>34</v>
      </c>
      <c r="C517" s="226" t="s">
        <v>9</v>
      </c>
      <c r="D517" s="227">
        <v>25.413919</v>
      </c>
      <c r="E517" s="228">
        <v>50.758625000000002</v>
      </c>
      <c r="F517">
        <v>0</v>
      </c>
      <c r="G517">
        <f>F517*1609.344</f>
        <v>0</v>
      </c>
      <c r="H517" t="s">
        <v>10</v>
      </c>
      <c r="I517">
        <v>0</v>
      </c>
      <c r="J517">
        <v>256.61283599358899</v>
      </c>
      <c r="K517" s="26">
        <v>2015</v>
      </c>
      <c r="L517" t="s">
        <v>11</v>
      </c>
      <c r="M517" s="30"/>
      <c r="N517">
        <v>1</v>
      </c>
      <c r="P517" t="s">
        <v>26</v>
      </c>
      <c r="Q517">
        <v>89</v>
      </c>
      <c r="R517" t="s">
        <v>13</v>
      </c>
      <c r="S517" t="s">
        <v>14</v>
      </c>
      <c r="T517" t="s">
        <v>14</v>
      </c>
      <c r="U517" s="25">
        <v>0</v>
      </c>
      <c r="V517" s="25">
        <v>2</v>
      </c>
      <c r="W517" s="25">
        <v>1</v>
      </c>
      <c r="X517" s="25">
        <v>2</v>
      </c>
      <c r="Y517">
        <v>0.98486695300000004</v>
      </c>
      <c r="Z517" t="s">
        <v>784</v>
      </c>
      <c r="AA517" t="s">
        <v>631</v>
      </c>
      <c r="AB517">
        <v>3</v>
      </c>
      <c r="AC517">
        <v>84.045000000000002</v>
      </c>
      <c r="AD517">
        <v>0</v>
      </c>
      <c r="AF517" t="s">
        <v>521</v>
      </c>
      <c r="AG517" s="30">
        <v>4.266819987410015</v>
      </c>
      <c r="AH517" s="30">
        <v>0.61899999999999999</v>
      </c>
      <c r="AI517" s="30">
        <v>2.6411615722067991</v>
      </c>
      <c r="AJ517">
        <v>1.6256584152032159</v>
      </c>
      <c r="AK517">
        <v>0.61899999999999999</v>
      </c>
      <c r="AL517">
        <v>2.6411615722067991</v>
      </c>
      <c r="AM517">
        <v>1.6256584152032159</v>
      </c>
      <c r="AN517">
        <v>2.9675972721424708</v>
      </c>
      <c r="AO517">
        <v>1.8265824889923774</v>
      </c>
      <c r="AP517">
        <v>2.9226884831460671E-3</v>
      </c>
      <c r="AQ517">
        <v>1.7989407303370787E-3</v>
      </c>
      <c r="AR517">
        <v>0.13341858489683281</v>
      </c>
    </row>
    <row r="518" spans="1:44" customFormat="1" hidden="1" x14ac:dyDescent="0.5">
      <c r="A518">
        <v>517</v>
      </c>
      <c r="B518">
        <v>34</v>
      </c>
      <c r="C518" s="226" t="s">
        <v>9</v>
      </c>
      <c r="D518" s="227">
        <v>25.735236</v>
      </c>
      <c r="E518" s="228">
        <v>51.54936</v>
      </c>
      <c r="F518">
        <v>0</v>
      </c>
      <c r="G518">
        <f>F518*1609.344</f>
        <v>0</v>
      </c>
      <c r="H518" t="s">
        <v>10</v>
      </c>
      <c r="I518">
        <v>0</v>
      </c>
      <c r="J518">
        <v>354.73461357265398</v>
      </c>
      <c r="K518" s="26">
        <v>2015</v>
      </c>
      <c r="L518" t="s">
        <v>11</v>
      </c>
      <c r="M518" s="30"/>
      <c r="N518">
        <v>1</v>
      </c>
      <c r="P518" t="s">
        <v>26</v>
      </c>
      <c r="Q518">
        <v>89</v>
      </c>
      <c r="R518" t="s">
        <v>13</v>
      </c>
      <c r="S518" t="s">
        <v>14</v>
      </c>
      <c r="T518" t="s">
        <v>14</v>
      </c>
      <c r="U518" s="25">
        <v>0</v>
      </c>
      <c r="V518" s="25">
        <v>2</v>
      </c>
      <c r="W518" s="25">
        <v>1</v>
      </c>
      <c r="X518" s="25">
        <v>2</v>
      </c>
      <c r="Y518">
        <v>0.862723727</v>
      </c>
      <c r="Z518" t="s">
        <v>784</v>
      </c>
      <c r="AA518" t="s">
        <v>631</v>
      </c>
      <c r="AB518">
        <v>3</v>
      </c>
      <c r="AC518">
        <v>75.635000000000005</v>
      </c>
      <c r="AD518">
        <v>4.726</v>
      </c>
      <c r="AF518" t="s">
        <v>521</v>
      </c>
      <c r="AG518" s="30">
        <v>4.3835006290490028</v>
      </c>
      <c r="AH518" s="30">
        <v>0.26300000000000001</v>
      </c>
      <c r="AI518" s="30">
        <v>1.1528606654398879</v>
      </c>
      <c r="AJ518">
        <v>3.2306399636091152</v>
      </c>
      <c r="AK518">
        <v>0.26300000000000001</v>
      </c>
      <c r="AL518">
        <v>1.1528606654398879</v>
      </c>
      <c r="AM518">
        <v>3.2306399636091152</v>
      </c>
      <c r="AN518">
        <v>1.2953490622920087</v>
      </c>
      <c r="AO518">
        <v>3.6299325433810288</v>
      </c>
      <c r="AP518">
        <v>1.117528370786517E-3</v>
      </c>
      <c r="AQ518">
        <v>3.1316289325842702E-3</v>
      </c>
      <c r="AR518">
        <v>0.13341858489683281</v>
      </c>
    </row>
    <row r="519" spans="1:44" customFormat="1" hidden="1" x14ac:dyDescent="0.5">
      <c r="A519">
        <v>518</v>
      </c>
      <c r="B519">
        <v>34</v>
      </c>
      <c r="C519" s="226" t="s">
        <v>9</v>
      </c>
      <c r="D519" s="227">
        <v>25.921430000000001</v>
      </c>
      <c r="E519" s="228">
        <v>51.564701999999997</v>
      </c>
      <c r="F519">
        <v>0</v>
      </c>
      <c r="G519">
        <f>F519*1609.344</f>
        <v>0</v>
      </c>
      <c r="H519" t="s">
        <v>10</v>
      </c>
      <c r="I519">
        <v>0</v>
      </c>
      <c r="J519">
        <v>483.11329474435502</v>
      </c>
      <c r="K519" s="26">
        <v>2015</v>
      </c>
      <c r="L519" t="s">
        <v>11</v>
      </c>
      <c r="M519" s="30"/>
      <c r="N519">
        <v>1</v>
      </c>
      <c r="P519" t="s">
        <v>26</v>
      </c>
      <c r="Q519">
        <v>89</v>
      </c>
      <c r="R519" t="s">
        <v>13</v>
      </c>
      <c r="S519" t="s">
        <v>14</v>
      </c>
      <c r="T519" t="s">
        <v>14</v>
      </c>
      <c r="U519" s="25">
        <v>0</v>
      </c>
      <c r="V519" s="25">
        <v>2</v>
      </c>
      <c r="W519" s="25">
        <v>1</v>
      </c>
      <c r="X519" s="25">
        <v>2</v>
      </c>
      <c r="Y519">
        <v>0.862723727</v>
      </c>
      <c r="Z519" t="s">
        <v>784</v>
      </c>
      <c r="AA519" t="s">
        <v>631</v>
      </c>
      <c r="AB519">
        <v>3</v>
      </c>
      <c r="AC519">
        <v>83.855000000000004</v>
      </c>
      <c r="AD519">
        <v>14.068</v>
      </c>
      <c r="AF519" t="s">
        <v>521</v>
      </c>
      <c r="AG519" s="30">
        <v>4.8598987935334721</v>
      </c>
      <c r="AH519" s="30">
        <v>0.47599999999999998</v>
      </c>
      <c r="AI519" s="30">
        <v>2.3133118257219327</v>
      </c>
      <c r="AJ519">
        <v>2.5465869678115394</v>
      </c>
      <c r="AK519">
        <v>0.47599999999999998</v>
      </c>
      <c r="AL519">
        <v>2.3133118257219327</v>
      </c>
      <c r="AM519">
        <v>2.5465869678115394</v>
      </c>
      <c r="AN519">
        <v>2.5992267704740817</v>
      </c>
      <c r="AO519">
        <v>2.8613336716983588</v>
      </c>
      <c r="AP519">
        <v>2.2424146067415735E-3</v>
      </c>
      <c r="AQ519">
        <v>2.4685404494382028E-3</v>
      </c>
      <c r="AR519">
        <v>0.13341858489683281</v>
      </c>
    </row>
    <row r="520" spans="1:44" customFormat="1" hidden="1" x14ac:dyDescent="0.5">
      <c r="A520">
        <v>519</v>
      </c>
      <c r="B520">
        <v>34</v>
      </c>
      <c r="C520" s="226" t="s">
        <v>9</v>
      </c>
      <c r="D520" s="227">
        <v>26.150130999999998</v>
      </c>
      <c r="E520" s="228">
        <v>51.206733999999997</v>
      </c>
      <c r="F520">
        <v>0</v>
      </c>
      <c r="G520">
        <f>F520*1609.344</f>
        <v>0</v>
      </c>
      <c r="H520" t="s">
        <v>10</v>
      </c>
      <c r="I520">
        <v>0</v>
      </c>
      <c r="J520">
        <v>673.94477012038999</v>
      </c>
      <c r="K520" s="26">
        <v>2015</v>
      </c>
      <c r="L520" t="s">
        <v>11</v>
      </c>
      <c r="M520" s="30"/>
      <c r="N520">
        <v>1</v>
      </c>
      <c r="P520" t="s">
        <v>26</v>
      </c>
      <c r="Q520">
        <v>89</v>
      </c>
      <c r="R520" t="s">
        <v>13</v>
      </c>
      <c r="S520" t="s">
        <v>14</v>
      </c>
      <c r="T520" t="s">
        <v>14</v>
      </c>
      <c r="U520" s="25">
        <v>0</v>
      </c>
      <c r="V520" s="25">
        <v>2</v>
      </c>
      <c r="W520" s="25">
        <v>1</v>
      </c>
      <c r="X520" s="25">
        <v>2</v>
      </c>
      <c r="Y520">
        <v>0.92302978700000005</v>
      </c>
      <c r="Z520" t="s">
        <v>784</v>
      </c>
      <c r="AA520" t="s">
        <v>631</v>
      </c>
      <c r="AB520">
        <v>3</v>
      </c>
      <c r="AC520">
        <v>104.849</v>
      </c>
      <c r="AD520">
        <v>56.860999999999997</v>
      </c>
      <c r="AF520" t="s">
        <v>521</v>
      </c>
      <c r="AG520" s="30">
        <v>5.6796108574554589</v>
      </c>
      <c r="AH520" s="30">
        <v>0.5</v>
      </c>
      <c r="AI520" s="30">
        <v>2.8398054287277295</v>
      </c>
      <c r="AJ520">
        <v>2.8398054287277295</v>
      </c>
      <c r="AK520">
        <v>0.5</v>
      </c>
      <c r="AL520">
        <v>2.8398054287277295</v>
      </c>
      <c r="AM520">
        <v>2.8398054287277295</v>
      </c>
      <c r="AN520">
        <v>3.1907926165480105</v>
      </c>
      <c r="AO520">
        <v>3.1907926165480105</v>
      </c>
      <c r="AP520">
        <v>2.9451966292134832E-3</v>
      </c>
      <c r="AQ520">
        <v>2.9451966292134832E-3</v>
      </c>
      <c r="AR520">
        <v>0.13341858489683281</v>
      </c>
    </row>
    <row r="521" spans="1:44" hidden="1" x14ac:dyDescent="0.5">
      <c r="A521" s="31">
        <v>520</v>
      </c>
      <c r="B521" s="31">
        <v>35</v>
      </c>
      <c r="C521" s="225" t="s">
        <v>9</v>
      </c>
      <c r="D521" s="39">
        <v>32.11</v>
      </c>
      <c r="E521" s="40">
        <v>34.86</v>
      </c>
      <c r="F521">
        <v>0</v>
      </c>
      <c r="G521">
        <f>F521*1609.344</f>
        <v>0</v>
      </c>
      <c r="H521" s="32" t="s">
        <v>10</v>
      </c>
      <c r="I521">
        <v>0</v>
      </c>
      <c r="J521">
        <v>735.40948308210295</v>
      </c>
      <c r="K521" s="26">
        <v>2015</v>
      </c>
      <c r="L521" t="s">
        <v>11</v>
      </c>
      <c r="M521" s="32">
        <v>300</v>
      </c>
      <c r="N521">
        <v>36.542166029999997</v>
      </c>
      <c r="O521">
        <v>5</v>
      </c>
      <c r="P521" t="s">
        <v>12</v>
      </c>
      <c r="Q521">
        <v>83</v>
      </c>
      <c r="R521" t="s">
        <v>13</v>
      </c>
      <c r="S521" t="s">
        <v>14</v>
      </c>
      <c r="T521" t="s">
        <v>14</v>
      </c>
      <c r="U521" s="34">
        <v>0</v>
      </c>
      <c r="V521" s="34">
        <v>5</v>
      </c>
      <c r="W521" s="25">
        <v>2.5</v>
      </c>
      <c r="X521" s="25">
        <v>5</v>
      </c>
      <c r="Y521">
        <v>2.3586866369999999</v>
      </c>
      <c r="Z521" t="s">
        <v>1103</v>
      </c>
      <c r="AA521" t="s">
        <v>622</v>
      </c>
      <c r="AB521">
        <v>5</v>
      </c>
      <c r="AC521">
        <v>168</v>
      </c>
      <c r="AD521">
        <v>16</v>
      </c>
      <c r="AE521" t="s">
        <v>525</v>
      </c>
      <c r="AF521" t="s">
        <v>532</v>
      </c>
      <c r="AG521" s="32">
        <v>168</v>
      </c>
      <c r="AH521" s="32" t="s">
        <v>1541</v>
      </c>
      <c r="AI521" s="32" t="s">
        <v>1542</v>
      </c>
      <c r="AJ521" s="31" t="s">
        <v>2925</v>
      </c>
      <c r="AK521" s="31">
        <v>0.98699999999999999</v>
      </c>
      <c r="AL521" s="31">
        <v>165.816</v>
      </c>
      <c r="AM521" s="31">
        <v>2.1839999999999975</v>
      </c>
      <c r="AN521" s="31">
        <v>7300.3322920849141</v>
      </c>
      <c r="AO521" s="31">
        <v>96.154326035566157</v>
      </c>
      <c r="AP521" s="31">
        <v>17.219196223000267</v>
      </c>
      <c r="AQ521" s="31">
        <v>0.22679792390983108</v>
      </c>
      <c r="AR521" s="31">
        <v>0.13341858489683281</v>
      </c>
    </row>
    <row r="522" spans="1:44" hidden="1" x14ac:dyDescent="0.5">
      <c r="A522" s="31">
        <v>450</v>
      </c>
      <c r="B522" s="31">
        <v>31</v>
      </c>
      <c r="C522" s="225" t="s">
        <v>32</v>
      </c>
      <c r="D522" s="35">
        <v>18.033999999999999</v>
      </c>
      <c r="E522" s="33">
        <v>-63.02</v>
      </c>
      <c r="F522">
        <v>0</v>
      </c>
      <c r="G522">
        <f>F522*1609.344</f>
        <v>0</v>
      </c>
      <c r="H522" s="32" t="s">
        <v>10</v>
      </c>
      <c r="I522">
        <v>0</v>
      </c>
      <c r="J522">
        <v>342.89772765178702</v>
      </c>
      <c r="K522" s="26">
        <v>2016</v>
      </c>
      <c r="L522" t="s">
        <v>11</v>
      </c>
      <c r="M522" s="32">
        <v>300</v>
      </c>
      <c r="N522">
        <v>36.542166029999997</v>
      </c>
      <c r="O522">
        <v>5</v>
      </c>
      <c r="P522" t="s">
        <v>12</v>
      </c>
      <c r="Q522">
        <v>83</v>
      </c>
      <c r="R522" t="s">
        <v>13</v>
      </c>
      <c r="S522" t="s">
        <v>16</v>
      </c>
      <c r="T522" t="s">
        <v>14</v>
      </c>
      <c r="U522" s="34">
        <v>0</v>
      </c>
      <c r="V522" s="34">
        <v>5</v>
      </c>
      <c r="W522" s="25">
        <v>2.5</v>
      </c>
      <c r="X522" s="25">
        <v>5</v>
      </c>
      <c r="Y522">
        <v>1.1947183480000001</v>
      </c>
      <c r="Z522" t="s">
        <v>1112</v>
      </c>
      <c r="AA522" t="s">
        <v>622</v>
      </c>
      <c r="AB522">
        <v>5</v>
      </c>
      <c r="AC522">
        <v>316</v>
      </c>
      <c r="AD522">
        <v>46</v>
      </c>
      <c r="AE522" t="s">
        <v>525</v>
      </c>
      <c r="AF522" t="s">
        <v>532</v>
      </c>
      <c r="AG522" s="32">
        <v>316</v>
      </c>
      <c r="AH522" s="32" t="s">
        <v>1447</v>
      </c>
      <c r="AI522" s="32" t="s">
        <v>1456</v>
      </c>
      <c r="AJ522" s="31" t="s">
        <v>2880</v>
      </c>
      <c r="AK522" s="31">
        <v>0.97</v>
      </c>
      <c r="AL522" s="31">
        <v>306.52</v>
      </c>
      <c r="AM522" s="31">
        <v>9.4800000000000182</v>
      </c>
      <c r="AN522" s="31">
        <v>13495.065941585059</v>
      </c>
      <c r="AO522" s="31">
        <v>417.37317345108505</v>
      </c>
      <c r="AP522" s="31">
        <v>16.122802887881569</v>
      </c>
      <c r="AQ522" s="31">
        <v>0.49864338828499782</v>
      </c>
      <c r="AR522" s="31">
        <v>0.13341858489683281</v>
      </c>
    </row>
    <row r="523" spans="1:44" hidden="1" x14ac:dyDescent="0.5">
      <c r="A523" s="31">
        <v>451</v>
      </c>
      <c r="B523" s="31">
        <v>31</v>
      </c>
      <c r="C523" s="225" t="s">
        <v>32</v>
      </c>
      <c r="D523" s="35">
        <v>18.04</v>
      </c>
      <c r="E523" s="33">
        <v>-63.12</v>
      </c>
      <c r="F523">
        <v>0</v>
      </c>
      <c r="G523">
        <f>F523*1609.344</f>
        <v>0</v>
      </c>
      <c r="H523" s="32" t="s">
        <v>10</v>
      </c>
      <c r="I523">
        <v>0</v>
      </c>
      <c r="J523">
        <v>358.920085028919</v>
      </c>
      <c r="K523" s="26">
        <v>2016</v>
      </c>
      <c r="L523" t="s">
        <v>11</v>
      </c>
      <c r="M523" s="32">
        <v>300</v>
      </c>
      <c r="N523">
        <v>36.542166029999997</v>
      </c>
      <c r="O523">
        <v>5</v>
      </c>
      <c r="P523" t="s">
        <v>12</v>
      </c>
      <c r="Q523">
        <v>83</v>
      </c>
      <c r="R523" t="s">
        <v>13</v>
      </c>
      <c r="S523" t="s">
        <v>16</v>
      </c>
      <c r="T523" t="s">
        <v>14</v>
      </c>
      <c r="U523" s="34">
        <v>0</v>
      </c>
      <c r="V523" s="34">
        <v>5</v>
      </c>
      <c r="W523" s="25">
        <v>2.5</v>
      </c>
      <c r="X523" s="25">
        <v>5</v>
      </c>
      <c r="Y523">
        <v>1.1947183480000001</v>
      </c>
      <c r="Z523" t="s">
        <v>1112</v>
      </c>
      <c r="AA523" t="s">
        <v>622</v>
      </c>
      <c r="AB523">
        <v>5</v>
      </c>
      <c r="AC523">
        <v>304</v>
      </c>
      <c r="AD523">
        <v>39</v>
      </c>
      <c r="AE523" t="s">
        <v>525</v>
      </c>
      <c r="AF523" t="s">
        <v>532</v>
      </c>
      <c r="AG523" s="32">
        <v>304</v>
      </c>
      <c r="AH523" s="32" t="s">
        <v>1447</v>
      </c>
      <c r="AI523" s="32" t="s">
        <v>1457</v>
      </c>
      <c r="AJ523" s="31" t="s">
        <v>2881</v>
      </c>
      <c r="AK523" s="31">
        <v>0.97</v>
      </c>
      <c r="AL523" s="31">
        <v>294.88</v>
      </c>
      <c r="AM523" s="31">
        <v>9.1200000000000045</v>
      </c>
      <c r="AN523" s="31">
        <v>12982.595083043852</v>
      </c>
      <c r="AO523" s="31">
        <v>401.52355926939771</v>
      </c>
      <c r="AP523" s="31">
        <v>15.510544550367076</v>
      </c>
      <c r="AQ523" s="31">
        <v>0.47970756341341497</v>
      </c>
      <c r="AR523" s="31">
        <v>0.13341858489683281</v>
      </c>
    </row>
    <row r="524" spans="1:44" hidden="1" x14ac:dyDescent="0.5">
      <c r="A524" s="31">
        <v>452</v>
      </c>
      <c r="B524" s="31">
        <v>31</v>
      </c>
      <c r="C524" s="225" t="s">
        <v>32</v>
      </c>
      <c r="D524" s="35">
        <v>18.05</v>
      </c>
      <c r="E524" s="33">
        <v>-63.13</v>
      </c>
      <c r="F524">
        <v>0</v>
      </c>
      <c r="G524">
        <f>F524*1609.344</f>
        <v>0</v>
      </c>
      <c r="H524" s="32" t="s">
        <v>10</v>
      </c>
      <c r="I524">
        <v>0</v>
      </c>
      <c r="J524">
        <v>361.609533117723</v>
      </c>
      <c r="K524" s="26">
        <v>2016</v>
      </c>
      <c r="L524" t="s">
        <v>11</v>
      </c>
      <c r="M524" s="32">
        <v>300</v>
      </c>
      <c r="N524">
        <v>36.542166029999997</v>
      </c>
      <c r="O524">
        <v>5</v>
      </c>
      <c r="P524" t="s">
        <v>12</v>
      </c>
      <c r="Q524">
        <v>83</v>
      </c>
      <c r="R524" t="s">
        <v>13</v>
      </c>
      <c r="S524" t="s">
        <v>16</v>
      </c>
      <c r="T524" t="s">
        <v>14</v>
      </c>
      <c r="U524" s="34">
        <v>0</v>
      </c>
      <c r="V524" s="34">
        <v>5</v>
      </c>
      <c r="W524" s="25">
        <v>2.5</v>
      </c>
      <c r="X524" s="25">
        <v>5</v>
      </c>
      <c r="Y524">
        <v>1.1947183480000001</v>
      </c>
      <c r="Z524" t="s">
        <v>1112</v>
      </c>
      <c r="AA524" t="s">
        <v>622</v>
      </c>
      <c r="AB524">
        <v>5</v>
      </c>
      <c r="AC524">
        <v>232</v>
      </c>
      <c r="AD524">
        <v>71</v>
      </c>
      <c r="AE524" t="s">
        <v>525</v>
      </c>
      <c r="AF524" t="s">
        <v>532</v>
      </c>
      <c r="AG524" s="32">
        <v>232</v>
      </c>
      <c r="AH524" s="32" t="s">
        <v>1447</v>
      </c>
      <c r="AI524" s="32" t="s">
        <v>1454</v>
      </c>
      <c r="AJ524" s="31" t="s">
        <v>2878</v>
      </c>
      <c r="AK524" s="31">
        <v>0.97</v>
      </c>
      <c r="AL524" s="31">
        <v>225.04</v>
      </c>
      <c r="AM524" s="31">
        <v>6.960000000000008</v>
      </c>
      <c r="AN524" s="31">
        <v>9907.7699317966271</v>
      </c>
      <c r="AO524" s="31">
        <v>306.42587417927746</v>
      </c>
      <c r="AP524" s="31">
        <v>11.83699452528014</v>
      </c>
      <c r="AQ524" s="31">
        <v>0.36609261418392225</v>
      </c>
      <c r="AR524" s="31">
        <v>0.13341858489683281</v>
      </c>
    </row>
    <row r="525" spans="1:44" hidden="1" x14ac:dyDescent="0.5">
      <c r="A525" s="31">
        <v>453</v>
      </c>
      <c r="B525" s="31">
        <v>31</v>
      </c>
      <c r="C525" s="225" t="s">
        <v>32</v>
      </c>
      <c r="D525" s="35">
        <v>18.068999999999999</v>
      </c>
      <c r="E525" s="33">
        <v>-63.12</v>
      </c>
      <c r="F525">
        <v>0</v>
      </c>
      <c r="G525">
        <f>F525*1609.344</f>
        <v>0</v>
      </c>
      <c r="H525" s="32" t="s">
        <v>10</v>
      </c>
      <c r="I525">
        <v>0</v>
      </c>
      <c r="J525">
        <v>361.609533117723</v>
      </c>
      <c r="K525" s="26">
        <v>2016</v>
      </c>
      <c r="L525" t="s">
        <v>11</v>
      </c>
      <c r="M525" s="32">
        <v>300</v>
      </c>
      <c r="N525">
        <v>36.542166029999997</v>
      </c>
      <c r="O525">
        <v>5</v>
      </c>
      <c r="P525" t="s">
        <v>12</v>
      </c>
      <c r="Q525">
        <v>83</v>
      </c>
      <c r="R525" t="s">
        <v>13</v>
      </c>
      <c r="S525" t="s">
        <v>16</v>
      </c>
      <c r="T525" t="s">
        <v>14</v>
      </c>
      <c r="U525" s="34">
        <v>0</v>
      </c>
      <c r="V525" s="34">
        <v>5</v>
      </c>
      <c r="W525" s="25">
        <v>2.5</v>
      </c>
      <c r="X525" s="25">
        <v>5</v>
      </c>
      <c r="Y525">
        <v>1.1947183480000001</v>
      </c>
      <c r="Z525" t="s">
        <v>1112</v>
      </c>
      <c r="AA525" t="s">
        <v>622</v>
      </c>
      <c r="AB525">
        <v>5</v>
      </c>
      <c r="AC525">
        <v>68</v>
      </c>
      <c r="AD525">
        <v>19</v>
      </c>
      <c r="AE525" t="s">
        <v>525</v>
      </c>
      <c r="AF525" t="s">
        <v>532</v>
      </c>
      <c r="AG525" s="32">
        <v>68</v>
      </c>
      <c r="AH525" s="32" t="s">
        <v>1447</v>
      </c>
      <c r="AI525" s="32" t="s">
        <v>1458</v>
      </c>
      <c r="AJ525" s="31" t="s">
        <v>2882</v>
      </c>
      <c r="AK525" s="31">
        <v>0.97</v>
      </c>
      <c r="AL525" s="31">
        <v>65.959999999999994</v>
      </c>
      <c r="AM525" s="31">
        <v>2.0400000000000063</v>
      </c>
      <c r="AN525" s="31">
        <v>2904.0015317334937</v>
      </c>
      <c r="AO525" s="31">
        <v>89.814480362891828</v>
      </c>
      <c r="AP525" s="31">
        <v>3.4694639125821096</v>
      </c>
      <c r="AQ525" s="31">
        <v>0.10730300760563258</v>
      </c>
      <c r="AR525" s="31">
        <v>0.13341858489683281</v>
      </c>
    </row>
    <row r="526" spans="1:44" hidden="1" x14ac:dyDescent="0.5">
      <c r="A526" s="31">
        <v>454</v>
      </c>
      <c r="B526" s="31">
        <v>31</v>
      </c>
      <c r="C526" s="225" t="s">
        <v>32</v>
      </c>
      <c r="D526" s="35">
        <v>18.077999999999999</v>
      </c>
      <c r="E526" s="33">
        <v>-63.02</v>
      </c>
      <c r="F526">
        <v>0</v>
      </c>
      <c r="G526">
        <f>F526*1609.344</f>
        <v>0</v>
      </c>
      <c r="H526" s="32" t="s">
        <v>10</v>
      </c>
      <c r="I526">
        <v>0</v>
      </c>
      <c r="J526">
        <v>355.17204905397</v>
      </c>
      <c r="K526" s="26">
        <v>2016</v>
      </c>
      <c r="L526" t="s">
        <v>11</v>
      </c>
      <c r="M526" s="32">
        <v>300</v>
      </c>
      <c r="N526">
        <v>36.542166029999997</v>
      </c>
      <c r="O526">
        <v>5</v>
      </c>
      <c r="P526" t="s">
        <v>12</v>
      </c>
      <c r="Q526">
        <v>83</v>
      </c>
      <c r="R526" t="s">
        <v>13</v>
      </c>
      <c r="S526" t="s">
        <v>16</v>
      </c>
      <c r="T526" t="s">
        <v>14</v>
      </c>
      <c r="U526" s="34">
        <v>0</v>
      </c>
      <c r="V526" s="34">
        <v>5</v>
      </c>
      <c r="W526" s="25">
        <v>2.5</v>
      </c>
      <c r="X526" s="25">
        <v>5</v>
      </c>
      <c r="Y526">
        <v>1.1947183480000001</v>
      </c>
      <c r="Z526" t="s">
        <v>1112</v>
      </c>
      <c r="AA526" t="s">
        <v>622</v>
      </c>
      <c r="AB526">
        <v>5</v>
      </c>
      <c r="AC526">
        <v>124</v>
      </c>
      <c r="AD526">
        <v>20</v>
      </c>
      <c r="AE526" t="s">
        <v>525</v>
      </c>
      <c r="AF526" t="s">
        <v>532</v>
      </c>
      <c r="AG526" s="32">
        <v>124</v>
      </c>
      <c r="AH526" s="32" t="s">
        <v>1447</v>
      </c>
      <c r="AI526" s="32" t="s">
        <v>1449</v>
      </c>
      <c r="AJ526" s="31" t="s">
        <v>2873</v>
      </c>
      <c r="AK526" s="31">
        <v>0.97</v>
      </c>
      <c r="AL526" s="31">
        <v>120.28</v>
      </c>
      <c r="AM526" s="31">
        <v>3.7199999999999989</v>
      </c>
      <c r="AN526" s="31">
        <v>5295.5322049257829</v>
      </c>
      <c r="AO526" s="31">
        <v>163.77934654409631</v>
      </c>
      <c r="AP526" s="31">
        <v>6.3266694876497294</v>
      </c>
      <c r="AQ526" s="31">
        <v>0.19567019033968228</v>
      </c>
      <c r="AR526" s="31">
        <v>0.13341858489683281</v>
      </c>
    </row>
    <row r="527" spans="1:44" hidden="1" x14ac:dyDescent="0.5">
      <c r="A527" s="31">
        <v>455</v>
      </c>
      <c r="B527" s="31">
        <v>31</v>
      </c>
      <c r="C527" s="225" t="s">
        <v>32</v>
      </c>
      <c r="D527" s="35">
        <v>18.103000000000002</v>
      </c>
      <c r="E527" s="33">
        <v>-63.06</v>
      </c>
      <c r="F527">
        <v>0</v>
      </c>
      <c r="G527">
        <f>F527*1609.344</f>
        <v>0</v>
      </c>
      <c r="H527" s="32" t="s">
        <v>10</v>
      </c>
      <c r="I527">
        <v>0</v>
      </c>
      <c r="J527">
        <v>361.609533117723</v>
      </c>
      <c r="K527" s="26">
        <v>2016</v>
      </c>
      <c r="L527" t="s">
        <v>11</v>
      </c>
      <c r="M527" s="32">
        <v>300</v>
      </c>
      <c r="N527">
        <v>36.542166029999997</v>
      </c>
      <c r="O527">
        <v>5</v>
      </c>
      <c r="P527" t="s">
        <v>12</v>
      </c>
      <c r="Q527">
        <v>83</v>
      </c>
      <c r="R527" t="s">
        <v>13</v>
      </c>
      <c r="S527" t="s">
        <v>16</v>
      </c>
      <c r="T527" t="s">
        <v>14</v>
      </c>
      <c r="U527" s="34">
        <v>0</v>
      </c>
      <c r="V527" s="34">
        <v>5</v>
      </c>
      <c r="W527" s="25">
        <v>2.5</v>
      </c>
      <c r="X527" s="25">
        <v>5</v>
      </c>
      <c r="Y527">
        <v>1.1947183480000001</v>
      </c>
      <c r="Z527" t="s">
        <v>1112</v>
      </c>
      <c r="AA527" t="s">
        <v>622</v>
      </c>
      <c r="AB527">
        <v>5</v>
      </c>
      <c r="AC527">
        <v>208</v>
      </c>
      <c r="AD527">
        <v>32</v>
      </c>
      <c r="AE527" t="s">
        <v>525</v>
      </c>
      <c r="AF527" t="s">
        <v>532</v>
      </c>
      <c r="AG527" s="32">
        <v>208</v>
      </c>
      <c r="AH527" s="32" t="s">
        <v>1447</v>
      </c>
      <c r="AI527" s="32" t="s">
        <v>1450</v>
      </c>
      <c r="AJ527" s="31" t="s">
        <v>2874</v>
      </c>
      <c r="AK527" s="31">
        <v>0.97</v>
      </c>
      <c r="AL527" s="31">
        <v>201.76</v>
      </c>
      <c r="AM527" s="31">
        <v>6.2400000000000091</v>
      </c>
      <c r="AN527" s="31">
        <v>8882.8282147142163</v>
      </c>
      <c r="AO527" s="31">
        <v>274.72664581590396</v>
      </c>
      <c r="AP527" s="31">
        <v>10.612477850251159</v>
      </c>
      <c r="AQ527" s="31">
        <v>0.32822096444075788</v>
      </c>
      <c r="AR527" s="31">
        <v>0.13341858489683281</v>
      </c>
    </row>
    <row r="528" spans="1:44" hidden="1" x14ac:dyDescent="0.5">
      <c r="A528" s="31">
        <v>456</v>
      </c>
      <c r="B528" s="31">
        <v>31</v>
      </c>
      <c r="C528" s="225" t="s">
        <v>32</v>
      </c>
      <c r="D528" s="35">
        <v>18.103000000000002</v>
      </c>
      <c r="E528" s="33">
        <v>-63.06</v>
      </c>
      <c r="F528">
        <v>0</v>
      </c>
      <c r="G528">
        <f>F528*1609.344</f>
        <v>0</v>
      </c>
      <c r="H528" s="32" t="s">
        <v>10</v>
      </c>
      <c r="I528">
        <v>0</v>
      </c>
      <c r="J528">
        <v>361.609533117723</v>
      </c>
      <c r="K528" s="26">
        <v>2016</v>
      </c>
      <c r="L528" t="s">
        <v>11</v>
      </c>
      <c r="M528" s="32">
        <v>300</v>
      </c>
      <c r="N528">
        <v>36.542166029999997</v>
      </c>
      <c r="O528">
        <v>5</v>
      </c>
      <c r="P528" t="s">
        <v>12</v>
      </c>
      <c r="Q528">
        <v>83</v>
      </c>
      <c r="R528" t="s">
        <v>13</v>
      </c>
      <c r="S528" t="s">
        <v>16</v>
      </c>
      <c r="T528" t="s">
        <v>14</v>
      </c>
      <c r="U528" s="34">
        <v>0</v>
      </c>
      <c r="V528" s="34">
        <v>5</v>
      </c>
      <c r="W528" s="25">
        <v>2.5</v>
      </c>
      <c r="X528" s="25">
        <v>5</v>
      </c>
      <c r="Y528">
        <v>1.1947183480000001</v>
      </c>
      <c r="Z528" t="s">
        <v>1112</v>
      </c>
      <c r="AA528" t="s">
        <v>622</v>
      </c>
      <c r="AB528">
        <v>5</v>
      </c>
      <c r="AC528">
        <v>620</v>
      </c>
      <c r="AD528">
        <v>96</v>
      </c>
      <c r="AE528" t="s">
        <v>525</v>
      </c>
      <c r="AF528" t="s">
        <v>532</v>
      </c>
      <c r="AG528" s="32">
        <v>620</v>
      </c>
      <c r="AH528" s="32" t="s">
        <v>1447</v>
      </c>
      <c r="AI528" s="32" t="s">
        <v>1459</v>
      </c>
      <c r="AJ528" s="31" t="s">
        <v>2883</v>
      </c>
      <c r="AK528" s="31">
        <v>0.97</v>
      </c>
      <c r="AL528" s="31">
        <v>601.4</v>
      </c>
      <c r="AM528" s="31">
        <v>18.600000000000023</v>
      </c>
      <c r="AN528" s="31">
        <v>26477.661024628913</v>
      </c>
      <c r="AO528" s="31">
        <v>818.89673272048287</v>
      </c>
      <c r="AP528" s="31">
        <v>31.633347438248641</v>
      </c>
      <c r="AQ528" s="31">
        <v>0.97835095169841302</v>
      </c>
      <c r="AR528" s="31">
        <v>0.13341858489683281</v>
      </c>
    </row>
    <row r="529" spans="1:44" hidden="1" x14ac:dyDescent="0.5">
      <c r="A529" s="31">
        <v>457</v>
      </c>
      <c r="B529" s="31">
        <v>31</v>
      </c>
      <c r="C529" s="225" t="s">
        <v>32</v>
      </c>
      <c r="D529" s="35">
        <v>18.172000000000001</v>
      </c>
      <c r="E529" s="33">
        <v>-63.09</v>
      </c>
      <c r="F529">
        <v>0</v>
      </c>
      <c r="G529">
        <f>F529*1609.344</f>
        <v>0</v>
      </c>
      <c r="H529" s="32" t="s">
        <v>10</v>
      </c>
      <c r="I529">
        <v>0</v>
      </c>
      <c r="J529">
        <v>355.96596861014802</v>
      </c>
      <c r="K529" s="26">
        <v>2016</v>
      </c>
      <c r="L529" t="s">
        <v>11</v>
      </c>
      <c r="M529" s="32">
        <v>300</v>
      </c>
      <c r="N529">
        <v>36.542166029999997</v>
      </c>
      <c r="O529">
        <v>5</v>
      </c>
      <c r="P529" t="s">
        <v>12</v>
      </c>
      <c r="Q529">
        <v>83</v>
      </c>
      <c r="R529" t="s">
        <v>13</v>
      </c>
      <c r="S529" t="s">
        <v>16</v>
      </c>
      <c r="T529" t="s">
        <v>14</v>
      </c>
      <c r="U529" s="34">
        <v>0</v>
      </c>
      <c r="V529" s="34">
        <v>5</v>
      </c>
      <c r="W529" s="25">
        <v>2.5</v>
      </c>
      <c r="X529" s="25">
        <v>5</v>
      </c>
      <c r="Y529">
        <v>1.1947183480000001</v>
      </c>
      <c r="Z529" t="s">
        <v>1112</v>
      </c>
      <c r="AA529" t="s">
        <v>622</v>
      </c>
      <c r="AB529">
        <v>5</v>
      </c>
      <c r="AC529">
        <v>396</v>
      </c>
      <c r="AD529">
        <v>81</v>
      </c>
      <c r="AE529" t="s">
        <v>525</v>
      </c>
      <c r="AF529" t="s">
        <v>532</v>
      </c>
      <c r="AG529" s="32">
        <v>396</v>
      </c>
      <c r="AH529" s="32" t="s">
        <v>1447</v>
      </c>
      <c r="AI529" s="32" t="s">
        <v>1460</v>
      </c>
      <c r="AJ529" s="31" t="s">
        <v>2884</v>
      </c>
      <c r="AK529" s="31">
        <v>0.97</v>
      </c>
      <c r="AL529" s="31">
        <v>384.12</v>
      </c>
      <c r="AM529" s="31">
        <v>11.879999999999995</v>
      </c>
      <c r="AN529" s="31">
        <v>16911.538331859756</v>
      </c>
      <c r="AO529" s="31">
        <v>523.03726799566243</v>
      </c>
      <c r="AP529" s="31">
        <v>20.204525137978166</v>
      </c>
      <c r="AQ529" s="31">
        <v>0.62488222076221112</v>
      </c>
      <c r="AR529" s="31">
        <v>0.13341858489683281</v>
      </c>
    </row>
    <row r="530" spans="1:44" hidden="1" x14ac:dyDescent="0.5">
      <c r="A530" s="31">
        <v>458</v>
      </c>
      <c r="B530" s="31">
        <v>31</v>
      </c>
      <c r="C530" s="225" t="s">
        <v>32</v>
      </c>
      <c r="D530" s="35">
        <v>18.173999999999999</v>
      </c>
      <c r="E530" s="33">
        <v>-63.15</v>
      </c>
      <c r="F530">
        <v>0</v>
      </c>
      <c r="G530">
        <f>F530*1609.344</f>
        <v>0</v>
      </c>
      <c r="H530" s="32" t="s">
        <v>10</v>
      </c>
      <c r="I530">
        <v>0</v>
      </c>
      <c r="J530">
        <v>354.379839551202</v>
      </c>
      <c r="K530" s="26">
        <v>2016</v>
      </c>
      <c r="L530" t="s">
        <v>11</v>
      </c>
      <c r="M530" s="32">
        <v>300</v>
      </c>
      <c r="N530">
        <v>36.542166029999997</v>
      </c>
      <c r="O530">
        <v>5</v>
      </c>
      <c r="P530" t="s">
        <v>12</v>
      </c>
      <c r="Q530">
        <v>83</v>
      </c>
      <c r="R530" t="s">
        <v>13</v>
      </c>
      <c r="S530" t="s">
        <v>14</v>
      </c>
      <c r="T530" t="s">
        <v>14</v>
      </c>
      <c r="U530" s="34">
        <v>0</v>
      </c>
      <c r="V530" s="34">
        <v>5</v>
      </c>
      <c r="W530" s="25">
        <v>2.5</v>
      </c>
      <c r="X530" s="25">
        <v>5</v>
      </c>
      <c r="Y530">
        <v>1.1947183480000001</v>
      </c>
      <c r="Z530" t="s">
        <v>1112</v>
      </c>
      <c r="AA530" t="s">
        <v>622</v>
      </c>
      <c r="AB530">
        <v>5</v>
      </c>
      <c r="AC530">
        <v>324</v>
      </c>
      <c r="AD530">
        <v>35</v>
      </c>
      <c r="AE530" t="s">
        <v>525</v>
      </c>
      <c r="AF530" t="s">
        <v>532</v>
      </c>
      <c r="AG530" s="32">
        <v>324</v>
      </c>
      <c r="AH530" s="32" t="s">
        <v>1447</v>
      </c>
      <c r="AI530" s="32" t="s">
        <v>1461</v>
      </c>
      <c r="AJ530" s="31" t="s">
        <v>2885</v>
      </c>
      <c r="AK530" s="31">
        <v>0.97</v>
      </c>
      <c r="AL530" s="31">
        <v>314.27999999999997</v>
      </c>
      <c r="AM530" s="31">
        <v>9.7200000000000273</v>
      </c>
      <c r="AN530" s="31">
        <v>13836.713180612529</v>
      </c>
      <c r="AO530" s="31">
        <v>427.93958290554332</v>
      </c>
      <c r="AP530" s="31">
        <v>16.530975112891227</v>
      </c>
      <c r="AQ530" s="31">
        <v>0.51126727153271978</v>
      </c>
      <c r="AR530" s="31">
        <v>0.13341858489683281</v>
      </c>
    </row>
    <row r="531" spans="1:44" hidden="1" x14ac:dyDescent="0.5">
      <c r="A531" s="31">
        <v>459</v>
      </c>
      <c r="B531" s="31">
        <v>31</v>
      </c>
      <c r="C531" s="225" t="s">
        <v>32</v>
      </c>
      <c r="D531" s="35">
        <v>18.196000000000002</v>
      </c>
      <c r="E531" s="33">
        <v>-63.05</v>
      </c>
      <c r="F531">
        <v>0</v>
      </c>
      <c r="G531">
        <f>F531*1609.344</f>
        <v>0</v>
      </c>
      <c r="H531" s="32" t="s">
        <v>10</v>
      </c>
      <c r="I531">
        <v>0</v>
      </c>
      <c r="J531">
        <v>355.80133268855798</v>
      </c>
      <c r="K531" s="26">
        <v>2016</v>
      </c>
      <c r="L531" t="s">
        <v>11</v>
      </c>
      <c r="M531" s="32">
        <v>300</v>
      </c>
      <c r="N531">
        <v>36.542166029999997</v>
      </c>
      <c r="O531">
        <v>5</v>
      </c>
      <c r="P531" t="s">
        <v>12</v>
      </c>
      <c r="Q531">
        <v>83</v>
      </c>
      <c r="R531" t="s">
        <v>13</v>
      </c>
      <c r="S531" t="s">
        <v>16</v>
      </c>
      <c r="T531" t="s">
        <v>14</v>
      </c>
      <c r="U531" s="34">
        <v>0</v>
      </c>
      <c r="V531" s="34">
        <v>5</v>
      </c>
      <c r="W531" s="25">
        <v>2.5</v>
      </c>
      <c r="X531" s="25">
        <v>5</v>
      </c>
      <c r="Y531">
        <v>1.1947183480000001</v>
      </c>
      <c r="Z531" t="s">
        <v>1112</v>
      </c>
      <c r="AA531" t="s">
        <v>622</v>
      </c>
      <c r="AB531">
        <v>5</v>
      </c>
      <c r="AC531">
        <v>360</v>
      </c>
      <c r="AD531">
        <v>110</v>
      </c>
      <c r="AE531" t="s">
        <v>525</v>
      </c>
      <c r="AF531" t="s">
        <v>532</v>
      </c>
      <c r="AG531" s="32">
        <v>360</v>
      </c>
      <c r="AH531" s="32" t="s">
        <v>1447</v>
      </c>
      <c r="AI531" s="32" t="s">
        <v>1462</v>
      </c>
      <c r="AJ531" s="31" t="s">
        <v>2886</v>
      </c>
      <c r="AK531" s="31">
        <v>0.97</v>
      </c>
      <c r="AL531" s="31">
        <v>349.2</v>
      </c>
      <c r="AM531" s="31">
        <v>10.800000000000011</v>
      </c>
      <c r="AN531" s="31">
        <v>15374.125756236142</v>
      </c>
      <c r="AO531" s="31">
        <v>475.4884254506029</v>
      </c>
      <c r="AP531" s="31">
        <v>18.367750125434696</v>
      </c>
      <c r="AQ531" s="31">
        <v>0.56807474614746545</v>
      </c>
      <c r="AR531" s="31">
        <v>0.13341858489683281</v>
      </c>
    </row>
    <row r="532" spans="1:44" hidden="1" x14ac:dyDescent="0.5">
      <c r="A532" s="31">
        <v>460</v>
      </c>
      <c r="B532" s="31">
        <v>31</v>
      </c>
      <c r="C532" s="225" t="s">
        <v>32</v>
      </c>
      <c r="D532" s="35">
        <v>18.22</v>
      </c>
      <c r="E532" s="33">
        <v>-63.07</v>
      </c>
      <c r="F532">
        <v>0</v>
      </c>
      <c r="G532">
        <f>F532*1609.344</f>
        <v>0</v>
      </c>
      <c r="H532" s="32" t="s">
        <v>10</v>
      </c>
      <c r="I532">
        <v>0</v>
      </c>
      <c r="J532">
        <v>354.16876978359102</v>
      </c>
      <c r="K532" s="26">
        <v>2016</v>
      </c>
      <c r="L532" t="s">
        <v>11</v>
      </c>
      <c r="M532" s="32">
        <v>300</v>
      </c>
      <c r="N532">
        <v>36.542166029999997</v>
      </c>
      <c r="O532">
        <v>5</v>
      </c>
      <c r="P532" t="s">
        <v>12</v>
      </c>
      <c r="Q532">
        <v>83</v>
      </c>
      <c r="R532" t="s">
        <v>13</v>
      </c>
      <c r="S532" t="s">
        <v>16</v>
      </c>
      <c r="T532" t="s">
        <v>14</v>
      </c>
      <c r="U532" s="34">
        <v>0</v>
      </c>
      <c r="V532" s="34">
        <v>5</v>
      </c>
      <c r="W532" s="25">
        <v>2.5</v>
      </c>
      <c r="X532" s="25">
        <v>5</v>
      </c>
      <c r="Y532">
        <v>1.1947183480000001</v>
      </c>
      <c r="Z532" t="s">
        <v>1112</v>
      </c>
      <c r="AA532" t="s">
        <v>622</v>
      </c>
      <c r="AB532">
        <v>5</v>
      </c>
      <c r="AC532">
        <v>300</v>
      </c>
      <c r="AD532">
        <v>28</v>
      </c>
      <c r="AE532" t="s">
        <v>525</v>
      </c>
      <c r="AF532" t="s">
        <v>532</v>
      </c>
      <c r="AG532" s="32">
        <v>300</v>
      </c>
      <c r="AH532" s="32" t="s">
        <v>1447</v>
      </c>
      <c r="AI532" s="32">
        <v>291</v>
      </c>
      <c r="AJ532" s="31">
        <v>9</v>
      </c>
      <c r="AK532" s="31">
        <v>0.97</v>
      </c>
      <c r="AL532" s="31">
        <v>291</v>
      </c>
      <c r="AM532" s="31">
        <v>9</v>
      </c>
      <c r="AN532" s="31">
        <v>12811.771463530122</v>
      </c>
      <c r="AO532" s="31">
        <v>396.24035454216863</v>
      </c>
      <c r="AP532" s="31">
        <v>15.306458437862251</v>
      </c>
      <c r="AQ532" s="31">
        <v>0.47339562178955402</v>
      </c>
      <c r="AR532" s="31">
        <v>0.13341858489683281</v>
      </c>
    </row>
    <row r="533" spans="1:44" hidden="1" x14ac:dyDescent="0.5">
      <c r="A533" s="31">
        <v>461</v>
      </c>
      <c r="B533" s="31">
        <v>31</v>
      </c>
      <c r="C533" s="225" t="s">
        <v>32</v>
      </c>
      <c r="D533" s="35">
        <v>18.251000000000001</v>
      </c>
      <c r="E533" s="33">
        <v>-62.98</v>
      </c>
      <c r="F533">
        <v>0</v>
      </c>
      <c r="G533">
        <f>F533*1609.344</f>
        <v>0</v>
      </c>
      <c r="H533" s="32" t="s">
        <v>10</v>
      </c>
      <c r="I533">
        <v>0</v>
      </c>
      <c r="J533">
        <v>355.26640928473302</v>
      </c>
      <c r="K533" s="26">
        <v>2016</v>
      </c>
      <c r="L533" t="s">
        <v>11</v>
      </c>
      <c r="M533" s="32">
        <v>300</v>
      </c>
      <c r="N533">
        <v>36.542166029999997</v>
      </c>
      <c r="O533">
        <v>5</v>
      </c>
      <c r="P533" t="s">
        <v>12</v>
      </c>
      <c r="Q533">
        <v>83</v>
      </c>
      <c r="R533" t="s">
        <v>13</v>
      </c>
      <c r="S533" t="s">
        <v>16</v>
      </c>
      <c r="T533" t="s">
        <v>14</v>
      </c>
      <c r="U533" s="34">
        <v>0</v>
      </c>
      <c r="V533" s="34">
        <v>5</v>
      </c>
      <c r="W533" s="25">
        <v>2.5</v>
      </c>
      <c r="X533" s="25">
        <v>5</v>
      </c>
      <c r="Y533">
        <v>1.1947183480000001</v>
      </c>
      <c r="Z533" t="s">
        <v>1112</v>
      </c>
      <c r="AA533" t="s">
        <v>622</v>
      </c>
      <c r="AB533">
        <v>5</v>
      </c>
      <c r="AC533">
        <v>180</v>
      </c>
      <c r="AD533">
        <v>52</v>
      </c>
      <c r="AE533" t="s">
        <v>525</v>
      </c>
      <c r="AF533" t="s">
        <v>532</v>
      </c>
      <c r="AG533" s="32">
        <v>180</v>
      </c>
      <c r="AH533" s="32" t="s">
        <v>1447</v>
      </c>
      <c r="AI533" s="32" t="s">
        <v>1463</v>
      </c>
      <c r="AJ533" s="31" t="s">
        <v>2887</v>
      </c>
      <c r="AK533" s="31">
        <v>0.97</v>
      </c>
      <c r="AL533" s="31">
        <v>174.6</v>
      </c>
      <c r="AM533" s="31">
        <v>5.4000000000000057</v>
      </c>
      <c r="AN533" s="31">
        <v>7687.0628781180712</v>
      </c>
      <c r="AO533" s="31">
        <v>237.74421272530145</v>
      </c>
      <c r="AP533" s="31">
        <v>9.1838750627173482</v>
      </c>
      <c r="AQ533" s="31">
        <v>0.28403737307373272</v>
      </c>
      <c r="AR533" s="31">
        <v>0.13341858489683281</v>
      </c>
    </row>
    <row r="534" spans="1:44" hidden="1" x14ac:dyDescent="0.5">
      <c r="A534" s="31">
        <v>462</v>
      </c>
      <c r="B534" s="31">
        <v>31</v>
      </c>
      <c r="C534" s="225" t="s">
        <v>32</v>
      </c>
      <c r="D534" s="35">
        <v>18.257000000000001</v>
      </c>
      <c r="E534" s="33">
        <v>-63.03</v>
      </c>
      <c r="F534">
        <v>0</v>
      </c>
      <c r="G534">
        <f>F534*1609.344</f>
        <v>0</v>
      </c>
      <c r="H534" s="32" t="s">
        <v>10</v>
      </c>
      <c r="I534">
        <v>0</v>
      </c>
      <c r="J534">
        <v>355.81749570130597</v>
      </c>
      <c r="K534" s="26">
        <v>2016</v>
      </c>
      <c r="L534" t="s">
        <v>11</v>
      </c>
      <c r="M534" s="32">
        <v>300</v>
      </c>
      <c r="N534">
        <v>36.542166029999997</v>
      </c>
      <c r="O534">
        <v>5</v>
      </c>
      <c r="P534" t="s">
        <v>12</v>
      </c>
      <c r="Q534">
        <v>83</v>
      </c>
      <c r="R534" t="s">
        <v>13</v>
      </c>
      <c r="S534" t="s">
        <v>16</v>
      </c>
      <c r="T534" t="s">
        <v>14</v>
      </c>
      <c r="U534" s="34">
        <v>0</v>
      </c>
      <c r="V534" s="34">
        <v>5</v>
      </c>
      <c r="W534" s="25">
        <v>2.5</v>
      </c>
      <c r="X534" s="25">
        <v>5</v>
      </c>
      <c r="Y534">
        <v>1.1947183480000001</v>
      </c>
      <c r="Z534" t="s">
        <v>1112</v>
      </c>
      <c r="AA534" t="s">
        <v>622</v>
      </c>
      <c r="AB534">
        <v>5</v>
      </c>
      <c r="AC534">
        <v>308</v>
      </c>
      <c r="AD534">
        <v>52</v>
      </c>
      <c r="AE534" t="s">
        <v>525</v>
      </c>
      <c r="AF534" t="s">
        <v>532</v>
      </c>
      <c r="AG534" s="32">
        <v>308</v>
      </c>
      <c r="AH534" s="32" t="s">
        <v>1447</v>
      </c>
      <c r="AI534" s="32" t="s">
        <v>1464</v>
      </c>
      <c r="AJ534" s="31" t="s">
        <v>2888</v>
      </c>
      <c r="AK534" s="31">
        <v>0.97</v>
      </c>
      <c r="AL534" s="31">
        <v>298.76</v>
      </c>
      <c r="AM534" s="31">
        <v>9.2400000000000091</v>
      </c>
      <c r="AN534" s="31">
        <v>13153.418702557588</v>
      </c>
      <c r="AO534" s="31">
        <v>406.80676399662684</v>
      </c>
      <c r="AP534" s="31">
        <v>15.714630662871908</v>
      </c>
      <c r="AQ534" s="31">
        <v>0.48601950503727592</v>
      </c>
      <c r="AR534" s="31">
        <v>0.13341858489683281</v>
      </c>
    </row>
    <row r="535" spans="1:44" hidden="1" x14ac:dyDescent="0.5">
      <c r="A535" s="31">
        <v>1248</v>
      </c>
      <c r="B535" s="31">
        <v>87</v>
      </c>
      <c r="C535" s="225" t="s">
        <v>20</v>
      </c>
      <c r="D535" s="46">
        <v>53.747669999999999</v>
      </c>
      <c r="E535" s="47">
        <v>6.9983300000000002</v>
      </c>
      <c r="F535">
        <v>3.98</v>
      </c>
      <c r="G535">
        <f>F535*1609.344</f>
        <v>6405.18912</v>
      </c>
      <c r="H535" s="32" t="s">
        <v>614</v>
      </c>
      <c r="I535">
        <v>9</v>
      </c>
      <c r="J535">
        <v>175.330020995799</v>
      </c>
      <c r="K535" s="26">
        <v>2014</v>
      </c>
      <c r="L535" t="s">
        <v>40</v>
      </c>
      <c r="M535" s="32">
        <v>11</v>
      </c>
      <c r="N535">
        <v>1.1060976250000001</v>
      </c>
      <c r="O535">
        <v>5</v>
      </c>
      <c r="P535" t="s">
        <v>23</v>
      </c>
      <c r="Q535">
        <v>95.5</v>
      </c>
      <c r="R535" t="s">
        <v>13</v>
      </c>
      <c r="S535" t="s">
        <v>14</v>
      </c>
      <c r="T535" t="s">
        <v>14</v>
      </c>
      <c r="U535" s="34">
        <v>0</v>
      </c>
      <c r="V535" s="34">
        <v>5</v>
      </c>
      <c r="W535" s="25">
        <v>2.5</v>
      </c>
      <c r="X535" s="25">
        <v>5</v>
      </c>
      <c r="Y535" s="244">
        <v>1.6048618480000001</v>
      </c>
      <c r="Z535" t="s">
        <v>1104</v>
      </c>
      <c r="AA535" t="s">
        <v>622</v>
      </c>
      <c r="AB535">
        <v>1</v>
      </c>
      <c r="AC535">
        <v>309.60000000000002</v>
      </c>
      <c r="AF535" t="s">
        <v>532</v>
      </c>
      <c r="AG535" s="32" t="s">
        <v>2385</v>
      </c>
      <c r="AH535" s="32" t="s">
        <v>671</v>
      </c>
      <c r="AI535" s="32" t="s">
        <v>1129</v>
      </c>
      <c r="AJ535" s="31" t="s">
        <v>1130</v>
      </c>
      <c r="AK535" s="31">
        <v>0.59524549999999998</v>
      </c>
      <c r="AL535" s="31">
        <v>184.28800680000001</v>
      </c>
      <c r="AM535" s="31">
        <v>125.31199320000002</v>
      </c>
      <c r="AN535" s="31">
        <v>213.44557763085223</v>
      </c>
      <c r="AO535" s="31">
        <v>145.13853200265569</v>
      </c>
      <c r="AP535" s="31">
        <v>0.34255066416407698</v>
      </c>
      <c r="AQ535" s="31">
        <v>0.23292729268578918</v>
      </c>
      <c r="AR535" s="31">
        <v>0.13222094293149678</v>
      </c>
    </row>
    <row r="536" spans="1:44" hidden="1" x14ac:dyDescent="0.5">
      <c r="A536" s="31">
        <v>647</v>
      </c>
      <c r="B536" s="31">
        <v>49</v>
      </c>
      <c r="C536" s="225" t="s">
        <v>20</v>
      </c>
      <c r="D536" s="35">
        <v>53.722332999999999</v>
      </c>
      <c r="E536" s="33">
        <v>7.2454830000000001</v>
      </c>
      <c r="F536">
        <v>0</v>
      </c>
      <c r="G536">
        <f>F536*1609.344</f>
        <v>0</v>
      </c>
      <c r="H536" s="32" t="s">
        <v>10</v>
      </c>
      <c r="I536">
        <v>0</v>
      </c>
      <c r="J536">
        <v>174.31153219824901</v>
      </c>
      <c r="K536" s="26">
        <v>2011</v>
      </c>
      <c r="L536" t="s">
        <v>11</v>
      </c>
      <c r="M536" s="32">
        <v>25</v>
      </c>
      <c r="N536">
        <v>2.6364560030000002</v>
      </c>
      <c r="O536">
        <v>1</v>
      </c>
      <c r="P536" t="s">
        <v>15</v>
      </c>
      <c r="Q536">
        <v>91</v>
      </c>
      <c r="R536" t="s">
        <v>13</v>
      </c>
      <c r="S536" t="s">
        <v>14</v>
      </c>
      <c r="T536" t="s">
        <v>14</v>
      </c>
      <c r="U536" s="34">
        <v>0</v>
      </c>
      <c r="V536" s="34">
        <v>3</v>
      </c>
      <c r="W536" s="25">
        <v>1.5</v>
      </c>
      <c r="X536" s="25">
        <v>3</v>
      </c>
      <c r="Y536" s="244">
        <v>1.6048618480000001</v>
      </c>
      <c r="Z536" t="s">
        <v>1104</v>
      </c>
      <c r="AA536" t="s">
        <v>622</v>
      </c>
      <c r="AB536">
        <v>12</v>
      </c>
      <c r="AC536">
        <v>1.252</v>
      </c>
      <c r="AD536">
        <v>0.33</v>
      </c>
      <c r="AE536" t="s">
        <v>525</v>
      </c>
      <c r="AF536" t="s">
        <v>532</v>
      </c>
      <c r="AG536" s="32" t="s">
        <v>1691</v>
      </c>
      <c r="AH536" s="32" t="s">
        <v>671</v>
      </c>
      <c r="AI536" s="32" t="s">
        <v>1129</v>
      </c>
      <c r="AJ536" s="31" t="s">
        <v>1130</v>
      </c>
      <c r="AK536" s="31">
        <v>0.59524549999999998</v>
      </c>
      <c r="AL536" s="31">
        <v>0.74524736599999997</v>
      </c>
      <c r="AM536" s="31">
        <v>0.50675263400000004</v>
      </c>
      <c r="AN536" s="31">
        <v>2.1591339470446571</v>
      </c>
      <c r="AO536" s="31">
        <v>1.4681659603795187</v>
      </c>
      <c r="AP536" s="31">
        <v>3.465111696333623E-3</v>
      </c>
      <c r="AQ536" s="31">
        <v>2.3562035363453694E-3</v>
      </c>
      <c r="AR536" s="31">
        <v>0.13341858489683281</v>
      </c>
    </row>
    <row r="537" spans="1:44" hidden="1" x14ac:dyDescent="0.5">
      <c r="A537" s="31">
        <v>646</v>
      </c>
      <c r="B537" s="31">
        <v>49</v>
      </c>
      <c r="C537" s="225" t="s">
        <v>20</v>
      </c>
      <c r="D537" s="35">
        <v>53.721983000000002</v>
      </c>
      <c r="E537" s="33">
        <v>7.2424999999999997</v>
      </c>
      <c r="F537">
        <v>0</v>
      </c>
      <c r="G537">
        <f>F537*1609.344</f>
        <v>0</v>
      </c>
      <c r="H537" s="32" t="s">
        <v>10</v>
      </c>
      <c r="I537">
        <v>0</v>
      </c>
      <c r="J537">
        <v>174.30085369643299</v>
      </c>
      <c r="K537" s="26">
        <v>2011</v>
      </c>
      <c r="L537" t="s">
        <v>11</v>
      </c>
      <c r="M537" s="32">
        <v>25</v>
      </c>
      <c r="N537">
        <v>2.6364560030000002</v>
      </c>
      <c r="O537">
        <v>1</v>
      </c>
      <c r="P537" t="s">
        <v>15</v>
      </c>
      <c r="Q537">
        <v>91</v>
      </c>
      <c r="R537" t="s">
        <v>13</v>
      </c>
      <c r="S537" t="s">
        <v>14</v>
      </c>
      <c r="T537" t="s">
        <v>14</v>
      </c>
      <c r="U537" s="34">
        <v>0</v>
      </c>
      <c r="V537" s="34">
        <v>3</v>
      </c>
      <c r="W537" s="25">
        <v>1.5</v>
      </c>
      <c r="X537" s="25">
        <v>3</v>
      </c>
      <c r="Y537" s="244">
        <v>1.6048618480000001</v>
      </c>
      <c r="Z537" t="s">
        <v>1104</v>
      </c>
      <c r="AA537" t="s">
        <v>622</v>
      </c>
      <c r="AB537">
        <v>12</v>
      </c>
      <c r="AC537">
        <v>1.663</v>
      </c>
      <c r="AD537">
        <v>0.42099999999999999</v>
      </c>
      <c r="AE537" t="s">
        <v>525</v>
      </c>
      <c r="AF537" t="s">
        <v>532</v>
      </c>
      <c r="AG537" s="32" t="s">
        <v>1690</v>
      </c>
      <c r="AH537" s="32" t="s">
        <v>671</v>
      </c>
      <c r="AI537" s="32" t="s">
        <v>1129</v>
      </c>
      <c r="AJ537" s="31" t="s">
        <v>1130</v>
      </c>
      <c r="AK537" s="31">
        <v>0.59524549999999998</v>
      </c>
      <c r="AL537" s="31">
        <v>0.98989326649999998</v>
      </c>
      <c r="AM537" s="31">
        <v>0.67310673350000005</v>
      </c>
      <c r="AN537" s="31">
        <v>2.8679231261463776</v>
      </c>
      <c r="AO537" s="31">
        <v>1.9501277892261502</v>
      </c>
      <c r="AP537" s="31">
        <v>4.6026204081492132E-3</v>
      </c>
      <c r="AQ537" s="31">
        <v>3.1296856876536342E-3</v>
      </c>
      <c r="AR537" s="31">
        <v>0.13341858489683281</v>
      </c>
    </row>
    <row r="538" spans="1:44" hidden="1" x14ac:dyDescent="0.5">
      <c r="A538" s="31">
        <v>1249</v>
      </c>
      <c r="B538" s="31">
        <v>87</v>
      </c>
      <c r="C538" s="225" t="s">
        <v>20</v>
      </c>
      <c r="D538" s="46">
        <v>53.711669999999998</v>
      </c>
      <c r="E538" s="47">
        <v>6.6443300000000001</v>
      </c>
      <c r="F538">
        <v>3.36</v>
      </c>
      <c r="G538">
        <f>F538*1609.344</f>
        <v>5407.3958400000001</v>
      </c>
      <c r="H538" s="32" t="s">
        <v>614</v>
      </c>
      <c r="I538">
        <v>13</v>
      </c>
      <c r="J538">
        <v>193.97925225799099</v>
      </c>
      <c r="K538" s="26">
        <v>2014</v>
      </c>
      <c r="L538" t="s">
        <v>40</v>
      </c>
      <c r="M538" s="32">
        <v>11</v>
      </c>
      <c r="N538">
        <v>1.1060976250000001</v>
      </c>
      <c r="O538">
        <v>5</v>
      </c>
      <c r="P538" t="s">
        <v>23</v>
      </c>
      <c r="Q538">
        <v>95.5</v>
      </c>
      <c r="R538" t="s">
        <v>13</v>
      </c>
      <c r="S538" t="s">
        <v>14</v>
      </c>
      <c r="T538" t="s">
        <v>14</v>
      </c>
      <c r="U538" s="34">
        <v>0</v>
      </c>
      <c r="V538" s="34">
        <v>5</v>
      </c>
      <c r="W538" s="25">
        <v>2.5</v>
      </c>
      <c r="X538" s="25">
        <v>5</v>
      </c>
      <c r="Y538" s="244">
        <v>1.6048618480000001</v>
      </c>
      <c r="Z538" t="s">
        <v>1104</v>
      </c>
      <c r="AA538" t="s">
        <v>622</v>
      </c>
      <c r="AB538">
        <v>1</v>
      </c>
      <c r="AC538">
        <v>119.16</v>
      </c>
      <c r="AF538" t="s">
        <v>532</v>
      </c>
      <c r="AG538" s="32" t="s">
        <v>2386</v>
      </c>
      <c r="AH538" s="32" t="s">
        <v>671</v>
      </c>
      <c r="AI538" s="32" t="s">
        <v>1129</v>
      </c>
      <c r="AJ538" s="31" t="s">
        <v>1130</v>
      </c>
      <c r="AK538" s="31">
        <v>0.59524549999999998</v>
      </c>
      <c r="AL538" s="31">
        <v>70.9532636</v>
      </c>
      <c r="AM538" s="31">
        <v>48.246736400000003</v>
      </c>
      <c r="AN538" s="31">
        <v>82.179305082679548</v>
      </c>
      <c r="AO538" s="31">
        <v>55.880209995854514</v>
      </c>
      <c r="AP538" s="31">
        <v>0.13188643142234491</v>
      </c>
      <c r="AQ538" s="31">
        <v>8.9680017080575158E-2</v>
      </c>
      <c r="AR538" s="31">
        <v>0.13169211421955859</v>
      </c>
    </row>
    <row r="539" spans="1:44" hidden="1" x14ac:dyDescent="0.5">
      <c r="A539" s="31">
        <v>1257</v>
      </c>
      <c r="B539" s="31">
        <v>87</v>
      </c>
      <c r="C539" s="225" t="s">
        <v>20</v>
      </c>
      <c r="D539" s="32">
        <v>53.654170000000001</v>
      </c>
      <c r="E539" s="38">
        <v>6.2796700000000003</v>
      </c>
      <c r="F539">
        <v>4.66</v>
      </c>
      <c r="G539">
        <f>F539*1609.344</f>
        <v>7499.5430400000005</v>
      </c>
      <c r="H539" s="32" t="s">
        <v>614</v>
      </c>
      <c r="I539">
        <v>18</v>
      </c>
      <c r="J539">
        <v>202.226798983452</v>
      </c>
      <c r="K539" s="26">
        <v>2014</v>
      </c>
      <c r="L539" t="s">
        <v>40</v>
      </c>
      <c r="M539" s="32">
        <v>11</v>
      </c>
      <c r="N539">
        <v>1.1060976250000001</v>
      </c>
      <c r="O539">
        <v>5</v>
      </c>
      <c r="P539" t="s">
        <v>23</v>
      </c>
      <c r="Q539">
        <v>95.5</v>
      </c>
      <c r="R539" t="s">
        <v>13</v>
      </c>
      <c r="S539" t="s">
        <v>14</v>
      </c>
      <c r="T539" t="s">
        <v>14</v>
      </c>
      <c r="U539" s="34">
        <v>0</v>
      </c>
      <c r="V539" s="34">
        <v>5</v>
      </c>
      <c r="W539" s="25">
        <v>2.5</v>
      </c>
      <c r="X539" s="25">
        <v>5</v>
      </c>
      <c r="Y539" s="244">
        <v>1.788789671</v>
      </c>
      <c r="Z539" t="s">
        <v>1104</v>
      </c>
      <c r="AA539" t="s">
        <v>622</v>
      </c>
      <c r="AB539">
        <v>1</v>
      </c>
      <c r="AC539">
        <v>217.27</v>
      </c>
      <c r="AF539" t="s">
        <v>532</v>
      </c>
      <c r="AG539" s="32" t="s">
        <v>2394</v>
      </c>
      <c r="AH539" s="32" t="s">
        <v>671</v>
      </c>
      <c r="AI539" s="32" t="s">
        <v>1129</v>
      </c>
      <c r="AJ539" s="31" t="s">
        <v>1130</v>
      </c>
      <c r="AK539" s="31">
        <v>0.59524549999999998</v>
      </c>
      <c r="AL539" s="31">
        <v>129.34684715</v>
      </c>
      <c r="AM539" s="31">
        <v>87.953152850000009</v>
      </c>
      <c r="AN539" s="31">
        <v>149.81177008780421</v>
      </c>
      <c r="AO539" s="31">
        <v>101.86887275250996</v>
      </c>
      <c r="AP539" s="31">
        <v>0.26798174692729093</v>
      </c>
      <c r="AQ539" s="31">
        <v>0.18222198737610315</v>
      </c>
      <c r="AR539" s="31">
        <v>0.13103405168936957</v>
      </c>
    </row>
    <row r="540" spans="1:44" hidden="1" x14ac:dyDescent="0.5">
      <c r="A540" s="31">
        <v>1396</v>
      </c>
      <c r="B540" s="31">
        <v>98</v>
      </c>
      <c r="C540" s="225" t="s">
        <v>39</v>
      </c>
      <c r="D540" s="41">
        <v>53.607244999999999</v>
      </c>
      <c r="E540" s="43">
        <v>-6.3107999999999997E-2</v>
      </c>
      <c r="G540">
        <f>F540*1609.344</f>
        <v>0</v>
      </c>
      <c r="H540" s="31" t="s">
        <v>614</v>
      </c>
      <c r="I540" s="7">
        <v>7</v>
      </c>
      <c r="J540">
        <v>172.162085660608</v>
      </c>
      <c r="K540" s="26">
        <v>2016</v>
      </c>
      <c r="L540" t="s">
        <v>40</v>
      </c>
      <c r="M540" s="32">
        <v>1000</v>
      </c>
      <c r="N540">
        <v>130.61708849999999</v>
      </c>
      <c r="P540" t="s">
        <v>17</v>
      </c>
      <c r="Q540">
        <v>100</v>
      </c>
      <c r="R540" t="s">
        <v>13</v>
      </c>
      <c r="S540" t="s">
        <v>16</v>
      </c>
      <c r="T540" t="s">
        <v>16</v>
      </c>
      <c r="U540" s="240">
        <v>0</v>
      </c>
      <c r="V540" s="240">
        <v>15</v>
      </c>
      <c r="W540" s="25">
        <v>7.5</v>
      </c>
      <c r="X540" s="25">
        <v>15</v>
      </c>
      <c r="Y540" s="244">
        <v>1.092945329</v>
      </c>
      <c r="Z540" t="s">
        <v>1104</v>
      </c>
      <c r="AA540" t="s">
        <v>622</v>
      </c>
      <c r="AB540">
        <v>77</v>
      </c>
      <c r="AC540">
        <v>7.29</v>
      </c>
      <c r="AD540">
        <v>1.36</v>
      </c>
      <c r="AE540" t="s">
        <v>525</v>
      </c>
      <c r="AF540" t="s">
        <v>553</v>
      </c>
      <c r="AG540" s="32">
        <v>0.44467000050649375</v>
      </c>
      <c r="AH540" s="32">
        <v>0.31</v>
      </c>
      <c r="AI540" s="32">
        <v>0.13784770015701306</v>
      </c>
      <c r="AJ540" s="31">
        <v>0.30682230034948066</v>
      </c>
      <c r="AK540" s="31">
        <v>0.31</v>
      </c>
      <c r="AL540" s="31">
        <v>0.13784770015701306</v>
      </c>
      <c r="AM540" s="31">
        <v>0.30682230034948066</v>
      </c>
      <c r="AN540" s="31">
        <v>18.005265250930037</v>
      </c>
      <c r="AO540" s="31">
        <v>40.076235558521695</v>
      </c>
      <c r="AP540" s="31">
        <v>1.9678770553409997E-2</v>
      </c>
      <c r="AQ540" s="31">
        <v>4.3801134457589992E-2</v>
      </c>
      <c r="AR540" s="31">
        <v>0.13248615310083081</v>
      </c>
    </row>
    <row r="541" spans="1:44" hidden="1" x14ac:dyDescent="0.5">
      <c r="A541" s="31">
        <v>1260</v>
      </c>
      <c r="B541" s="31">
        <v>87</v>
      </c>
      <c r="C541" s="225" t="s">
        <v>20</v>
      </c>
      <c r="D541" s="32">
        <v>53.598500000000001</v>
      </c>
      <c r="E541" s="38">
        <v>5.9223299999999997</v>
      </c>
      <c r="F541">
        <v>4.72</v>
      </c>
      <c r="G541">
        <f>F541*1609.344</f>
        <v>7596.1036800000002</v>
      </c>
      <c r="H541" s="32" t="s">
        <v>614</v>
      </c>
      <c r="I541">
        <v>19</v>
      </c>
      <c r="J541">
        <v>188.913545084714</v>
      </c>
      <c r="K541" s="26">
        <v>2014</v>
      </c>
      <c r="L541" t="s">
        <v>40</v>
      </c>
      <c r="M541" s="32">
        <v>11</v>
      </c>
      <c r="N541">
        <v>1.1060976250000001</v>
      </c>
      <c r="O541">
        <v>5</v>
      </c>
      <c r="P541" t="s">
        <v>23</v>
      </c>
      <c r="Q541">
        <v>95.5</v>
      </c>
      <c r="R541" t="s">
        <v>13</v>
      </c>
      <c r="S541" t="s">
        <v>14</v>
      </c>
      <c r="T541" t="s">
        <v>14</v>
      </c>
      <c r="U541" s="34">
        <v>0</v>
      </c>
      <c r="V541" s="34">
        <v>5</v>
      </c>
      <c r="W541" s="25">
        <v>2.5</v>
      </c>
      <c r="X541" s="25">
        <v>5</v>
      </c>
      <c r="Y541" s="244">
        <v>1.788789671</v>
      </c>
      <c r="Z541" t="s">
        <v>1104</v>
      </c>
      <c r="AA541" t="s">
        <v>622</v>
      </c>
      <c r="AB541">
        <v>1</v>
      </c>
      <c r="AC541">
        <v>318.39999999999998</v>
      </c>
      <c r="AF541" t="s">
        <v>532</v>
      </c>
      <c r="AG541" s="32" t="s">
        <v>2396</v>
      </c>
      <c r="AH541" s="32" t="s">
        <v>671</v>
      </c>
      <c r="AI541" s="32" t="s">
        <v>1129</v>
      </c>
      <c r="AJ541" s="31" t="s">
        <v>1130</v>
      </c>
      <c r="AK541" s="31">
        <v>0.59524549999999998</v>
      </c>
      <c r="AL541" s="31">
        <v>189.52616719999997</v>
      </c>
      <c r="AM541" s="31">
        <v>128.8738328</v>
      </c>
      <c r="AN541" s="31">
        <v>219.51250619400304</v>
      </c>
      <c r="AO541" s="31">
        <v>149.26391663322212</v>
      </c>
      <c r="AP541" s="31">
        <v>0.39266170373515613</v>
      </c>
      <c r="AQ541" s="31">
        <v>0.2670017523265128</v>
      </c>
      <c r="AR541" s="31">
        <v>0.13090283430916907</v>
      </c>
    </row>
    <row r="542" spans="1:44" hidden="1" x14ac:dyDescent="0.5">
      <c r="A542" s="31">
        <v>1261</v>
      </c>
      <c r="B542" s="31">
        <v>87</v>
      </c>
      <c r="C542" s="225" t="s">
        <v>20</v>
      </c>
      <c r="D542" s="32">
        <v>53.556669999999997</v>
      </c>
      <c r="E542" s="38">
        <v>5.6315</v>
      </c>
      <c r="F542">
        <v>3.29</v>
      </c>
      <c r="G542">
        <f>F542*1609.344</f>
        <v>5294.7417599999999</v>
      </c>
      <c r="H542" s="32" t="s">
        <v>614</v>
      </c>
      <c r="I542">
        <v>20</v>
      </c>
      <c r="J542">
        <v>163.181570914346</v>
      </c>
      <c r="K542" s="26">
        <v>2014</v>
      </c>
      <c r="L542" t="s">
        <v>40</v>
      </c>
      <c r="M542" s="32">
        <v>11</v>
      </c>
      <c r="N542">
        <v>1.1060976250000001</v>
      </c>
      <c r="O542">
        <v>5</v>
      </c>
      <c r="P542" t="s">
        <v>23</v>
      </c>
      <c r="Q542">
        <v>95.5</v>
      </c>
      <c r="R542" t="s">
        <v>13</v>
      </c>
      <c r="S542" t="s">
        <v>14</v>
      </c>
      <c r="T542" t="s">
        <v>14</v>
      </c>
      <c r="U542" s="34">
        <v>0</v>
      </c>
      <c r="V542" s="34">
        <v>5</v>
      </c>
      <c r="W542" s="25">
        <v>2.5</v>
      </c>
      <c r="X542" s="25">
        <v>5</v>
      </c>
      <c r="Y542" s="244">
        <v>1.788789671</v>
      </c>
      <c r="Z542" t="s">
        <v>1104</v>
      </c>
      <c r="AA542" t="s">
        <v>622</v>
      </c>
      <c r="AB542">
        <v>1</v>
      </c>
      <c r="AC542">
        <v>98.49</v>
      </c>
      <c r="AF542" t="s">
        <v>532</v>
      </c>
      <c r="AG542" s="32" t="s">
        <v>2397</v>
      </c>
      <c r="AH542" s="32" t="s">
        <v>671</v>
      </c>
      <c r="AI542" s="32" t="s">
        <v>1129</v>
      </c>
      <c r="AJ542" s="31" t="s">
        <v>1130</v>
      </c>
      <c r="AK542" s="31">
        <v>0.59524549999999998</v>
      </c>
      <c r="AL542" s="31">
        <v>58.631681749999998</v>
      </c>
      <c r="AM542" s="31">
        <v>39.868318250000002</v>
      </c>
      <c r="AN542" s="31">
        <v>67.908234485267911</v>
      </c>
      <c r="AO542" s="31">
        <v>46.176180239862994</v>
      </c>
      <c r="AP542" s="31">
        <v>0.12147354842309323</v>
      </c>
      <c r="AQ542" s="31">
        <v>8.2599474259301225E-2</v>
      </c>
      <c r="AR542" s="31">
        <v>0.13077174832993385</v>
      </c>
    </row>
    <row r="543" spans="1:44" hidden="1" x14ac:dyDescent="0.5">
      <c r="A543" s="31">
        <v>534</v>
      </c>
      <c r="B543" s="31">
        <v>35</v>
      </c>
      <c r="C543" s="225" t="s">
        <v>20</v>
      </c>
      <c r="D543" s="39">
        <v>53.54</v>
      </c>
      <c r="E543" s="40">
        <v>6.61</v>
      </c>
      <c r="F543">
        <v>0</v>
      </c>
      <c r="G543">
        <f>F543*1609.344</f>
        <v>0</v>
      </c>
      <c r="H543" s="32" t="s">
        <v>10</v>
      </c>
      <c r="I543">
        <v>0</v>
      </c>
      <c r="J543">
        <v>193.37986750751099</v>
      </c>
      <c r="K543" s="26">
        <v>2015</v>
      </c>
      <c r="L543" t="s">
        <v>11</v>
      </c>
      <c r="M543" s="32">
        <v>300</v>
      </c>
      <c r="N543">
        <v>36.542166029999997</v>
      </c>
      <c r="O543">
        <v>5</v>
      </c>
      <c r="P543" t="s">
        <v>12</v>
      </c>
      <c r="Q543">
        <v>83</v>
      </c>
      <c r="R543" t="s">
        <v>13</v>
      </c>
      <c r="S543" t="s">
        <v>14</v>
      </c>
      <c r="T543" t="s">
        <v>14</v>
      </c>
      <c r="U543" s="34">
        <v>0</v>
      </c>
      <c r="V543" s="34">
        <v>5</v>
      </c>
      <c r="W543" s="25">
        <v>2.5</v>
      </c>
      <c r="X543" s="25">
        <v>5</v>
      </c>
      <c r="Y543" s="244">
        <v>1.6048618480000001</v>
      </c>
      <c r="Z543" t="s">
        <v>1104</v>
      </c>
      <c r="AA543" t="s">
        <v>622</v>
      </c>
      <c r="AB543">
        <v>5</v>
      </c>
      <c r="AC543">
        <v>124</v>
      </c>
      <c r="AD543">
        <v>27</v>
      </c>
      <c r="AE543" t="s">
        <v>525</v>
      </c>
      <c r="AF543" t="s">
        <v>532</v>
      </c>
      <c r="AG543" s="32">
        <v>124</v>
      </c>
      <c r="AH543" s="32" t="s">
        <v>1541</v>
      </c>
      <c r="AI543" s="32" t="s">
        <v>1551</v>
      </c>
      <c r="AJ543" s="31" t="s">
        <v>2934</v>
      </c>
      <c r="AK543" s="31">
        <v>0.98699999999999999</v>
      </c>
      <c r="AL543" s="31">
        <v>122.38800000000001</v>
      </c>
      <c r="AM543" s="31">
        <v>1.6119999999999948</v>
      </c>
      <c r="AN543" s="31">
        <v>5388.3405013007714</v>
      </c>
      <c r="AO543" s="31">
        <v>70.971050169108196</v>
      </c>
      <c r="AP543" s="31">
        <v>8.6475420945708024</v>
      </c>
      <c r="AQ543" s="31">
        <v>0.1138987307288957</v>
      </c>
      <c r="AR543" s="31">
        <v>0.13341858489683281</v>
      </c>
    </row>
    <row r="544" spans="1:44" customFormat="1" hidden="1" x14ac:dyDescent="0.5">
      <c r="A544">
        <v>1254</v>
      </c>
      <c r="B544">
        <v>87</v>
      </c>
      <c r="C544" s="226" t="s">
        <v>20</v>
      </c>
      <c r="D544" s="30">
        <v>53.464669999999998</v>
      </c>
      <c r="E544" s="238">
        <v>5.2093299999999996</v>
      </c>
      <c r="F544">
        <v>3.91</v>
      </c>
      <c r="G544">
        <f>F544*1609.344</f>
        <v>6292.5350400000007</v>
      </c>
      <c r="H544" s="30" t="s">
        <v>614</v>
      </c>
      <c r="I544">
        <v>17</v>
      </c>
      <c r="J544">
        <v>211.374016666757</v>
      </c>
      <c r="K544" s="26">
        <v>2014</v>
      </c>
      <c r="L544" t="s">
        <v>40</v>
      </c>
      <c r="M544" s="30">
        <v>11</v>
      </c>
      <c r="N544">
        <v>1.1060976250000001</v>
      </c>
      <c r="O544">
        <v>5</v>
      </c>
      <c r="P544" t="s">
        <v>23</v>
      </c>
      <c r="Q544">
        <v>95.5</v>
      </c>
      <c r="R544" t="s">
        <v>13</v>
      </c>
      <c r="S544" t="s">
        <v>14</v>
      </c>
      <c r="T544" t="s">
        <v>14</v>
      </c>
      <c r="U544" s="29">
        <v>0</v>
      </c>
      <c r="V544" s="29">
        <v>5</v>
      </c>
      <c r="W544" s="25">
        <v>2.5</v>
      </c>
      <c r="X544" s="25">
        <v>5</v>
      </c>
      <c r="Y544" s="244">
        <v>1.788789671</v>
      </c>
      <c r="Z544" t="s">
        <v>1104</v>
      </c>
      <c r="AA544" t="s">
        <v>622</v>
      </c>
      <c r="AB544">
        <v>1</v>
      </c>
      <c r="AC544">
        <v>120.51</v>
      </c>
      <c r="AF544" t="s">
        <v>532</v>
      </c>
      <c r="AG544" s="30" t="s">
        <v>2391</v>
      </c>
      <c r="AH544" s="30" t="s">
        <v>671</v>
      </c>
      <c r="AI544" s="30" t="s">
        <v>1129</v>
      </c>
      <c r="AJ544" t="s">
        <v>1130</v>
      </c>
      <c r="AK544">
        <v>0.59524549999999998</v>
      </c>
      <c r="AL544">
        <v>71.727082749999994</v>
      </c>
      <c r="AM544">
        <v>48.772917250000006</v>
      </c>
      <c r="AN544">
        <v>83.075555893144994</v>
      </c>
      <c r="AO544">
        <v>56.489641816279104</v>
      </c>
      <c r="AP544">
        <v>0.14860469629424095</v>
      </c>
      <c r="AQ544">
        <v>0.10104808779944975</v>
      </c>
      <c r="AR544">
        <v>0.13116540060225193</v>
      </c>
    </row>
    <row r="545" spans="1:44" customFormat="1" hidden="1" x14ac:dyDescent="0.5">
      <c r="A545">
        <v>1392</v>
      </c>
      <c r="B545">
        <v>98</v>
      </c>
      <c r="C545" s="226" t="s">
        <v>39</v>
      </c>
      <c r="D545" s="229">
        <v>53.445659999999997</v>
      </c>
      <c r="E545" s="239">
        <v>-3.0246940000000002</v>
      </c>
      <c r="F545">
        <v>0</v>
      </c>
      <c r="G545">
        <f>F545*1609.344</f>
        <v>0</v>
      </c>
      <c r="H545" t="s">
        <v>10</v>
      </c>
      <c r="I545">
        <v>0</v>
      </c>
      <c r="J545">
        <v>493.76810926516401</v>
      </c>
      <c r="K545" s="26">
        <v>2017</v>
      </c>
      <c r="L545" t="s">
        <v>30</v>
      </c>
      <c r="M545" s="30">
        <v>500</v>
      </c>
      <c r="N545">
        <v>62.735052189999998</v>
      </c>
      <c r="P545" t="s">
        <v>17</v>
      </c>
      <c r="Q545">
        <v>100</v>
      </c>
      <c r="R545" t="s">
        <v>13</v>
      </c>
      <c r="S545" t="s">
        <v>16</v>
      </c>
      <c r="T545" t="s">
        <v>16</v>
      </c>
      <c r="U545" s="25">
        <v>0</v>
      </c>
      <c r="V545" s="25">
        <v>15</v>
      </c>
      <c r="W545" s="25">
        <v>7.5</v>
      </c>
      <c r="X545" s="25">
        <v>15</v>
      </c>
      <c r="Y545" s="244">
        <v>0.93194745000000001</v>
      </c>
      <c r="Z545" t="s">
        <v>1114</v>
      </c>
      <c r="AA545" t="s">
        <v>622</v>
      </c>
      <c r="AB545">
        <v>30</v>
      </c>
      <c r="AC545">
        <v>42.67</v>
      </c>
      <c r="AD545">
        <v>14.29</v>
      </c>
      <c r="AE545" t="s">
        <v>525</v>
      </c>
      <c r="AF545" t="s">
        <v>553</v>
      </c>
      <c r="AG545" s="30">
        <v>3.0523895598047583</v>
      </c>
      <c r="AH545" s="30">
        <v>0.31</v>
      </c>
      <c r="AI545" s="30">
        <v>0.94624076353947506</v>
      </c>
      <c r="AJ545">
        <v>2.1061487962652832</v>
      </c>
      <c r="AK545">
        <v>0.31</v>
      </c>
      <c r="AL545">
        <v>0.94624076353947506</v>
      </c>
      <c r="AM545">
        <v>2.1061487962652832</v>
      </c>
      <c r="AN545">
        <v>59.362463684954413</v>
      </c>
      <c r="AO545">
        <v>132.1293546536082</v>
      </c>
      <c r="AP545">
        <v>5.5322696656910864E-2</v>
      </c>
      <c r="AQ545">
        <v>0.1231376151395758</v>
      </c>
      <c r="AR545">
        <v>0.13341858489683281</v>
      </c>
    </row>
    <row r="546" spans="1:44" customFormat="1" hidden="1" x14ac:dyDescent="0.5">
      <c r="A546">
        <v>545</v>
      </c>
      <c r="B546">
        <v>37</v>
      </c>
      <c r="C546" s="226" t="s">
        <v>9</v>
      </c>
      <c r="D546" s="227">
        <v>27.155413899999999</v>
      </c>
      <c r="E546" s="228">
        <v>56.231441699999998</v>
      </c>
      <c r="F546">
        <v>0</v>
      </c>
      <c r="G546">
        <f>F546*1609.344</f>
        <v>0</v>
      </c>
      <c r="H546" t="s">
        <v>10</v>
      </c>
      <c r="I546">
        <v>0</v>
      </c>
      <c r="J546">
        <v>44.703781350908798</v>
      </c>
      <c r="K546" s="26">
        <v>2016</v>
      </c>
      <c r="L546" t="s">
        <v>11</v>
      </c>
      <c r="M546" s="30">
        <v>802</v>
      </c>
      <c r="N546">
        <v>103.4228451</v>
      </c>
      <c r="O546">
        <v>4.5999999999999996</v>
      </c>
      <c r="P546" t="s">
        <v>15</v>
      </c>
      <c r="Q546">
        <v>91.3</v>
      </c>
      <c r="R546" t="s">
        <v>13</v>
      </c>
      <c r="S546" t="s">
        <v>14</v>
      </c>
      <c r="T546" t="s">
        <v>14</v>
      </c>
      <c r="U546" s="25">
        <v>1</v>
      </c>
      <c r="V546" s="25">
        <v>2</v>
      </c>
      <c r="W546" s="25">
        <v>1.5</v>
      </c>
      <c r="X546" s="25">
        <v>1</v>
      </c>
      <c r="Y546">
        <v>1.0985454240000001</v>
      </c>
      <c r="Z546" t="s">
        <v>784</v>
      </c>
      <c r="AA546" t="s">
        <v>631</v>
      </c>
      <c r="AB546">
        <v>3</v>
      </c>
      <c r="AC546">
        <v>103</v>
      </c>
      <c r="AD546">
        <v>12.6</v>
      </c>
      <c r="AE546" t="s">
        <v>519</v>
      </c>
      <c r="AF546" t="s">
        <v>532</v>
      </c>
      <c r="AG546" s="30">
        <v>103</v>
      </c>
      <c r="AH546" s="30">
        <v>1</v>
      </c>
      <c r="AI546" s="30">
        <v>103</v>
      </c>
      <c r="AJ546">
        <v>0</v>
      </c>
      <c r="AK546">
        <v>1</v>
      </c>
      <c r="AL546">
        <v>103</v>
      </c>
      <c r="AM546">
        <v>0</v>
      </c>
      <c r="AN546">
        <v>11667.637508543265</v>
      </c>
      <c r="AO546">
        <v>0</v>
      </c>
      <c r="AP546">
        <v>12.817429793900967</v>
      </c>
      <c r="AQ546">
        <v>0</v>
      </c>
      <c r="AR546">
        <v>0.13341858489683281</v>
      </c>
    </row>
    <row r="547" spans="1:44" customFormat="1" hidden="1" x14ac:dyDescent="0.5">
      <c r="A547">
        <v>546</v>
      </c>
      <c r="B547">
        <v>37</v>
      </c>
      <c r="C547" s="226" t="s">
        <v>9</v>
      </c>
      <c r="D547" s="227">
        <v>27.0828278</v>
      </c>
      <c r="E547" s="228">
        <v>56.007580599999997</v>
      </c>
      <c r="F547">
        <v>0</v>
      </c>
      <c r="G547">
        <f>F547*1609.344</f>
        <v>0</v>
      </c>
      <c r="H547" t="s">
        <v>10</v>
      </c>
      <c r="I547">
        <v>0</v>
      </c>
      <c r="J547">
        <v>43.997446917596598</v>
      </c>
      <c r="K547" s="26">
        <v>2016</v>
      </c>
      <c r="L547" t="s">
        <v>11</v>
      </c>
      <c r="M547" s="30">
        <v>802</v>
      </c>
      <c r="N547">
        <v>103.4228451</v>
      </c>
      <c r="O547">
        <v>4.5999999999999996</v>
      </c>
      <c r="P547" t="s">
        <v>15</v>
      </c>
      <c r="Q547">
        <v>91.3</v>
      </c>
      <c r="R547" t="s">
        <v>13</v>
      </c>
      <c r="S547" t="s">
        <v>14</v>
      </c>
      <c r="T547" t="s">
        <v>14</v>
      </c>
      <c r="U547" s="25">
        <v>1</v>
      </c>
      <c r="V547" s="25">
        <v>2</v>
      </c>
      <c r="W547" s="25">
        <v>1.5</v>
      </c>
      <c r="X547" s="25">
        <v>1</v>
      </c>
      <c r="Y547">
        <v>0.899965291</v>
      </c>
      <c r="Z547" t="s">
        <v>784</v>
      </c>
      <c r="AA547" t="s">
        <v>631</v>
      </c>
      <c r="AB547">
        <v>3</v>
      </c>
      <c r="AC547">
        <v>36</v>
      </c>
      <c r="AD547">
        <v>7.2</v>
      </c>
      <c r="AE547" t="s">
        <v>519</v>
      </c>
      <c r="AF547" t="s">
        <v>532</v>
      </c>
      <c r="AG547" s="30">
        <v>36</v>
      </c>
      <c r="AH547" s="30">
        <v>1</v>
      </c>
      <c r="AI547" s="30">
        <v>36</v>
      </c>
      <c r="AJ547">
        <v>0</v>
      </c>
      <c r="AK547">
        <v>1</v>
      </c>
      <c r="AL547">
        <v>36</v>
      </c>
      <c r="AM547">
        <v>0</v>
      </c>
      <c r="AN547">
        <v>4078.0092262869666</v>
      </c>
      <c r="AO547">
        <v>0</v>
      </c>
      <c r="AP547">
        <v>3.6700667600360348</v>
      </c>
      <c r="AQ547">
        <v>0</v>
      </c>
      <c r="AR547">
        <v>0.13341858489683281</v>
      </c>
    </row>
    <row r="548" spans="1:44" customFormat="1" hidden="1" x14ac:dyDescent="0.5">
      <c r="A548">
        <v>547</v>
      </c>
      <c r="B548">
        <v>37</v>
      </c>
      <c r="C548" s="226" t="s">
        <v>9</v>
      </c>
      <c r="D548" s="227">
        <v>26.3298056</v>
      </c>
      <c r="E548" s="228">
        <v>57.107433299999997</v>
      </c>
      <c r="F548">
        <v>0</v>
      </c>
      <c r="G548">
        <f>F548*1609.344</f>
        <v>0</v>
      </c>
      <c r="H548" t="s">
        <v>49</v>
      </c>
      <c r="I548">
        <v>0</v>
      </c>
      <c r="J548">
        <v>21.5387757573431</v>
      </c>
      <c r="K548" s="26">
        <v>2016</v>
      </c>
      <c r="L548" t="s">
        <v>11</v>
      </c>
      <c r="M548" s="30">
        <v>802</v>
      </c>
      <c r="N548">
        <v>103.4228451</v>
      </c>
      <c r="O548">
        <v>4.5999999999999996</v>
      </c>
      <c r="P548" t="s">
        <v>15</v>
      </c>
      <c r="Q548">
        <v>91.3</v>
      </c>
      <c r="R548" t="s">
        <v>13</v>
      </c>
      <c r="S548" t="s">
        <v>14</v>
      </c>
      <c r="T548" t="s">
        <v>14</v>
      </c>
      <c r="U548" s="25">
        <v>1</v>
      </c>
      <c r="V548" s="25">
        <v>2</v>
      </c>
      <c r="W548" s="25">
        <v>1.5</v>
      </c>
      <c r="X548" s="25">
        <v>1</v>
      </c>
      <c r="Y548">
        <v>1.2143333333333299</v>
      </c>
      <c r="Z548" t="s">
        <v>816</v>
      </c>
      <c r="AA548" t="s">
        <v>660</v>
      </c>
      <c r="AB548">
        <v>3</v>
      </c>
      <c r="AC548">
        <v>42.7</v>
      </c>
      <c r="AD548">
        <v>5.5</v>
      </c>
      <c r="AE548" t="s">
        <v>519</v>
      </c>
      <c r="AF548" t="s">
        <v>532</v>
      </c>
      <c r="AG548" s="30">
        <v>42.7</v>
      </c>
      <c r="AH548" s="30">
        <v>1</v>
      </c>
      <c r="AI548" s="30">
        <v>42.7</v>
      </c>
      <c r="AJ548">
        <v>0</v>
      </c>
      <c r="AK548">
        <v>1</v>
      </c>
      <c r="AL548">
        <v>42.7</v>
      </c>
      <c r="AM548">
        <v>0</v>
      </c>
      <c r="AN548">
        <v>4836.9720545125965</v>
      </c>
      <c r="AO548">
        <v>0</v>
      </c>
      <c r="AP548">
        <v>5.8736963981964463</v>
      </c>
      <c r="AQ548">
        <v>0</v>
      </c>
      <c r="AR548">
        <v>0.55269999999999997</v>
      </c>
    </row>
    <row r="549" spans="1:44" customFormat="1" hidden="1" x14ac:dyDescent="0.5">
      <c r="A549">
        <v>548</v>
      </c>
      <c r="B549">
        <v>37</v>
      </c>
      <c r="C549" s="226" t="s">
        <v>9</v>
      </c>
      <c r="D549" s="227">
        <v>27.177630600000001</v>
      </c>
      <c r="E549" s="228">
        <v>56.3699333</v>
      </c>
      <c r="F549">
        <v>0</v>
      </c>
      <c r="G549">
        <f>F549*1609.344</f>
        <v>0</v>
      </c>
      <c r="H549" t="s">
        <v>49</v>
      </c>
      <c r="I549">
        <v>0</v>
      </c>
      <c r="J549">
        <v>45.105775316359903</v>
      </c>
      <c r="K549" s="26">
        <v>2016</v>
      </c>
      <c r="L549" t="s">
        <v>11</v>
      </c>
      <c r="M549" s="30">
        <v>802</v>
      </c>
      <c r="N549">
        <v>103.4228451</v>
      </c>
      <c r="O549">
        <v>4.5999999999999996</v>
      </c>
      <c r="P549" t="s">
        <v>15</v>
      </c>
      <c r="Q549">
        <v>91.3</v>
      </c>
      <c r="R549" t="s">
        <v>13</v>
      </c>
      <c r="S549" t="s">
        <v>14</v>
      </c>
      <c r="T549" t="s">
        <v>14</v>
      </c>
      <c r="U549" s="25">
        <v>1</v>
      </c>
      <c r="V549" s="25">
        <v>2</v>
      </c>
      <c r="W549" s="25">
        <v>1.5</v>
      </c>
      <c r="X549" s="25">
        <v>1</v>
      </c>
      <c r="Y549">
        <v>1.2143333333333299</v>
      </c>
      <c r="Z549" t="s">
        <v>816</v>
      </c>
      <c r="AA549" t="s">
        <v>660</v>
      </c>
      <c r="AB549">
        <v>3</v>
      </c>
      <c r="AC549">
        <v>125</v>
      </c>
      <c r="AD549">
        <v>25</v>
      </c>
      <c r="AE549" t="s">
        <v>519</v>
      </c>
      <c r="AF549" t="s">
        <v>532</v>
      </c>
      <c r="AG549" s="30">
        <v>125</v>
      </c>
      <c r="AH549" s="30">
        <v>0.98</v>
      </c>
      <c r="AI549" s="30">
        <v>122.5</v>
      </c>
      <c r="AJ549">
        <v>2.5</v>
      </c>
      <c r="AK549">
        <v>0.98</v>
      </c>
      <c r="AL549">
        <v>122.5</v>
      </c>
      <c r="AM549">
        <v>2.5</v>
      </c>
      <c r="AN549">
        <v>13876.559172782037</v>
      </c>
      <c r="AO549">
        <v>283.19508515881705</v>
      </c>
      <c r="AP549">
        <v>16.850768355481609</v>
      </c>
      <c r="AQ549">
        <v>0.34389323174452252</v>
      </c>
      <c r="AR549">
        <v>0.55269999999999997</v>
      </c>
    </row>
    <row r="550" spans="1:44" customFormat="1" x14ac:dyDescent="0.5">
      <c r="A550">
        <v>549</v>
      </c>
      <c r="B550">
        <v>38</v>
      </c>
      <c r="C550" s="226" t="s">
        <v>9</v>
      </c>
      <c r="D550" s="227">
        <v>5.4177860000000004</v>
      </c>
      <c r="E550" s="228">
        <v>73.354851999999994</v>
      </c>
      <c r="F550">
        <v>0</v>
      </c>
      <c r="G550">
        <f>F550*1609.344</f>
        <v>0</v>
      </c>
      <c r="H550" t="s">
        <v>10</v>
      </c>
      <c r="I550">
        <v>0</v>
      </c>
      <c r="J550">
        <v>738.05117594053502</v>
      </c>
      <c r="K550" s="26">
        <v>2015</v>
      </c>
      <c r="L550" t="s">
        <v>11</v>
      </c>
      <c r="M550" s="30">
        <v>1000</v>
      </c>
      <c r="N550">
        <v>130.61708849999999</v>
      </c>
      <c r="O550">
        <v>5</v>
      </c>
      <c r="P550" t="s">
        <v>12</v>
      </c>
      <c r="Q550">
        <v>89</v>
      </c>
      <c r="R550" t="s">
        <v>13</v>
      </c>
      <c r="S550" t="s">
        <v>14</v>
      </c>
      <c r="T550" t="s">
        <v>16</v>
      </c>
      <c r="U550" s="25">
        <v>0</v>
      </c>
      <c r="V550" s="25">
        <v>1</v>
      </c>
      <c r="W550" s="25">
        <v>0.5</v>
      </c>
      <c r="X550" s="25">
        <v>1</v>
      </c>
      <c r="Y550">
        <v>0.99267945499999999</v>
      </c>
      <c r="Z550" t="s">
        <v>1111</v>
      </c>
      <c r="AA550" t="s">
        <v>622</v>
      </c>
      <c r="AB550">
        <v>42</v>
      </c>
      <c r="AC550">
        <v>35.799999999999997</v>
      </c>
      <c r="AD550">
        <v>42.5</v>
      </c>
      <c r="AE550" t="s">
        <v>519</v>
      </c>
      <c r="AF550" t="s">
        <v>521</v>
      </c>
      <c r="AG550" s="30">
        <v>3.6064008194870918</v>
      </c>
      <c r="AH550" s="30">
        <v>0.01</v>
      </c>
      <c r="AI550" s="30">
        <v>3.606400819487092E-2</v>
      </c>
      <c r="AJ550">
        <v>3.5703368112922207</v>
      </c>
      <c r="AK550">
        <v>0.01</v>
      </c>
      <c r="AL550">
        <v>3.606400819487092E-2</v>
      </c>
      <c r="AM550">
        <v>3.5703368112922207</v>
      </c>
      <c r="AN550">
        <v>5.2927817416339105</v>
      </c>
      <c r="AO550">
        <v>523.98539242175707</v>
      </c>
      <c r="AP550">
        <v>5.2540356947191006E-3</v>
      </c>
      <c r="AQ550">
        <v>0.52014953377719098</v>
      </c>
      <c r="AR550">
        <v>0.13341858489683281</v>
      </c>
    </row>
    <row r="551" spans="1:44" hidden="1" x14ac:dyDescent="0.5">
      <c r="A551" s="31">
        <v>820</v>
      </c>
      <c r="B551" s="31">
        <v>58</v>
      </c>
      <c r="C551" s="225" t="s">
        <v>20</v>
      </c>
      <c r="D551" s="44">
        <v>53.390895999999998</v>
      </c>
      <c r="E551" s="45">
        <v>5.6985549999999998</v>
      </c>
      <c r="F551">
        <v>3.26</v>
      </c>
      <c r="G551">
        <f>F551*1609.344</f>
        <v>5246.46144</v>
      </c>
      <c r="H551" s="32" t="s">
        <v>614</v>
      </c>
      <c r="I551" s="7">
        <v>1</v>
      </c>
      <c r="J551">
        <v>195.76094854312601</v>
      </c>
      <c r="K551" s="26">
        <v>2012.5</v>
      </c>
      <c r="L551" t="s">
        <v>40</v>
      </c>
      <c r="M551" s="32">
        <v>10</v>
      </c>
      <c r="N551">
        <v>0.99999999799999995</v>
      </c>
      <c r="O551">
        <v>5</v>
      </c>
      <c r="P551" t="s">
        <v>12</v>
      </c>
      <c r="Q551">
        <v>89</v>
      </c>
      <c r="R551" t="s">
        <v>13</v>
      </c>
      <c r="S551" t="s">
        <v>14</v>
      </c>
      <c r="T551" t="s">
        <v>14</v>
      </c>
      <c r="U551" s="34">
        <v>0</v>
      </c>
      <c r="V551" s="34">
        <v>10</v>
      </c>
      <c r="W551" s="25">
        <v>5</v>
      </c>
      <c r="X551" s="25">
        <v>10</v>
      </c>
      <c r="Y551" s="244">
        <v>1.788789671</v>
      </c>
      <c r="Z551" t="s">
        <v>1104</v>
      </c>
      <c r="AA551" t="s">
        <v>622</v>
      </c>
      <c r="AB551">
        <v>1</v>
      </c>
      <c r="AC551">
        <v>770</v>
      </c>
      <c r="AF551" t="s">
        <v>532</v>
      </c>
      <c r="AG551" s="32">
        <v>770</v>
      </c>
      <c r="AH551" s="32" t="s">
        <v>2013</v>
      </c>
      <c r="AI551" s="32" t="s">
        <v>2022</v>
      </c>
      <c r="AJ551" s="31" t="s">
        <v>3138</v>
      </c>
      <c r="AK551" s="31">
        <v>0.13466</v>
      </c>
      <c r="AL551" s="31">
        <v>103.68819999999999</v>
      </c>
      <c r="AM551" s="31">
        <v>666.31179999999995</v>
      </c>
      <c r="AN551" s="31">
        <v>116.50359527261078</v>
      </c>
      <c r="AO551" s="31">
        <v>748.66494232289483</v>
      </c>
      <c r="AP551" s="31">
        <v>0.20840042785801061</v>
      </c>
      <c r="AQ551" s="31">
        <v>1.3392041158670049</v>
      </c>
      <c r="AR551" s="31">
        <v>0.13328497964724689</v>
      </c>
    </row>
    <row r="552" spans="1:44" hidden="1" x14ac:dyDescent="0.5">
      <c r="A552" s="31">
        <v>819</v>
      </c>
      <c r="B552" s="31">
        <v>58</v>
      </c>
      <c r="C552" s="225" t="s">
        <v>20</v>
      </c>
      <c r="D552" s="35">
        <v>53.390526000000001</v>
      </c>
      <c r="E552" s="33">
        <v>5.1623739999999998</v>
      </c>
      <c r="F552">
        <v>6.21</v>
      </c>
      <c r="G552">
        <f>F552*1609.344</f>
        <v>9994.0262400000011</v>
      </c>
      <c r="H552" s="32" t="s">
        <v>614</v>
      </c>
      <c r="I552" s="7">
        <v>3</v>
      </c>
      <c r="J552">
        <v>237.909415650298</v>
      </c>
      <c r="K552" s="26">
        <v>2012.5</v>
      </c>
      <c r="L552" t="s">
        <v>40</v>
      </c>
      <c r="M552" s="32">
        <v>10</v>
      </c>
      <c r="N552">
        <v>0.99999999799999995</v>
      </c>
      <c r="O552">
        <v>5</v>
      </c>
      <c r="P552" t="s">
        <v>12</v>
      </c>
      <c r="Q552">
        <v>89</v>
      </c>
      <c r="R552" t="s">
        <v>13</v>
      </c>
      <c r="S552" t="s">
        <v>14</v>
      </c>
      <c r="T552" t="s">
        <v>14</v>
      </c>
      <c r="U552" s="34">
        <v>0</v>
      </c>
      <c r="V552" s="34">
        <v>10</v>
      </c>
      <c r="W552" s="25">
        <v>5</v>
      </c>
      <c r="X552" s="25">
        <v>10</v>
      </c>
      <c r="Y552" s="244">
        <v>1.788789671</v>
      </c>
      <c r="Z552" t="s">
        <v>1104</v>
      </c>
      <c r="AA552" t="s">
        <v>622</v>
      </c>
      <c r="AB552">
        <v>1</v>
      </c>
      <c r="AC552">
        <v>720</v>
      </c>
      <c r="AF552" t="s">
        <v>532</v>
      </c>
      <c r="AG552" s="32">
        <v>720</v>
      </c>
      <c r="AH552" s="32" t="s">
        <v>2013</v>
      </c>
      <c r="AI552" s="32" t="s">
        <v>2021</v>
      </c>
      <c r="AJ552" s="31" t="s">
        <v>3137</v>
      </c>
      <c r="AK552" s="31">
        <v>0.13466</v>
      </c>
      <c r="AL552" s="31">
        <v>96.955200000000005</v>
      </c>
      <c r="AM552" s="31">
        <v>623.04480000000001</v>
      </c>
      <c r="AN552" s="31">
        <v>108.93842674841527</v>
      </c>
      <c r="AO552" s="31">
        <v>700.05033567855105</v>
      </c>
      <c r="AP552" s="31">
        <v>0.19486793254255533</v>
      </c>
      <c r="AQ552" s="31">
        <v>1.2522428096418747</v>
      </c>
      <c r="AR552" s="31">
        <v>0.13301817039062197</v>
      </c>
    </row>
    <row r="553" spans="1:44" hidden="1" x14ac:dyDescent="0.5">
      <c r="A553" s="31">
        <v>1251</v>
      </c>
      <c r="B553" s="31">
        <v>87</v>
      </c>
      <c r="C553" s="225" t="s">
        <v>20</v>
      </c>
      <c r="D553" s="32">
        <v>53.312669999999997</v>
      </c>
      <c r="E553" s="38">
        <v>4.8021700000000003</v>
      </c>
      <c r="F553">
        <v>4.97</v>
      </c>
      <c r="G553">
        <f>F553*1609.344</f>
        <v>7998.4396799999995</v>
      </c>
      <c r="H553" s="32" t="s">
        <v>614</v>
      </c>
      <c r="I553">
        <v>15</v>
      </c>
      <c r="J553">
        <v>450.347367926027</v>
      </c>
      <c r="K553" s="26">
        <v>2014</v>
      </c>
      <c r="L553" t="s">
        <v>40</v>
      </c>
      <c r="M553" s="32">
        <v>11</v>
      </c>
      <c r="N553">
        <v>1.1060976250000001</v>
      </c>
      <c r="O553">
        <v>5</v>
      </c>
      <c r="P553" t="s">
        <v>23</v>
      </c>
      <c r="Q553">
        <v>95.5</v>
      </c>
      <c r="R553" t="s">
        <v>13</v>
      </c>
      <c r="S553" t="s">
        <v>14</v>
      </c>
      <c r="T553" t="s">
        <v>14</v>
      </c>
      <c r="U553" s="34">
        <v>0</v>
      </c>
      <c r="V553" s="34">
        <v>5</v>
      </c>
      <c r="W553" s="25">
        <v>2.5</v>
      </c>
      <c r="X553" s="25">
        <v>5</v>
      </c>
      <c r="Y553" s="244">
        <v>1.788789671</v>
      </c>
      <c r="Z553" t="s">
        <v>1104</v>
      </c>
      <c r="AA553" t="s">
        <v>622</v>
      </c>
      <c r="AB553">
        <v>1</v>
      </c>
      <c r="AC553">
        <v>38.72</v>
      </c>
      <c r="AF553" t="s">
        <v>532</v>
      </c>
      <c r="AG553" s="32" t="s">
        <v>2388</v>
      </c>
      <c r="AH553" s="32" t="s">
        <v>671</v>
      </c>
      <c r="AI553" s="32" t="s">
        <v>1129</v>
      </c>
      <c r="AJ553" s="31" t="s">
        <v>1130</v>
      </c>
      <c r="AK553" s="31">
        <v>0.59524549999999998</v>
      </c>
      <c r="AL553" s="31">
        <v>23.036000850000001</v>
      </c>
      <c r="AM553" s="31">
        <v>15.663999150000002</v>
      </c>
      <c r="AN553" s="31">
        <v>26.680697203856528</v>
      </c>
      <c r="AO553" s="31">
        <v>18.142316500331962</v>
      </c>
      <c r="AP553" s="31">
        <v>4.7726155573337141E-2</v>
      </c>
      <c r="AQ553" s="31">
        <v>3.2452788363806682E-2</v>
      </c>
      <c r="AR553" s="31">
        <v>0.13142849355358946</v>
      </c>
    </row>
    <row r="554" spans="1:44" hidden="1" x14ac:dyDescent="0.5">
      <c r="A554" s="31">
        <v>226</v>
      </c>
      <c r="B554" s="31">
        <v>11</v>
      </c>
      <c r="C554" s="225" t="s">
        <v>20</v>
      </c>
      <c r="D554" s="35">
        <v>53.195999999999998</v>
      </c>
      <c r="E554" s="33">
        <v>-9.5779999999999994</v>
      </c>
      <c r="F554">
        <v>2.59</v>
      </c>
      <c r="G554">
        <f>F554*1609.344</f>
        <v>4168.2009600000001</v>
      </c>
      <c r="H554" s="32" t="s">
        <v>614</v>
      </c>
      <c r="I554" s="7">
        <v>46</v>
      </c>
      <c r="J554">
        <v>41.079388774445803</v>
      </c>
      <c r="K554" s="26">
        <v>2014</v>
      </c>
      <c r="L554" t="s">
        <v>30</v>
      </c>
      <c r="M554" s="32">
        <v>250</v>
      </c>
      <c r="N554">
        <v>30.131484459999999</v>
      </c>
      <c r="O554">
        <v>5</v>
      </c>
      <c r="P554" t="s">
        <v>52</v>
      </c>
      <c r="Q554">
        <v>89</v>
      </c>
      <c r="R554" t="s">
        <v>13</v>
      </c>
      <c r="S554" t="s">
        <v>14</v>
      </c>
      <c r="T554" t="s">
        <v>14</v>
      </c>
      <c r="U554" s="34">
        <v>1</v>
      </c>
      <c r="V554" s="34">
        <v>1.5</v>
      </c>
      <c r="W554" s="25">
        <v>1.25</v>
      </c>
      <c r="X554" s="25">
        <v>0.5</v>
      </c>
      <c r="Y554" s="244">
        <v>1.5753479850000001</v>
      </c>
      <c r="Z554" t="s">
        <v>1102</v>
      </c>
      <c r="AA554" t="s">
        <v>622</v>
      </c>
      <c r="AB554">
        <v>1</v>
      </c>
      <c r="AC554">
        <v>0</v>
      </c>
      <c r="AF554" t="s">
        <v>667</v>
      </c>
      <c r="AG554" s="32">
        <v>0</v>
      </c>
      <c r="AH554" s="32" t="s">
        <v>671</v>
      </c>
      <c r="AI554" s="32" t="s">
        <v>1129</v>
      </c>
      <c r="AJ554" s="31" t="s">
        <v>1130</v>
      </c>
      <c r="AK554" s="31">
        <v>0.59524549999999998</v>
      </c>
      <c r="AL554" s="31">
        <v>0</v>
      </c>
      <c r="AM554" s="31">
        <v>0</v>
      </c>
      <c r="AN554" s="31">
        <v>0</v>
      </c>
      <c r="AO554" s="31">
        <v>0</v>
      </c>
      <c r="AP554" s="31">
        <v>0</v>
      </c>
      <c r="AQ554" s="31">
        <v>0</v>
      </c>
      <c r="AR554" s="31">
        <v>0.12740920622182608</v>
      </c>
    </row>
    <row r="555" spans="1:44" hidden="1" x14ac:dyDescent="0.5">
      <c r="A555" s="31">
        <v>554</v>
      </c>
      <c r="B555" s="31">
        <v>39</v>
      </c>
      <c r="C555" s="225" t="s">
        <v>43</v>
      </c>
      <c r="D555" s="35">
        <v>55.051735999999998</v>
      </c>
      <c r="E555" s="33">
        <v>19.191984000000001</v>
      </c>
      <c r="F555">
        <v>31.93</v>
      </c>
      <c r="G555">
        <f>F555*1609.344</f>
        <v>51386.353920000001</v>
      </c>
      <c r="H555" s="32" t="s">
        <v>614</v>
      </c>
      <c r="I555">
        <v>70</v>
      </c>
      <c r="J555">
        <v>367.83588031620002</v>
      </c>
      <c r="K555" s="26">
        <v>2015</v>
      </c>
      <c r="L555" t="s">
        <v>30</v>
      </c>
      <c r="M555" s="32">
        <v>100</v>
      </c>
      <c r="N555">
        <v>11.428783320000001</v>
      </c>
      <c r="O555">
        <v>5</v>
      </c>
      <c r="P555" t="s">
        <v>12</v>
      </c>
      <c r="Q555">
        <v>89</v>
      </c>
      <c r="R555" t="s">
        <v>13</v>
      </c>
      <c r="S555" t="s">
        <v>14</v>
      </c>
      <c r="T555" t="s">
        <v>14</v>
      </c>
      <c r="U555" s="34">
        <v>0</v>
      </c>
      <c r="V555" s="34">
        <v>1</v>
      </c>
      <c r="W555" s="25">
        <v>0.5</v>
      </c>
      <c r="X555" s="25">
        <v>1</v>
      </c>
      <c r="Y555">
        <v>0.54424737074999996</v>
      </c>
      <c r="Z555" t="s">
        <v>754</v>
      </c>
      <c r="AA555" t="s">
        <v>620</v>
      </c>
      <c r="AB555">
        <v>1</v>
      </c>
      <c r="AC555">
        <v>0</v>
      </c>
      <c r="AF555" t="s">
        <v>532</v>
      </c>
      <c r="AG555" s="32">
        <v>0</v>
      </c>
      <c r="AH555" s="32" t="s">
        <v>671</v>
      </c>
      <c r="AI555" s="32" t="s">
        <v>1129</v>
      </c>
      <c r="AJ555" s="31" t="s">
        <v>1130</v>
      </c>
      <c r="AK555" s="31">
        <v>0.59524549999999998</v>
      </c>
      <c r="AL555" s="31">
        <v>0</v>
      </c>
      <c r="AM555" s="31">
        <v>0</v>
      </c>
      <c r="AN555" s="31">
        <v>0</v>
      </c>
      <c r="AO555" s="31">
        <v>0</v>
      </c>
      <c r="AP555" s="31">
        <v>0</v>
      </c>
      <c r="AQ555" s="31">
        <v>0</v>
      </c>
      <c r="AR555" s="31">
        <v>0.12438211290744003</v>
      </c>
    </row>
    <row r="556" spans="1:44" hidden="1" x14ac:dyDescent="0.5">
      <c r="A556" s="31">
        <v>555</v>
      </c>
      <c r="B556" s="31">
        <v>39</v>
      </c>
      <c r="C556" s="225" t="s">
        <v>43</v>
      </c>
      <c r="D556" s="35">
        <v>54.566496000000001</v>
      </c>
      <c r="E556" s="33">
        <v>19.118888999999999</v>
      </c>
      <c r="F556">
        <v>14.26</v>
      </c>
      <c r="G556">
        <f>F556*1609.344</f>
        <v>22949.245439999999</v>
      </c>
      <c r="H556" s="32" t="s">
        <v>614</v>
      </c>
      <c r="I556">
        <v>106</v>
      </c>
      <c r="J556">
        <v>200.81195029969399</v>
      </c>
      <c r="K556" s="26">
        <v>2015</v>
      </c>
      <c r="L556" t="s">
        <v>30</v>
      </c>
      <c r="M556" s="32">
        <v>100</v>
      </c>
      <c r="N556">
        <v>11.428783320000001</v>
      </c>
      <c r="O556">
        <v>5</v>
      </c>
      <c r="P556" t="s">
        <v>12</v>
      </c>
      <c r="Q556">
        <v>89</v>
      </c>
      <c r="R556" t="s">
        <v>13</v>
      </c>
      <c r="S556" t="s">
        <v>14</v>
      </c>
      <c r="T556" t="s">
        <v>14</v>
      </c>
      <c r="U556" s="34">
        <v>0</v>
      </c>
      <c r="V556" s="34">
        <v>1</v>
      </c>
      <c r="W556" s="25">
        <v>0.5</v>
      </c>
      <c r="X556" s="25">
        <v>1</v>
      </c>
      <c r="Y556">
        <v>0.54424737074999996</v>
      </c>
      <c r="Z556" t="s">
        <v>754</v>
      </c>
      <c r="AA556" t="s">
        <v>620</v>
      </c>
      <c r="AB556">
        <v>1</v>
      </c>
      <c r="AC556">
        <v>3</v>
      </c>
      <c r="AF556" t="s">
        <v>532</v>
      </c>
      <c r="AG556" s="32">
        <v>3</v>
      </c>
      <c r="AH556" s="32" t="s">
        <v>1562</v>
      </c>
      <c r="AI556" s="32" t="s">
        <v>1567</v>
      </c>
      <c r="AJ556" s="31" t="s">
        <v>1136</v>
      </c>
      <c r="AK556" s="31">
        <v>0.73</v>
      </c>
      <c r="AL556" s="31">
        <v>2.19</v>
      </c>
      <c r="AM556" s="31">
        <v>0.81</v>
      </c>
      <c r="AN556" s="31">
        <v>28.12251176494382</v>
      </c>
      <c r="AO556" s="31">
        <v>10.401476954157305</v>
      </c>
      <c r="AP556" s="31">
        <v>1.5305603086956615E-2</v>
      </c>
      <c r="AQ556" s="31">
        <v>5.6609764842168314E-3</v>
      </c>
      <c r="AR556" s="31">
        <v>0.11997578770815034</v>
      </c>
    </row>
    <row r="557" spans="1:44" hidden="1" x14ac:dyDescent="0.5">
      <c r="A557" s="31">
        <v>227</v>
      </c>
      <c r="B557" s="31">
        <v>11</v>
      </c>
      <c r="C557" s="225" t="s">
        <v>20</v>
      </c>
      <c r="D557" s="35">
        <v>53.195999999999998</v>
      </c>
      <c r="E557" s="33">
        <v>-9.5779999999999994</v>
      </c>
      <c r="F557">
        <v>2.59</v>
      </c>
      <c r="G557">
        <f>F557*1609.344</f>
        <v>4168.2009600000001</v>
      </c>
      <c r="H557" s="32" t="s">
        <v>614</v>
      </c>
      <c r="I557" s="7">
        <v>46</v>
      </c>
      <c r="J557">
        <v>41.079388774445803</v>
      </c>
      <c r="K557" s="26">
        <v>2014</v>
      </c>
      <c r="L557" t="s">
        <v>30</v>
      </c>
      <c r="M557" s="32">
        <v>250</v>
      </c>
      <c r="N557">
        <v>30.131484459999999</v>
      </c>
      <c r="O557">
        <v>5</v>
      </c>
      <c r="P557" t="s">
        <v>52</v>
      </c>
      <c r="Q557">
        <v>89</v>
      </c>
      <c r="R557" t="s">
        <v>13</v>
      </c>
      <c r="S557" t="s">
        <v>14</v>
      </c>
      <c r="T557" t="s">
        <v>14</v>
      </c>
      <c r="U557" s="34">
        <v>3</v>
      </c>
      <c r="V557" s="34">
        <v>3.5</v>
      </c>
      <c r="W557" s="25">
        <v>3.25</v>
      </c>
      <c r="X557" s="25">
        <v>0.5</v>
      </c>
      <c r="Y557" s="244">
        <v>1.5753479850000001</v>
      </c>
      <c r="Z557" t="s">
        <v>1102</v>
      </c>
      <c r="AA557" t="s">
        <v>622</v>
      </c>
      <c r="AB557">
        <v>1</v>
      </c>
      <c r="AC557">
        <v>0</v>
      </c>
      <c r="AF557" t="s">
        <v>667</v>
      </c>
      <c r="AG557" s="32">
        <v>0</v>
      </c>
      <c r="AH557" s="32" t="s">
        <v>671</v>
      </c>
      <c r="AI557" s="32" t="s">
        <v>1129</v>
      </c>
      <c r="AJ557" s="31" t="s">
        <v>1130</v>
      </c>
      <c r="AK557" s="31">
        <v>0.59524549999999998</v>
      </c>
      <c r="AL557" s="31">
        <v>0</v>
      </c>
      <c r="AM557" s="31">
        <v>0</v>
      </c>
      <c r="AN557" s="31">
        <v>0</v>
      </c>
      <c r="AO557" s="31">
        <v>0</v>
      </c>
      <c r="AP557" s="31">
        <v>0</v>
      </c>
      <c r="AQ557" s="31">
        <v>0</v>
      </c>
      <c r="AR557" s="31">
        <v>0.12740920622182608</v>
      </c>
    </row>
    <row r="558" spans="1:44" hidden="1" x14ac:dyDescent="0.5">
      <c r="A558" s="31">
        <v>228</v>
      </c>
      <c r="B558" s="31">
        <v>11</v>
      </c>
      <c r="C558" s="225" t="s">
        <v>20</v>
      </c>
      <c r="D558" s="35">
        <v>53.195999999999998</v>
      </c>
      <c r="E558" s="33">
        <v>-9.5779999999999994</v>
      </c>
      <c r="F558">
        <v>2.59</v>
      </c>
      <c r="G558">
        <f>F558*1609.344</f>
        <v>4168.2009600000001</v>
      </c>
      <c r="H558" s="32" t="s">
        <v>614</v>
      </c>
      <c r="I558" s="7">
        <v>46</v>
      </c>
      <c r="J558">
        <v>41.079388774445803</v>
      </c>
      <c r="K558" s="26">
        <v>2014</v>
      </c>
      <c r="L558" t="s">
        <v>30</v>
      </c>
      <c r="M558" s="32">
        <v>250</v>
      </c>
      <c r="N558">
        <v>30.131484459999999</v>
      </c>
      <c r="O558">
        <v>5</v>
      </c>
      <c r="P558" t="s">
        <v>52</v>
      </c>
      <c r="Q558">
        <v>89</v>
      </c>
      <c r="R558" t="s">
        <v>13</v>
      </c>
      <c r="S558" t="s">
        <v>14</v>
      </c>
      <c r="T558" t="s">
        <v>14</v>
      </c>
      <c r="U558" s="34">
        <v>2</v>
      </c>
      <c r="V558" s="34">
        <v>2.5</v>
      </c>
      <c r="W558" s="25">
        <v>2.25</v>
      </c>
      <c r="X558" s="25">
        <v>0.5</v>
      </c>
      <c r="Y558" s="244">
        <v>1.5753479850000001</v>
      </c>
      <c r="Z558" t="s">
        <v>1102</v>
      </c>
      <c r="AA558" t="s">
        <v>622</v>
      </c>
      <c r="AB558">
        <v>1</v>
      </c>
      <c r="AC558">
        <v>1</v>
      </c>
      <c r="AF558" t="s">
        <v>667</v>
      </c>
      <c r="AG558" s="32" t="s">
        <v>1231</v>
      </c>
      <c r="AH558" s="32" t="s">
        <v>1151</v>
      </c>
      <c r="AI558" s="32" t="s">
        <v>1232</v>
      </c>
      <c r="AJ558" s="31" t="s">
        <v>2755</v>
      </c>
      <c r="AK558" s="31">
        <v>0.85</v>
      </c>
      <c r="AL558" s="31">
        <v>31.739019236438729</v>
      </c>
      <c r="AM558" s="31">
        <v>5.6010033946656606</v>
      </c>
      <c r="AN558" s="31">
        <v>1074.5435560656119</v>
      </c>
      <c r="AO558" s="31">
        <v>189.62533342334336</v>
      </c>
      <c r="AP558" s="31">
        <v>1.6927800258426966</v>
      </c>
      <c r="AQ558" s="31">
        <v>0.29872588691341712</v>
      </c>
      <c r="AR558" s="31">
        <v>0.12740920622182608</v>
      </c>
    </row>
    <row r="559" spans="1:44" hidden="1" x14ac:dyDescent="0.5">
      <c r="A559" s="31">
        <v>229</v>
      </c>
      <c r="B559" s="31">
        <v>11</v>
      </c>
      <c r="C559" s="225" t="s">
        <v>20</v>
      </c>
      <c r="D559" s="35">
        <v>53.195999999999998</v>
      </c>
      <c r="E559" s="33">
        <v>-9.5779999999999994</v>
      </c>
      <c r="F559">
        <v>2.59</v>
      </c>
      <c r="G559">
        <f>F559*1609.344</f>
        <v>4168.2009600000001</v>
      </c>
      <c r="H559" s="32" t="s">
        <v>614</v>
      </c>
      <c r="I559" s="7">
        <v>46</v>
      </c>
      <c r="J559">
        <v>41.079388774445803</v>
      </c>
      <c r="K559" s="26">
        <v>2014</v>
      </c>
      <c r="L559" t="s">
        <v>30</v>
      </c>
      <c r="M559" s="32">
        <v>250</v>
      </c>
      <c r="N559">
        <v>30.131484459999999</v>
      </c>
      <c r="O559">
        <v>5</v>
      </c>
      <c r="P559" t="s">
        <v>52</v>
      </c>
      <c r="Q559">
        <v>89</v>
      </c>
      <c r="R559" t="s">
        <v>13</v>
      </c>
      <c r="S559" t="s">
        <v>14</v>
      </c>
      <c r="T559" t="s">
        <v>14</v>
      </c>
      <c r="U559" s="34">
        <v>2</v>
      </c>
      <c r="V559" s="34">
        <v>2.5</v>
      </c>
      <c r="W559" s="25">
        <v>2.25</v>
      </c>
      <c r="X559" s="25">
        <v>0.5</v>
      </c>
      <c r="Y559" s="244">
        <v>1.5753479850000001</v>
      </c>
      <c r="Z559" t="s">
        <v>1102</v>
      </c>
      <c r="AA559" t="s">
        <v>622</v>
      </c>
      <c r="AB559">
        <v>1</v>
      </c>
      <c r="AC559">
        <v>1</v>
      </c>
      <c r="AF559" t="s">
        <v>667</v>
      </c>
      <c r="AG559" s="32" t="s">
        <v>1231</v>
      </c>
      <c r="AH559" s="32" t="s">
        <v>1151</v>
      </c>
      <c r="AI559" s="32" t="s">
        <v>1232</v>
      </c>
      <c r="AJ559" s="31" t="s">
        <v>2755</v>
      </c>
      <c r="AK559" s="31">
        <v>0.85</v>
      </c>
      <c r="AL559" s="31">
        <v>31.739019236438729</v>
      </c>
      <c r="AM559" s="31">
        <v>5.6010033946656606</v>
      </c>
      <c r="AN559" s="31">
        <v>1074.5435560656119</v>
      </c>
      <c r="AO559" s="31">
        <v>189.62533342334336</v>
      </c>
      <c r="AP559" s="31">
        <v>1.6927800258426966</v>
      </c>
      <c r="AQ559" s="31">
        <v>0.29872588691341712</v>
      </c>
      <c r="AR559" s="31">
        <v>0.12740920622182608</v>
      </c>
    </row>
    <row r="560" spans="1:44" hidden="1" x14ac:dyDescent="0.5">
      <c r="A560" s="31">
        <v>230</v>
      </c>
      <c r="B560" s="31">
        <v>11</v>
      </c>
      <c r="C560" s="225" t="s">
        <v>20</v>
      </c>
      <c r="D560" s="35">
        <v>53.195999999999998</v>
      </c>
      <c r="E560" s="33">
        <v>-9.5779999999999994</v>
      </c>
      <c r="F560">
        <v>2.59</v>
      </c>
      <c r="G560">
        <f>F560*1609.344</f>
        <v>4168.2009600000001</v>
      </c>
      <c r="H560" s="32" t="s">
        <v>614</v>
      </c>
      <c r="I560" s="7">
        <v>46</v>
      </c>
      <c r="J560">
        <v>41.079388774445803</v>
      </c>
      <c r="K560" s="26">
        <v>2014</v>
      </c>
      <c r="L560" t="s">
        <v>30</v>
      </c>
      <c r="M560" s="32">
        <v>250</v>
      </c>
      <c r="N560">
        <v>30.131484459999999</v>
      </c>
      <c r="O560">
        <v>5</v>
      </c>
      <c r="P560" t="s">
        <v>52</v>
      </c>
      <c r="Q560">
        <v>89</v>
      </c>
      <c r="R560" t="s">
        <v>13</v>
      </c>
      <c r="S560" t="s">
        <v>14</v>
      </c>
      <c r="T560" t="s">
        <v>14</v>
      </c>
      <c r="U560" s="34">
        <v>3</v>
      </c>
      <c r="V560" s="34">
        <v>3.5</v>
      </c>
      <c r="W560" s="25">
        <v>3.25</v>
      </c>
      <c r="X560" s="25">
        <v>0.5</v>
      </c>
      <c r="Y560" s="244">
        <v>1.5753479850000001</v>
      </c>
      <c r="Z560" t="s">
        <v>1102</v>
      </c>
      <c r="AA560" t="s">
        <v>622</v>
      </c>
      <c r="AB560">
        <v>1</v>
      </c>
      <c r="AC560">
        <v>1</v>
      </c>
      <c r="AF560" t="s">
        <v>667</v>
      </c>
      <c r="AG560" s="32" t="s">
        <v>1231</v>
      </c>
      <c r="AH560" s="32" t="s">
        <v>1151</v>
      </c>
      <c r="AI560" s="32" t="s">
        <v>1232</v>
      </c>
      <c r="AJ560" s="31" t="s">
        <v>2755</v>
      </c>
      <c r="AK560" s="31">
        <v>0.85</v>
      </c>
      <c r="AL560" s="31">
        <v>31.739019236438729</v>
      </c>
      <c r="AM560" s="31">
        <v>5.6010033946656606</v>
      </c>
      <c r="AN560" s="31">
        <v>1074.5435560656119</v>
      </c>
      <c r="AO560" s="31">
        <v>189.62533342334336</v>
      </c>
      <c r="AP560" s="31">
        <v>1.6927800258426966</v>
      </c>
      <c r="AQ560" s="31">
        <v>0.29872588691341712</v>
      </c>
      <c r="AR560" s="31">
        <v>0.12740920622182608</v>
      </c>
    </row>
    <row r="561" spans="1:44" hidden="1" x14ac:dyDescent="0.5">
      <c r="A561" s="31">
        <v>231</v>
      </c>
      <c r="B561" s="31">
        <v>11</v>
      </c>
      <c r="C561" s="225" t="s">
        <v>20</v>
      </c>
      <c r="D561" s="35">
        <v>53.195999999999998</v>
      </c>
      <c r="E561" s="33">
        <v>-9.5779999999999994</v>
      </c>
      <c r="F561">
        <v>2.59</v>
      </c>
      <c r="G561">
        <f>F561*1609.344</f>
        <v>4168.2009600000001</v>
      </c>
      <c r="H561" s="32" t="s">
        <v>614</v>
      </c>
      <c r="I561" s="7">
        <v>46</v>
      </c>
      <c r="J561">
        <v>41.079388774445803</v>
      </c>
      <c r="K561" s="26">
        <v>2014</v>
      </c>
      <c r="L561" t="s">
        <v>30</v>
      </c>
      <c r="M561" s="32">
        <v>250</v>
      </c>
      <c r="N561">
        <v>30.131484459999999</v>
      </c>
      <c r="O561">
        <v>5</v>
      </c>
      <c r="P561" t="s">
        <v>52</v>
      </c>
      <c r="Q561">
        <v>89</v>
      </c>
      <c r="R561" t="s">
        <v>13</v>
      </c>
      <c r="S561" t="s">
        <v>14</v>
      </c>
      <c r="T561" t="s">
        <v>14</v>
      </c>
      <c r="U561" s="34">
        <v>0</v>
      </c>
      <c r="V561" s="34">
        <v>0.5</v>
      </c>
      <c r="W561" s="25">
        <v>0.25</v>
      </c>
      <c r="X561" s="25">
        <v>0.5</v>
      </c>
      <c r="Y561" s="244">
        <v>1.5753479850000001</v>
      </c>
      <c r="Z561" t="s">
        <v>1102</v>
      </c>
      <c r="AA561" t="s">
        <v>622</v>
      </c>
      <c r="AB561">
        <v>1</v>
      </c>
      <c r="AC561">
        <v>2</v>
      </c>
      <c r="AF561" t="s">
        <v>667</v>
      </c>
      <c r="AG561" s="32" t="s">
        <v>1233</v>
      </c>
      <c r="AH561" s="32" t="s">
        <v>1151</v>
      </c>
      <c r="AI561" s="32" t="s">
        <v>1234</v>
      </c>
      <c r="AJ561" s="31" t="s">
        <v>2756</v>
      </c>
      <c r="AK561" s="31">
        <v>0.85</v>
      </c>
      <c r="AL561" s="31">
        <v>63.478038472877458</v>
      </c>
      <c r="AM561" s="31">
        <v>11.202006789331321</v>
      </c>
      <c r="AN561" s="31">
        <v>2149.0871121312239</v>
      </c>
      <c r="AO561" s="31">
        <v>379.25066684668673</v>
      </c>
      <c r="AP561" s="31">
        <v>3.3855600516853932</v>
      </c>
      <c r="AQ561" s="31">
        <v>0.59745177382683423</v>
      </c>
      <c r="AR561" s="31">
        <v>0.12740920622182608</v>
      </c>
    </row>
    <row r="562" spans="1:44" hidden="1" x14ac:dyDescent="0.5">
      <c r="A562" s="31">
        <v>232</v>
      </c>
      <c r="B562" s="31">
        <v>11</v>
      </c>
      <c r="C562" s="225" t="s">
        <v>20</v>
      </c>
      <c r="D562" s="35">
        <v>53.195999999999998</v>
      </c>
      <c r="E562" s="33">
        <v>-9.5779999999999994</v>
      </c>
      <c r="F562">
        <v>2.59</v>
      </c>
      <c r="G562">
        <f>F562*1609.344</f>
        <v>4168.2009600000001</v>
      </c>
      <c r="H562" s="32" t="s">
        <v>614</v>
      </c>
      <c r="I562" s="7">
        <v>46</v>
      </c>
      <c r="J562">
        <v>41.079388774445803</v>
      </c>
      <c r="K562" s="26">
        <v>2014</v>
      </c>
      <c r="L562" t="s">
        <v>30</v>
      </c>
      <c r="M562" s="32">
        <v>250</v>
      </c>
      <c r="N562">
        <v>30.131484459999999</v>
      </c>
      <c r="O562">
        <v>5</v>
      </c>
      <c r="P562" t="s">
        <v>52</v>
      </c>
      <c r="Q562">
        <v>89</v>
      </c>
      <c r="R562" t="s">
        <v>13</v>
      </c>
      <c r="S562" t="s">
        <v>14</v>
      </c>
      <c r="T562" t="s">
        <v>14</v>
      </c>
      <c r="U562" s="34">
        <v>1</v>
      </c>
      <c r="V562" s="34">
        <v>1.5</v>
      </c>
      <c r="W562" s="25">
        <v>1.25</v>
      </c>
      <c r="X562" s="25">
        <v>0.5</v>
      </c>
      <c r="Y562" s="244">
        <v>1.5753479850000001</v>
      </c>
      <c r="Z562" t="s">
        <v>1102</v>
      </c>
      <c r="AA562" t="s">
        <v>622</v>
      </c>
      <c r="AB562">
        <v>1</v>
      </c>
      <c r="AC562">
        <v>2</v>
      </c>
      <c r="AF562" t="s">
        <v>667</v>
      </c>
      <c r="AG562" s="32" t="s">
        <v>1233</v>
      </c>
      <c r="AH562" s="32" t="s">
        <v>1151</v>
      </c>
      <c r="AI562" s="32" t="s">
        <v>1234</v>
      </c>
      <c r="AJ562" s="31" t="s">
        <v>2756</v>
      </c>
      <c r="AK562" s="31">
        <v>0.85</v>
      </c>
      <c r="AL562" s="31">
        <v>63.478038472877458</v>
      </c>
      <c r="AM562" s="31">
        <v>11.202006789331321</v>
      </c>
      <c r="AN562" s="31">
        <v>2149.0871121312239</v>
      </c>
      <c r="AO562" s="31">
        <v>379.25066684668673</v>
      </c>
      <c r="AP562" s="31">
        <v>3.3855600516853932</v>
      </c>
      <c r="AQ562" s="31">
        <v>0.59745177382683423</v>
      </c>
      <c r="AR562" s="31">
        <v>0.12740920622182608</v>
      </c>
    </row>
    <row r="563" spans="1:44" hidden="1" x14ac:dyDescent="0.5">
      <c r="A563" s="31">
        <v>233</v>
      </c>
      <c r="B563" s="31">
        <v>11</v>
      </c>
      <c r="C563" s="225" t="s">
        <v>20</v>
      </c>
      <c r="D563" s="35">
        <v>53.195999999999998</v>
      </c>
      <c r="E563" s="33">
        <v>-9.5779999999999994</v>
      </c>
      <c r="F563">
        <v>2.59</v>
      </c>
      <c r="G563">
        <f>F563*1609.344</f>
        <v>4168.2009600000001</v>
      </c>
      <c r="H563" s="32" t="s">
        <v>614</v>
      </c>
      <c r="I563" s="7">
        <v>46</v>
      </c>
      <c r="J563">
        <v>41.079388774445803</v>
      </c>
      <c r="K563" s="26">
        <v>2014</v>
      </c>
      <c r="L563" t="s">
        <v>30</v>
      </c>
      <c r="M563" s="32">
        <v>250</v>
      </c>
      <c r="N563">
        <v>30.131484459999999</v>
      </c>
      <c r="O563">
        <v>5</v>
      </c>
      <c r="P563" t="s">
        <v>52</v>
      </c>
      <c r="Q563">
        <v>89</v>
      </c>
      <c r="R563" t="s">
        <v>13</v>
      </c>
      <c r="S563" t="s">
        <v>14</v>
      </c>
      <c r="T563" t="s">
        <v>14</v>
      </c>
      <c r="U563" s="34">
        <v>0</v>
      </c>
      <c r="V563" s="34">
        <v>0.5</v>
      </c>
      <c r="W563" s="25">
        <v>0.25</v>
      </c>
      <c r="X563" s="25">
        <v>0.5</v>
      </c>
      <c r="Y563" s="244">
        <v>1.5753479850000001</v>
      </c>
      <c r="Z563" t="s">
        <v>1102</v>
      </c>
      <c r="AA563" t="s">
        <v>622</v>
      </c>
      <c r="AB563">
        <v>1</v>
      </c>
      <c r="AC563">
        <v>5</v>
      </c>
      <c r="AF563" t="s">
        <v>667</v>
      </c>
      <c r="AG563" s="32" t="s">
        <v>1239</v>
      </c>
      <c r="AH563" s="32" t="s">
        <v>1151</v>
      </c>
      <c r="AI563" s="32" t="s">
        <v>1240</v>
      </c>
      <c r="AJ563" s="31" t="s">
        <v>2759</v>
      </c>
      <c r="AK563" s="31">
        <v>0.85</v>
      </c>
      <c r="AL563" s="31">
        <v>158.69509618219365</v>
      </c>
      <c r="AM563" s="31">
        <v>28.00501697332831</v>
      </c>
      <c r="AN563" s="31">
        <v>5372.7177803280601</v>
      </c>
      <c r="AO563" s="31">
        <v>948.12666711671693</v>
      </c>
      <c r="AP563" s="31">
        <v>8.4639001292134832</v>
      </c>
      <c r="AQ563" s="31">
        <v>1.4936294345670857</v>
      </c>
      <c r="AR563" s="31">
        <v>0.12740920622182608</v>
      </c>
    </row>
    <row r="564" spans="1:44" hidden="1" x14ac:dyDescent="0.5">
      <c r="A564" s="31">
        <v>1262</v>
      </c>
      <c r="B564" s="31">
        <v>87</v>
      </c>
      <c r="C564" s="225" t="s">
        <v>20</v>
      </c>
      <c r="D564" s="32">
        <v>53.11083</v>
      </c>
      <c r="E564" s="38">
        <v>4.5613299999999999</v>
      </c>
      <c r="F564">
        <v>4.16</v>
      </c>
      <c r="G564">
        <f>F564*1609.344</f>
        <v>6694.87104</v>
      </c>
      <c r="H564" s="32" t="s">
        <v>614</v>
      </c>
      <c r="I564">
        <v>22</v>
      </c>
      <c r="J564">
        <v>629.68419013031996</v>
      </c>
      <c r="K564" s="26">
        <v>2014</v>
      </c>
      <c r="L564" t="s">
        <v>40</v>
      </c>
      <c r="M564" s="32">
        <v>11</v>
      </c>
      <c r="N564">
        <v>1.1060976250000001</v>
      </c>
      <c r="O564">
        <v>5</v>
      </c>
      <c r="P564" t="s">
        <v>23</v>
      </c>
      <c r="Q564">
        <v>95.5</v>
      </c>
      <c r="R564" t="s">
        <v>13</v>
      </c>
      <c r="S564" t="s">
        <v>14</v>
      </c>
      <c r="T564" t="s">
        <v>14</v>
      </c>
      <c r="U564" s="34">
        <v>0</v>
      </c>
      <c r="V564" s="34">
        <v>5</v>
      </c>
      <c r="W564" s="25">
        <v>2.5</v>
      </c>
      <c r="X564" s="25">
        <v>5</v>
      </c>
      <c r="Y564" s="244">
        <v>1.788789671</v>
      </c>
      <c r="Z564" t="s">
        <v>1104</v>
      </c>
      <c r="AA564" t="s">
        <v>622</v>
      </c>
      <c r="AB564">
        <v>1</v>
      </c>
      <c r="AC564">
        <v>539.41</v>
      </c>
      <c r="AF564" t="s">
        <v>532</v>
      </c>
      <c r="AG564" s="32" t="s">
        <v>2398</v>
      </c>
      <c r="AH564" s="32" t="s">
        <v>671</v>
      </c>
      <c r="AI564" s="32" t="s">
        <v>1129</v>
      </c>
      <c r="AJ564" s="31" t="s">
        <v>1130</v>
      </c>
      <c r="AK564" s="31">
        <v>0.59524549999999998</v>
      </c>
      <c r="AL564" s="31">
        <v>321.07542269999999</v>
      </c>
      <c r="AM564" s="31">
        <v>218.32457729999999</v>
      </c>
      <c r="AN564" s="31">
        <v>371.87514397313203</v>
      </c>
      <c r="AO564" s="31">
        <v>252.86732610540201</v>
      </c>
      <c r="AP564" s="31">
        <v>0.66520641644077649</v>
      </c>
      <c r="AQ564" s="31">
        <v>0.45232646107073177</v>
      </c>
      <c r="AR564" s="31">
        <v>0.13050997004815151</v>
      </c>
    </row>
    <row r="565" spans="1:44" hidden="1" x14ac:dyDescent="0.5">
      <c r="A565" s="31">
        <v>218</v>
      </c>
      <c r="B565" s="31">
        <v>11</v>
      </c>
      <c r="C565" s="225" t="s">
        <v>20</v>
      </c>
      <c r="D565" s="35">
        <v>53.064</v>
      </c>
      <c r="E565" s="33">
        <v>-10.047000000000001</v>
      </c>
      <c r="F565">
        <v>9.92</v>
      </c>
      <c r="G565">
        <f>F565*1609.344</f>
        <v>15964.69248</v>
      </c>
      <c r="H565" s="32" t="s">
        <v>614</v>
      </c>
      <c r="I565" s="7">
        <v>101</v>
      </c>
      <c r="J565">
        <v>31.251049873862002</v>
      </c>
      <c r="K565" s="26">
        <v>2014</v>
      </c>
      <c r="L565" t="s">
        <v>30</v>
      </c>
      <c r="M565" s="32">
        <v>250</v>
      </c>
      <c r="N565">
        <v>30.131484459999999</v>
      </c>
      <c r="O565">
        <v>5</v>
      </c>
      <c r="P565" t="s">
        <v>52</v>
      </c>
      <c r="Q565">
        <v>89</v>
      </c>
      <c r="R565" t="s">
        <v>13</v>
      </c>
      <c r="S565" t="s">
        <v>14</v>
      </c>
      <c r="T565" t="s">
        <v>14</v>
      </c>
      <c r="U565" s="34">
        <v>0</v>
      </c>
      <c r="V565" s="34">
        <v>0.5</v>
      </c>
      <c r="W565" s="25">
        <v>0.25</v>
      </c>
      <c r="X565" s="25">
        <v>0.5</v>
      </c>
      <c r="Y565" s="244">
        <v>1.5753479850000001</v>
      </c>
      <c r="Z565" t="s">
        <v>1102</v>
      </c>
      <c r="AA565" t="s">
        <v>622</v>
      </c>
      <c r="AB565">
        <v>1</v>
      </c>
      <c r="AC565">
        <v>0</v>
      </c>
      <c r="AF565" t="s">
        <v>667</v>
      </c>
      <c r="AG565" s="32">
        <v>0</v>
      </c>
      <c r="AH565" s="32" t="s">
        <v>671</v>
      </c>
      <c r="AI565" s="32" t="s">
        <v>1129</v>
      </c>
      <c r="AJ565" s="31" t="s">
        <v>1130</v>
      </c>
      <c r="AK565" s="31">
        <v>0.59524549999999998</v>
      </c>
      <c r="AL565" s="31">
        <v>0</v>
      </c>
      <c r="AM565" s="31">
        <v>0</v>
      </c>
      <c r="AN565" s="31">
        <v>0</v>
      </c>
      <c r="AO565" s="31">
        <v>0</v>
      </c>
      <c r="AP565" s="31">
        <v>0</v>
      </c>
      <c r="AQ565" s="31">
        <v>0</v>
      </c>
      <c r="AR565" s="31">
        <v>0.12057831483299125</v>
      </c>
    </row>
    <row r="566" spans="1:44" hidden="1" x14ac:dyDescent="0.5">
      <c r="A566" s="31">
        <v>219</v>
      </c>
      <c r="B566" s="31">
        <v>11</v>
      </c>
      <c r="C566" s="225" t="s">
        <v>20</v>
      </c>
      <c r="D566" s="35">
        <v>53.064</v>
      </c>
      <c r="E566" s="33">
        <v>-10.047000000000001</v>
      </c>
      <c r="F566">
        <v>9.92</v>
      </c>
      <c r="G566">
        <f>F566*1609.344</f>
        <v>15964.69248</v>
      </c>
      <c r="H566" s="32" t="s">
        <v>614</v>
      </c>
      <c r="I566" s="7">
        <v>101</v>
      </c>
      <c r="J566">
        <v>31.251049873862002</v>
      </c>
      <c r="K566" s="26">
        <v>2014</v>
      </c>
      <c r="L566" t="s">
        <v>30</v>
      </c>
      <c r="M566" s="32">
        <v>250</v>
      </c>
      <c r="N566">
        <v>30.131484459999999</v>
      </c>
      <c r="O566">
        <v>5</v>
      </c>
      <c r="P566" t="s">
        <v>52</v>
      </c>
      <c r="Q566">
        <v>89</v>
      </c>
      <c r="R566" t="s">
        <v>13</v>
      </c>
      <c r="S566" t="s">
        <v>14</v>
      </c>
      <c r="T566" t="s">
        <v>14</v>
      </c>
      <c r="U566" s="34">
        <v>0</v>
      </c>
      <c r="V566" s="34">
        <v>0.5</v>
      </c>
      <c r="W566" s="25">
        <v>0.25</v>
      </c>
      <c r="X566" s="25">
        <v>0.5</v>
      </c>
      <c r="Y566" s="244">
        <v>1.5753479850000001</v>
      </c>
      <c r="Z566" t="s">
        <v>1102</v>
      </c>
      <c r="AA566" t="s">
        <v>622</v>
      </c>
      <c r="AB566">
        <v>1</v>
      </c>
      <c r="AC566">
        <v>0</v>
      </c>
      <c r="AF566" t="s">
        <v>667</v>
      </c>
      <c r="AG566" s="32">
        <v>0</v>
      </c>
      <c r="AH566" s="32" t="s">
        <v>671</v>
      </c>
      <c r="AI566" s="32" t="s">
        <v>1129</v>
      </c>
      <c r="AJ566" s="31" t="s">
        <v>1130</v>
      </c>
      <c r="AK566" s="31">
        <v>0.59524549999999998</v>
      </c>
      <c r="AL566" s="31">
        <v>0</v>
      </c>
      <c r="AM566" s="31">
        <v>0</v>
      </c>
      <c r="AN566" s="31">
        <v>0</v>
      </c>
      <c r="AO566" s="31">
        <v>0</v>
      </c>
      <c r="AP566" s="31">
        <v>0</v>
      </c>
      <c r="AQ566" s="31">
        <v>0</v>
      </c>
      <c r="AR566" s="31">
        <v>0.12057831483299125</v>
      </c>
    </row>
    <row r="567" spans="1:44" hidden="1" x14ac:dyDescent="0.5">
      <c r="A567" s="31">
        <v>220</v>
      </c>
      <c r="B567" s="31">
        <v>11</v>
      </c>
      <c r="C567" s="225" t="s">
        <v>20</v>
      </c>
      <c r="D567" s="35">
        <v>53.064</v>
      </c>
      <c r="E567" s="33">
        <v>-10.047000000000001</v>
      </c>
      <c r="F567">
        <v>9.92</v>
      </c>
      <c r="G567">
        <f>F567*1609.344</f>
        <v>15964.69248</v>
      </c>
      <c r="H567" s="32" t="s">
        <v>614</v>
      </c>
      <c r="I567" s="7">
        <v>101</v>
      </c>
      <c r="J567">
        <v>31.251049873862002</v>
      </c>
      <c r="K567" s="26">
        <v>2014</v>
      </c>
      <c r="L567" t="s">
        <v>30</v>
      </c>
      <c r="M567" s="32">
        <v>250</v>
      </c>
      <c r="N567">
        <v>30.131484459999999</v>
      </c>
      <c r="O567">
        <v>5</v>
      </c>
      <c r="P567" t="s">
        <v>52</v>
      </c>
      <c r="Q567">
        <v>89</v>
      </c>
      <c r="R567" t="s">
        <v>13</v>
      </c>
      <c r="S567" t="s">
        <v>14</v>
      </c>
      <c r="T567" t="s">
        <v>14</v>
      </c>
      <c r="U567" s="34">
        <v>1</v>
      </c>
      <c r="V567" s="34">
        <v>1.5</v>
      </c>
      <c r="W567" s="25">
        <v>1.25</v>
      </c>
      <c r="X567" s="25">
        <v>0.5</v>
      </c>
      <c r="Y567" s="244">
        <v>1.5753479850000001</v>
      </c>
      <c r="Z567" t="s">
        <v>1102</v>
      </c>
      <c r="AA567" t="s">
        <v>622</v>
      </c>
      <c r="AB567">
        <v>1</v>
      </c>
      <c r="AC567">
        <v>0</v>
      </c>
      <c r="AF567" t="s">
        <v>667</v>
      </c>
      <c r="AG567" s="32">
        <v>0</v>
      </c>
      <c r="AH567" s="32" t="s">
        <v>671</v>
      </c>
      <c r="AI567" s="32" t="s">
        <v>1129</v>
      </c>
      <c r="AJ567" s="31" t="s">
        <v>1130</v>
      </c>
      <c r="AK567" s="31">
        <v>0.59524549999999998</v>
      </c>
      <c r="AL567" s="31">
        <v>0</v>
      </c>
      <c r="AM567" s="31">
        <v>0</v>
      </c>
      <c r="AN567" s="31">
        <v>0</v>
      </c>
      <c r="AO567" s="31">
        <v>0</v>
      </c>
      <c r="AP567" s="31">
        <v>0</v>
      </c>
      <c r="AQ567" s="31">
        <v>0</v>
      </c>
      <c r="AR567" s="31">
        <v>0.12057831483299125</v>
      </c>
    </row>
    <row r="568" spans="1:44" hidden="1" x14ac:dyDescent="0.5">
      <c r="A568" s="31">
        <v>221</v>
      </c>
      <c r="B568" s="31">
        <v>11</v>
      </c>
      <c r="C568" s="225" t="s">
        <v>20</v>
      </c>
      <c r="D568" s="35">
        <v>53.064</v>
      </c>
      <c r="E568" s="33">
        <v>-10.047000000000001</v>
      </c>
      <c r="F568">
        <v>9.92</v>
      </c>
      <c r="G568">
        <f>F568*1609.344</f>
        <v>15964.69248</v>
      </c>
      <c r="H568" s="32" t="s">
        <v>614</v>
      </c>
      <c r="I568" s="7">
        <v>101</v>
      </c>
      <c r="J568">
        <v>31.251049873862002</v>
      </c>
      <c r="K568" s="26">
        <v>2014</v>
      </c>
      <c r="L568" t="s">
        <v>30</v>
      </c>
      <c r="M568" s="32">
        <v>250</v>
      </c>
      <c r="N568">
        <v>30.131484459999999</v>
      </c>
      <c r="O568">
        <v>5</v>
      </c>
      <c r="P568" t="s">
        <v>52</v>
      </c>
      <c r="Q568">
        <v>89</v>
      </c>
      <c r="R568" t="s">
        <v>13</v>
      </c>
      <c r="S568" t="s">
        <v>14</v>
      </c>
      <c r="T568" t="s">
        <v>14</v>
      </c>
      <c r="U568" s="34">
        <v>1</v>
      </c>
      <c r="V568" s="34">
        <v>1.5</v>
      </c>
      <c r="W568" s="25">
        <v>1.25</v>
      </c>
      <c r="X568" s="25">
        <v>0.5</v>
      </c>
      <c r="Y568" s="244">
        <v>1.5753479850000001</v>
      </c>
      <c r="Z568" t="s">
        <v>1102</v>
      </c>
      <c r="AA568" t="s">
        <v>622</v>
      </c>
      <c r="AB568">
        <v>1</v>
      </c>
      <c r="AC568">
        <v>0</v>
      </c>
      <c r="AF568" t="s">
        <v>667</v>
      </c>
      <c r="AG568" s="32">
        <v>0</v>
      </c>
      <c r="AH568" s="32" t="s">
        <v>671</v>
      </c>
      <c r="AI568" s="32" t="s">
        <v>1129</v>
      </c>
      <c r="AJ568" s="31" t="s">
        <v>1130</v>
      </c>
      <c r="AK568" s="31">
        <v>0.59524549999999998</v>
      </c>
      <c r="AL568" s="31">
        <v>0</v>
      </c>
      <c r="AM568" s="31">
        <v>0</v>
      </c>
      <c r="AN568" s="31">
        <v>0</v>
      </c>
      <c r="AO568" s="31">
        <v>0</v>
      </c>
      <c r="AP568" s="31">
        <v>0</v>
      </c>
      <c r="AQ568" s="31">
        <v>0</v>
      </c>
      <c r="AR568" s="31">
        <v>0.12057831483299125</v>
      </c>
    </row>
    <row r="569" spans="1:44" hidden="1" x14ac:dyDescent="0.5">
      <c r="A569" s="31">
        <v>222</v>
      </c>
      <c r="B569" s="31">
        <v>11</v>
      </c>
      <c r="C569" s="225" t="s">
        <v>20</v>
      </c>
      <c r="D569" s="35">
        <v>53.064</v>
      </c>
      <c r="E569" s="33">
        <v>-10.047000000000001</v>
      </c>
      <c r="F569">
        <v>9.92</v>
      </c>
      <c r="G569">
        <f>F569*1609.344</f>
        <v>15964.69248</v>
      </c>
      <c r="H569" s="32" t="s">
        <v>614</v>
      </c>
      <c r="I569" s="7">
        <v>101</v>
      </c>
      <c r="J569">
        <v>31.251049873862002</v>
      </c>
      <c r="K569" s="26">
        <v>2014</v>
      </c>
      <c r="L569" t="s">
        <v>30</v>
      </c>
      <c r="M569" s="32">
        <v>250</v>
      </c>
      <c r="N569">
        <v>30.131484459999999</v>
      </c>
      <c r="O569">
        <v>5</v>
      </c>
      <c r="P569" t="s">
        <v>52</v>
      </c>
      <c r="Q569">
        <v>89</v>
      </c>
      <c r="R569" t="s">
        <v>13</v>
      </c>
      <c r="S569" t="s">
        <v>14</v>
      </c>
      <c r="T569" t="s">
        <v>14</v>
      </c>
      <c r="U569" s="34">
        <v>2</v>
      </c>
      <c r="V569" s="34">
        <v>2.5</v>
      </c>
      <c r="W569" s="25">
        <v>2.25</v>
      </c>
      <c r="X569" s="25">
        <v>0.5</v>
      </c>
      <c r="Y569" s="244">
        <v>1.5753479850000001</v>
      </c>
      <c r="Z569" t="s">
        <v>1102</v>
      </c>
      <c r="AA569" t="s">
        <v>622</v>
      </c>
      <c r="AB569">
        <v>1</v>
      </c>
      <c r="AC569">
        <v>0</v>
      </c>
      <c r="AF569" t="s">
        <v>667</v>
      </c>
      <c r="AG569" s="32">
        <v>0</v>
      </c>
      <c r="AH569" s="32" t="s">
        <v>671</v>
      </c>
      <c r="AI569" s="32" t="s">
        <v>1129</v>
      </c>
      <c r="AJ569" s="31" t="s">
        <v>1130</v>
      </c>
      <c r="AK569" s="31">
        <v>0.59524549999999998</v>
      </c>
      <c r="AL569" s="31">
        <v>0</v>
      </c>
      <c r="AM569" s="31">
        <v>0</v>
      </c>
      <c r="AN569" s="31">
        <v>0</v>
      </c>
      <c r="AO569" s="31">
        <v>0</v>
      </c>
      <c r="AP569" s="31">
        <v>0</v>
      </c>
      <c r="AQ569" s="31">
        <v>0</v>
      </c>
      <c r="AR569" s="31">
        <v>0.12057831483299125</v>
      </c>
    </row>
    <row r="570" spans="1:44" hidden="1" x14ac:dyDescent="0.5">
      <c r="A570" s="31">
        <v>223</v>
      </c>
      <c r="B570" s="31">
        <v>11</v>
      </c>
      <c r="C570" s="225" t="s">
        <v>20</v>
      </c>
      <c r="D570" s="35">
        <v>53.064</v>
      </c>
      <c r="E570" s="33">
        <v>-10.047000000000001</v>
      </c>
      <c r="F570">
        <v>9.92</v>
      </c>
      <c r="G570">
        <f>F570*1609.344</f>
        <v>15964.69248</v>
      </c>
      <c r="H570" s="32" t="s">
        <v>614</v>
      </c>
      <c r="I570" s="7">
        <v>101</v>
      </c>
      <c r="J570">
        <v>31.251049873862002</v>
      </c>
      <c r="K570" s="26">
        <v>2014</v>
      </c>
      <c r="L570" t="s">
        <v>30</v>
      </c>
      <c r="M570" s="32">
        <v>250</v>
      </c>
      <c r="N570">
        <v>30.131484459999999</v>
      </c>
      <c r="O570">
        <v>5</v>
      </c>
      <c r="P570" t="s">
        <v>52</v>
      </c>
      <c r="Q570">
        <v>89</v>
      </c>
      <c r="R570" t="s">
        <v>13</v>
      </c>
      <c r="S570" t="s">
        <v>14</v>
      </c>
      <c r="T570" t="s">
        <v>14</v>
      </c>
      <c r="U570" s="34">
        <v>2</v>
      </c>
      <c r="V570" s="34">
        <v>2.5</v>
      </c>
      <c r="W570" s="25">
        <v>2.25</v>
      </c>
      <c r="X570" s="25">
        <v>0.5</v>
      </c>
      <c r="Y570" s="244">
        <v>1.5753479850000001</v>
      </c>
      <c r="Z570" t="s">
        <v>1102</v>
      </c>
      <c r="AA570" t="s">
        <v>622</v>
      </c>
      <c r="AB570">
        <v>1</v>
      </c>
      <c r="AC570">
        <v>0</v>
      </c>
      <c r="AF570" t="s">
        <v>667</v>
      </c>
      <c r="AG570" s="32">
        <v>0</v>
      </c>
      <c r="AH570" s="32" t="s">
        <v>671</v>
      </c>
      <c r="AI570" s="32" t="s">
        <v>1129</v>
      </c>
      <c r="AJ570" s="31" t="s">
        <v>1130</v>
      </c>
      <c r="AK570" s="31">
        <v>0.59524549999999998</v>
      </c>
      <c r="AL570" s="31">
        <v>0</v>
      </c>
      <c r="AM570" s="31">
        <v>0</v>
      </c>
      <c r="AN570" s="31">
        <v>0</v>
      </c>
      <c r="AO570" s="31">
        <v>0</v>
      </c>
      <c r="AP570" s="31">
        <v>0</v>
      </c>
      <c r="AQ570" s="31">
        <v>0</v>
      </c>
      <c r="AR570" s="31">
        <v>0.12057831483299125</v>
      </c>
    </row>
    <row r="571" spans="1:44" hidden="1" x14ac:dyDescent="0.5">
      <c r="A571" s="31">
        <v>224</v>
      </c>
      <c r="B571" s="31">
        <v>11</v>
      </c>
      <c r="C571" s="225" t="s">
        <v>20</v>
      </c>
      <c r="D571" s="35">
        <v>53.064</v>
      </c>
      <c r="E571" s="33">
        <v>-10.047000000000001</v>
      </c>
      <c r="F571">
        <v>9.92</v>
      </c>
      <c r="G571">
        <f>F571*1609.344</f>
        <v>15964.69248</v>
      </c>
      <c r="H571" s="32" t="s">
        <v>614</v>
      </c>
      <c r="I571" s="7">
        <v>101</v>
      </c>
      <c r="J571">
        <v>31.251049873862002</v>
      </c>
      <c r="K571" s="26">
        <v>2014</v>
      </c>
      <c r="L571" t="s">
        <v>30</v>
      </c>
      <c r="M571" s="32">
        <v>250</v>
      </c>
      <c r="N571">
        <v>30.131484459999999</v>
      </c>
      <c r="O571">
        <v>5</v>
      </c>
      <c r="P571" t="s">
        <v>52</v>
      </c>
      <c r="Q571">
        <v>89</v>
      </c>
      <c r="R571" t="s">
        <v>13</v>
      </c>
      <c r="S571" t="s">
        <v>14</v>
      </c>
      <c r="T571" t="s">
        <v>14</v>
      </c>
      <c r="U571" s="34">
        <v>3</v>
      </c>
      <c r="V571" s="34">
        <v>3.5</v>
      </c>
      <c r="W571" s="25">
        <v>3.25</v>
      </c>
      <c r="X571" s="25">
        <v>0.5</v>
      </c>
      <c r="Y571" s="244">
        <v>1.5753479850000001</v>
      </c>
      <c r="Z571" t="s">
        <v>1102</v>
      </c>
      <c r="AA571" t="s">
        <v>622</v>
      </c>
      <c r="AB571">
        <v>1</v>
      </c>
      <c r="AC571">
        <v>0</v>
      </c>
      <c r="AF571" t="s">
        <v>667</v>
      </c>
      <c r="AG571" s="32">
        <v>0</v>
      </c>
      <c r="AH571" s="32" t="s">
        <v>671</v>
      </c>
      <c r="AI571" s="32" t="s">
        <v>1129</v>
      </c>
      <c r="AJ571" s="31" t="s">
        <v>1130</v>
      </c>
      <c r="AK571" s="31">
        <v>0.59524549999999998</v>
      </c>
      <c r="AL571" s="31">
        <v>0</v>
      </c>
      <c r="AM571" s="31">
        <v>0</v>
      </c>
      <c r="AN571" s="31">
        <v>0</v>
      </c>
      <c r="AO571" s="31">
        <v>0</v>
      </c>
      <c r="AP571" s="31">
        <v>0</v>
      </c>
      <c r="AQ571" s="31">
        <v>0</v>
      </c>
      <c r="AR571" s="31">
        <v>0.12057831483299125</v>
      </c>
    </row>
    <row r="572" spans="1:44" hidden="1" x14ac:dyDescent="0.5">
      <c r="A572" s="31">
        <v>571</v>
      </c>
      <c r="B572" s="31">
        <v>41</v>
      </c>
      <c r="C572" s="225" t="s">
        <v>9</v>
      </c>
      <c r="D572" s="36">
        <v>26.329806000000001</v>
      </c>
      <c r="E572" s="37">
        <v>57.107433</v>
      </c>
      <c r="F572">
        <v>0</v>
      </c>
      <c r="G572">
        <f>F572*1609.344</f>
        <v>0</v>
      </c>
      <c r="H572" s="32" t="s">
        <v>10</v>
      </c>
      <c r="I572">
        <v>0</v>
      </c>
      <c r="J572">
        <v>21.5387757573431</v>
      </c>
      <c r="K572" s="26">
        <v>2016</v>
      </c>
      <c r="L572" t="s">
        <v>11</v>
      </c>
      <c r="M572" s="32">
        <v>30</v>
      </c>
      <c r="N572">
        <v>3.1973802390000001</v>
      </c>
      <c r="O572">
        <v>5</v>
      </c>
      <c r="P572" t="s">
        <v>15</v>
      </c>
      <c r="Q572">
        <v>91.3</v>
      </c>
      <c r="R572" t="s">
        <v>13</v>
      </c>
      <c r="S572" t="s">
        <v>14</v>
      </c>
      <c r="T572" t="s">
        <v>14</v>
      </c>
      <c r="U572" s="34">
        <v>0</v>
      </c>
      <c r="V572" s="34">
        <v>5</v>
      </c>
      <c r="W572" s="25">
        <v>2.5</v>
      </c>
      <c r="X572" s="25">
        <v>5</v>
      </c>
      <c r="Y572">
        <v>0.91997848500000001</v>
      </c>
      <c r="Z572" t="s">
        <v>784</v>
      </c>
      <c r="AA572" t="s">
        <v>631</v>
      </c>
      <c r="AB572">
        <v>3</v>
      </c>
      <c r="AC572">
        <v>2</v>
      </c>
      <c r="AD572">
        <v>1</v>
      </c>
      <c r="AE572" t="s">
        <v>519</v>
      </c>
      <c r="AF572" t="s">
        <v>532</v>
      </c>
      <c r="AG572" s="32">
        <v>2</v>
      </c>
      <c r="AH572" s="32">
        <v>1</v>
      </c>
      <c r="AI572" s="32">
        <v>2</v>
      </c>
      <c r="AJ572" s="31">
        <v>0</v>
      </c>
      <c r="AK572" s="31">
        <v>1</v>
      </c>
      <c r="AL572" s="31">
        <v>2</v>
      </c>
      <c r="AM572" s="31">
        <v>0</v>
      </c>
      <c r="AN572" s="31">
        <v>7.0041188148959472</v>
      </c>
      <c r="AO572" s="31">
        <v>0</v>
      </c>
      <c r="AP572" s="31">
        <v>6.4436386160879686E-3</v>
      </c>
      <c r="AQ572" s="31">
        <v>0</v>
      </c>
      <c r="AR572" s="31">
        <v>0.13341858489683281</v>
      </c>
    </row>
    <row r="573" spans="1:44" hidden="1" x14ac:dyDescent="0.5">
      <c r="A573" s="31">
        <v>572</v>
      </c>
      <c r="B573" s="31">
        <v>41</v>
      </c>
      <c r="C573" s="225" t="s">
        <v>9</v>
      </c>
      <c r="D573" s="39">
        <v>27.144414000000001</v>
      </c>
      <c r="E573" s="40">
        <v>56.231442000000001</v>
      </c>
      <c r="F573">
        <v>0</v>
      </c>
      <c r="G573">
        <f>F573*1609.344</f>
        <v>0</v>
      </c>
      <c r="H573" s="32" t="s">
        <v>10</v>
      </c>
      <c r="I573">
        <v>0</v>
      </c>
      <c r="J573">
        <v>44.960906078199102</v>
      </c>
      <c r="K573" s="26">
        <v>2016</v>
      </c>
      <c r="L573" t="s">
        <v>11</v>
      </c>
      <c r="M573" s="32">
        <v>170</v>
      </c>
      <c r="N573">
        <v>20.03618153</v>
      </c>
      <c r="O573">
        <v>5</v>
      </c>
      <c r="P573" t="s">
        <v>15</v>
      </c>
      <c r="Q573">
        <v>91.3</v>
      </c>
      <c r="R573" t="s">
        <v>13</v>
      </c>
      <c r="S573" t="s">
        <v>14</v>
      </c>
      <c r="T573" t="s">
        <v>14</v>
      </c>
      <c r="U573" s="34">
        <v>0</v>
      </c>
      <c r="V573" s="34">
        <v>5</v>
      </c>
      <c r="W573" s="25">
        <v>2.5</v>
      </c>
      <c r="X573" s="25">
        <v>5</v>
      </c>
      <c r="Y573">
        <v>1.0985454240000001</v>
      </c>
      <c r="Z573" t="s">
        <v>784</v>
      </c>
      <c r="AA573" t="s">
        <v>631</v>
      </c>
      <c r="AB573">
        <v>3</v>
      </c>
      <c r="AC573">
        <v>14</v>
      </c>
      <c r="AD573">
        <v>4</v>
      </c>
      <c r="AE573" t="s">
        <v>519</v>
      </c>
      <c r="AF573" t="s">
        <v>532</v>
      </c>
      <c r="AG573" s="32">
        <v>14</v>
      </c>
      <c r="AH573" s="32" t="s">
        <v>1602</v>
      </c>
      <c r="AI573" s="32" t="s">
        <v>1603</v>
      </c>
      <c r="AJ573" s="31" t="s">
        <v>2963</v>
      </c>
      <c r="AK573" s="31">
        <v>0.77800000000000002</v>
      </c>
      <c r="AL573" s="31">
        <v>10.891999999999999</v>
      </c>
      <c r="AM573" s="31">
        <v>3.1080000000000005</v>
      </c>
      <c r="AN573" s="31">
        <v>239.02967056381161</v>
      </c>
      <c r="AO573" s="31">
        <v>68.206409852398707</v>
      </c>
      <c r="AP573" s="31">
        <v>0.26258495079810279</v>
      </c>
      <c r="AQ573" s="31">
        <v>7.4927839430821111E-2</v>
      </c>
      <c r="AR573" s="31">
        <v>0.13341858489683281</v>
      </c>
    </row>
    <row r="574" spans="1:44" hidden="1" x14ac:dyDescent="0.5">
      <c r="A574" s="31">
        <v>573</v>
      </c>
      <c r="B574" s="31">
        <v>41</v>
      </c>
      <c r="C574" s="225" t="s">
        <v>9</v>
      </c>
      <c r="D574" s="39">
        <v>27.177631000000002</v>
      </c>
      <c r="E574" s="40">
        <v>56.369933000000003</v>
      </c>
      <c r="F574">
        <v>0</v>
      </c>
      <c r="G574">
        <f>F574*1609.344</f>
        <v>0</v>
      </c>
      <c r="H574" s="32" t="s">
        <v>10</v>
      </c>
      <c r="I574">
        <v>0</v>
      </c>
      <c r="J574">
        <v>45.105775316359903</v>
      </c>
      <c r="K574" s="26">
        <v>2016</v>
      </c>
      <c r="L574" t="s">
        <v>11</v>
      </c>
      <c r="M574" s="32">
        <v>20</v>
      </c>
      <c r="N574">
        <v>2.0820431909999999</v>
      </c>
      <c r="O574">
        <v>5</v>
      </c>
      <c r="P574" t="s">
        <v>15</v>
      </c>
      <c r="Q574">
        <v>91.3</v>
      </c>
      <c r="R574" t="s">
        <v>13</v>
      </c>
      <c r="S574" t="s">
        <v>14</v>
      </c>
      <c r="T574" t="s">
        <v>14</v>
      </c>
      <c r="U574" s="34">
        <v>0</v>
      </c>
      <c r="V574" s="34">
        <v>5</v>
      </c>
      <c r="W574" s="25">
        <v>2.5</v>
      </c>
      <c r="X574" s="25">
        <v>5</v>
      </c>
      <c r="Y574">
        <v>1.0985454240000001</v>
      </c>
      <c r="Z574" t="s">
        <v>784</v>
      </c>
      <c r="AA574" t="s">
        <v>631</v>
      </c>
      <c r="AB574">
        <v>3</v>
      </c>
      <c r="AC574">
        <v>26</v>
      </c>
      <c r="AD574">
        <v>6</v>
      </c>
      <c r="AE574" t="s">
        <v>519</v>
      </c>
      <c r="AF574" t="s">
        <v>532</v>
      </c>
      <c r="AG574" s="32">
        <v>26</v>
      </c>
      <c r="AH574" s="32" t="s">
        <v>1604</v>
      </c>
      <c r="AI574" s="32" t="s">
        <v>1605</v>
      </c>
      <c r="AJ574" s="31" t="s">
        <v>2964</v>
      </c>
      <c r="AK574" s="31">
        <v>0.81299999999999994</v>
      </c>
      <c r="AL574" s="31">
        <v>21.137999999999998</v>
      </c>
      <c r="AM574" s="31">
        <v>4.8620000000000019</v>
      </c>
      <c r="AN574" s="31">
        <v>48.203974776952904</v>
      </c>
      <c r="AO574" s="31">
        <v>11.087507113518075</v>
      </c>
      <c r="AP574" s="31">
        <v>5.2954255909833034E-2</v>
      </c>
      <c r="AQ574" s="31">
        <v>1.2180130203122731E-2</v>
      </c>
      <c r="AR574" s="31">
        <v>0.13341858489683281</v>
      </c>
    </row>
    <row r="575" spans="1:44" customFormat="1" hidden="1" x14ac:dyDescent="0.5">
      <c r="A575">
        <v>574</v>
      </c>
      <c r="B575">
        <v>41</v>
      </c>
      <c r="C575" s="226" t="s">
        <v>9</v>
      </c>
      <c r="D575" s="230">
        <v>27.180464000000001</v>
      </c>
      <c r="E575" s="231">
        <v>56.292903000000003</v>
      </c>
      <c r="F575">
        <v>0</v>
      </c>
      <c r="G575">
        <f>F575*1609.344</f>
        <v>0</v>
      </c>
      <c r="H575" t="s">
        <v>10</v>
      </c>
      <c r="I575">
        <v>0</v>
      </c>
      <c r="J575">
        <v>44.6771997982325</v>
      </c>
      <c r="K575" s="26">
        <v>2016</v>
      </c>
      <c r="L575" t="s">
        <v>11</v>
      </c>
      <c r="M575" s="30">
        <v>550</v>
      </c>
      <c r="N575">
        <v>69.391092409999999</v>
      </c>
      <c r="O575">
        <v>5</v>
      </c>
      <c r="P575" t="s">
        <v>15</v>
      </c>
      <c r="Q575">
        <v>91.3</v>
      </c>
      <c r="R575" t="s">
        <v>13</v>
      </c>
      <c r="S575" t="s">
        <v>14</v>
      </c>
      <c r="T575" t="s">
        <v>14</v>
      </c>
      <c r="U575" s="25">
        <v>0</v>
      </c>
      <c r="V575" s="25">
        <v>5</v>
      </c>
      <c r="W575" s="25">
        <v>2.5</v>
      </c>
      <c r="X575" s="25">
        <v>5</v>
      </c>
      <c r="Y575">
        <v>1.0985454240000001</v>
      </c>
      <c r="Z575" t="s">
        <v>784</v>
      </c>
      <c r="AA575" t="s">
        <v>631</v>
      </c>
      <c r="AB575">
        <v>3</v>
      </c>
      <c r="AC575">
        <v>122</v>
      </c>
      <c r="AD575">
        <v>23</v>
      </c>
      <c r="AE575" t="s">
        <v>519</v>
      </c>
      <c r="AF575" t="s">
        <v>532</v>
      </c>
      <c r="AG575" s="30">
        <v>122</v>
      </c>
      <c r="AH575" s="30">
        <v>0.73299999999999998</v>
      </c>
      <c r="AI575" s="30">
        <v>89.426000000000002</v>
      </c>
      <c r="AJ575">
        <v>32.573999999999998</v>
      </c>
      <c r="AK575">
        <v>0.73299999999999998</v>
      </c>
      <c r="AL575">
        <v>89.426000000000002</v>
      </c>
      <c r="AM575">
        <v>32.573999999999998</v>
      </c>
      <c r="AN575">
        <v>6796.6788935998466</v>
      </c>
      <c r="AO575">
        <v>2475.7343309565604</v>
      </c>
      <c r="AP575">
        <v>7.4664604969614947</v>
      </c>
      <c r="AQ575">
        <v>2.7197066203120315</v>
      </c>
      <c r="AR575">
        <v>0.13341858489683281</v>
      </c>
    </row>
    <row r="576" spans="1:44" hidden="1" x14ac:dyDescent="0.5">
      <c r="A576" s="31">
        <v>575</v>
      </c>
      <c r="B576" s="31">
        <v>41</v>
      </c>
      <c r="C576" s="225" t="s">
        <v>9</v>
      </c>
      <c r="D576" s="39">
        <v>27.082827999999999</v>
      </c>
      <c r="E576" s="40">
        <v>56.007581000000002</v>
      </c>
      <c r="F576">
        <v>0</v>
      </c>
      <c r="G576">
        <f>F576*1609.344</f>
        <v>0</v>
      </c>
      <c r="H576" s="32" t="s">
        <v>10</v>
      </c>
      <c r="I576">
        <v>0</v>
      </c>
      <c r="J576">
        <v>43.997446917596598</v>
      </c>
      <c r="K576" s="26">
        <v>2016</v>
      </c>
      <c r="L576" t="s">
        <v>11</v>
      </c>
      <c r="M576" s="32">
        <v>70</v>
      </c>
      <c r="N576">
        <v>7.8363482040000001</v>
      </c>
      <c r="O576">
        <v>5</v>
      </c>
      <c r="P576" t="s">
        <v>15</v>
      </c>
      <c r="Q576">
        <v>91.3</v>
      </c>
      <c r="R576" t="s">
        <v>13</v>
      </c>
      <c r="S576" t="s">
        <v>14</v>
      </c>
      <c r="T576" t="s">
        <v>14</v>
      </c>
      <c r="U576" s="34">
        <v>0</v>
      </c>
      <c r="V576" s="34">
        <v>5</v>
      </c>
      <c r="W576" s="25">
        <v>2.5</v>
      </c>
      <c r="X576" s="25">
        <v>5</v>
      </c>
      <c r="Y576">
        <v>0.899965291</v>
      </c>
      <c r="Z576" t="s">
        <v>784</v>
      </c>
      <c r="AA576" t="s">
        <v>631</v>
      </c>
      <c r="AB576">
        <v>3</v>
      </c>
      <c r="AC576">
        <v>1258</v>
      </c>
      <c r="AD576">
        <v>291</v>
      </c>
      <c r="AE576" t="s">
        <v>519</v>
      </c>
      <c r="AF576" t="s">
        <v>532</v>
      </c>
      <c r="AG576" s="32">
        <v>1258</v>
      </c>
      <c r="AH576" s="32" t="s">
        <v>1606</v>
      </c>
      <c r="AI576" s="32" t="s">
        <v>1607</v>
      </c>
      <c r="AJ576" s="31" t="s">
        <v>2965</v>
      </c>
      <c r="AK576" s="31">
        <v>0.998</v>
      </c>
      <c r="AL576" s="31">
        <v>1255.4839999999999</v>
      </c>
      <c r="AM576" s="31">
        <v>2.5160000000000764</v>
      </c>
      <c r="AN576" s="31">
        <v>10775.914335762032</v>
      </c>
      <c r="AO576" s="31">
        <v>21.595018708942607</v>
      </c>
      <c r="AP576" s="31">
        <v>9.6979488809751491</v>
      </c>
      <c r="AQ576" s="31">
        <v>1.9434767296543976E-2</v>
      </c>
      <c r="AR576" s="31">
        <v>0.13341858489683281</v>
      </c>
    </row>
    <row r="577" spans="1:44" customFormat="1" hidden="1" x14ac:dyDescent="0.5">
      <c r="A577">
        <v>225</v>
      </c>
      <c r="B577">
        <v>11</v>
      </c>
      <c r="C577" s="226" t="s">
        <v>20</v>
      </c>
      <c r="D577" s="227">
        <v>53.064</v>
      </c>
      <c r="E577" s="228">
        <v>-10.047000000000001</v>
      </c>
      <c r="F577">
        <v>9.92</v>
      </c>
      <c r="G577">
        <f>F577*1609.344</f>
        <v>15964.69248</v>
      </c>
      <c r="H577" s="30" t="s">
        <v>614</v>
      </c>
      <c r="I577" s="7">
        <v>101</v>
      </c>
      <c r="J577">
        <v>31.251049873862002</v>
      </c>
      <c r="K577" s="26">
        <v>2014</v>
      </c>
      <c r="L577" t="s">
        <v>30</v>
      </c>
      <c r="M577" s="30">
        <v>250</v>
      </c>
      <c r="N577">
        <v>30.131484459999999</v>
      </c>
      <c r="O577">
        <v>5</v>
      </c>
      <c r="P577" t="s">
        <v>52</v>
      </c>
      <c r="Q577">
        <v>89</v>
      </c>
      <c r="R577" t="s">
        <v>13</v>
      </c>
      <c r="S577" t="s">
        <v>14</v>
      </c>
      <c r="T577" t="s">
        <v>14</v>
      </c>
      <c r="U577" s="29">
        <v>3</v>
      </c>
      <c r="V577" s="29">
        <v>3.5</v>
      </c>
      <c r="W577" s="25">
        <v>3.25</v>
      </c>
      <c r="X577" s="25">
        <v>0.5</v>
      </c>
      <c r="Y577" s="244">
        <v>1.5753479850000001</v>
      </c>
      <c r="Z577" t="s">
        <v>1102</v>
      </c>
      <c r="AA577" t="s">
        <v>622</v>
      </c>
      <c r="AB577">
        <v>1</v>
      </c>
      <c r="AC577">
        <v>0</v>
      </c>
      <c r="AF577" t="s">
        <v>667</v>
      </c>
      <c r="AG577" s="30">
        <v>0</v>
      </c>
      <c r="AH577" s="30" t="s">
        <v>671</v>
      </c>
      <c r="AI577" s="30" t="s">
        <v>1129</v>
      </c>
      <c r="AJ577" t="s">
        <v>1130</v>
      </c>
      <c r="AK577">
        <v>0.59524549999999998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0.12057831483299125</v>
      </c>
    </row>
    <row r="578" spans="1:44" customFormat="1" hidden="1" x14ac:dyDescent="0.5">
      <c r="A578">
        <v>1264</v>
      </c>
      <c r="B578">
        <v>87</v>
      </c>
      <c r="C578" s="226" t="s">
        <v>20</v>
      </c>
      <c r="D578" s="30">
        <v>53.03633</v>
      </c>
      <c r="E578" s="238">
        <v>3.2311700000000001</v>
      </c>
      <c r="F578">
        <v>32.31</v>
      </c>
      <c r="G578">
        <f>F578*1609.344</f>
        <v>51997.904640000008</v>
      </c>
      <c r="H578" s="30" t="s">
        <v>614</v>
      </c>
      <c r="I578">
        <v>29</v>
      </c>
      <c r="J578">
        <v>0</v>
      </c>
      <c r="K578" s="26">
        <v>2014</v>
      </c>
      <c r="L578" t="s">
        <v>40</v>
      </c>
      <c r="M578" s="30">
        <v>11</v>
      </c>
      <c r="N578">
        <v>1.1060976250000001</v>
      </c>
      <c r="O578">
        <v>5</v>
      </c>
      <c r="P578" t="s">
        <v>23</v>
      </c>
      <c r="Q578">
        <v>95.5</v>
      </c>
      <c r="R578" t="s">
        <v>13</v>
      </c>
      <c r="S578" t="s">
        <v>14</v>
      </c>
      <c r="T578" t="s">
        <v>14</v>
      </c>
      <c r="U578" s="29">
        <v>0</v>
      </c>
      <c r="V578" s="29">
        <v>5</v>
      </c>
      <c r="W578" s="25">
        <v>2.5</v>
      </c>
      <c r="X578" s="25">
        <v>5</v>
      </c>
      <c r="Y578" s="244">
        <v>1.092945329</v>
      </c>
      <c r="Z578" t="s">
        <v>1104</v>
      </c>
      <c r="AA578" t="s">
        <v>622</v>
      </c>
      <c r="AB578">
        <v>1</v>
      </c>
      <c r="AC578">
        <v>137.31</v>
      </c>
      <c r="AF578" t="s">
        <v>532</v>
      </c>
      <c r="AG578" s="30" t="s">
        <v>2400</v>
      </c>
      <c r="AH578" s="30" t="s">
        <v>671</v>
      </c>
      <c r="AI578" s="30" t="s">
        <v>1129</v>
      </c>
      <c r="AJ578" t="s">
        <v>1130</v>
      </c>
      <c r="AK578">
        <v>0.59524549999999998</v>
      </c>
      <c r="AL578">
        <v>81.727207149999998</v>
      </c>
      <c r="AM578">
        <v>55.572792850000013</v>
      </c>
      <c r="AN578">
        <v>94.657874059160235</v>
      </c>
      <c r="AO578">
        <v>64.365376110996863</v>
      </c>
      <c r="AP578">
        <v>0.10345588130602945</v>
      </c>
      <c r="AQ578">
        <v>7.0347837169842206E-2</v>
      </c>
      <c r="AR578">
        <v>0.12959786589218056</v>
      </c>
    </row>
    <row r="579" spans="1:44" customFormat="1" hidden="1" x14ac:dyDescent="0.5">
      <c r="A579">
        <v>202</v>
      </c>
      <c r="B579">
        <v>11</v>
      </c>
      <c r="C579" s="226" t="s">
        <v>20</v>
      </c>
      <c r="D579" s="227">
        <v>52.96</v>
      </c>
      <c r="E579" s="228">
        <v>-9.7149999999999999</v>
      </c>
      <c r="F579">
        <v>8.2899999999999991</v>
      </c>
      <c r="G579">
        <f>F579*1609.344</f>
        <v>13341.461759999998</v>
      </c>
      <c r="H579" s="30" t="s">
        <v>614</v>
      </c>
      <c r="I579" s="7">
        <v>78</v>
      </c>
      <c r="J579">
        <v>42.8054630388108</v>
      </c>
      <c r="K579" s="26">
        <v>2014</v>
      </c>
      <c r="L579" t="s">
        <v>30</v>
      </c>
      <c r="M579" s="30">
        <v>250</v>
      </c>
      <c r="N579">
        <v>30.131484459999999</v>
      </c>
      <c r="O579">
        <v>5</v>
      </c>
      <c r="P579" t="s">
        <v>52</v>
      </c>
      <c r="Q579">
        <v>89</v>
      </c>
      <c r="R579" t="s">
        <v>13</v>
      </c>
      <c r="S579" t="s">
        <v>14</v>
      </c>
      <c r="T579" t="s">
        <v>14</v>
      </c>
      <c r="U579" s="29">
        <v>0</v>
      </c>
      <c r="V579" s="29">
        <v>0.5</v>
      </c>
      <c r="W579" s="25">
        <v>0.25</v>
      </c>
      <c r="X579" s="25">
        <v>0.5</v>
      </c>
      <c r="Y579" s="244">
        <v>1.5753479850000001</v>
      </c>
      <c r="Z579" t="s">
        <v>1102</v>
      </c>
      <c r="AA579" t="s">
        <v>622</v>
      </c>
      <c r="AB579">
        <v>1</v>
      </c>
      <c r="AC579">
        <v>0</v>
      </c>
      <c r="AF579" t="s">
        <v>667</v>
      </c>
      <c r="AG579" s="30">
        <v>0</v>
      </c>
      <c r="AH579" s="30" t="s">
        <v>671</v>
      </c>
      <c r="AI579" s="30" t="s">
        <v>1129</v>
      </c>
      <c r="AJ579" t="s">
        <v>1130</v>
      </c>
      <c r="AK579">
        <v>0.59524549999999998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0.12338914929468812</v>
      </c>
    </row>
    <row r="580" spans="1:44" customFormat="1" hidden="1" x14ac:dyDescent="0.5">
      <c r="A580">
        <v>203</v>
      </c>
      <c r="B580">
        <v>11</v>
      </c>
      <c r="C580" s="226" t="s">
        <v>20</v>
      </c>
      <c r="D580" s="227">
        <v>52.96</v>
      </c>
      <c r="E580" s="228">
        <v>-9.7149999999999999</v>
      </c>
      <c r="F580">
        <v>8.2899999999999991</v>
      </c>
      <c r="G580">
        <f>F580*1609.344</f>
        <v>13341.461759999998</v>
      </c>
      <c r="H580" s="30" t="s">
        <v>614</v>
      </c>
      <c r="I580" s="7">
        <v>78</v>
      </c>
      <c r="J580">
        <v>42.8054630388108</v>
      </c>
      <c r="K580" s="26">
        <v>2014</v>
      </c>
      <c r="L580" t="s">
        <v>30</v>
      </c>
      <c r="M580" s="30">
        <v>250</v>
      </c>
      <c r="N580">
        <v>30.131484459999999</v>
      </c>
      <c r="O580">
        <v>5</v>
      </c>
      <c r="P580" t="s">
        <v>52</v>
      </c>
      <c r="Q580">
        <v>89</v>
      </c>
      <c r="R580" t="s">
        <v>13</v>
      </c>
      <c r="S580" t="s">
        <v>14</v>
      </c>
      <c r="T580" t="s">
        <v>14</v>
      </c>
      <c r="U580" s="29">
        <v>1</v>
      </c>
      <c r="V580" s="29">
        <v>1.5</v>
      </c>
      <c r="W580" s="25">
        <v>1.25</v>
      </c>
      <c r="X580" s="25">
        <v>0.5</v>
      </c>
      <c r="Y580" s="244">
        <v>1.5753479850000001</v>
      </c>
      <c r="Z580" t="s">
        <v>1102</v>
      </c>
      <c r="AA580" t="s">
        <v>622</v>
      </c>
      <c r="AB580">
        <v>1</v>
      </c>
      <c r="AC580">
        <v>0</v>
      </c>
      <c r="AF580" t="s">
        <v>667</v>
      </c>
      <c r="AG580" s="30">
        <v>0</v>
      </c>
      <c r="AH580" s="30" t="s">
        <v>671</v>
      </c>
      <c r="AI580" s="30" t="s">
        <v>1129</v>
      </c>
      <c r="AJ580" t="s">
        <v>1130</v>
      </c>
      <c r="AK580">
        <v>0.59524549999999998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0.12338914929468812</v>
      </c>
    </row>
    <row r="581" spans="1:44" customFormat="1" hidden="1" x14ac:dyDescent="0.5">
      <c r="A581">
        <v>204</v>
      </c>
      <c r="B581">
        <v>11</v>
      </c>
      <c r="C581" s="226" t="s">
        <v>20</v>
      </c>
      <c r="D581" s="227">
        <v>52.96</v>
      </c>
      <c r="E581" s="228">
        <v>-9.7149999999999999</v>
      </c>
      <c r="F581">
        <v>8.2899999999999991</v>
      </c>
      <c r="G581">
        <f>F581*1609.344</f>
        <v>13341.461759999998</v>
      </c>
      <c r="H581" s="30" t="s">
        <v>614</v>
      </c>
      <c r="I581" s="7">
        <v>78</v>
      </c>
      <c r="J581">
        <v>42.8054630388108</v>
      </c>
      <c r="K581" s="26">
        <v>2014</v>
      </c>
      <c r="L581" t="s">
        <v>30</v>
      </c>
      <c r="M581" s="30">
        <v>250</v>
      </c>
      <c r="N581">
        <v>30.131484459999999</v>
      </c>
      <c r="O581">
        <v>5</v>
      </c>
      <c r="P581" t="s">
        <v>52</v>
      </c>
      <c r="Q581">
        <v>89</v>
      </c>
      <c r="R581" t="s">
        <v>13</v>
      </c>
      <c r="S581" t="s">
        <v>14</v>
      </c>
      <c r="T581" t="s">
        <v>14</v>
      </c>
      <c r="U581" s="29">
        <v>2</v>
      </c>
      <c r="V581" s="29">
        <v>2.5</v>
      </c>
      <c r="W581" s="25">
        <v>2.25</v>
      </c>
      <c r="X581" s="25">
        <v>0.5</v>
      </c>
      <c r="Y581" s="244">
        <v>1.5753479850000001</v>
      </c>
      <c r="Z581" t="s">
        <v>1102</v>
      </c>
      <c r="AA581" t="s">
        <v>622</v>
      </c>
      <c r="AB581">
        <v>1</v>
      </c>
      <c r="AC581">
        <v>0</v>
      </c>
      <c r="AF581" t="s">
        <v>667</v>
      </c>
      <c r="AG581" s="30">
        <v>0</v>
      </c>
      <c r="AH581" s="30" t="s">
        <v>671</v>
      </c>
      <c r="AI581" s="30" t="s">
        <v>1129</v>
      </c>
      <c r="AJ581" t="s">
        <v>1130</v>
      </c>
      <c r="AK581">
        <v>0.59524549999999998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0.12338914929468812</v>
      </c>
    </row>
    <row r="582" spans="1:44" customFormat="1" hidden="1" x14ac:dyDescent="0.5">
      <c r="A582">
        <v>205</v>
      </c>
      <c r="B582">
        <v>11</v>
      </c>
      <c r="C582" s="226" t="s">
        <v>20</v>
      </c>
      <c r="D582" s="227">
        <v>52.96</v>
      </c>
      <c r="E582" s="228">
        <v>-9.7149999999999999</v>
      </c>
      <c r="F582">
        <v>8.2899999999999991</v>
      </c>
      <c r="G582">
        <f>F582*1609.344</f>
        <v>13341.461759999998</v>
      </c>
      <c r="H582" s="30" t="s">
        <v>614</v>
      </c>
      <c r="I582" s="7">
        <v>78</v>
      </c>
      <c r="J582">
        <v>42.8054630388108</v>
      </c>
      <c r="K582" s="26">
        <v>2014</v>
      </c>
      <c r="L582" t="s">
        <v>30</v>
      </c>
      <c r="M582" s="30">
        <v>250</v>
      </c>
      <c r="N582">
        <v>30.131484459999999</v>
      </c>
      <c r="O582">
        <v>5</v>
      </c>
      <c r="P582" t="s">
        <v>52</v>
      </c>
      <c r="Q582">
        <v>89</v>
      </c>
      <c r="R582" t="s">
        <v>13</v>
      </c>
      <c r="S582" t="s">
        <v>14</v>
      </c>
      <c r="T582" t="s">
        <v>14</v>
      </c>
      <c r="U582" s="29">
        <v>3</v>
      </c>
      <c r="V582" s="29">
        <v>3.5</v>
      </c>
      <c r="W582" s="25">
        <v>3.25</v>
      </c>
      <c r="X582" s="25">
        <v>0.5</v>
      </c>
      <c r="Y582" s="244">
        <v>1.5753479850000001</v>
      </c>
      <c r="Z582" t="s">
        <v>1102</v>
      </c>
      <c r="AA582" t="s">
        <v>622</v>
      </c>
      <c r="AB582">
        <v>1</v>
      </c>
      <c r="AC582">
        <v>0</v>
      </c>
      <c r="AF582" t="s">
        <v>667</v>
      </c>
      <c r="AG582" s="30">
        <v>0</v>
      </c>
      <c r="AH582" s="30" t="s">
        <v>671</v>
      </c>
      <c r="AI582" s="30" t="s">
        <v>1129</v>
      </c>
      <c r="AJ582" t="s">
        <v>1130</v>
      </c>
      <c r="AK582">
        <v>0.59524549999999998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0.12338914929468812</v>
      </c>
    </row>
    <row r="583" spans="1:44" customFormat="1" hidden="1" x14ac:dyDescent="0.5">
      <c r="A583">
        <v>206</v>
      </c>
      <c r="B583">
        <v>11</v>
      </c>
      <c r="C583" s="226" t="s">
        <v>20</v>
      </c>
      <c r="D583" s="227">
        <v>52.96</v>
      </c>
      <c r="E583" s="228">
        <v>-9.7149999999999999</v>
      </c>
      <c r="F583">
        <v>8.2899999999999991</v>
      </c>
      <c r="G583">
        <f>F583*1609.344</f>
        <v>13341.461759999998</v>
      </c>
      <c r="H583" s="30" t="s">
        <v>614</v>
      </c>
      <c r="I583" s="7">
        <v>78</v>
      </c>
      <c r="J583">
        <v>42.8054630388108</v>
      </c>
      <c r="K583" s="26">
        <v>2014</v>
      </c>
      <c r="L583" t="s">
        <v>30</v>
      </c>
      <c r="M583" s="30">
        <v>250</v>
      </c>
      <c r="N583">
        <v>30.131484459999999</v>
      </c>
      <c r="O583">
        <v>5</v>
      </c>
      <c r="P583" t="s">
        <v>52</v>
      </c>
      <c r="Q583">
        <v>89</v>
      </c>
      <c r="R583" t="s">
        <v>13</v>
      </c>
      <c r="S583" t="s">
        <v>14</v>
      </c>
      <c r="T583" t="s">
        <v>14</v>
      </c>
      <c r="U583" s="29">
        <v>3</v>
      </c>
      <c r="V583" s="29">
        <v>3.5</v>
      </c>
      <c r="W583" s="25">
        <v>3.25</v>
      </c>
      <c r="X583" s="25">
        <v>0.5</v>
      </c>
      <c r="Y583" s="244">
        <v>1.5753479850000001</v>
      </c>
      <c r="Z583" t="s">
        <v>1102</v>
      </c>
      <c r="AA583" t="s">
        <v>622</v>
      </c>
      <c r="AB583">
        <v>1</v>
      </c>
      <c r="AC583">
        <v>0</v>
      </c>
      <c r="AF583" t="s">
        <v>667</v>
      </c>
      <c r="AG583" s="30">
        <v>0</v>
      </c>
      <c r="AH583" s="30" t="s">
        <v>671</v>
      </c>
      <c r="AI583" s="30" t="s">
        <v>1129</v>
      </c>
      <c r="AJ583" t="s">
        <v>1130</v>
      </c>
      <c r="AK583">
        <v>0.59524549999999998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0.12338914929468812</v>
      </c>
    </row>
    <row r="584" spans="1:44" customFormat="1" hidden="1" x14ac:dyDescent="0.5">
      <c r="A584">
        <v>207</v>
      </c>
      <c r="B584">
        <v>11</v>
      </c>
      <c r="C584" s="226" t="s">
        <v>20</v>
      </c>
      <c r="D584" s="227">
        <v>52.96</v>
      </c>
      <c r="E584" s="228">
        <v>-9.7149999999999999</v>
      </c>
      <c r="F584">
        <v>8.2899999999999991</v>
      </c>
      <c r="G584">
        <f>F584*1609.344</f>
        <v>13341.461759999998</v>
      </c>
      <c r="H584" s="30" t="s">
        <v>614</v>
      </c>
      <c r="I584" s="7">
        <v>78</v>
      </c>
      <c r="J584">
        <v>42.8054630388108</v>
      </c>
      <c r="K584" s="26">
        <v>2014</v>
      </c>
      <c r="L584" t="s">
        <v>30</v>
      </c>
      <c r="M584" s="30">
        <v>250</v>
      </c>
      <c r="N584">
        <v>30.131484459999999</v>
      </c>
      <c r="O584">
        <v>5</v>
      </c>
      <c r="P584" t="s">
        <v>52</v>
      </c>
      <c r="Q584">
        <v>89</v>
      </c>
      <c r="R584" t="s">
        <v>13</v>
      </c>
      <c r="S584" t="s">
        <v>14</v>
      </c>
      <c r="T584" t="s">
        <v>14</v>
      </c>
      <c r="U584" s="29">
        <v>2</v>
      </c>
      <c r="V584" s="29">
        <v>2.5</v>
      </c>
      <c r="W584" s="25">
        <v>2.25</v>
      </c>
      <c r="X584" s="25">
        <v>0.5</v>
      </c>
      <c r="Y584" s="244">
        <v>1.5753479850000001</v>
      </c>
      <c r="Z584" t="s">
        <v>1102</v>
      </c>
      <c r="AA584" t="s">
        <v>622</v>
      </c>
      <c r="AB584">
        <v>1</v>
      </c>
      <c r="AC584">
        <v>1</v>
      </c>
      <c r="AF584" t="s">
        <v>667</v>
      </c>
      <c r="AG584" s="30" t="s">
        <v>1231</v>
      </c>
      <c r="AH584" s="30" t="s">
        <v>1151</v>
      </c>
      <c r="AI584" s="30" t="s">
        <v>1232</v>
      </c>
      <c r="AJ584" t="s">
        <v>2755</v>
      </c>
      <c r="AK584">
        <v>0.85</v>
      </c>
      <c r="AL584">
        <v>31.739019236438729</v>
      </c>
      <c r="AM584">
        <v>5.6010033946656606</v>
      </c>
      <c r="AN584">
        <v>1074.5435560656119</v>
      </c>
      <c r="AO584">
        <v>189.62533342334336</v>
      </c>
      <c r="AP584">
        <v>1.6927800258426966</v>
      </c>
      <c r="AQ584">
        <v>0.29872588691341712</v>
      </c>
      <c r="AR584">
        <v>0.12338914929468812</v>
      </c>
    </row>
    <row r="585" spans="1:44" customFormat="1" hidden="1" x14ac:dyDescent="0.5">
      <c r="A585">
        <v>208</v>
      </c>
      <c r="B585">
        <v>11</v>
      </c>
      <c r="C585" s="226" t="s">
        <v>20</v>
      </c>
      <c r="D585" s="227">
        <v>52.96</v>
      </c>
      <c r="E585" s="228">
        <v>-9.7149999999999999</v>
      </c>
      <c r="F585">
        <v>8.2899999999999991</v>
      </c>
      <c r="G585">
        <f>F585*1609.344</f>
        <v>13341.461759999998</v>
      </c>
      <c r="H585" s="30" t="s">
        <v>614</v>
      </c>
      <c r="I585" s="7">
        <v>78</v>
      </c>
      <c r="J585">
        <v>42.8054630388108</v>
      </c>
      <c r="K585" s="26">
        <v>2014</v>
      </c>
      <c r="L585" t="s">
        <v>30</v>
      </c>
      <c r="M585" s="30">
        <v>250</v>
      </c>
      <c r="N585">
        <v>30.131484459999999</v>
      </c>
      <c r="O585">
        <v>5</v>
      </c>
      <c r="P585" t="s">
        <v>52</v>
      </c>
      <c r="Q585">
        <v>89</v>
      </c>
      <c r="R585" t="s">
        <v>13</v>
      </c>
      <c r="S585" t="s">
        <v>14</v>
      </c>
      <c r="T585" t="s">
        <v>14</v>
      </c>
      <c r="U585" s="29">
        <v>0</v>
      </c>
      <c r="V585" s="29">
        <v>0.5</v>
      </c>
      <c r="W585" s="25">
        <v>0.25</v>
      </c>
      <c r="X585" s="25">
        <v>0.5</v>
      </c>
      <c r="Y585" s="244">
        <v>1.5753479850000001</v>
      </c>
      <c r="Z585" t="s">
        <v>1102</v>
      </c>
      <c r="AA585" t="s">
        <v>622</v>
      </c>
      <c r="AB585">
        <v>1</v>
      </c>
      <c r="AC585">
        <v>2</v>
      </c>
      <c r="AF585" t="s">
        <v>667</v>
      </c>
      <c r="AG585" s="30" t="s">
        <v>1233</v>
      </c>
      <c r="AH585" s="30" t="s">
        <v>1151</v>
      </c>
      <c r="AI585" s="30" t="s">
        <v>1234</v>
      </c>
      <c r="AJ585" t="s">
        <v>2756</v>
      </c>
      <c r="AK585">
        <v>0.85</v>
      </c>
      <c r="AL585">
        <v>63.478038472877458</v>
      </c>
      <c r="AM585">
        <v>11.202006789331321</v>
      </c>
      <c r="AN585">
        <v>2149.0871121312239</v>
      </c>
      <c r="AO585">
        <v>379.25066684668673</v>
      </c>
      <c r="AP585">
        <v>3.3855600516853932</v>
      </c>
      <c r="AQ585">
        <v>0.59745177382683423</v>
      </c>
      <c r="AR585">
        <v>0.12338914929468812</v>
      </c>
    </row>
    <row r="586" spans="1:44" customFormat="1" hidden="1" x14ac:dyDescent="0.5">
      <c r="A586">
        <v>209</v>
      </c>
      <c r="B586">
        <v>11</v>
      </c>
      <c r="C586" s="226" t="s">
        <v>20</v>
      </c>
      <c r="D586" s="227">
        <v>52.96</v>
      </c>
      <c r="E586" s="228">
        <v>-9.7149999999999999</v>
      </c>
      <c r="F586">
        <v>8.2899999999999991</v>
      </c>
      <c r="G586">
        <f>F586*1609.344</f>
        <v>13341.461759999998</v>
      </c>
      <c r="H586" s="30" t="s">
        <v>614</v>
      </c>
      <c r="I586" s="7">
        <v>78</v>
      </c>
      <c r="J586">
        <v>42.8054630388108</v>
      </c>
      <c r="K586" s="26">
        <v>2014</v>
      </c>
      <c r="L586" t="s">
        <v>30</v>
      </c>
      <c r="M586" s="30">
        <v>250</v>
      </c>
      <c r="N586">
        <v>30.131484459999999</v>
      </c>
      <c r="O586">
        <v>5</v>
      </c>
      <c r="P586" t="s">
        <v>52</v>
      </c>
      <c r="Q586">
        <v>89</v>
      </c>
      <c r="R586" t="s">
        <v>13</v>
      </c>
      <c r="S586" t="s">
        <v>14</v>
      </c>
      <c r="T586" t="s">
        <v>14</v>
      </c>
      <c r="U586" s="29">
        <v>1</v>
      </c>
      <c r="V586" s="29">
        <v>1.5</v>
      </c>
      <c r="W586" s="25">
        <v>1.25</v>
      </c>
      <c r="X586" s="25">
        <v>0.5</v>
      </c>
      <c r="Y586" s="244">
        <v>1.5753479850000001</v>
      </c>
      <c r="Z586" t="s">
        <v>1102</v>
      </c>
      <c r="AA586" t="s">
        <v>622</v>
      </c>
      <c r="AB586">
        <v>1</v>
      </c>
      <c r="AC586">
        <v>2</v>
      </c>
      <c r="AF586" t="s">
        <v>667</v>
      </c>
      <c r="AG586" s="30" t="s">
        <v>1233</v>
      </c>
      <c r="AH586" s="30" t="s">
        <v>1151</v>
      </c>
      <c r="AI586" s="30" t="s">
        <v>1234</v>
      </c>
      <c r="AJ586" t="s">
        <v>2756</v>
      </c>
      <c r="AK586">
        <v>0.85</v>
      </c>
      <c r="AL586">
        <v>63.478038472877458</v>
      </c>
      <c r="AM586">
        <v>11.202006789331321</v>
      </c>
      <c r="AN586">
        <v>2149.0871121312239</v>
      </c>
      <c r="AO586">
        <v>379.25066684668673</v>
      </c>
      <c r="AP586">
        <v>3.3855600516853932</v>
      </c>
      <c r="AQ586">
        <v>0.59745177382683423</v>
      </c>
      <c r="AR586">
        <v>0.12338914929468812</v>
      </c>
    </row>
    <row r="587" spans="1:44" customFormat="1" hidden="1" x14ac:dyDescent="0.5">
      <c r="A587">
        <v>1522</v>
      </c>
      <c r="B587" s="1">
        <v>114</v>
      </c>
      <c r="C587" s="226" t="s">
        <v>20</v>
      </c>
      <c r="D587" s="30">
        <v>52.942593000000002</v>
      </c>
      <c r="E587" s="30">
        <v>-4.5649249999999997</v>
      </c>
      <c r="G587">
        <f>F587*1609.344</f>
        <v>0</v>
      </c>
      <c r="H587" s="30" t="s">
        <v>57</v>
      </c>
      <c r="I587" s="7">
        <v>0</v>
      </c>
      <c r="J587">
        <v>70.576524537129501</v>
      </c>
      <c r="K587" s="26">
        <v>2018</v>
      </c>
      <c r="L587" t="s">
        <v>30</v>
      </c>
      <c r="M587" s="30">
        <v>25</v>
      </c>
      <c r="N587">
        <v>2.6364560099999998</v>
      </c>
      <c r="O587">
        <v>5</v>
      </c>
      <c r="P587" t="s">
        <v>23</v>
      </c>
      <c r="Q587">
        <v>95.5</v>
      </c>
      <c r="R587" t="s">
        <v>13</v>
      </c>
      <c r="S587" t="s">
        <v>16</v>
      </c>
      <c r="T587" t="s">
        <v>14</v>
      </c>
      <c r="U587" s="29">
        <v>0</v>
      </c>
      <c r="V587" s="29">
        <v>5</v>
      </c>
      <c r="W587" s="25">
        <v>2.5</v>
      </c>
      <c r="X587" s="25">
        <v>5</v>
      </c>
      <c r="Y587" s="244">
        <v>1.0900000000000001</v>
      </c>
      <c r="Z587" t="s">
        <v>781</v>
      </c>
      <c r="AA587" t="s">
        <v>653</v>
      </c>
      <c r="AB587">
        <v>1</v>
      </c>
      <c r="AC587">
        <v>174</v>
      </c>
      <c r="AF587" t="s">
        <v>532</v>
      </c>
      <c r="AG587" s="30">
        <v>174</v>
      </c>
      <c r="AH587" s="30" t="s">
        <v>2630</v>
      </c>
      <c r="AI587" s="30" t="s">
        <v>2631</v>
      </c>
      <c r="AJ587" t="s">
        <v>3402</v>
      </c>
      <c r="AK587">
        <v>0.91800000000000004</v>
      </c>
      <c r="AL587">
        <v>159.732</v>
      </c>
      <c r="AM587">
        <v>14.268000000000001</v>
      </c>
      <c r="AN587">
        <v>440.97004333960206</v>
      </c>
      <c r="AO587">
        <v>39.38948099547644</v>
      </c>
      <c r="AP587">
        <v>0.48065734724016629</v>
      </c>
      <c r="AQ587">
        <v>4.2934534285069326E-2</v>
      </c>
      <c r="AR587">
        <v>0.20269999999999999</v>
      </c>
    </row>
    <row r="588" spans="1:44" customFormat="1" hidden="1" x14ac:dyDescent="0.5">
      <c r="A588">
        <v>1525</v>
      </c>
      <c r="B588" s="1">
        <v>114</v>
      </c>
      <c r="C588" s="226" t="s">
        <v>20</v>
      </c>
      <c r="D588" s="30">
        <v>52.942593000000002</v>
      </c>
      <c r="E588" s="30">
        <v>-4.5649249999999997</v>
      </c>
      <c r="G588">
        <f>F588*1609.344</f>
        <v>0</v>
      </c>
      <c r="H588" s="30" t="s">
        <v>614</v>
      </c>
      <c r="I588" s="7">
        <v>0</v>
      </c>
      <c r="J588">
        <v>70.576524537129501</v>
      </c>
      <c r="K588" s="26">
        <v>2018</v>
      </c>
      <c r="L588" t="s">
        <v>30</v>
      </c>
      <c r="M588" s="30">
        <v>25</v>
      </c>
      <c r="N588">
        <v>2.6364560099999998</v>
      </c>
      <c r="O588">
        <v>5</v>
      </c>
      <c r="P588" t="s">
        <v>23</v>
      </c>
      <c r="Q588">
        <v>95.5</v>
      </c>
      <c r="R588" t="s">
        <v>13</v>
      </c>
      <c r="S588" t="s">
        <v>16</v>
      </c>
      <c r="T588" t="s">
        <v>14</v>
      </c>
      <c r="U588" s="29">
        <v>0</v>
      </c>
      <c r="V588" s="29">
        <v>5</v>
      </c>
      <c r="W588" s="25">
        <v>2.5</v>
      </c>
      <c r="X588" s="25">
        <v>5</v>
      </c>
      <c r="Y588" s="244">
        <v>0.93194745000000001</v>
      </c>
      <c r="Z588" t="s">
        <v>1114</v>
      </c>
      <c r="AA588" t="s">
        <v>622</v>
      </c>
      <c r="AB588">
        <v>1</v>
      </c>
      <c r="AC588">
        <v>113</v>
      </c>
      <c r="AF588" t="s">
        <v>532</v>
      </c>
      <c r="AG588" s="30">
        <v>113</v>
      </c>
      <c r="AH588" s="30" t="s">
        <v>2630</v>
      </c>
      <c r="AI588" s="30" t="s">
        <v>2634</v>
      </c>
      <c r="AJ588" t="s">
        <v>3405</v>
      </c>
      <c r="AK588">
        <v>0.91800000000000004</v>
      </c>
      <c r="AL588">
        <v>103.73400000000001</v>
      </c>
      <c r="AM588">
        <v>9.2659999999999911</v>
      </c>
      <c r="AN588">
        <v>286.37709711135079</v>
      </c>
      <c r="AO588">
        <v>25.580525014303639</v>
      </c>
      <c r="AP588">
        <v>0.26688840539132574</v>
      </c>
      <c r="AQ588">
        <v>2.3839705056741489E-2</v>
      </c>
      <c r="AR588">
        <v>0.13341858489683281</v>
      </c>
    </row>
    <row r="589" spans="1:44" customFormat="1" hidden="1" x14ac:dyDescent="0.5">
      <c r="A589">
        <v>1256</v>
      </c>
      <c r="B589">
        <v>87</v>
      </c>
      <c r="C589" s="226" t="s">
        <v>20</v>
      </c>
      <c r="D589" s="30">
        <v>52.859499999999997</v>
      </c>
      <c r="E589" s="238">
        <v>4.4039999999999999</v>
      </c>
      <c r="F589">
        <v>4.97</v>
      </c>
      <c r="G589">
        <f>F589*1609.344</f>
        <v>7998.4396799999995</v>
      </c>
      <c r="H589" s="30" t="s">
        <v>614</v>
      </c>
      <c r="I589">
        <v>18</v>
      </c>
      <c r="J589">
        <v>932.35370886797705</v>
      </c>
      <c r="K589" s="26">
        <v>2014</v>
      </c>
      <c r="L589" t="s">
        <v>40</v>
      </c>
      <c r="M589" s="30">
        <v>11</v>
      </c>
      <c r="N589">
        <v>1.1060976250000001</v>
      </c>
      <c r="O589">
        <v>5</v>
      </c>
      <c r="P589" t="s">
        <v>23</v>
      </c>
      <c r="Q589">
        <v>95.5</v>
      </c>
      <c r="R589" t="s">
        <v>13</v>
      </c>
      <c r="S589" t="s">
        <v>14</v>
      </c>
      <c r="T589" t="s">
        <v>14</v>
      </c>
      <c r="U589" s="29">
        <v>0</v>
      </c>
      <c r="V589" s="29">
        <v>5</v>
      </c>
      <c r="W589" s="25">
        <v>2.5</v>
      </c>
      <c r="X589" s="25">
        <v>5</v>
      </c>
      <c r="Y589" s="244">
        <v>1.788789671</v>
      </c>
      <c r="Z589" t="s">
        <v>1104</v>
      </c>
      <c r="AA589" t="s">
        <v>622</v>
      </c>
      <c r="AB589">
        <v>1</v>
      </c>
      <c r="AC589">
        <v>2.79</v>
      </c>
      <c r="AF589" t="s">
        <v>532</v>
      </c>
      <c r="AG589" s="30" t="s">
        <v>2393</v>
      </c>
      <c r="AH589" s="30" t="s">
        <v>671</v>
      </c>
      <c r="AI589" s="30" t="s">
        <v>1129</v>
      </c>
      <c r="AJ589" t="s">
        <v>1130</v>
      </c>
      <c r="AK589">
        <v>0.59524549999999998</v>
      </c>
      <c r="AL589">
        <v>1.6666873999999998</v>
      </c>
      <c r="AM589">
        <v>1.1333126</v>
      </c>
      <c r="AN589">
        <v>1.9303863610025391</v>
      </c>
      <c r="AO589">
        <v>1.3126223824529581</v>
      </c>
      <c r="AP589">
        <v>3.4530551836006191E-3</v>
      </c>
      <c r="AQ589">
        <v>2.3480053596552633E-3</v>
      </c>
      <c r="AR589">
        <v>0.13103405168936957</v>
      </c>
    </row>
    <row r="590" spans="1:44" hidden="1" x14ac:dyDescent="0.5">
      <c r="A590" s="31">
        <v>589</v>
      </c>
      <c r="B590" s="31">
        <v>43</v>
      </c>
      <c r="C590" s="225" t="s">
        <v>9</v>
      </c>
      <c r="D590" s="35">
        <v>25.02317</v>
      </c>
      <c r="E590" s="33">
        <v>121.942004</v>
      </c>
      <c r="F590">
        <v>0</v>
      </c>
      <c r="G590">
        <f>F590*1609.344</f>
        <v>0</v>
      </c>
      <c r="H590" s="32" t="s">
        <v>10</v>
      </c>
      <c r="I590">
        <v>0</v>
      </c>
      <c r="J590">
        <v>1311.8060881320901</v>
      </c>
      <c r="K590" s="26">
        <v>2015</v>
      </c>
      <c r="L590" t="s">
        <v>11</v>
      </c>
      <c r="M590" s="32">
        <v>250</v>
      </c>
      <c r="N590">
        <v>30.131484459999999</v>
      </c>
      <c r="O590">
        <v>5</v>
      </c>
      <c r="P590" t="s">
        <v>12</v>
      </c>
      <c r="Q590">
        <v>89</v>
      </c>
      <c r="R590" t="s">
        <v>13</v>
      </c>
      <c r="S590" t="s">
        <v>14</v>
      </c>
      <c r="T590" t="s">
        <v>14</v>
      </c>
      <c r="U590" s="34">
        <v>5</v>
      </c>
      <c r="V590" s="34">
        <v>10</v>
      </c>
      <c r="W590" s="25">
        <v>7.5</v>
      </c>
      <c r="X590" s="25">
        <v>5</v>
      </c>
      <c r="Y590">
        <v>0.61037440899999995</v>
      </c>
      <c r="Z590" t="s">
        <v>812</v>
      </c>
      <c r="AA590" t="s">
        <v>619</v>
      </c>
      <c r="AB590">
        <v>1</v>
      </c>
      <c r="AC590">
        <v>4</v>
      </c>
      <c r="AF590" t="s">
        <v>526</v>
      </c>
      <c r="AG590" s="32" t="s">
        <v>1608</v>
      </c>
      <c r="AH590" s="32">
        <v>0</v>
      </c>
      <c r="AI590" s="32">
        <v>0</v>
      </c>
      <c r="AJ590" s="31" t="s">
        <v>1608</v>
      </c>
      <c r="AK590" s="31">
        <v>0</v>
      </c>
      <c r="AL590" s="31">
        <v>0</v>
      </c>
      <c r="AM590" s="31">
        <v>0.52426837574050389</v>
      </c>
      <c r="AN590" s="31">
        <v>0</v>
      </c>
      <c r="AO590" s="31">
        <v>17.749420692690375</v>
      </c>
      <c r="AP590" s="31">
        <v>0</v>
      </c>
      <c r="AQ590" s="31">
        <v>1.0833792165393258E-2</v>
      </c>
      <c r="AR590" s="31">
        <v>0.13341858489683281</v>
      </c>
    </row>
    <row r="591" spans="1:44" hidden="1" x14ac:dyDescent="0.5">
      <c r="A591" s="31">
        <v>590</v>
      </c>
      <c r="B591" s="31">
        <v>43</v>
      </c>
      <c r="C591" s="225" t="s">
        <v>9</v>
      </c>
      <c r="D591" s="35">
        <v>25.02317</v>
      </c>
      <c r="E591" s="33">
        <v>121.942004</v>
      </c>
      <c r="F591">
        <v>0</v>
      </c>
      <c r="G591">
        <f>F591*1609.344</f>
        <v>0</v>
      </c>
      <c r="H591" s="32" t="s">
        <v>10</v>
      </c>
      <c r="I591">
        <v>0</v>
      </c>
      <c r="J591">
        <v>1311.8060881320901</v>
      </c>
      <c r="K591" s="26">
        <v>2015</v>
      </c>
      <c r="L591" t="s">
        <v>11</v>
      </c>
      <c r="M591" s="32">
        <v>250</v>
      </c>
      <c r="N591">
        <v>30.131484459999999</v>
      </c>
      <c r="O591">
        <v>5</v>
      </c>
      <c r="P591" t="s">
        <v>12</v>
      </c>
      <c r="Q591">
        <v>89</v>
      </c>
      <c r="R591" t="s">
        <v>13</v>
      </c>
      <c r="S591" t="s">
        <v>14</v>
      </c>
      <c r="T591" t="s">
        <v>14</v>
      </c>
      <c r="U591" s="34">
        <v>0</v>
      </c>
      <c r="V591" s="34">
        <v>5</v>
      </c>
      <c r="W591" s="25">
        <v>2.5</v>
      </c>
      <c r="X591" s="25">
        <v>5</v>
      </c>
      <c r="Y591">
        <v>0.61037440899999995</v>
      </c>
      <c r="Z591" t="s">
        <v>812</v>
      </c>
      <c r="AA591" t="s">
        <v>619</v>
      </c>
      <c r="AB591">
        <v>1</v>
      </c>
      <c r="AC591">
        <v>16</v>
      </c>
      <c r="AF591" t="s">
        <v>526</v>
      </c>
      <c r="AG591" s="32" t="s">
        <v>1609</v>
      </c>
      <c r="AH591" s="32" t="s">
        <v>1610</v>
      </c>
      <c r="AI591" s="32" t="s">
        <v>1611</v>
      </c>
      <c r="AJ591" s="31" t="s">
        <v>2966</v>
      </c>
      <c r="AK591" s="31">
        <v>0.1875</v>
      </c>
      <c r="AL591" s="31">
        <v>0.39320128180537794</v>
      </c>
      <c r="AM591" s="31">
        <v>1.7038722211566375</v>
      </c>
      <c r="AN591" s="31">
        <v>13.312065519517782</v>
      </c>
      <c r="AO591" s="31">
        <v>57.685617251243713</v>
      </c>
      <c r="AP591" s="31">
        <v>8.1253441240449441E-3</v>
      </c>
      <c r="AQ591" s="31">
        <v>3.5209824537528085E-2</v>
      </c>
      <c r="AR591" s="31">
        <v>0.13341858489683281</v>
      </c>
    </row>
    <row r="592" spans="1:44" hidden="1" x14ac:dyDescent="0.5">
      <c r="A592" s="31">
        <v>591</v>
      </c>
      <c r="B592" s="31">
        <v>43</v>
      </c>
      <c r="C592" s="225" t="s">
        <v>9</v>
      </c>
      <c r="D592" s="35">
        <v>25.164207000000001</v>
      </c>
      <c r="E592" s="33">
        <v>121.721994</v>
      </c>
      <c r="F592">
        <v>0</v>
      </c>
      <c r="G592">
        <f>F592*1609.344</f>
        <v>0</v>
      </c>
      <c r="H592" s="32" t="s">
        <v>10</v>
      </c>
      <c r="I592">
        <v>0</v>
      </c>
      <c r="J592">
        <v>1311.2375850722899</v>
      </c>
      <c r="K592" s="26">
        <v>2015</v>
      </c>
      <c r="L592" t="s">
        <v>11</v>
      </c>
      <c r="M592" s="32">
        <v>250</v>
      </c>
      <c r="N592">
        <v>30.131484459999999</v>
      </c>
      <c r="O592">
        <v>5</v>
      </c>
      <c r="P592" t="s">
        <v>12</v>
      </c>
      <c r="Q592">
        <v>89</v>
      </c>
      <c r="R592" t="s">
        <v>13</v>
      </c>
      <c r="S592" t="s">
        <v>14</v>
      </c>
      <c r="T592" t="s">
        <v>14</v>
      </c>
      <c r="U592" s="34">
        <v>0</v>
      </c>
      <c r="V592" s="34">
        <v>5</v>
      </c>
      <c r="W592" s="25">
        <v>2.5</v>
      </c>
      <c r="X592" s="25">
        <v>5</v>
      </c>
      <c r="Y592">
        <v>0.61037440899999995</v>
      </c>
      <c r="Z592" t="s">
        <v>812</v>
      </c>
      <c r="AA592" t="s">
        <v>619</v>
      </c>
      <c r="AB592">
        <v>1</v>
      </c>
      <c r="AC592">
        <v>484</v>
      </c>
      <c r="AF592" t="s">
        <v>526</v>
      </c>
      <c r="AG592" s="32" t="s">
        <v>1612</v>
      </c>
      <c r="AH592" s="32" t="s">
        <v>1613</v>
      </c>
      <c r="AI592" s="32" t="s">
        <v>1614</v>
      </c>
      <c r="AJ592" s="31" t="s">
        <v>2967</v>
      </c>
      <c r="AK592" s="31">
        <v>0.1384</v>
      </c>
      <c r="AL592" s="31">
        <v>8.7796079275007735</v>
      </c>
      <c r="AM592" s="31">
        <v>54.656865537100202</v>
      </c>
      <c r="AN592" s="31">
        <v>297.23889868807004</v>
      </c>
      <c r="AO592" s="31">
        <v>1850.4410051274654</v>
      </c>
      <c r="AP592" s="31">
        <v>0.18142701711854159</v>
      </c>
      <c r="AQ592" s="31">
        <v>1.1294618348940426</v>
      </c>
      <c r="AR592" s="31">
        <v>0.13341858489683281</v>
      </c>
    </row>
    <row r="593" spans="1:44" hidden="1" x14ac:dyDescent="0.5">
      <c r="A593" s="31">
        <v>592</v>
      </c>
      <c r="B593" s="31">
        <v>43</v>
      </c>
      <c r="C593" s="225" t="s">
        <v>9</v>
      </c>
      <c r="D593" s="35">
        <v>25.164207000000001</v>
      </c>
      <c r="E593" s="33">
        <v>121.721994</v>
      </c>
      <c r="F593">
        <v>0</v>
      </c>
      <c r="G593">
        <f>F593*1609.344</f>
        <v>0</v>
      </c>
      <c r="H593" s="32" t="s">
        <v>10</v>
      </c>
      <c r="I593">
        <v>0</v>
      </c>
      <c r="J593">
        <v>1311.2375850722899</v>
      </c>
      <c r="K593" s="26">
        <v>2015</v>
      </c>
      <c r="L593" t="s">
        <v>11</v>
      </c>
      <c r="M593" s="32">
        <v>250</v>
      </c>
      <c r="N593">
        <v>30.131484459999999</v>
      </c>
      <c r="O593">
        <v>5</v>
      </c>
      <c r="P593" t="s">
        <v>12</v>
      </c>
      <c r="Q593">
        <v>89</v>
      </c>
      <c r="R593" t="s">
        <v>13</v>
      </c>
      <c r="S593" t="s">
        <v>14</v>
      </c>
      <c r="T593" t="s">
        <v>14</v>
      </c>
      <c r="U593" s="34">
        <v>5</v>
      </c>
      <c r="V593" s="34">
        <v>10</v>
      </c>
      <c r="W593" s="25">
        <v>7.5</v>
      </c>
      <c r="X593" s="25">
        <v>5</v>
      </c>
      <c r="Y593">
        <v>0.61037440899999995</v>
      </c>
      <c r="Z593" t="s">
        <v>812</v>
      </c>
      <c r="AA593" t="s">
        <v>619</v>
      </c>
      <c r="AB593">
        <v>1</v>
      </c>
      <c r="AC593">
        <v>532</v>
      </c>
      <c r="AF593" t="s">
        <v>526</v>
      </c>
      <c r="AG593" s="32" t="s">
        <v>1615</v>
      </c>
      <c r="AH593" s="32" t="s">
        <v>1616</v>
      </c>
      <c r="AI593" s="32" t="s">
        <v>1617</v>
      </c>
      <c r="AJ593" s="31" t="s">
        <v>2968</v>
      </c>
      <c r="AK593" s="31">
        <v>9.0200000000000002E-2</v>
      </c>
      <c r="AL593" s="31">
        <v>6.2894379964085294</v>
      </c>
      <c r="AM593" s="31">
        <v>63.438255977078491</v>
      </c>
      <c r="AN593" s="31">
        <v>212.93270028192936</v>
      </c>
      <c r="AO593" s="31">
        <v>2147.7402518458907</v>
      </c>
      <c r="AP593" s="31">
        <v>0.12996867109135674</v>
      </c>
      <c r="AQ593" s="31">
        <v>1.3109256869059465</v>
      </c>
      <c r="AR593" s="31">
        <v>0.13341858489683281</v>
      </c>
    </row>
    <row r="594" spans="1:44" hidden="1" x14ac:dyDescent="0.5">
      <c r="A594" s="31">
        <v>593</v>
      </c>
      <c r="B594" s="31">
        <v>43</v>
      </c>
      <c r="C594" s="225" t="s">
        <v>9</v>
      </c>
      <c r="D594" s="35">
        <v>25.188859000000001</v>
      </c>
      <c r="E594" s="33">
        <v>121.414941</v>
      </c>
      <c r="F594">
        <v>0</v>
      </c>
      <c r="G594">
        <f>F594*1609.344</f>
        <v>0</v>
      </c>
      <c r="H594" s="32" t="s">
        <v>10</v>
      </c>
      <c r="I594">
        <v>0</v>
      </c>
      <c r="J594">
        <v>1183.8497766922901</v>
      </c>
      <c r="K594" s="26">
        <v>2015</v>
      </c>
      <c r="L594" t="s">
        <v>11</v>
      </c>
      <c r="M594" s="32">
        <v>250</v>
      </c>
      <c r="N594">
        <v>30.131484459999999</v>
      </c>
      <c r="O594">
        <v>5</v>
      </c>
      <c r="P594" t="s">
        <v>12</v>
      </c>
      <c r="Q594">
        <v>89</v>
      </c>
      <c r="R594" t="s">
        <v>13</v>
      </c>
      <c r="S594" t="s">
        <v>14</v>
      </c>
      <c r="T594" t="s">
        <v>14</v>
      </c>
      <c r="U594" s="34">
        <v>5</v>
      </c>
      <c r="V594" s="34">
        <v>10</v>
      </c>
      <c r="W594" s="25">
        <v>7.5</v>
      </c>
      <c r="X594" s="25">
        <v>5</v>
      </c>
      <c r="Y594">
        <v>0.61037440899999995</v>
      </c>
      <c r="Z594" t="s">
        <v>812</v>
      </c>
      <c r="AA594" t="s">
        <v>619</v>
      </c>
      <c r="AB594">
        <v>1</v>
      </c>
      <c r="AC594">
        <v>20</v>
      </c>
      <c r="AF594" t="s">
        <v>526</v>
      </c>
      <c r="AG594" s="32" t="s">
        <v>1618</v>
      </c>
      <c r="AH594" s="32" t="s">
        <v>1594</v>
      </c>
      <c r="AI594" s="32" t="s">
        <v>1619</v>
      </c>
      <c r="AJ594" s="31" t="s">
        <v>2969</v>
      </c>
      <c r="AK594" s="31">
        <v>0.9</v>
      </c>
      <c r="AL594" s="31">
        <v>2.3592076908322679</v>
      </c>
      <c r="AM594" s="31">
        <v>0.26213418787025189</v>
      </c>
      <c r="AN594" s="31">
        <v>79.872393117106697</v>
      </c>
      <c r="AO594" s="31">
        <v>8.8747103463451857</v>
      </c>
      <c r="AP594" s="31">
        <v>4.8752064744269664E-2</v>
      </c>
      <c r="AQ594" s="31">
        <v>5.4168960826966282E-3</v>
      </c>
      <c r="AR594" s="31">
        <v>0.13341858489683281</v>
      </c>
    </row>
    <row r="595" spans="1:44" hidden="1" x14ac:dyDescent="0.5">
      <c r="A595" s="31">
        <v>594</v>
      </c>
      <c r="B595" s="31">
        <v>43</v>
      </c>
      <c r="C595" s="225" t="s">
        <v>9</v>
      </c>
      <c r="D595" s="35">
        <v>25.188859000000001</v>
      </c>
      <c r="E595" s="33">
        <v>121.414941</v>
      </c>
      <c r="F595">
        <v>0</v>
      </c>
      <c r="G595">
        <f>F595*1609.344</f>
        <v>0</v>
      </c>
      <c r="H595" s="32" t="s">
        <v>10</v>
      </c>
      <c r="I595">
        <v>0</v>
      </c>
      <c r="J595">
        <v>1183.8497766922901</v>
      </c>
      <c r="K595" s="26">
        <v>2015</v>
      </c>
      <c r="L595" t="s">
        <v>11</v>
      </c>
      <c r="M595" s="32">
        <v>250</v>
      </c>
      <c r="N595">
        <v>30.131484459999999</v>
      </c>
      <c r="O595">
        <v>5</v>
      </c>
      <c r="P595" t="s">
        <v>12</v>
      </c>
      <c r="Q595">
        <v>89</v>
      </c>
      <c r="R595" t="s">
        <v>13</v>
      </c>
      <c r="S595" t="s">
        <v>14</v>
      </c>
      <c r="T595" t="s">
        <v>14</v>
      </c>
      <c r="U595" s="34">
        <v>0</v>
      </c>
      <c r="V595" s="34">
        <v>5</v>
      </c>
      <c r="W595" s="25">
        <v>2.5</v>
      </c>
      <c r="X595" s="25">
        <v>5</v>
      </c>
      <c r="Y595">
        <v>0.61037440899999995</v>
      </c>
      <c r="Z595" t="s">
        <v>812</v>
      </c>
      <c r="AA595" t="s">
        <v>619</v>
      </c>
      <c r="AB595">
        <v>1</v>
      </c>
      <c r="AC595">
        <v>21</v>
      </c>
      <c r="AF595" t="s">
        <v>526</v>
      </c>
      <c r="AG595" s="32" t="s">
        <v>1620</v>
      </c>
      <c r="AH595" s="32" t="s">
        <v>1621</v>
      </c>
      <c r="AI595" s="32" t="s">
        <v>1622</v>
      </c>
      <c r="AJ595" s="31" t="s">
        <v>2970</v>
      </c>
      <c r="AK595" s="31">
        <v>4.7600000000000003E-2</v>
      </c>
      <c r="AL595" s="31">
        <v>0.13101466709755194</v>
      </c>
      <c r="AM595" s="31">
        <v>2.6213943055400937</v>
      </c>
      <c r="AN595" s="31">
        <v>4.4355802311033257</v>
      </c>
      <c r="AO595" s="31">
        <v>88.748878405521154</v>
      </c>
      <c r="AP595" s="31">
        <v>2.7073646621317755E-3</v>
      </c>
      <c r="AQ595" s="31">
        <v>5.4170044206182828E-2</v>
      </c>
      <c r="AR595" s="31">
        <v>0.13341858489683281</v>
      </c>
    </row>
    <row r="596" spans="1:44" hidden="1" x14ac:dyDescent="0.5">
      <c r="A596" s="31">
        <v>595</v>
      </c>
      <c r="B596" s="31">
        <v>43</v>
      </c>
      <c r="C596" s="225" t="s">
        <v>9</v>
      </c>
      <c r="D596" s="35">
        <v>25.284154999999998</v>
      </c>
      <c r="E596" s="33">
        <v>121.517048</v>
      </c>
      <c r="F596">
        <v>0</v>
      </c>
      <c r="G596">
        <f>F596*1609.344</f>
        <v>0</v>
      </c>
      <c r="H596" s="32" t="s">
        <v>10</v>
      </c>
      <c r="I596">
        <v>0</v>
      </c>
      <c r="J596">
        <v>1360.1812658095901</v>
      </c>
      <c r="K596" s="26">
        <v>2015</v>
      </c>
      <c r="L596" t="s">
        <v>11</v>
      </c>
      <c r="M596" s="32">
        <v>250</v>
      </c>
      <c r="N596">
        <v>30.131484459999999</v>
      </c>
      <c r="O596">
        <v>5</v>
      </c>
      <c r="P596" t="s">
        <v>12</v>
      </c>
      <c r="Q596">
        <v>89</v>
      </c>
      <c r="R596" t="s">
        <v>13</v>
      </c>
      <c r="S596" t="s">
        <v>14</v>
      </c>
      <c r="T596" t="s">
        <v>14</v>
      </c>
      <c r="U596" s="34">
        <v>0</v>
      </c>
      <c r="V596" s="34">
        <v>5</v>
      </c>
      <c r="W596" s="25">
        <v>2.5</v>
      </c>
      <c r="X596" s="25">
        <v>5</v>
      </c>
      <c r="Y596">
        <v>0.61037440899999995</v>
      </c>
      <c r="Z596" t="s">
        <v>812</v>
      </c>
      <c r="AA596" t="s">
        <v>619</v>
      </c>
      <c r="AB596">
        <v>1</v>
      </c>
      <c r="AC596">
        <v>8</v>
      </c>
      <c r="AF596" t="s">
        <v>526</v>
      </c>
      <c r="AG596" s="32" t="s">
        <v>1623</v>
      </c>
      <c r="AH596" s="32" t="s">
        <v>1624</v>
      </c>
      <c r="AI596" s="32" t="s">
        <v>1611</v>
      </c>
      <c r="AJ596" s="31" t="s">
        <v>2971</v>
      </c>
      <c r="AK596" s="31">
        <v>0.375</v>
      </c>
      <c r="AL596" s="31">
        <v>0.39320128180537794</v>
      </c>
      <c r="AM596" s="31">
        <v>0.65533546967562983</v>
      </c>
      <c r="AN596" s="31">
        <v>13.312065519517782</v>
      </c>
      <c r="AO596" s="31">
        <v>22.186775865862966</v>
      </c>
      <c r="AP596" s="31">
        <v>8.1253441240449441E-3</v>
      </c>
      <c r="AQ596" s="31">
        <v>1.3542240206741571E-2</v>
      </c>
      <c r="AR596" s="31">
        <v>0.13341858489683281</v>
      </c>
    </row>
    <row r="597" spans="1:44" hidden="1" x14ac:dyDescent="0.5">
      <c r="A597" s="31">
        <v>596</v>
      </c>
      <c r="B597" s="31">
        <v>43</v>
      </c>
      <c r="C597" s="225" t="s">
        <v>9</v>
      </c>
      <c r="D597" s="35">
        <v>25.284154999999998</v>
      </c>
      <c r="E597" s="33">
        <v>121.517048</v>
      </c>
      <c r="F597">
        <v>0</v>
      </c>
      <c r="G597">
        <f>F597*1609.344</f>
        <v>0</v>
      </c>
      <c r="H597" s="32" t="s">
        <v>10</v>
      </c>
      <c r="I597">
        <v>0</v>
      </c>
      <c r="J597">
        <v>1360.1812658095901</v>
      </c>
      <c r="K597" s="26">
        <v>2015</v>
      </c>
      <c r="L597" t="s">
        <v>11</v>
      </c>
      <c r="M597" s="32">
        <v>250</v>
      </c>
      <c r="N597">
        <v>30.131484459999999</v>
      </c>
      <c r="O597">
        <v>5</v>
      </c>
      <c r="P597" t="s">
        <v>12</v>
      </c>
      <c r="Q597">
        <v>89</v>
      </c>
      <c r="R597" t="s">
        <v>13</v>
      </c>
      <c r="S597" t="s">
        <v>14</v>
      </c>
      <c r="T597" t="s">
        <v>14</v>
      </c>
      <c r="U597" s="34">
        <v>5</v>
      </c>
      <c r="V597" s="34">
        <v>10</v>
      </c>
      <c r="W597" s="25">
        <v>7.5</v>
      </c>
      <c r="X597" s="25">
        <v>5</v>
      </c>
      <c r="Y597">
        <v>0.61037440899999995</v>
      </c>
      <c r="Z597" t="s">
        <v>812</v>
      </c>
      <c r="AA597" t="s">
        <v>619</v>
      </c>
      <c r="AB597">
        <v>1</v>
      </c>
      <c r="AC597">
        <v>12</v>
      </c>
      <c r="AF597" t="s">
        <v>526</v>
      </c>
      <c r="AG597" s="32" t="s">
        <v>1625</v>
      </c>
      <c r="AH597" s="32" t="s">
        <v>1626</v>
      </c>
      <c r="AI597" s="32" t="s">
        <v>1627</v>
      </c>
      <c r="AJ597" s="31" t="s">
        <v>2972</v>
      </c>
      <c r="AK597" s="31">
        <v>0.83299999999999996</v>
      </c>
      <c r="AL597" s="31">
        <v>1.3101466709755192</v>
      </c>
      <c r="AM597" s="31">
        <v>0.2626584562459926</v>
      </c>
      <c r="AN597" s="31">
        <v>44.355802311033244</v>
      </c>
      <c r="AO597" s="31">
        <v>8.8924597670378827</v>
      </c>
      <c r="AP597" s="31">
        <v>2.7073646621317751E-2</v>
      </c>
      <c r="AQ597" s="31">
        <v>5.4277298748620249E-3</v>
      </c>
      <c r="AR597" s="31">
        <v>0.13341858489683281</v>
      </c>
    </row>
    <row r="598" spans="1:44" hidden="1" x14ac:dyDescent="0.5">
      <c r="A598" s="31">
        <v>1252</v>
      </c>
      <c r="B598" s="31">
        <v>87</v>
      </c>
      <c r="C598" s="225" t="s">
        <v>20</v>
      </c>
      <c r="D598" s="32">
        <v>52.417830000000002</v>
      </c>
      <c r="E598" s="38">
        <v>4.3308299999999997</v>
      </c>
      <c r="F598">
        <v>4.41</v>
      </c>
      <c r="G598">
        <f>F598*1609.344</f>
        <v>7097.2070400000002</v>
      </c>
      <c r="H598" s="32" t="s">
        <v>614</v>
      </c>
      <c r="I598">
        <v>16</v>
      </c>
      <c r="J598">
        <v>818.29428911879097</v>
      </c>
      <c r="K598" s="26">
        <v>2014</v>
      </c>
      <c r="L598" t="s">
        <v>40</v>
      </c>
      <c r="M598" s="32">
        <v>11</v>
      </c>
      <c r="N598">
        <v>1.1060976250000001</v>
      </c>
      <c r="O598">
        <v>5</v>
      </c>
      <c r="P598" t="s">
        <v>23</v>
      </c>
      <c r="Q598">
        <v>95.5</v>
      </c>
      <c r="R598" t="s">
        <v>13</v>
      </c>
      <c r="S598" t="s">
        <v>14</v>
      </c>
      <c r="T598" t="s">
        <v>14</v>
      </c>
      <c r="U598" s="34">
        <v>0</v>
      </c>
      <c r="V598" s="34">
        <v>5</v>
      </c>
      <c r="W598" s="25">
        <v>2.5</v>
      </c>
      <c r="X598" s="25">
        <v>5</v>
      </c>
      <c r="Y598" s="244">
        <v>1.788789671</v>
      </c>
      <c r="Z598" t="s">
        <v>1104</v>
      </c>
      <c r="AA598" t="s">
        <v>622</v>
      </c>
      <c r="AB598">
        <v>1</v>
      </c>
      <c r="AC598">
        <v>255.44</v>
      </c>
      <c r="AF598" t="s">
        <v>532</v>
      </c>
      <c r="AG598" s="32" t="s">
        <v>2389</v>
      </c>
      <c r="AH598" s="32" t="s">
        <v>671</v>
      </c>
      <c r="AI598" s="32" t="s">
        <v>1129</v>
      </c>
      <c r="AJ598" s="31" t="s">
        <v>1130</v>
      </c>
      <c r="AK598" s="31">
        <v>0.59524549999999998</v>
      </c>
      <c r="AL598" s="31">
        <v>152.02570069999999</v>
      </c>
      <c r="AM598" s="31">
        <v>103.37429930000002</v>
      </c>
      <c r="AN598" s="31">
        <v>176.07881307144589</v>
      </c>
      <c r="AO598" s="31">
        <v>119.72991302803055</v>
      </c>
      <c r="AP598" s="31">
        <v>0.31496796210414224</v>
      </c>
      <c r="AQ598" s="31">
        <v>0.2141716317342694</v>
      </c>
      <c r="AR598" s="31">
        <v>0.13129688117966493</v>
      </c>
    </row>
    <row r="599" spans="1:44" hidden="1" x14ac:dyDescent="0.5">
      <c r="A599" s="31">
        <v>1266</v>
      </c>
      <c r="B599" s="31">
        <v>87</v>
      </c>
      <c r="C599" s="225" t="s">
        <v>20</v>
      </c>
      <c r="D599" s="32">
        <v>52.186500000000002</v>
      </c>
      <c r="E599" s="38">
        <v>2.8846699999999998</v>
      </c>
      <c r="F599">
        <v>23.61</v>
      </c>
      <c r="G599">
        <f>F599*1609.344</f>
        <v>37996.611839999998</v>
      </c>
      <c r="H599" s="32" t="s">
        <v>614</v>
      </c>
      <c r="I599">
        <v>35</v>
      </c>
      <c r="J599">
        <v>493.91023963373601</v>
      </c>
      <c r="K599" s="26">
        <v>2014</v>
      </c>
      <c r="L599" t="s">
        <v>40</v>
      </c>
      <c r="M599" s="32">
        <v>11</v>
      </c>
      <c r="N599">
        <v>1.1060976250000001</v>
      </c>
      <c r="O599">
        <v>5</v>
      </c>
      <c r="P599" t="s">
        <v>23</v>
      </c>
      <c r="Q599">
        <v>95.5</v>
      </c>
      <c r="R599" t="s">
        <v>13</v>
      </c>
      <c r="S599" t="s">
        <v>14</v>
      </c>
      <c r="T599" t="s">
        <v>14</v>
      </c>
      <c r="U599" s="34">
        <v>0</v>
      </c>
      <c r="V599" s="34">
        <v>5</v>
      </c>
      <c r="W599" s="25">
        <v>2.5</v>
      </c>
      <c r="X599" s="25">
        <v>5</v>
      </c>
      <c r="Y599" s="244">
        <v>1.788789671</v>
      </c>
      <c r="Z599" t="s">
        <v>1104</v>
      </c>
      <c r="AA599" t="s">
        <v>622</v>
      </c>
      <c r="AB599">
        <v>1</v>
      </c>
      <c r="AC599">
        <v>149.62</v>
      </c>
      <c r="AF599" t="s">
        <v>532</v>
      </c>
      <c r="AG599" s="32" t="s">
        <v>2402</v>
      </c>
      <c r="AH599" s="32" t="s">
        <v>671</v>
      </c>
      <c r="AI599" s="32" t="s">
        <v>1129</v>
      </c>
      <c r="AJ599" s="31" t="s">
        <v>1130</v>
      </c>
      <c r="AK599" s="31">
        <v>0.59524549999999998</v>
      </c>
      <c r="AL599" s="31">
        <v>89.048726799999997</v>
      </c>
      <c r="AM599" s="31">
        <v>60.551273199999997</v>
      </c>
      <c r="AN599" s="31">
        <v>103.13778557356423</v>
      </c>
      <c r="AO599" s="31">
        <v>70.131538719629489</v>
      </c>
      <c r="AP599" s="31">
        <v>0.18449180552380451</v>
      </c>
      <c r="AQ599" s="31">
        <v>0.1254505720730098</v>
      </c>
      <c r="AR599" s="31">
        <v>0.12882113759235606</v>
      </c>
    </row>
    <row r="600" spans="1:44" hidden="1" x14ac:dyDescent="0.5">
      <c r="A600" s="31">
        <v>1255</v>
      </c>
      <c r="B600" s="31">
        <v>87</v>
      </c>
      <c r="C600" s="225" t="s">
        <v>20</v>
      </c>
      <c r="D600" s="32">
        <v>52.137999999999998</v>
      </c>
      <c r="E600" s="38">
        <v>3.9761700000000002</v>
      </c>
      <c r="F600">
        <v>4.2300000000000004</v>
      </c>
      <c r="G600">
        <f>F600*1609.344</f>
        <v>6807.5251200000012</v>
      </c>
      <c r="H600" s="32" t="s">
        <v>614</v>
      </c>
      <c r="I600">
        <v>18</v>
      </c>
      <c r="J600">
        <v>781.58995780551902</v>
      </c>
      <c r="K600" s="26">
        <v>2014</v>
      </c>
      <c r="L600" t="s">
        <v>40</v>
      </c>
      <c r="M600" s="32">
        <v>11</v>
      </c>
      <c r="N600">
        <v>1.1060976250000001</v>
      </c>
      <c r="O600">
        <v>5</v>
      </c>
      <c r="P600" t="s">
        <v>23</v>
      </c>
      <c r="Q600">
        <v>95.5</v>
      </c>
      <c r="R600" t="s">
        <v>13</v>
      </c>
      <c r="S600" t="s">
        <v>14</v>
      </c>
      <c r="T600" t="s">
        <v>14</v>
      </c>
      <c r="U600" s="34">
        <v>0</v>
      </c>
      <c r="V600" s="34">
        <v>5</v>
      </c>
      <c r="W600" s="25">
        <v>2.5</v>
      </c>
      <c r="X600" s="25">
        <v>5</v>
      </c>
      <c r="Y600" s="244">
        <v>1.788789671</v>
      </c>
      <c r="Z600" t="s">
        <v>1104</v>
      </c>
      <c r="AA600" t="s">
        <v>622</v>
      </c>
      <c r="AB600">
        <v>1</v>
      </c>
      <c r="AC600">
        <v>140.44999999999999</v>
      </c>
      <c r="AF600" t="s">
        <v>532</v>
      </c>
      <c r="AG600" s="32" t="s">
        <v>2392</v>
      </c>
      <c r="AH600" s="32" t="s">
        <v>671</v>
      </c>
      <c r="AI600" s="32" t="s">
        <v>1129</v>
      </c>
      <c r="AJ600" s="31" t="s">
        <v>1130</v>
      </c>
      <c r="AK600" s="31">
        <v>0.59524549999999998</v>
      </c>
      <c r="AL600" s="31">
        <v>83.631992749999995</v>
      </c>
      <c r="AM600" s="31">
        <v>56.868007250000005</v>
      </c>
      <c r="AN600" s="31">
        <v>96.864029900305979</v>
      </c>
      <c r="AO600" s="31">
        <v>65.865515976657377</v>
      </c>
      <c r="AP600" s="31">
        <v>0.17326937617710247</v>
      </c>
      <c r="AQ600" s="31">
        <v>0.1178195546541302</v>
      </c>
      <c r="AR600" s="31">
        <v>0.13103405168936957</v>
      </c>
    </row>
    <row r="601" spans="1:44" hidden="1" x14ac:dyDescent="0.5">
      <c r="A601" s="31">
        <v>818</v>
      </c>
      <c r="B601" s="31">
        <v>58</v>
      </c>
      <c r="C601" s="225" t="s">
        <v>20</v>
      </c>
      <c r="D601" s="35">
        <v>52.053113000000003</v>
      </c>
      <c r="E601" s="33">
        <v>4.1299780000000004</v>
      </c>
      <c r="F601">
        <v>1.24</v>
      </c>
      <c r="G601">
        <f>F601*1609.344</f>
        <v>1995.58656</v>
      </c>
      <c r="H601" s="32" t="s">
        <v>614</v>
      </c>
      <c r="I601" s="7">
        <v>11</v>
      </c>
      <c r="J601">
        <v>794.09716266305304</v>
      </c>
      <c r="K601" s="26">
        <v>2012.5</v>
      </c>
      <c r="L601" t="s">
        <v>40</v>
      </c>
      <c r="M601" s="32">
        <v>10</v>
      </c>
      <c r="N601">
        <v>0.99999999799999995</v>
      </c>
      <c r="O601">
        <v>5</v>
      </c>
      <c r="P601" t="s">
        <v>12</v>
      </c>
      <c r="Q601">
        <v>89</v>
      </c>
      <c r="R601" t="s">
        <v>13</v>
      </c>
      <c r="S601" t="s">
        <v>14</v>
      </c>
      <c r="T601" t="s">
        <v>14</v>
      </c>
      <c r="U601" s="34">
        <v>0</v>
      </c>
      <c r="V601" s="34">
        <v>10</v>
      </c>
      <c r="W601" s="25">
        <v>5</v>
      </c>
      <c r="X601" s="25">
        <v>10</v>
      </c>
      <c r="Y601" s="244">
        <v>1.788789671</v>
      </c>
      <c r="Z601" t="s">
        <v>1104</v>
      </c>
      <c r="AA601" t="s">
        <v>622</v>
      </c>
      <c r="AB601">
        <v>1</v>
      </c>
      <c r="AC601">
        <v>240</v>
      </c>
      <c r="AF601" t="s">
        <v>532</v>
      </c>
      <c r="AG601" s="32">
        <v>240</v>
      </c>
      <c r="AH601" s="32" t="s">
        <v>2013</v>
      </c>
      <c r="AI601" s="32" t="s">
        <v>2020</v>
      </c>
      <c r="AJ601" s="31" t="s">
        <v>3136</v>
      </c>
      <c r="AK601" s="31">
        <v>0.13466</v>
      </c>
      <c r="AL601" s="31">
        <v>32.318399999999997</v>
      </c>
      <c r="AM601" s="31">
        <v>207.6816</v>
      </c>
      <c r="AN601" s="31">
        <v>36.312808916138422</v>
      </c>
      <c r="AO601" s="31">
        <v>233.35011189285032</v>
      </c>
      <c r="AP601" s="31">
        <v>6.4955977514185123E-2</v>
      </c>
      <c r="AQ601" s="31">
        <v>0.41741426988062491</v>
      </c>
      <c r="AR601" s="31">
        <v>0.13195626365865479</v>
      </c>
    </row>
    <row r="602" spans="1:44" hidden="1" x14ac:dyDescent="0.5">
      <c r="A602" s="31">
        <v>817</v>
      </c>
      <c r="B602" s="31">
        <v>58</v>
      </c>
      <c r="C602" s="225" t="s">
        <v>20</v>
      </c>
      <c r="D602" s="35">
        <v>52.034393999999999</v>
      </c>
      <c r="E602" s="33">
        <v>4.1591329999999997</v>
      </c>
      <c r="F602">
        <v>0.62</v>
      </c>
      <c r="G602">
        <f>F602*1609.344</f>
        <v>997.79327999999998</v>
      </c>
      <c r="H602" s="32" t="s">
        <v>614</v>
      </c>
      <c r="I602" s="7">
        <v>0</v>
      </c>
      <c r="J602">
        <v>787.62115276489203</v>
      </c>
      <c r="K602" s="26">
        <v>2012.5</v>
      </c>
      <c r="L602" t="s">
        <v>40</v>
      </c>
      <c r="M602" s="32">
        <v>10</v>
      </c>
      <c r="N602">
        <v>0.99999999799999995</v>
      </c>
      <c r="O602">
        <v>5</v>
      </c>
      <c r="P602" t="s">
        <v>12</v>
      </c>
      <c r="Q602">
        <v>89</v>
      </c>
      <c r="R602" t="s">
        <v>13</v>
      </c>
      <c r="S602" t="s">
        <v>14</v>
      </c>
      <c r="T602" t="s">
        <v>14</v>
      </c>
      <c r="U602" s="34">
        <v>0</v>
      </c>
      <c r="V602" s="34">
        <v>10</v>
      </c>
      <c r="W602" s="25">
        <v>5</v>
      </c>
      <c r="X602" s="25">
        <v>10</v>
      </c>
      <c r="Y602" s="244">
        <v>1.788789671</v>
      </c>
      <c r="Z602" t="s">
        <v>1104</v>
      </c>
      <c r="AA602" t="s">
        <v>622</v>
      </c>
      <c r="AB602">
        <v>1</v>
      </c>
      <c r="AC602">
        <v>440</v>
      </c>
      <c r="AF602" t="s">
        <v>532</v>
      </c>
      <c r="AG602" s="32">
        <v>440</v>
      </c>
      <c r="AH602" s="32" t="s">
        <v>2013</v>
      </c>
      <c r="AI602" s="32" t="s">
        <v>2019</v>
      </c>
      <c r="AJ602" s="31" t="s">
        <v>3135</v>
      </c>
      <c r="AK602" s="31">
        <v>0.13466</v>
      </c>
      <c r="AL602" s="31">
        <v>59.250399999999999</v>
      </c>
      <c r="AM602" s="31">
        <v>380.74959999999999</v>
      </c>
      <c r="AN602" s="31">
        <v>66.573483012920448</v>
      </c>
      <c r="AO602" s="31">
        <v>427.80853847022559</v>
      </c>
      <c r="AP602" s="31">
        <v>0.11908595877600606</v>
      </c>
      <c r="AQ602" s="31">
        <v>0.76525949478114563</v>
      </c>
      <c r="AR602" s="31">
        <v>0.13341858489683281</v>
      </c>
    </row>
    <row r="603" spans="1:44" hidden="1" x14ac:dyDescent="0.5">
      <c r="A603" s="31">
        <v>816</v>
      </c>
      <c r="B603" s="31">
        <v>58</v>
      </c>
      <c r="C603" s="225" t="s">
        <v>20</v>
      </c>
      <c r="D603" s="35">
        <v>52.033245999999998</v>
      </c>
      <c r="E603" s="33">
        <v>4.1631650000000002</v>
      </c>
      <c r="F603">
        <v>6.21</v>
      </c>
      <c r="G603">
        <f>F603*1609.344</f>
        <v>9994.0262400000011</v>
      </c>
      <c r="H603" s="32" t="s">
        <v>614</v>
      </c>
      <c r="I603" s="7">
        <v>0</v>
      </c>
      <c r="J603">
        <v>786.66241333480502</v>
      </c>
      <c r="K603" s="26">
        <v>2012.5</v>
      </c>
      <c r="L603" t="s">
        <v>40</v>
      </c>
      <c r="M603" s="32">
        <v>10</v>
      </c>
      <c r="N603">
        <v>0.99999999799999995</v>
      </c>
      <c r="O603">
        <v>5</v>
      </c>
      <c r="P603" t="s">
        <v>12</v>
      </c>
      <c r="Q603">
        <v>89</v>
      </c>
      <c r="R603" t="s">
        <v>13</v>
      </c>
      <c r="S603" t="s">
        <v>14</v>
      </c>
      <c r="T603" t="s">
        <v>14</v>
      </c>
      <c r="U603" s="34">
        <v>0</v>
      </c>
      <c r="V603" s="34">
        <v>10</v>
      </c>
      <c r="W603" s="25">
        <v>5</v>
      </c>
      <c r="X603" s="25">
        <v>10</v>
      </c>
      <c r="Y603" s="244">
        <v>1.788789671</v>
      </c>
      <c r="Z603" t="s">
        <v>1104</v>
      </c>
      <c r="AA603" t="s">
        <v>622</v>
      </c>
      <c r="AB603">
        <v>1</v>
      </c>
      <c r="AC603">
        <v>560</v>
      </c>
      <c r="AF603" t="s">
        <v>532</v>
      </c>
      <c r="AG603" s="32">
        <v>560</v>
      </c>
      <c r="AH603" s="32" t="s">
        <v>2013</v>
      </c>
      <c r="AI603" s="32" t="s">
        <v>2018</v>
      </c>
      <c r="AJ603" s="31" t="s">
        <v>3134</v>
      </c>
      <c r="AK603" s="31">
        <v>0.13466</v>
      </c>
      <c r="AL603" s="31">
        <v>75.409599999999998</v>
      </c>
      <c r="AM603" s="31">
        <v>484.59039999999999</v>
      </c>
      <c r="AN603" s="31">
        <v>84.729887470989652</v>
      </c>
      <c r="AO603" s="31">
        <v>544.48359441665082</v>
      </c>
      <c r="AP603" s="31">
        <v>0.1515639475330986</v>
      </c>
      <c r="AQ603" s="31">
        <v>0.97396662972145831</v>
      </c>
      <c r="AR603" s="31">
        <v>0.13341858489683281</v>
      </c>
    </row>
    <row r="604" spans="1:44" hidden="1" x14ac:dyDescent="0.5">
      <c r="A604" s="31">
        <v>815</v>
      </c>
      <c r="B604" s="31">
        <v>58</v>
      </c>
      <c r="C604" s="225" t="s">
        <v>20</v>
      </c>
      <c r="D604" s="35">
        <v>52.018602999999999</v>
      </c>
      <c r="E604" s="33">
        <v>4.1393690000000003</v>
      </c>
      <c r="F604">
        <v>6.21</v>
      </c>
      <c r="G604">
        <f>F604*1609.344</f>
        <v>9994.0262400000011</v>
      </c>
      <c r="H604" s="32" t="s">
        <v>614</v>
      </c>
      <c r="I604" s="7">
        <v>1</v>
      </c>
      <c r="J604">
        <v>785.69514869094803</v>
      </c>
      <c r="K604" s="26">
        <v>2012.5</v>
      </c>
      <c r="L604" t="s">
        <v>40</v>
      </c>
      <c r="M604" s="32">
        <v>10</v>
      </c>
      <c r="N604">
        <v>0.99999999799999995</v>
      </c>
      <c r="O604">
        <v>5</v>
      </c>
      <c r="P604" t="s">
        <v>12</v>
      </c>
      <c r="Q604">
        <v>89</v>
      </c>
      <c r="R604" t="s">
        <v>13</v>
      </c>
      <c r="S604" t="s">
        <v>14</v>
      </c>
      <c r="T604" t="s">
        <v>14</v>
      </c>
      <c r="U604" s="34">
        <v>0</v>
      </c>
      <c r="V604" s="34">
        <v>10</v>
      </c>
      <c r="W604" s="25">
        <v>5</v>
      </c>
      <c r="X604" s="25">
        <v>10</v>
      </c>
      <c r="Y604" s="244">
        <v>1.788789671</v>
      </c>
      <c r="Z604" t="s">
        <v>1104</v>
      </c>
      <c r="AA604" t="s">
        <v>622</v>
      </c>
      <c r="AB604">
        <v>1</v>
      </c>
      <c r="AC604">
        <v>500</v>
      </c>
      <c r="AF604" t="s">
        <v>532</v>
      </c>
      <c r="AG604" s="32">
        <v>500</v>
      </c>
      <c r="AH604" s="32" t="s">
        <v>2013</v>
      </c>
      <c r="AI604" s="32" t="s">
        <v>2017</v>
      </c>
      <c r="AJ604" s="31" t="s">
        <v>3133</v>
      </c>
      <c r="AK604" s="31">
        <v>0.13466</v>
      </c>
      <c r="AL604" s="31">
        <v>67.33</v>
      </c>
      <c r="AM604" s="31">
        <v>432.67</v>
      </c>
      <c r="AN604" s="31">
        <v>75.651685241955064</v>
      </c>
      <c r="AO604" s="31">
        <v>486.14606644343814</v>
      </c>
      <c r="AP604" s="31">
        <v>0.13532495315455234</v>
      </c>
      <c r="AQ604" s="31">
        <v>0.86961306225130186</v>
      </c>
      <c r="AR604" s="31">
        <v>0.13328497964724689</v>
      </c>
    </row>
    <row r="605" spans="1:44" hidden="1" x14ac:dyDescent="0.5">
      <c r="A605" s="31">
        <v>604</v>
      </c>
      <c r="B605" s="31">
        <v>45</v>
      </c>
      <c r="C605" s="225" t="s">
        <v>9</v>
      </c>
      <c r="D605" s="35">
        <v>40.011353</v>
      </c>
      <c r="E605" s="33">
        <v>119.91325500000001</v>
      </c>
      <c r="F605">
        <v>0</v>
      </c>
      <c r="G605">
        <f>F605*1609.344</f>
        <v>0</v>
      </c>
      <c r="H605" s="32" t="s">
        <v>10</v>
      </c>
      <c r="I605">
        <v>0</v>
      </c>
      <c r="J605">
        <v>294.98010352005798</v>
      </c>
      <c r="K605" s="26">
        <v>2015</v>
      </c>
      <c r="L605" t="s">
        <v>11</v>
      </c>
      <c r="M605" s="32">
        <v>10</v>
      </c>
      <c r="N605">
        <v>0.99999999799999995</v>
      </c>
      <c r="O605">
        <v>10</v>
      </c>
      <c r="P605" t="s">
        <v>12</v>
      </c>
      <c r="Q605">
        <v>90</v>
      </c>
      <c r="R605" t="s">
        <v>13</v>
      </c>
      <c r="S605" t="s">
        <v>14</v>
      </c>
      <c r="T605" t="s">
        <v>14</v>
      </c>
      <c r="U605" s="34">
        <v>20</v>
      </c>
      <c r="V605" s="34">
        <v>22</v>
      </c>
      <c r="W605" s="25">
        <v>21</v>
      </c>
      <c r="X605" s="25">
        <v>2</v>
      </c>
      <c r="Y605">
        <v>0.61037440899999995</v>
      </c>
      <c r="Z605" t="s">
        <v>812</v>
      </c>
      <c r="AA605" t="s">
        <v>619</v>
      </c>
      <c r="AB605">
        <v>5</v>
      </c>
      <c r="AC605">
        <v>79.971999999999994</v>
      </c>
      <c r="AD605">
        <v>17.032</v>
      </c>
      <c r="AE605" t="s">
        <v>519</v>
      </c>
      <c r="AF605" t="s">
        <v>532</v>
      </c>
      <c r="AG605" s="32" t="s">
        <v>1635</v>
      </c>
      <c r="AH605" s="32" t="s">
        <v>671</v>
      </c>
      <c r="AI605" s="32" t="s">
        <v>1129</v>
      </c>
      <c r="AJ605" s="31" t="s">
        <v>1130</v>
      </c>
      <c r="AK605" s="31">
        <v>0.59524549999999998</v>
      </c>
      <c r="AL605" s="31">
        <v>47.602973125999995</v>
      </c>
      <c r="AM605" s="31">
        <v>32.369026873999999</v>
      </c>
      <c r="AN605" s="31">
        <v>52.892192256437831</v>
      </c>
      <c r="AO605" s="31">
        <v>35.965585343624383</v>
      </c>
      <c r="AP605" s="31">
        <v>3.2284040589237617E-2</v>
      </c>
      <c r="AQ605" s="31">
        <v>2.1952472898453791E-2</v>
      </c>
      <c r="AR605" s="31">
        <v>0.13341858489683281</v>
      </c>
    </row>
    <row r="606" spans="1:44" hidden="1" x14ac:dyDescent="0.5">
      <c r="A606" s="31">
        <v>605</v>
      </c>
      <c r="B606" s="31">
        <v>45</v>
      </c>
      <c r="C606" s="225" t="s">
        <v>9</v>
      </c>
      <c r="D606" s="35">
        <v>40.011353</v>
      </c>
      <c r="E606" s="33">
        <v>119.91325500000001</v>
      </c>
      <c r="F606">
        <v>0</v>
      </c>
      <c r="G606">
        <f>F606*1609.344</f>
        <v>0</v>
      </c>
      <c r="H606" s="32" t="s">
        <v>10</v>
      </c>
      <c r="I606">
        <v>0</v>
      </c>
      <c r="J606">
        <v>294.98010352005798</v>
      </c>
      <c r="K606" s="26">
        <v>2015</v>
      </c>
      <c r="L606" t="s">
        <v>11</v>
      </c>
      <c r="M606" s="32">
        <v>10</v>
      </c>
      <c r="N606">
        <v>0.99999999799999995</v>
      </c>
      <c r="O606">
        <v>10</v>
      </c>
      <c r="P606" t="s">
        <v>12</v>
      </c>
      <c r="Q606">
        <v>90</v>
      </c>
      <c r="R606" t="s">
        <v>13</v>
      </c>
      <c r="S606" t="s">
        <v>14</v>
      </c>
      <c r="T606" t="s">
        <v>14</v>
      </c>
      <c r="U606" s="34">
        <v>0</v>
      </c>
      <c r="V606" s="34">
        <v>2</v>
      </c>
      <c r="W606" s="25">
        <v>1</v>
      </c>
      <c r="X606" s="25">
        <v>2</v>
      </c>
      <c r="Y606">
        <v>0.61037440899999995</v>
      </c>
      <c r="Z606" t="s">
        <v>812</v>
      </c>
      <c r="AA606" t="s">
        <v>619</v>
      </c>
      <c r="AB606">
        <v>5</v>
      </c>
      <c r="AC606">
        <v>117.66800000000001</v>
      </c>
      <c r="AD606">
        <v>23.699000000000002</v>
      </c>
      <c r="AE606" t="s">
        <v>519</v>
      </c>
      <c r="AF606" t="s">
        <v>532</v>
      </c>
      <c r="AG606" s="32" t="s">
        <v>1636</v>
      </c>
      <c r="AH606" s="32" t="s">
        <v>671</v>
      </c>
      <c r="AI606" s="32" t="s">
        <v>1129</v>
      </c>
      <c r="AJ606" s="31" t="s">
        <v>1130</v>
      </c>
      <c r="AK606" s="31">
        <v>0.59524549999999998</v>
      </c>
      <c r="AL606" s="31">
        <v>70.041347494000007</v>
      </c>
      <c r="AM606" s="31">
        <v>47.626652505999999</v>
      </c>
      <c r="AN606" s="31">
        <v>77.823719282130327</v>
      </c>
      <c r="AO606" s="31">
        <v>52.918502678607439</v>
      </c>
      <c r="AP606" s="31">
        <v>4.7501606663012202E-2</v>
      </c>
      <c r="AQ606" s="31">
        <v>3.2300099797619934E-2</v>
      </c>
      <c r="AR606" s="31">
        <v>0.13341858489683281</v>
      </c>
    </row>
    <row r="607" spans="1:44" hidden="1" x14ac:dyDescent="0.5">
      <c r="A607" s="31">
        <v>606</v>
      </c>
      <c r="B607" s="31">
        <v>45</v>
      </c>
      <c r="C607" s="225" t="s">
        <v>9</v>
      </c>
      <c r="D607" s="35">
        <v>40.601368999999998</v>
      </c>
      <c r="E607" s="33">
        <v>120.799633</v>
      </c>
      <c r="F607">
        <v>0</v>
      </c>
      <c r="G607">
        <f>F607*1609.344</f>
        <v>0</v>
      </c>
      <c r="H607" s="32" t="s">
        <v>10</v>
      </c>
      <c r="I607">
        <v>0</v>
      </c>
      <c r="J607">
        <v>281.58069690976902</v>
      </c>
      <c r="K607" s="26">
        <v>2015</v>
      </c>
      <c r="L607" t="s">
        <v>11</v>
      </c>
      <c r="M607" s="32">
        <v>10</v>
      </c>
      <c r="N607">
        <v>0.99999999799999995</v>
      </c>
      <c r="O607">
        <v>10</v>
      </c>
      <c r="P607" t="s">
        <v>12</v>
      </c>
      <c r="Q607">
        <v>90</v>
      </c>
      <c r="R607" t="s">
        <v>13</v>
      </c>
      <c r="S607" t="s">
        <v>14</v>
      </c>
      <c r="T607" t="s">
        <v>14</v>
      </c>
      <c r="U607" s="34">
        <v>20</v>
      </c>
      <c r="V607" s="34">
        <v>22</v>
      </c>
      <c r="W607" s="25">
        <v>21</v>
      </c>
      <c r="X607" s="25">
        <v>2</v>
      </c>
      <c r="Y607">
        <v>0.72222678100000004</v>
      </c>
      <c r="Z607" t="s">
        <v>804</v>
      </c>
      <c r="AA607" t="s">
        <v>630</v>
      </c>
      <c r="AB607">
        <v>5</v>
      </c>
      <c r="AC607">
        <v>135.47800000000001</v>
      </c>
      <c r="AD607">
        <v>29.114000000000001</v>
      </c>
      <c r="AE607" t="s">
        <v>519</v>
      </c>
      <c r="AF607" t="s">
        <v>532</v>
      </c>
      <c r="AG607" s="32" t="s">
        <v>1637</v>
      </c>
      <c r="AH607" s="32" t="s">
        <v>671</v>
      </c>
      <c r="AI607" s="32" t="s">
        <v>1129</v>
      </c>
      <c r="AJ607" s="31" t="s">
        <v>1130</v>
      </c>
      <c r="AK607" s="31">
        <v>0.59524549999999998</v>
      </c>
      <c r="AL607" s="31">
        <v>80.642669849000001</v>
      </c>
      <c r="AM607" s="31">
        <v>54.835330151000008</v>
      </c>
      <c r="AN607" s="31">
        <v>89.602966319682949</v>
      </c>
      <c r="AO607" s="31">
        <v>60.928144490365931</v>
      </c>
      <c r="AP607" s="31">
        <v>6.4713661933116035E-2</v>
      </c>
      <c r="AQ607" s="31">
        <v>4.4003937667579873E-2</v>
      </c>
      <c r="AR607" s="31">
        <v>0.13341858489683281</v>
      </c>
    </row>
    <row r="608" spans="1:44" hidden="1" x14ac:dyDescent="0.5">
      <c r="A608" s="31">
        <v>607</v>
      </c>
      <c r="B608" s="31">
        <v>45</v>
      </c>
      <c r="C608" s="225" t="s">
        <v>9</v>
      </c>
      <c r="D608" s="35">
        <v>40.601368999999998</v>
      </c>
      <c r="E608" s="33">
        <v>120.799633</v>
      </c>
      <c r="F608">
        <v>0</v>
      </c>
      <c r="G608">
        <f>F608*1609.344</f>
        <v>0</v>
      </c>
      <c r="H608" s="32" t="s">
        <v>10</v>
      </c>
      <c r="I608">
        <v>0</v>
      </c>
      <c r="J608">
        <v>281.58069690976902</v>
      </c>
      <c r="K608" s="26">
        <v>2015</v>
      </c>
      <c r="L608" t="s">
        <v>11</v>
      </c>
      <c r="M608" s="32">
        <v>10</v>
      </c>
      <c r="N608">
        <v>0.99999999799999995</v>
      </c>
      <c r="O608">
        <v>10</v>
      </c>
      <c r="P608" t="s">
        <v>12</v>
      </c>
      <c r="Q608">
        <v>90</v>
      </c>
      <c r="R608" t="s">
        <v>13</v>
      </c>
      <c r="S608" t="s">
        <v>14</v>
      </c>
      <c r="T608" t="s">
        <v>14</v>
      </c>
      <c r="U608" s="34">
        <v>0</v>
      </c>
      <c r="V608" s="34">
        <v>2</v>
      </c>
      <c r="W608" s="25">
        <v>1</v>
      </c>
      <c r="X608" s="25">
        <v>2</v>
      </c>
      <c r="Y608">
        <v>0.72222678100000004</v>
      </c>
      <c r="Z608" t="s">
        <v>804</v>
      </c>
      <c r="AA608" t="s">
        <v>630</v>
      </c>
      <c r="AB608">
        <v>5</v>
      </c>
      <c r="AC608">
        <v>163.351</v>
      </c>
      <c r="AD608">
        <v>38.204000000000001</v>
      </c>
      <c r="AE608" t="s">
        <v>519</v>
      </c>
      <c r="AF608" t="s">
        <v>532</v>
      </c>
      <c r="AG608" s="32" t="s">
        <v>1638</v>
      </c>
      <c r="AH608" s="32" t="s">
        <v>671</v>
      </c>
      <c r="AI608" s="32" t="s">
        <v>1129</v>
      </c>
      <c r="AJ608" s="31" t="s">
        <v>1130</v>
      </c>
      <c r="AK608" s="31">
        <v>0.59524549999999998</v>
      </c>
      <c r="AL608" s="31">
        <v>97.233947670500001</v>
      </c>
      <c r="AM608" s="31">
        <v>66.117052329499998</v>
      </c>
      <c r="AN608" s="31">
        <v>108.03771941781343</v>
      </c>
      <c r="AO608" s="31">
        <v>73.463391330295437</v>
      </c>
      <c r="AP608" s="31">
        <v>7.8027734321708606E-2</v>
      </c>
      <c r="AQ608" s="31">
        <v>5.3057228641822579E-2</v>
      </c>
      <c r="AR608" s="31">
        <v>0.13341858489683281</v>
      </c>
    </row>
    <row r="609" spans="1:44" hidden="1" x14ac:dyDescent="0.5">
      <c r="A609" s="31">
        <v>608</v>
      </c>
      <c r="B609" s="31">
        <v>45</v>
      </c>
      <c r="C609" s="225" t="s">
        <v>9</v>
      </c>
      <c r="D609" s="35">
        <v>40.821224999999998</v>
      </c>
      <c r="E609" s="33">
        <v>121.070572</v>
      </c>
      <c r="F609">
        <v>0</v>
      </c>
      <c r="G609">
        <f>F609*1609.344</f>
        <v>0</v>
      </c>
      <c r="H609" s="32" t="s">
        <v>10</v>
      </c>
      <c r="I609">
        <v>0</v>
      </c>
      <c r="J609">
        <v>281.67926303161897</v>
      </c>
      <c r="K609" s="26">
        <v>2015</v>
      </c>
      <c r="L609" t="s">
        <v>11</v>
      </c>
      <c r="M609" s="32">
        <v>10</v>
      </c>
      <c r="N609">
        <v>0.99999999799999995</v>
      </c>
      <c r="O609">
        <v>10</v>
      </c>
      <c r="P609" t="s">
        <v>12</v>
      </c>
      <c r="Q609">
        <v>90</v>
      </c>
      <c r="R609" t="s">
        <v>13</v>
      </c>
      <c r="S609" t="s">
        <v>14</v>
      </c>
      <c r="T609" t="s">
        <v>14</v>
      </c>
      <c r="U609" s="34">
        <v>20</v>
      </c>
      <c r="V609" s="34">
        <v>22</v>
      </c>
      <c r="W609" s="25">
        <v>21</v>
      </c>
      <c r="X609" s="25">
        <v>2</v>
      </c>
      <c r="Y609">
        <v>0.72222678100000004</v>
      </c>
      <c r="Z609" t="s">
        <v>804</v>
      </c>
      <c r="AA609" t="s">
        <v>630</v>
      </c>
      <c r="AB609">
        <v>5</v>
      </c>
      <c r="AC609">
        <v>72.650000000000006</v>
      </c>
      <c r="AD609">
        <v>12.77</v>
      </c>
      <c r="AE609" t="s">
        <v>519</v>
      </c>
      <c r="AF609" t="s">
        <v>532</v>
      </c>
      <c r="AG609" s="32" t="s">
        <v>1639</v>
      </c>
      <c r="AH609" s="32" t="s">
        <v>671</v>
      </c>
      <c r="AI609" s="32" t="s">
        <v>1129</v>
      </c>
      <c r="AJ609" s="31" t="s">
        <v>1130</v>
      </c>
      <c r="AK609" s="31">
        <v>0.59524549999999998</v>
      </c>
      <c r="AL609" s="31">
        <v>43.244585575000002</v>
      </c>
      <c r="AM609" s="31">
        <v>29.405414425000004</v>
      </c>
      <c r="AN609" s="31">
        <v>48.049539431678703</v>
      </c>
      <c r="AO609" s="31">
        <v>32.672682629099079</v>
      </c>
      <c r="AP609" s="31">
        <v>3.4702664192273878E-2</v>
      </c>
      <c r="AQ609" s="31">
        <v>2.3597086401848846E-2</v>
      </c>
      <c r="AR609" s="31">
        <v>0.13341858489683281</v>
      </c>
    </row>
    <row r="610" spans="1:44" hidden="1" x14ac:dyDescent="0.5">
      <c r="A610" s="31">
        <v>609</v>
      </c>
      <c r="B610" s="31">
        <v>45</v>
      </c>
      <c r="C610" s="225" t="s">
        <v>9</v>
      </c>
      <c r="D610" s="35">
        <v>40.821224999999998</v>
      </c>
      <c r="E610" s="33">
        <v>121.070572</v>
      </c>
      <c r="F610">
        <v>0</v>
      </c>
      <c r="G610">
        <f>F610*1609.344</f>
        <v>0</v>
      </c>
      <c r="H610" s="32" t="s">
        <v>10</v>
      </c>
      <c r="I610">
        <v>0</v>
      </c>
      <c r="J610">
        <v>281.67926303161897</v>
      </c>
      <c r="K610" s="26">
        <v>2015</v>
      </c>
      <c r="L610" t="s">
        <v>11</v>
      </c>
      <c r="M610" s="32">
        <v>10</v>
      </c>
      <c r="N610">
        <v>0.99999999799999995</v>
      </c>
      <c r="O610">
        <v>10</v>
      </c>
      <c r="P610" t="s">
        <v>12</v>
      </c>
      <c r="Q610">
        <v>90</v>
      </c>
      <c r="R610" t="s">
        <v>13</v>
      </c>
      <c r="S610" t="s">
        <v>14</v>
      </c>
      <c r="T610" t="s">
        <v>14</v>
      </c>
      <c r="U610" s="34">
        <v>0</v>
      </c>
      <c r="V610" s="34">
        <v>2</v>
      </c>
      <c r="W610" s="25">
        <v>1</v>
      </c>
      <c r="X610" s="25">
        <v>2</v>
      </c>
      <c r="Y610">
        <v>0.72222678100000004</v>
      </c>
      <c r="Z610" t="s">
        <v>804</v>
      </c>
      <c r="AA610" t="s">
        <v>630</v>
      </c>
      <c r="AB610">
        <v>5</v>
      </c>
      <c r="AC610">
        <v>103.128</v>
      </c>
      <c r="AD610">
        <v>40.121000000000002</v>
      </c>
      <c r="AE610" t="s">
        <v>519</v>
      </c>
      <c r="AF610" t="s">
        <v>532</v>
      </c>
      <c r="AG610" s="32" t="s">
        <v>1640</v>
      </c>
      <c r="AH610" s="32" t="s">
        <v>671</v>
      </c>
      <c r="AI610" s="32" t="s">
        <v>1129</v>
      </c>
      <c r="AJ610" s="31" t="s">
        <v>1130</v>
      </c>
      <c r="AK610" s="31">
        <v>0.59524549999999998</v>
      </c>
      <c r="AL610" s="31">
        <v>61.386477923999998</v>
      </c>
      <c r="AM610" s="31">
        <v>41.741522076000003</v>
      </c>
      <c r="AN610" s="31">
        <v>68.207197556918928</v>
      </c>
      <c r="AO610" s="31">
        <v>46.3794688805744</v>
      </c>
      <c r="AP610" s="31">
        <v>4.926106473256462E-2</v>
      </c>
      <c r="AQ610" s="31">
        <v>3.3496494514106925E-2</v>
      </c>
      <c r="AR610" s="31">
        <v>0.13341858489683281</v>
      </c>
    </row>
    <row r="611" spans="1:44" hidden="1" x14ac:dyDescent="0.5">
      <c r="A611" s="31">
        <v>826</v>
      </c>
      <c r="B611" s="31">
        <v>58</v>
      </c>
      <c r="C611" s="225" t="s">
        <v>20</v>
      </c>
      <c r="D611" s="44">
        <v>51.984887999999998</v>
      </c>
      <c r="E611" s="45">
        <v>4.0941919999999996</v>
      </c>
      <c r="F611">
        <v>0</v>
      </c>
      <c r="G611">
        <f>F611*1609.344</f>
        <v>0</v>
      </c>
      <c r="H611" s="32" t="s">
        <v>45</v>
      </c>
      <c r="I611" s="7">
        <v>15</v>
      </c>
      <c r="J611">
        <v>775.12650179699199</v>
      </c>
      <c r="K611" s="26">
        <v>2012.5</v>
      </c>
      <c r="L611" t="s">
        <v>40</v>
      </c>
      <c r="M611" s="32">
        <v>10</v>
      </c>
      <c r="N611">
        <v>0.99999999799999995</v>
      </c>
      <c r="O611">
        <v>5</v>
      </c>
      <c r="P611" t="s">
        <v>12</v>
      </c>
      <c r="Q611">
        <v>89</v>
      </c>
      <c r="R611" t="s">
        <v>13</v>
      </c>
      <c r="S611" t="s">
        <v>14</v>
      </c>
      <c r="T611" t="s">
        <v>14</v>
      </c>
      <c r="U611" s="34">
        <v>0</v>
      </c>
      <c r="V611" s="34">
        <v>10</v>
      </c>
      <c r="W611" s="25">
        <v>5</v>
      </c>
      <c r="X611" s="25">
        <v>10</v>
      </c>
      <c r="Y611" s="244">
        <v>1.788789671</v>
      </c>
      <c r="Z611" t="s">
        <v>1104</v>
      </c>
      <c r="AA611" t="s">
        <v>622</v>
      </c>
      <c r="AB611">
        <v>1</v>
      </c>
      <c r="AC611">
        <v>3600</v>
      </c>
      <c r="AF611" t="s">
        <v>532</v>
      </c>
      <c r="AG611" s="32">
        <v>3600</v>
      </c>
      <c r="AH611" s="32" t="s">
        <v>2013</v>
      </c>
      <c r="AI611" s="32" t="s">
        <v>2026</v>
      </c>
      <c r="AJ611" s="31" t="s">
        <v>3142</v>
      </c>
      <c r="AK611" s="31">
        <v>0.13466</v>
      </c>
      <c r="AL611" s="31">
        <v>484.77600000000001</v>
      </c>
      <c r="AM611" s="31">
        <v>3115.2240000000002</v>
      </c>
      <c r="AN611" s="31">
        <v>544.69213374207641</v>
      </c>
      <c r="AO611" s="31">
        <v>3500.2516783927554</v>
      </c>
      <c r="AP611" s="31">
        <v>0.97433966271277672</v>
      </c>
      <c r="AQ611" s="31">
        <v>6.2612140482093741</v>
      </c>
      <c r="AR611" s="31">
        <v>0.13142849355358946</v>
      </c>
    </row>
    <row r="612" spans="1:44" hidden="1" x14ac:dyDescent="0.5">
      <c r="A612" s="31">
        <v>825</v>
      </c>
      <c r="B612" s="31">
        <v>58</v>
      </c>
      <c r="C612" s="225" t="s">
        <v>20</v>
      </c>
      <c r="D612" s="44">
        <v>51.925525999999998</v>
      </c>
      <c r="E612" s="45">
        <v>4.2318249999999997</v>
      </c>
      <c r="F612">
        <v>0</v>
      </c>
      <c r="G612">
        <f>F612*1609.344</f>
        <v>0</v>
      </c>
      <c r="H612" s="32" t="s">
        <v>45</v>
      </c>
      <c r="I612" s="7">
        <v>2</v>
      </c>
      <c r="J612">
        <v>768.87007039922196</v>
      </c>
      <c r="K612" s="26">
        <v>2012.5</v>
      </c>
      <c r="L612" t="s">
        <v>40</v>
      </c>
      <c r="M612" s="32">
        <v>10</v>
      </c>
      <c r="N612">
        <v>0.99999999799999995</v>
      </c>
      <c r="O612">
        <v>5</v>
      </c>
      <c r="P612" t="s">
        <v>12</v>
      </c>
      <c r="Q612">
        <v>89</v>
      </c>
      <c r="R612" t="s">
        <v>13</v>
      </c>
      <c r="S612" t="s">
        <v>14</v>
      </c>
      <c r="T612" t="s">
        <v>14</v>
      </c>
      <c r="U612" s="34">
        <v>0</v>
      </c>
      <c r="V612" s="34">
        <v>10</v>
      </c>
      <c r="W612" s="25">
        <v>5</v>
      </c>
      <c r="X612" s="25">
        <v>10</v>
      </c>
      <c r="Y612" s="244">
        <v>1.788789671</v>
      </c>
      <c r="Z612" t="s">
        <v>1104</v>
      </c>
      <c r="AA612" t="s">
        <v>622</v>
      </c>
      <c r="AB612">
        <v>1</v>
      </c>
      <c r="AC612">
        <v>3010</v>
      </c>
      <c r="AF612" t="s">
        <v>532</v>
      </c>
      <c r="AG612" s="32">
        <v>3010</v>
      </c>
      <c r="AH612" s="32" t="s">
        <v>2013</v>
      </c>
      <c r="AI612" s="32" t="s">
        <v>2025</v>
      </c>
      <c r="AJ612" s="31" t="s">
        <v>3141</v>
      </c>
      <c r="AK612" s="31">
        <v>0.13466</v>
      </c>
      <c r="AL612" s="31">
        <v>405.32659999999998</v>
      </c>
      <c r="AM612" s="31">
        <v>2604.6734000000001</v>
      </c>
      <c r="AN612" s="31">
        <v>455.42314515656938</v>
      </c>
      <c r="AO612" s="31">
        <v>2926.5993199894979</v>
      </c>
      <c r="AP612" s="31">
        <v>0.814656217990405</v>
      </c>
      <c r="AQ612" s="31">
        <v>5.2350706347528373</v>
      </c>
      <c r="AR612" s="31">
        <v>0.13315150818983643</v>
      </c>
    </row>
    <row r="613" spans="1:44" hidden="1" x14ac:dyDescent="0.5">
      <c r="A613" s="31">
        <v>814</v>
      </c>
      <c r="B613" s="31">
        <v>58</v>
      </c>
      <c r="C613" s="225" t="s">
        <v>20</v>
      </c>
      <c r="D613" s="41">
        <v>51.874329000000003</v>
      </c>
      <c r="E613" s="43">
        <v>3.9894400000000001</v>
      </c>
      <c r="F613">
        <v>3.73</v>
      </c>
      <c r="G613">
        <f>F613*1609.344</f>
        <v>6002.8531199999998</v>
      </c>
      <c r="H613" s="32" t="s">
        <v>614</v>
      </c>
      <c r="I613" s="7">
        <v>1</v>
      </c>
      <c r="J613">
        <v>720.87346728947205</v>
      </c>
      <c r="K613" s="26">
        <v>2012.5</v>
      </c>
      <c r="L613" t="s">
        <v>40</v>
      </c>
      <c r="M613" s="32">
        <v>10</v>
      </c>
      <c r="N613">
        <v>0.99999999799999995</v>
      </c>
      <c r="O613">
        <v>5</v>
      </c>
      <c r="P613" t="s">
        <v>12</v>
      </c>
      <c r="Q613">
        <v>89</v>
      </c>
      <c r="R613" t="s">
        <v>13</v>
      </c>
      <c r="S613" t="s">
        <v>14</v>
      </c>
      <c r="T613" t="s">
        <v>14</v>
      </c>
      <c r="U613" s="34">
        <v>0</v>
      </c>
      <c r="V613" s="34">
        <v>10</v>
      </c>
      <c r="W613" s="25">
        <v>5</v>
      </c>
      <c r="X613" s="25">
        <v>10</v>
      </c>
      <c r="Y613" s="244">
        <v>1.788789671</v>
      </c>
      <c r="Z613" t="s">
        <v>1104</v>
      </c>
      <c r="AA613" t="s">
        <v>622</v>
      </c>
      <c r="AB613">
        <v>1</v>
      </c>
      <c r="AC613">
        <v>330</v>
      </c>
      <c r="AF613" t="s">
        <v>532</v>
      </c>
      <c r="AG613" s="32">
        <v>330</v>
      </c>
      <c r="AH613" s="32" t="s">
        <v>2013</v>
      </c>
      <c r="AI613" s="32" t="s">
        <v>2016</v>
      </c>
      <c r="AJ613" s="31" t="s">
        <v>3132</v>
      </c>
      <c r="AK613" s="31">
        <v>0.13466</v>
      </c>
      <c r="AL613" s="31">
        <v>44.437800000000003</v>
      </c>
      <c r="AM613" s="31">
        <v>285.56220000000002</v>
      </c>
      <c r="AN613" s="31">
        <v>49.93011225969034</v>
      </c>
      <c r="AO613" s="31">
        <v>320.85640385266919</v>
      </c>
      <c r="AP613" s="31">
        <v>8.9314469082004549E-2</v>
      </c>
      <c r="AQ613" s="31">
        <v>0.5739446210858592</v>
      </c>
      <c r="AR613" s="31">
        <v>0.13328497964724689</v>
      </c>
    </row>
    <row r="614" spans="1:44" hidden="1" x14ac:dyDescent="0.5">
      <c r="A614" s="31">
        <v>813</v>
      </c>
      <c r="B614" s="31">
        <v>58</v>
      </c>
      <c r="C614" s="225" t="s">
        <v>20</v>
      </c>
      <c r="D614" s="41">
        <v>51.873305000000002</v>
      </c>
      <c r="E614" s="43">
        <v>4.0338320000000003</v>
      </c>
      <c r="F614">
        <v>0.62</v>
      </c>
      <c r="G614">
        <f>F614*1609.344</f>
        <v>997.79327999999998</v>
      </c>
      <c r="H614" s="32" t="s">
        <v>614</v>
      </c>
      <c r="I614" s="7">
        <v>0</v>
      </c>
      <c r="J614">
        <v>729.00820588050101</v>
      </c>
      <c r="K614" s="26">
        <v>2012.5</v>
      </c>
      <c r="L614" t="s">
        <v>40</v>
      </c>
      <c r="M614" s="32">
        <v>10</v>
      </c>
      <c r="N614">
        <v>0.99999999799999995</v>
      </c>
      <c r="O614">
        <v>5</v>
      </c>
      <c r="P614" t="s">
        <v>12</v>
      </c>
      <c r="Q614">
        <v>89</v>
      </c>
      <c r="R614" t="s">
        <v>13</v>
      </c>
      <c r="S614" t="s">
        <v>14</v>
      </c>
      <c r="T614" t="s">
        <v>14</v>
      </c>
      <c r="U614" s="34">
        <v>0</v>
      </c>
      <c r="V614" s="34">
        <v>10</v>
      </c>
      <c r="W614" s="25">
        <v>5</v>
      </c>
      <c r="X614" s="25">
        <v>10</v>
      </c>
      <c r="Y614" s="244">
        <v>1.788789671</v>
      </c>
      <c r="Z614" t="s">
        <v>1104</v>
      </c>
      <c r="AA614" t="s">
        <v>622</v>
      </c>
      <c r="AB614">
        <v>1</v>
      </c>
      <c r="AC614">
        <v>520</v>
      </c>
      <c r="AF614" t="s">
        <v>532</v>
      </c>
      <c r="AG614" s="32">
        <v>520</v>
      </c>
      <c r="AH614" s="32" t="s">
        <v>2013</v>
      </c>
      <c r="AI614" s="32" t="s">
        <v>2015</v>
      </c>
      <c r="AJ614" s="31" t="s">
        <v>3131</v>
      </c>
      <c r="AK614" s="31">
        <v>0.13466</v>
      </c>
      <c r="AL614" s="31">
        <v>70.023200000000003</v>
      </c>
      <c r="AM614" s="31">
        <v>449.97680000000003</v>
      </c>
      <c r="AN614" s="31">
        <v>78.677752651633241</v>
      </c>
      <c r="AO614" s="31">
        <v>505.59190910117564</v>
      </c>
      <c r="AP614" s="31">
        <v>0.14073795128073438</v>
      </c>
      <c r="AQ614" s="31">
        <v>0.9043975847413539</v>
      </c>
      <c r="AR614" s="31">
        <v>0.13341858489683281</v>
      </c>
    </row>
    <row r="615" spans="1:44" hidden="1" x14ac:dyDescent="0.5">
      <c r="A615" s="31">
        <v>1259</v>
      </c>
      <c r="B615" s="31">
        <v>87</v>
      </c>
      <c r="C615" s="225" t="s">
        <v>20</v>
      </c>
      <c r="D615" s="32">
        <v>51.850830000000002</v>
      </c>
      <c r="E615" s="38">
        <v>3.52867</v>
      </c>
      <c r="F615">
        <v>4.04</v>
      </c>
      <c r="G615">
        <f>F615*1609.344</f>
        <v>6501.7497600000006</v>
      </c>
      <c r="H615" s="32" t="s">
        <v>614</v>
      </c>
      <c r="I615">
        <v>19</v>
      </c>
      <c r="J615">
        <v>587.01742883036798</v>
      </c>
      <c r="K615" s="26">
        <v>2014</v>
      </c>
      <c r="L615" t="s">
        <v>40</v>
      </c>
      <c r="M615" s="32">
        <v>11</v>
      </c>
      <c r="N615">
        <v>1.1060976250000001</v>
      </c>
      <c r="O615">
        <v>5</v>
      </c>
      <c r="P615" t="s">
        <v>23</v>
      </c>
      <c r="Q615">
        <v>95.5</v>
      </c>
      <c r="R615" t="s">
        <v>13</v>
      </c>
      <c r="S615" t="s">
        <v>14</v>
      </c>
      <c r="T615" t="s">
        <v>14</v>
      </c>
      <c r="U615" s="34">
        <v>0</v>
      </c>
      <c r="V615" s="34">
        <v>5</v>
      </c>
      <c r="W615" s="25">
        <v>2.5</v>
      </c>
      <c r="X615" s="25">
        <v>5</v>
      </c>
      <c r="Y615" s="244">
        <v>1.788789671</v>
      </c>
      <c r="Z615" t="s">
        <v>1104</v>
      </c>
      <c r="AA615" t="s">
        <v>622</v>
      </c>
      <c r="AB615">
        <v>1</v>
      </c>
      <c r="AC615">
        <v>33.56</v>
      </c>
      <c r="AF615" t="s">
        <v>532</v>
      </c>
      <c r="AG615" s="32" t="s">
        <v>2124</v>
      </c>
      <c r="AH615" s="32" t="s">
        <v>671</v>
      </c>
      <c r="AI615" s="32" t="s">
        <v>1129</v>
      </c>
      <c r="AJ615" s="31" t="s">
        <v>1130</v>
      </c>
      <c r="AK615" s="31">
        <v>0.59524549999999998</v>
      </c>
      <c r="AL615" s="31">
        <v>20.000248800000001</v>
      </c>
      <c r="AM615" s="31">
        <v>13.5997512</v>
      </c>
      <c r="AN615" s="31">
        <v>23.164636332030472</v>
      </c>
      <c r="AO615" s="31">
        <v>15.751468589435499</v>
      </c>
      <c r="AP615" s="31">
        <v>4.1436662203207436E-2</v>
      </c>
      <c r="AQ615" s="31">
        <v>2.8176064315863159E-2</v>
      </c>
      <c r="AR615" s="31">
        <v>0.13090283430916907</v>
      </c>
    </row>
    <row r="616" spans="1:44" hidden="1" x14ac:dyDescent="0.5">
      <c r="A616" s="31">
        <v>1382</v>
      </c>
      <c r="B616" s="31">
        <v>98</v>
      </c>
      <c r="C616" s="225" t="s">
        <v>39</v>
      </c>
      <c r="D616" s="41">
        <v>51.744537000000001</v>
      </c>
      <c r="E616" s="43">
        <v>0.878969</v>
      </c>
      <c r="F616">
        <v>0</v>
      </c>
      <c r="G616">
        <f>F616*1609.344</f>
        <v>0</v>
      </c>
      <c r="H616" s="31" t="s">
        <v>10</v>
      </c>
      <c r="I616">
        <v>0</v>
      </c>
      <c r="J616">
        <v>544.01048328378204</v>
      </c>
      <c r="K616" s="26">
        <v>2018</v>
      </c>
      <c r="L616" t="s">
        <v>30</v>
      </c>
      <c r="M616" s="32">
        <v>500</v>
      </c>
      <c r="N616">
        <v>62.735052189999998</v>
      </c>
      <c r="P616" t="s">
        <v>17</v>
      </c>
      <c r="Q616">
        <v>100</v>
      </c>
      <c r="R616" t="s">
        <v>13</v>
      </c>
      <c r="S616" t="s">
        <v>16</v>
      </c>
      <c r="T616" t="s">
        <v>16</v>
      </c>
      <c r="U616" s="240">
        <v>0</v>
      </c>
      <c r="V616" s="240">
        <v>15</v>
      </c>
      <c r="W616" s="25">
        <v>7.5</v>
      </c>
      <c r="X616" s="25">
        <v>15</v>
      </c>
      <c r="Y616" s="244">
        <v>1.092945329</v>
      </c>
      <c r="Z616" t="s">
        <v>1104</v>
      </c>
      <c r="AA616" t="s">
        <v>622</v>
      </c>
      <c r="AB616">
        <v>8</v>
      </c>
      <c r="AC616">
        <v>12.88</v>
      </c>
      <c r="AD616">
        <v>9.64</v>
      </c>
      <c r="AE616" t="s">
        <v>525</v>
      </c>
      <c r="AF616" t="s">
        <v>553</v>
      </c>
      <c r="AG616" s="32">
        <v>0.78564466481805761</v>
      </c>
      <c r="AH616" s="32">
        <v>0.31</v>
      </c>
      <c r="AI616" s="32">
        <v>0.24354984609359787</v>
      </c>
      <c r="AJ616" s="31">
        <v>0.54209481872445975</v>
      </c>
      <c r="AK616" s="31">
        <v>0.31</v>
      </c>
      <c r="AL616" s="31">
        <v>0.24354984609359787</v>
      </c>
      <c r="AM616" s="31">
        <v>0.54209481872445975</v>
      </c>
      <c r="AN616" s="31">
        <v>15.279112305548329</v>
      </c>
      <c r="AO616" s="31">
        <v>34.008346744607572</v>
      </c>
      <c r="AP616" s="31">
        <v>1.6699234425615467E-2</v>
      </c>
      <c r="AQ616" s="31">
        <v>3.7169263721531204E-2</v>
      </c>
      <c r="AR616" s="31">
        <v>0.13341858489683281</v>
      </c>
    </row>
    <row r="617" spans="1:44" hidden="1" x14ac:dyDescent="0.5">
      <c r="A617" s="31">
        <v>1532</v>
      </c>
      <c r="B617" s="52">
        <v>114</v>
      </c>
      <c r="C617" s="225" t="s">
        <v>20</v>
      </c>
      <c r="D617" s="32">
        <v>51.700569999999999</v>
      </c>
      <c r="E617" s="32">
        <v>-5.0568860000000004</v>
      </c>
      <c r="G617">
        <f>F617*1609.344</f>
        <v>0</v>
      </c>
      <c r="H617" s="32" t="s">
        <v>614</v>
      </c>
      <c r="I617" s="7">
        <v>15</v>
      </c>
      <c r="J617">
        <v>85.755181114593498</v>
      </c>
      <c r="K617" s="26">
        <v>2018</v>
      </c>
      <c r="L617" t="s">
        <v>30</v>
      </c>
      <c r="M617" s="32">
        <v>25</v>
      </c>
      <c r="N617">
        <v>2.6364560099999998</v>
      </c>
      <c r="O617">
        <v>5</v>
      </c>
      <c r="P617" t="s">
        <v>23</v>
      </c>
      <c r="Q617">
        <v>95.5</v>
      </c>
      <c r="R617" t="s">
        <v>13</v>
      </c>
      <c r="S617" t="s">
        <v>16</v>
      </c>
      <c r="T617" t="s">
        <v>14</v>
      </c>
      <c r="U617" s="34">
        <v>0</v>
      </c>
      <c r="V617" s="34">
        <v>5</v>
      </c>
      <c r="W617" s="25">
        <v>2.5</v>
      </c>
      <c r="X617" s="25">
        <v>5</v>
      </c>
      <c r="Y617" s="244">
        <v>0.93194745000000001</v>
      </c>
      <c r="Z617" t="s">
        <v>1114</v>
      </c>
      <c r="AA617" t="s">
        <v>622</v>
      </c>
      <c r="AB617">
        <v>1</v>
      </c>
      <c r="AC617">
        <v>92</v>
      </c>
      <c r="AF617" t="s">
        <v>532</v>
      </c>
      <c r="AG617" s="32">
        <v>92</v>
      </c>
      <c r="AH617" s="32" t="s">
        <v>2630</v>
      </c>
      <c r="AI617" s="32" t="s">
        <v>2640</v>
      </c>
      <c r="AJ617" s="31" t="s">
        <v>3411</v>
      </c>
      <c r="AK617" s="31">
        <v>0.91800000000000004</v>
      </c>
      <c r="AL617" s="31">
        <v>84.456000000000003</v>
      </c>
      <c r="AM617" s="31">
        <v>7.5439999999999969</v>
      </c>
      <c r="AN617" s="31">
        <v>233.15657463932985</v>
      </c>
      <c r="AO617" s="31">
        <v>20.826622135539257</v>
      </c>
      <c r="AP617" s="31">
        <v>0.21728967518585812</v>
      </c>
      <c r="AQ617" s="31">
        <v>1.9409317391329364E-2</v>
      </c>
      <c r="AR617" s="31">
        <v>0.13142849355358946</v>
      </c>
    </row>
    <row r="618" spans="1:44" hidden="1" x14ac:dyDescent="0.5">
      <c r="A618" s="31">
        <v>1537</v>
      </c>
      <c r="B618" s="52">
        <v>114</v>
      </c>
      <c r="C618" s="225" t="s">
        <v>20</v>
      </c>
      <c r="D618" s="32">
        <v>51.700569999999999</v>
      </c>
      <c r="E618" s="32">
        <v>-5.0568860000000004</v>
      </c>
      <c r="G618">
        <f>F618*1609.344</f>
        <v>0</v>
      </c>
      <c r="H618" s="32" t="s">
        <v>57</v>
      </c>
      <c r="I618" s="7">
        <v>15</v>
      </c>
      <c r="J618">
        <v>85.755181114593498</v>
      </c>
      <c r="K618" s="26">
        <v>2018</v>
      </c>
      <c r="L618" t="s">
        <v>30</v>
      </c>
      <c r="M618" s="32">
        <v>25</v>
      </c>
      <c r="N618">
        <v>2.6364560099999998</v>
      </c>
      <c r="O618">
        <v>5</v>
      </c>
      <c r="P618" t="s">
        <v>23</v>
      </c>
      <c r="Q618">
        <v>95.5</v>
      </c>
      <c r="R618" t="s">
        <v>13</v>
      </c>
      <c r="S618" t="s">
        <v>16</v>
      </c>
      <c r="T618" t="s">
        <v>14</v>
      </c>
      <c r="U618" s="34">
        <v>0</v>
      </c>
      <c r="V618" s="34">
        <v>5</v>
      </c>
      <c r="W618" s="25">
        <v>2.5</v>
      </c>
      <c r="X618" s="25">
        <v>5</v>
      </c>
      <c r="Y618" s="244">
        <v>0.98</v>
      </c>
      <c r="Z618" t="s">
        <v>781</v>
      </c>
      <c r="AA618" t="s">
        <v>653</v>
      </c>
      <c r="AB618">
        <v>1</v>
      </c>
      <c r="AC618">
        <v>164</v>
      </c>
      <c r="AF618" t="s">
        <v>532</v>
      </c>
      <c r="AG618" s="32">
        <v>164</v>
      </c>
      <c r="AH618" s="32" t="s">
        <v>2630</v>
      </c>
      <c r="AI618" s="32" t="s">
        <v>2644</v>
      </c>
      <c r="AJ618" s="31" t="s">
        <v>3415</v>
      </c>
      <c r="AK618" s="31">
        <v>0.91800000000000004</v>
      </c>
      <c r="AL618" s="31">
        <v>150.55199999999999</v>
      </c>
      <c r="AM618" s="31">
        <v>13.448000000000008</v>
      </c>
      <c r="AN618" s="31">
        <v>415.62693740054442</v>
      </c>
      <c r="AO618" s="31">
        <v>37.125717719874359</v>
      </c>
      <c r="AP618" s="31">
        <v>0.40731439865253349</v>
      </c>
      <c r="AQ618" s="31">
        <v>3.6383203365476867E-2</v>
      </c>
      <c r="AR618" s="31">
        <v>0.20269999999999999</v>
      </c>
    </row>
    <row r="619" spans="1:44" hidden="1" x14ac:dyDescent="0.5">
      <c r="A619" s="31">
        <v>618</v>
      </c>
      <c r="B619" s="31">
        <v>46</v>
      </c>
      <c r="C619" s="225" t="s">
        <v>29</v>
      </c>
      <c r="D619" s="35">
        <v>-43.558897999999999</v>
      </c>
      <c r="E619" s="33">
        <v>172.70861600000001</v>
      </c>
      <c r="F619">
        <v>0</v>
      </c>
      <c r="G619">
        <f>F619*1609.344</f>
        <v>0</v>
      </c>
      <c r="H619" s="32" t="s">
        <v>45</v>
      </c>
      <c r="I619">
        <v>0</v>
      </c>
      <c r="J619">
        <v>37.053560850095501</v>
      </c>
      <c r="K619" s="26">
        <v>2013</v>
      </c>
      <c r="L619" t="s">
        <v>11</v>
      </c>
      <c r="M619" s="32">
        <v>32</v>
      </c>
      <c r="N619">
        <v>3.4233292909999999</v>
      </c>
      <c r="O619">
        <v>5.6</v>
      </c>
      <c r="P619" t="s">
        <v>12</v>
      </c>
      <c r="Q619">
        <v>97</v>
      </c>
      <c r="R619" t="s">
        <v>13</v>
      </c>
      <c r="S619" t="s">
        <v>21</v>
      </c>
      <c r="T619" t="s">
        <v>28</v>
      </c>
      <c r="U619" s="34">
        <v>0</v>
      </c>
      <c r="V619" s="34">
        <v>2</v>
      </c>
      <c r="W619" s="25">
        <v>1</v>
      </c>
      <c r="X619" s="25">
        <v>2</v>
      </c>
      <c r="Y619">
        <v>0.89401670899999997</v>
      </c>
      <c r="Z619" t="s">
        <v>775</v>
      </c>
      <c r="AA619" t="s">
        <v>638</v>
      </c>
      <c r="AB619">
        <v>3</v>
      </c>
      <c r="AC619">
        <v>3.4</v>
      </c>
      <c r="AD619">
        <v>2.9</v>
      </c>
      <c r="AF619" t="s">
        <v>532</v>
      </c>
      <c r="AG619" s="32" t="s">
        <v>1646</v>
      </c>
      <c r="AH619" s="32" t="s">
        <v>671</v>
      </c>
      <c r="AI619" s="32" t="s">
        <v>1129</v>
      </c>
      <c r="AJ619" s="31" t="s">
        <v>1130</v>
      </c>
      <c r="AK619" s="31">
        <v>0.59524549999999998</v>
      </c>
      <c r="AL619" s="31">
        <v>5.000153673399554</v>
      </c>
      <c r="AM619" s="31">
        <v>3.4</v>
      </c>
      <c r="AN619" s="31">
        <v>17.646569618195819</v>
      </c>
      <c r="AO619" s="31">
        <v>11.999298545773197</v>
      </c>
      <c r="AP619" s="31">
        <v>1.577632809519881E-2</v>
      </c>
      <c r="AQ619" s="31">
        <v>1.0727573396200639E-2</v>
      </c>
      <c r="AR619" s="31">
        <v>0.13341858489683281</v>
      </c>
    </row>
    <row r="620" spans="1:44" hidden="1" x14ac:dyDescent="0.5">
      <c r="A620" s="31">
        <v>619</v>
      </c>
      <c r="B620" s="31">
        <v>46</v>
      </c>
      <c r="C620" s="225" t="s">
        <v>29</v>
      </c>
      <c r="D620" s="35">
        <v>-43.527681000000001</v>
      </c>
      <c r="E620" s="33">
        <v>172.72785999999999</v>
      </c>
      <c r="F620">
        <v>0</v>
      </c>
      <c r="G620">
        <f>F620*1609.344</f>
        <v>0</v>
      </c>
      <c r="H620" s="32" t="s">
        <v>45</v>
      </c>
      <c r="I620">
        <v>0</v>
      </c>
      <c r="J620">
        <v>36.4471474255595</v>
      </c>
      <c r="K620" s="26">
        <v>2013</v>
      </c>
      <c r="L620" t="s">
        <v>11</v>
      </c>
      <c r="M620" s="32">
        <v>32</v>
      </c>
      <c r="N620">
        <v>3.4233292909999999</v>
      </c>
      <c r="O620">
        <v>5.6</v>
      </c>
      <c r="P620" t="s">
        <v>12</v>
      </c>
      <c r="Q620">
        <v>97</v>
      </c>
      <c r="R620" t="s">
        <v>13</v>
      </c>
      <c r="S620" t="s">
        <v>21</v>
      </c>
      <c r="T620" t="s">
        <v>28</v>
      </c>
      <c r="U620" s="34">
        <v>0</v>
      </c>
      <c r="V620" s="34">
        <v>2</v>
      </c>
      <c r="W620" s="25">
        <v>1</v>
      </c>
      <c r="X620" s="25">
        <v>2</v>
      </c>
      <c r="Y620">
        <v>0.89401670899999997</v>
      </c>
      <c r="Z620" t="s">
        <v>775</v>
      </c>
      <c r="AA620" t="s">
        <v>638</v>
      </c>
      <c r="AB620">
        <v>3</v>
      </c>
      <c r="AC620">
        <v>0</v>
      </c>
      <c r="AD620">
        <v>0</v>
      </c>
      <c r="AF620" t="s">
        <v>532</v>
      </c>
      <c r="AG620" s="32">
        <v>0</v>
      </c>
      <c r="AH620" s="32" t="s">
        <v>671</v>
      </c>
      <c r="AI620" s="32" t="s">
        <v>1129</v>
      </c>
      <c r="AJ620" s="31" t="s">
        <v>1130</v>
      </c>
      <c r="AK620" s="31">
        <v>0.59524549999999998</v>
      </c>
      <c r="AL620" s="31">
        <v>0</v>
      </c>
      <c r="AM620" s="31">
        <v>0</v>
      </c>
      <c r="AN620" s="31">
        <v>0</v>
      </c>
      <c r="AO620" s="31">
        <v>0</v>
      </c>
      <c r="AP620" s="31">
        <v>0</v>
      </c>
      <c r="AQ620" s="31">
        <v>0</v>
      </c>
      <c r="AR620" s="31">
        <v>0.13341858489683281</v>
      </c>
    </row>
    <row r="621" spans="1:44" hidden="1" x14ac:dyDescent="0.5">
      <c r="A621" s="31">
        <v>1531</v>
      </c>
      <c r="B621" s="52">
        <v>114</v>
      </c>
      <c r="C621" s="225" t="s">
        <v>20</v>
      </c>
      <c r="D621" s="32">
        <v>51.661127999999998</v>
      </c>
      <c r="E621" s="32">
        <v>-4.2458200000000001</v>
      </c>
      <c r="G621">
        <f>F621*1609.344</f>
        <v>0</v>
      </c>
      <c r="H621" s="32" t="s">
        <v>614</v>
      </c>
      <c r="I621" s="7">
        <v>3</v>
      </c>
      <c r="J621">
        <v>124.29658306779601</v>
      </c>
      <c r="K621" s="26">
        <v>2018</v>
      </c>
      <c r="L621" t="s">
        <v>30</v>
      </c>
      <c r="M621" s="32">
        <v>25</v>
      </c>
      <c r="N621">
        <v>2.6364560099999998</v>
      </c>
      <c r="O621">
        <v>5</v>
      </c>
      <c r="P621" t="s">
        <v>23</v>
      </c>
      <c r="Q621">
        <v>95.5</v>
      </c>
      <c r="R621" t="s">
        <v>13</v>
      </c>
      <c r="S621" t="s">
        <v>16</v>
      </c>
      <c r="T621" t="s">
        <v>14</v>
      </c>
      <c r="U621" s="34">
        <v>0</v>
      </c>
      <c r="V621" s="34">
        <v>5</v>
      </c>
      <c r="W621" s="25">
        <v>2.5</v>
      </c>
      <c r="X621" s="25">
        <v>5</v>
      </c>
      <c r="Y621" s="244">
        <v>0.93194745000000001</v>
      </c>
      <c r="Z621" t="s">
        <v>1114</v>
      </c>
      <c r="AA621" t="s">
        <v>622</v>
      </c>
      <c r="AB621">
        <v>1</v>
      </c>
      <c r="AC621">
        <v>151</v>
      </c>
      <c r="AF621" t="s">
        <v>532</v>
      </c>
      <c r="AG621" s="32">
        <v>151</v>
      </c>
      <c r="AH621" s="32" t="s">
        <v>2630</v>
      </c>
      <c r="AI621" s="32" t="s">
        <v>2639</v>
      </c>
      <c r="AJ621" s="31" t="s">
        <v>3410</v>
      </c>
      <c r="AK621" s="31">
        <v>0.91800000000000004</v>
      </c>
      <c r="AL621" s="31">
        <v>138.61799999999999</v>
      </c>
      <c r="AM621" s="31">
        <v>12.382000000000005</v>
      </c>
      <c r="AN621" s="31">
        <v>382.6808996797696</v>
      </c>
      <c r="AO621" s="31">
        <v>34.182825461591634</v>
      </c>
      <c r="AP621" s="31">
        <v>0.35663848862026709</v>
      </c>
      <c r="AQ621" s="31">
        <v>3.1856597022725398E-2</v>
      </c>
      <c r="AR621" s="31">
        <v>0.13301817039062197</v>
      </c>
    </row>
    <row r="622" spans="1:44" hidden="1" x14ac:dyDescent="0.5">
      <c r="A622" s="31">
        <v>1536</v>
      </c>
      <c r="B622" s="52">
        <v>114</v>
      </c>
      <c r="C622" s="225" t="s">
        <v>20</v>
      </c>
      <c r="D622" s="32">
        <v>51.661127999999998</v>
      </c>
      <c r="E622" s="32">
        <v>-4.2458200000000001</v>
      </c>
      <c r="G622">
        <f>F622*1609.344</f>
        <v>0</v>
      </c>
      <c r="H622" s="32" t="s">
        <v>57</v>
      </c>
      <c r="I622" s="7">
        <v>3</v>
      </c>
      <c r="J622">
        <v>124.29658306779601</v>
      </c>
      <c r="K622" s="26">
        <v>2018</v>
      </c>
      <c r="L622" t="s">
        <v>30</v>
      </c>
      <c r="M622" s="32">
        <v>25</v>
      </c>
      <c r="N622">
        <v>2.6364560099999998</v>
      </c>
      <c r="O622">
        <v>5</v>
      </c>
      <c r="P622" t="s">
        <v>23</v>
      </c>
      <c r="Q622">
        <v>95.5</v>
      </c>
      <c r="R622" t="s">
        <v>13</v>
      </c>
      <c r="S622" t="s">
        <v>16</v>
      </c>
      <c r="T622" t="s">
        <v>14</v>
      </c>
      <c r="U622" s="34">
        <v>0</v>
      </c>
      <c r="V622" s="34">
        <v>5</v>
      </c>
      <c r="W622" s="25">
        <v>2.5</v>
      </c>
      <c r="X622" s="25">
        <v>5</v>
      </c>
      <c r="Y622" s="244">
        <v>1.0900000000000001</v>
      </c>
      <c r="Z622" t="s">
        <v>781</v>
      </c>
      <c r="AA622" t="s">
        <v>653</v>
      </c>
      <c r="AB622">
        <v>1</v>
      </c>
      <c r="AC622">
        <v>220</v>
      </c>
      <c r="AF622" t="s">
        <v>532</v>
      </c>
      <c r="AG622" s="32">
        <v>220</v>
      </c>
      <c r="AH622" s="32" t="s">
        <v>2630</v>
      </c>
      <c r="AI622" s="32" t="s">
        <v>2643</v>
      </c>
      <c r="AJ622" s="31" t="s">
        <v>3414</v>
      </c>
      <c r="AK622" s="31">
        <v>0.91800000000000004</v>
      </c>
      <c r="AL622" s="31">
        <v>201.96</v>
      </c>
      <c r="AM622" s="31">
        <v>18.039999999999992</v>
      </c>
      <c r="AN622" s="31">
        <v>557.54833065926709</v>
      </c>
      <c r="AO622" s="31">
        <v>49.802792063246045</v>
      </c>
      <c r="AP622" s="31">
        <v>0.60772768041860126</v>
      </c>
      <c r="AQ622" s="31">
        <v>5.4285043348938196E-2</v>
      </c>
      <c r="AR622" s="31">
        <v>0.20269999999999999</v>
      </c>
    </row>
    <row r="623" spans="1:44" hidden="1" x14ac:dyDescent="0.5">
      <c r="A623" s="31">
        <v>1386</v>
      </c>
      <c r="B623" s="31">
        <v>98</v>
      </c>
      <c r="C623" s="225" t="s">
        <v>39</v>
      </c>
      <c r="D623" s="41">
        <v>51.624485</v>
      </c>
      <c r="E623" s="43">
        <v>0.92978099999999997</v>
      </c>
      <c r="G623">
        <f>F623*1609.344</f>
        <v>0</v>
      </c>
      <c r="H623" s="31" t="s">
        <v>614</v>
      </c>
      <c r="I623" s="7">
        <v>4</v>
      </c>
      <c r="J623">
        <v>532.69301643169501</v>
      </c>
      <c r="K623" s="26">
        <v>2016</v>
      </c>
      <c r="L623" t="s">
        <v>40</v>
      </c>
      <c r="M623" s="32">
        <v>1000</v>
      </c>
      <c r="N623">
        <v>130.61708849999999</v>
      </c>
      <c r="P623" t="s">
        <v>17</v>
      </c>
      <c r="Q623">
        <v>100</v>
      </c>
      <c r="R623" t="s">
        <v>13</v>
      </c>
      <c r="S623" t="s">
        <v>16</v>
      </c>
      <c r="T623" t="s">
        <v>16</v>
      </c>
      <c r="U623" s="240">
        <v>0</v>
      </c>
      <c r="V623" s="240">
        <v>15</v>
      </c>
      <c r="W623" s="25">
        <v>7.5</v>
      </c>
      <c r="X623" s="25">
        <v>15</v>
      </c>
      <c r="Y623" s="244">
        <v>1.092945329</v>
      </c>
      <c r="Z623" t="s">
        <v>1104</v>
      </c>
      <c r="AA623" t="s">
        <v>622</v>
      </c>
      <c r="AB623">
        <v>53</v>
      </c>
      <c r="AC623">
        <v>1.64</v>
      </c>
      <c r="AD623">
        <v>0.63</v>
      </c>
      <c r="AE623" t="s">
        <v>525</v>
      </c>
      <c r="AF623" t="s">
        <v>553</v>
      </c>
      <c r="AG623" s="32">
        <v>0.10003550079981478</v>
      </c>
      <c r="AH623" s="32">
        <v>0.31</v>
      </c>
      <c r="AI623" s="32">
        <v>3.1011005247942581E-2</v>
      </c>
      <c r="AJ623" s="31">
        <v>6.9024495551872206E-2</v>
      </c>
      <c r="AK623" s="31">
        <v>0.31</v>
      </c>
      <c r="AL623" s="31">
        <v>3.1011005247942581E-2</v>
      </c>
      <c r="AM623" s="31">
        <v>6.9024495551872206E-2</v>
      </c>
      <c r="AN623" s="31">
        <v>4.0505672169444802</v>
      </c>
      <c r="AO623" s="31">
        <v>9.0157786441667476</v>
      </c>
      <c r="AP623" s="31">
        <v>4.4270485195599995E-3</v>
      </c>
      <c r="AQ623" s="31">
        <v>9.8537531564399997E-3</v>
      </c>
      <c r="AR623" s="31">
        <v>0.13288496611575845</v>
      </c>
    </row>
    <row r="624" spans="1:44" hidden="1" x14ac:dyDescent="0.5">
      <c r="A624" s="31">
        <v>812</v>
      </c>
      <c r="B624" s="31">
        <v>58</v>
      </c>
      <c r="C624" s="225" t="s">
        <v>20</v>
      </c>
      <c r="D624" s="35">
        <v>51.538753999999997</v>
      </c>
      <c r="E624" s="33">
        <v>3.4326949999999998</v>
      </c>
      <c r="F624">
        <v>1.24</v>
      </c>
      <c r="G624">
        <f>F624*1609.344</f>
        <v>1995.58656</v>
      </c>
      <c r="H624" s="32" t="s">
        <v>614</v>
      </c>
      <c r="I624" s="7">
        <v>20</v>
      </c>
      <c r="J624">
        <v>492.611924743793</v>
      </c>
      <c r="K624" s="26">
        <v>2012.5</v>
      </c>
      <c r="L624" t="s">
        <v>40</v>
      </c>
      <c r="M624" s="32">
        <v>10</v>
      </c>
      <c r="N624">
        <v>0.99999999799999995</v>
      </c>
      <c r="O624">
        <v>5</v>
      </c>
      <c r="P624" t="s">
        <v>12</v>
      </c>
      <c r="Q624">
        <v>89</v>
      </c>
      <c r="R624" t="s">
        <v>13</v>
      </c>
      <c r="S624" t="s">
        <v>14</v>
      </c>
      <c r="T624" t="s">
        <v>14</v>
      </c>
      <c r="U624" s="34">
        <v>0</v>
      </c>
      <c r="V624" s="34">
        <v>10</v>
      </c>
      <c r="W624" s="25">
        <v>5</v>
      </c>
      <c r="X624" s="25">
        <v>10</v>
      </c>
      <c r="Y624" s="244">
        <v>1.788789671</v>
      </c>
      <c r="Z624" t="s">
        <v>1104</v>
      </c>
      <c r="AA624" t="s">
        <v>622</v>
      </c>
      <c r="AB624">
        <v>1</v>
      </c>
      <c r="AC624">
        <v>410</v>
      </c>
      <c r="AF624" t="s">
        <v>532</v>
      </c>
      <c r="AG624" s="32">
        <v>410</v>
      </c>
      <c r="AH624" s="32" t="s">
        <v>2013</v>
      </c>
      <c r="AI624" s="32" t="s">
        <v>2014</v>
      </c>
      <c r="AJ624" s="31" t="s">
        <v>3130</v>
      </c>
      <c r="AK624" s="31">
        <v>0.13466</v>
      </c>
      <c r="AL624" s="31">
        <v>55.210599999999999</v>
      </c>
      <c r="AM624" s="31">
        <v>354.7894</v>
      </c>
      <c r="AN624" s="31">
        <v>62.034381898403133</v>
      </c>
      <c r="AO624" s="31">
        <v>398.63977448361931</v>
      </c>
      <c r="AP624" s="31">
        <v>0.1109664615867329</v>
      </c>
      <c r="AQ624" s="31">
        <v>0.71308271104606757</v>
      </c>
      <c r="AR624" s="31">
        <v>0.13077174832993385</v>
      </c>
    </row>
    <row r="625" spans="1:44" hidden="1" x14ac:dyDescent="0.5">
      <c r="A625" s="31">
        <v>556</v>
      </c>
      <c r="B625" s="31">
        <v>40</v>
      </c>
      <c r="C625" s="225" t="s">
        <v>25</v>
      </c>
      <c r="D625" s="35">
        <v>-34.165058999999999</v>
      </c>
      <c r="E625" s="33">
        <v>24.831686999999999</v>
      </c>
      <c r="F625">
        <v>0</v>
      </c>
      <c r="G625">
        <f>F625*1609.344</f>
        <v>0</v>
      </c>
      <c r="H625" s="32" t="s">
        <v>10</v>
      </c>
      <c r="I625">
        <v>0</v>
      </c>
      <c r="J625">
        <v>102.57226340529201</v>
      </c>
      <c r="K625" s="26">
        <v>2016</v>
      </c>
      <c r="L625" t="s">
        <v>11</v>
      </c>
      <c r="M625" s="32">
        <v>63</v>
      </c>
      <c r="N625">
        <v>7.0097463050000002</v>
      </c>
      <c r="O625">
        <v>5</v>
      </c>
      <c r="P625" t="s">
        <v>12</v>
      </c>
      <c r="Q625">
        <v>89</v>
      </c>
      <c r="R625" t="s">
        <v>13</v>
      </c>
      <c r="S625" t="s">
        <v>16</v>
      </c>
      <c r="T625" t="s">
        <v>14</v>
      </c>
      <c r="U625" s="34">
        <v>0</v>
      </c>
      <c r="V625" s="34">
        <v>5</v>
      </c>
      <c r="W625" s="25">
        <v>2.5</v>
      </c>
      <c r="X625" s="25">
        <v>5</v>
      </c>
      <c r="Y625">
        <v>1.6364102199999999</v>
      </c>
      <c r="Z625" t="s">
        <v>776</v>
      </c>
      <c r="AA625" t="s">
        <v>636</v>
      </c>
      <c r="AB625">
        <v>3</v>
      </c>
      <c r="AC625">
        <v>203.75</v>
      </c>
      <c r="AD625">
        <v>46.578000000000003</v>
      </c>
      <c r="AE625" t="s">
        <v>525</v>
      </c>
      <c r="AF625" t="s">
        <v>521</v>
      </c>
      <c r="AG625" s="32" t="s">
        <v>1568</v>
      </c>
      <c r="AH625" s="32" t="s">
        <v>1569</v>
      </c>
      <c r="AI625" s="32" t="s">
        <v>1570</v>
      </c>
      <c r="AJ625" s="31" t="s">
        <v>2949</v>
      </c>
      <c r="AK625" s="31">
        <v>0.99</v>
      </c>
      <c r="AL625" s="31">
        <v>2.4653048182502797</v>
      </c>
      <c r="AM625" s="31">
        <v>2.4902068871214933E-2</v>
      </c>
      <c r="AN625" s="31">
        <v>19.417035213964713</v>
      </c>
      <c r="AO625" s="31">
        <v>0.19613166882792629</v>
      </c>
      <c r="AP625" s="31">
        <v>3.1774234866231744E-2</v>
      </c>
      <c r="AQ625" s="31">
        <v>3.2095186733567397E-4</v>
      </c>
      <c r="AR625" s="31">
        <v>0.13341858489683281</v>
      </c>
    </row>
    <row r="626" spans="1:44" hidden="1" x14ac:dyDescent="0.5">
      <c r="A626" s="31">
        <v>557</v>
      </c>
      <c r="B626" s="31">
        <v>40</v>
      </c>
      <c r="C626" s="225" t="s">
        <v>25</v>
      </c>
      <c r="D626" s="35">
        <v>-34.135489999999997</v>
      </c>
      <c r="E626" s="33">
        <v>18.332460000000001</v>
      </c>
      <c r="F626">
        <v>0</v>
      </c>
      <c r="G626">
        <f>F626*1609.344</f>
        <v>0</v>
      </c>
      <c r="H626" s="32" t="s">
        <v>10</v>
      </c>
      <c r="I626">
        <v>0</v>
      </c>
      <c r="J626">
        <v>518.62408283527202</v>
      </c>
      <c r="K626" s="26">
        <v>2016</v>
      </c>
      <c r="L626" t="s">
        <v>11</v>
      </c>
      <c r="M626" s="32">
        <v>63</v>
      </c>
      <c r="N626">
        <v>7.0097463050000002</v>
      </c>
      <c r="O626">
        <v>5</v>
      </c>
      <c r="P626" t="s">
        <v>12</v>
      </c>
      <c r="Q626">
        <v>89</v>
      </c>
      <c r="R626" t="s">
        <v>13</v>
      </c>
      <c r="S626" t="s">
        <v>16</v>
      </c>
      <c r="T626" t="s">
        <v>14</v>
      </c>
      <c r="U626" s="34">
        <v>0</v>
      </c>
      <c r="V626" s="34">
        <v>5</v>
      </c>
      <c r="W626" s="25">
        <v>2.5</v>
      </c>
      <c r="X626" s="25">
        <v>5</v>
      </c>
      <c r="Y626">
        <v>0.941174705</v>
      </c>
      <c r="Z626" t="s">
        <v>776</v>
      </c>
      <c r="AA626" t="s">
        <v>636</v>
      </c>
      <c r="AB626">
        <v>3</v>
      </c>
      <c r="AC626">
        <v>84.353999999999999</v>
      </c>
      <c r="AD626">
        <v>50.405999999999999</v>
      </c>
      <c r="AE626" t="s">
        <v>525</v>
      </c>
      <c r="AF626" t="s">
        <v>521</v>
      </c>
      <c r="AG626" s="32" t="s">
        <v>1571</v>
      </c>
      <c r="AH626" s="32" t="s">
        <v>1165</v>
      </c>
      <c r="AI626" s="32" t="s">
        <v>1572</v>
      </c>
      <c r="AJ626" s="31" t="s">
        <v>2950</v>
      </c>
      <c r="AK626" s="31">
        <v>0.82</v>
      </c>
      <c r="AL626" s="31">
        <v>1.4698712073865181</v>
      </c>
      <c r="AM626" s="31">
        <v>0.3226546552799674</v>
      </c>
      <c r="AN626" s="31">
        <v>11.576881196408465</v>
      </c>
      <c r="AO626" s="31">
        <v>2.541266604089663</v>
      </c>
      <c r="AP626" s="31">
        <v>1.0895867744849784E-2</v>
      </c>
      <c r="AQ626" s="31">
        <v>2.3917758464304406E-3</v>
      </c>
      <c r="AR626" s="31">
        <v>0.13341858489683281</v>
      </c>
    </row>
    <row r="627" spans="1:44" hidden="1" x14ac:dyDescent="0.5">
      <c r="A627" s="31">
        <v>558</v>
      </c>
      <c r="B627" s="31">
        <v>40</v>
      </c>
      <c r="C627" s="225" t="s">
        <v>25</v>
      </c>
      <c r="D627" s="35">
        <v>-34.073151000000003</v>
      </c>
      <c r="E627" s="33">
        <v>23.016770000000001</v>
      </c>
      <c r="F627">
        <v>0</v>
      </c>
      <c r="G627">
        <f>F627*1609.344</f>
        <v>0</v>
      </c>
      <c r="H627" s="32" t="s">
        <v>10</v>
      </c>
      <c r="I627">
        <v>0</v>
      </c>
      <c r="J627">
        <v>38.859078847960603</v>
      </c>
      <c r="K627" s="26">
        <v>2016</v>
      </c>
      <c r="L627" t="s">
        <v>11</v>
      </c>
      <c r="M627" s="32">
        <v>63</v>
      </c>
      <c r="N627">
        <v>7.0097463050000002</v>
      </c>
      <c r="O627">
        <v>5</v>
      </c>
      <c r="P627" t="s">
        <v>12</v>
      </c>
      <c r="Q627">
        <v>89</v>
      </c>
      <c r="R627" t="s">
        <v>13</v>
      </c>
      <c r="S627" t="s">
        <v>16</v>
      </c>
      <c r="T627" t="s">
        <v>14</v>
      </c>
      <c r="U627" s="34">
        <v>0</v>
      </c>
      <c r="V627" s="34">
        <v>5</v>
      </c>
      <c r="W627" s="25">
        <v>2.5</v>
      </c>
      <c r="X627" s="25">
        <v>5</v>
      </c>
      <c r="Y627">
        <v>1.3919760750000001</v>
      </c>
      <c r="Z627" t="s">
        <v>776</v>
      </c>
      <c r="AA627" t="s">
        <v>636</v>
      </c>
      <c r="AB627">
        <v>3</v>
      </c>
      <c r="AC627">
        <v>233.17699999999999</v>
      </c>
      <c r="AD627">
        <v>32.637</v>
      </c>
      <c r="AE627" t="s">
        <v>525</v>
      </c>
      <c r="AF627" t="s">
        <v>521</v>
      </c>
      <c r="AG627" s="32" t="s">
        <v>1573</v>
      </c>
      <c r="AH627" s="32" t="s">
        <v>1574</v>
      </c>
      <c r="AI627" s="32" t="s">
        <v>1575</v>
      </c>
      <c r="AJ627" s="31" t="s">
        <v>2951</v>
      </c>
      <c r="AK627" s="31">
        <v>0.95</v>
      </c>
      <c r="AL627" s="31">
        <v>3.1827867443770534</v>
      </c>
      <c r="AM627" s="31">
        <v>0.16751509180931867</v>
      </c>
      <c r="AN627" s="31">
        <v>25.068008562921385</v>
      </c>
      <c r="AO627" s="31">
        <v>1.3193688717327048</v>
      </c>
      <c r="AP627" s="31">
        <v>3.4894068167481702E-2</v>
      </c>
      <c r="AQ627" s="31">
        <v>1.8365299035516688E-3</v>
      </c>
      <c r="AR627" s="31">
        <v>0.13341858489683281</v>
      </c>
    </row>
    <row r="628" spans="1:44" hidden="1" x14ac:dyDescent="0.5">
      <c r="A628" s="31">
        <v>559</v>
      </c>
      <c r="B628" s="31">
        <v>40</v>
      </c>
      <c r="C628" s="225" t="s">
        <v>25</v>
      </c>
      <c r="D628" s="35">
        <v>-33.909531999999999</v>
      </c>
      <c r="E628" s="33">
        <v>18.469483</v>
      </c>
      <c r="F628">
        <v>0</v>
      </c>
      <c r="G628">
        <f>F628*1609.344</f>
        <v>0</v>
      </c>
      <c r="H628" s="32" t="s">
        <v>10</v>
      </c>
      <c r="I628">
        <v>0</v>
      </c>
      <c r="J628">
        <v>353.764346861832</v>
      </c>
      <c r="K628" s="26">
        <v>2016</v>
      </c>
      <c r="L628" t="s">
        <v>11</v>
      </c>
      <c r="M628" s="32">
        <v>63</v>
      </c>
      <c r="N628">
        <v>7.0097463050000002</v>
      </c>
      <c r="O628">
        <v>5</v>
      </c>
      <c r="P628" t="s">
        <v>12</v>
      </c>
      <c r="Q628">
        <v>89</v>
      </c>
      <c r="R628" t="s">
        <v>13</v>
      </c>
      <c r="S628" t="s">
        <v>16</v>
      </c>
      <c r="T628" t="s">
        <v>14</v>
      </c>
      <c r="U628" s="34">
        <v>0</v>
      </c>
      <c r="V628" s="34">
        <v>5</v>
      </c>
      <c r="W628" s="25">
        <v>2.5</v>
      </c>
      <c r="X628" s="25">
        <v>5</v>
      </c>
      <c r="Y628">
        <v>1.3919760750000001</v>
      </c>
      <c r="Z628" t="s">
        <v>776</v>
      </c>
      <c r="AA628" t="s">
        <v>636</v>
      </c>
      <c r="AB628">
        <v>3</v>
      </c>
      <c r="AC628">
        <v>753.45500000000004</v>
      </c>
      <c r="AD628">
        <v>288.38</v>
      </c>
      <c r="AE628" t="s">
        <v>525</v>
      </c>
      <c r="AF628" t="s">
        <v>521</v>
      </c>
      <c r="AG628" s="32" t="s">
        <v>1576</v>
      </c>
      <c r="AH628" s="32" t="s">
        <v>1165</v>
      </c>
      <c r="AI628" s="32" t="s">
        <v>1577</v>
      </c>
      <c r="AJ628" s="31" t="s">
        <v>2952</v>
      </c>
      <c r="AK628" s="31">
        <v>0.82</v>
      </c>
      <c r="AL628" s="31">
        <v>8.8770649308753384</v>
      </c>
      <c r="AM628" s="31">
        <v>1.9486240092165374</v>
      </c>
      <c r="AN628" s="31">
        <v>69.916823706121889</v>
      </c>
      <c r="AO628" s="31">
        <v>15.347595447685292</v>
      </c>
      <c r="AP628" s="31">
        <v>9.7322545838914504E-2</v>
      </c>
      <c r="AQ628" s="31">
        <v>2.1363485671956842E-2</v>
      </c>
      <c r="AR628" s="31">
        <v>0.13341858489683281</v>
      </c>
    </row>
    <row r="629" spans="1:44" hidden="1" x14ac:dyDescent="0.5">
      <c r="A629" s="31">
        <v>560</v>
      </c>
      <c r="B629" s="31">
        <v>40</v>
      </c>
      <c r="C629" s="225" t="s">
        <v>25</v>
      </c>
      <c r="D629" s="35">
        <v>-33.685772</v>
      </c>
      <c r="E629" s="33">
        <v>26.678805000000001</v>
      </c>
      <c r="F629">
        <v>0</v>
      </c>
      <c r="G629">
        <f>F629*1609.344</f>
        <v>0</v>
      </c>
      <c r="H629" s="32" t="s">
        <v>10</v>
      </c>
      <c r="I629">
        <v>0</v>
      </c>
      <c r="J629">
        <v>24.432529246936099</v>
      </c>
      <c r="K629" s="26">
        <v>2016</v>
      </c>
      <c r="L629" t="s">
        <v>11</v>
      </c>
      <c r="M629" s="32">
        <v>63</v>
      </c>
      <c r="N629">
        <v>7.0097463050000002</v>
      </c>
      <c r="O629">
        <v>5</v>
      </c>
      <c r="P629" t="s">
        <v>12</v>
      </c>
      <c r="Q629">
        <v>89</v>
      </c>
      <c r="R629" t="s">
        <v>13</v>
      </c>
      <c r="S629" t="s">
        <v>16</v>
      </c>
      <c r="T629" t="s">
        <v>14</v>
      </c>
      <c r="U629" s="34">
        <v>0</v>
      </c>
      <c r="V629" s="34">
        <v>5</v>
      </c>
      <c r="W629" s="25">
        <v>2.5</v>
      </c>
      <c r="X629" s="25">
        <v>5</v>
      </c>
      <c r="Y629">
        <v>1.6364102199999999</v>
      </c>
      <c r="Z629" t="s">
        <v>776</v>
      </c>
      <c r="AA629" t="s">
        <v>636</v>
      </c>
      <c r="AB629">
        <v>3</v>
      </c>
      <c r="AC629">
        <v>341.97300000000001</v>
      </c>
      <c r="AD629">
        <v>48.652000000000001</v>
      </c>
      <c r="AE629" t="s">
        <v>525</v>
      </c>
      <c r="AF629" t="s">
        <v>521</v>
      </c>
      <c r="AG629" s="32" t="s">
        <v>1578</v>
      </c>
      <c r="AH629" s="32" t="s">
        <v>1579</v>
      </c>
      <c r="AI629" s="32" t="s">
        <v>1580</v>
      </c>
      <c r="AJ629" s="31" t="s">
        <v>2953</v>
      </c>
      <c r="AK629" s="31">
        <v>0.98</v>
      </c>
      <c r="AL629" s="31">
        <v>4.0959599971210157</v>
      </c>
      <c r="AM629" s="31">
        <v>8.3591020349408574E-2</v>
      </c>
      <c r="AN629" s="31">
        <v>32.260270174434666</v>
      </c>
      <c r="AO629" s="31">
        <v>0.65837286070274892</v>
      </c>
      <c r="AP629" s="31">
        <v>5.2791035813406072E-2</v>
      </c>
      <c r="AQ629" s="31">
        <v>1.0773680778246146E-3</v>
      </c>
      <c r="AR629" s="31">
        <v>0.13341858489683281</v>
      </c>
    </row>
    <row r="630" spans="1:44" hidden="1" x14ac:dyDescent="0.5">
      <c r="A630" s="31">
        <v>561</v>
      </c>
      <c r="B630" s="31">
        <v>40</v>
      </c>
      <c r="C630" s="225" t="s">
        <v>25</v>
      </c>
      <c r="D630" s="39">
        <v>-32.806638999999997</v>
      </c>
      <c r="E630" s="40">
        <v>17.893145000000001</v>
      </c>
      <c r="F630">
        <v>0</v>
      </c>
      <c r="G630">
        <f>F630*1609.344</f>
        <v>0</v>
      </c>
      <c r="H630" s="32" t="s">
        <v>10</v>
      </c>
      <c r="I630">
        <v>0</v>
      </c>
      <c r="J630">
        <v>33.750268202078999</v>
      </c>
      <c r="K630" s="26">
        <v>2016</v>
      </c>
      <c r="L630" t="s">
        <v>11</v>
      </c>
      <c r="M630" s="32">
        <v>63</v>
      </c>
      <c r="N630">
        <v>7.0097463050000002</v>
      </c>
      <c r="O630">
        <v>5</v>
      </c>
      <c r="P630" t="s">
        <v>12</v>
      </c>
      <c r="Q630">
        <v>89</v>
      </c>
      <c r="R630" t="s">
        <v>13</v>
      </c>
      <c r="S630" t="s">
        <v>16</v>
      </c>
      <c r="T630" t="s">
        <v>14</v>
      </c>
      <c r="U630" s="34">
        <v>0</v>
      </c>
      <c r="V630" s="34">
        <v>5</v>
      </c>
      <c r="W630" s="25">
        <v>2.5</v>
      </c>
      <c r="X630" s="25">
        <v>5</v>
      </c>
      <c r="Y630">
        <v>0.47672237200000001</v>
      </c>
      <c r="Z630" t="s">
        <v>776</v>
      </c>
      <c r="AA630" t="s">
        <v>636</v>
      </c>
      <c r="AB630">
        <v>3</v>
      </c>
      <c r="AC630">
        <v>450.21800000000002</v>
      </c>
      <c r="AD630">
        <v>145.767</v>
      </c>
      <c r="AE630" t="s">
        <v>525</v>
      </c>
      <c r="AF630" t="s">
        <v>521</v>
      </c>
      <c r="AG630" s="32" t="s">
        <v>1581</v>
      </c>
      <c r="AH630" s="32" t="s">
        <v>1579</v>
      </c>
      <c r="AI630" s="32" t="s">
        <v>1582</v>
      </c>
      <c r="AJ630" s="31" t="s">
        <v>2954</v>
      </c>
      <c r="AK630" s="31">
        <v>0.98</v>
      </c>
      <c r="AL630" s="31">
        <v>18.510297225992154</v>
      </c>
      <c r="AM630" s="31">
        <v>0.37776116787739156</v>
      </c>
      <c r="AN630" s="31">
        <v>145.78931189252839</v>
      </c>
      <c r="AO630" s="31">
        <v>2.97529207943936</v>
      </c>
      <c r="AP630" s="31">
        <v>6.9501026577653946E-2</v>
      </c>
      <c r="AQ630" s="31">
        <v>1.4183882975031441E-3</v>
      </c>
      <c r="AR630" s="31">
        <v>0.13341858489683281</v>
      </c>
    </row>
    <row r="631" spans="1:44" hidden="1" x14ac:dyDescent="0.5">
      <c r="A631" s="31">
        <v>562</v>
      </c>
      <c r="B631" s="31">
        <v>40</v>
      </c>
      <c r="C631" s="225" t="s">
        <v>25</v>
      </c>
      <c r="D631" s="39">
        <v>-32.708271000000003</v>
      </c>
      <c r="E631" s="40">
        <v>28.34488</v>
      </c>
      <c r="F631">
        <v>0</v>
      </c>
      <c r="G631">
        <f>F631*1609.344</f>
        <v>0</v>
      </c>
      <c r="H631" s="32" t="s">
        <v>10</v>
      </c>
      <c r="I631">
        <v>0</v>
      </c>
      <c r="J631">
        <v>98.2844228240711</v>
      </c>
      <c r="K631" s="26">
        <v>2016</v>
      </c>
      <c r="L631" t="s">
        <v>11</v>
      </c>
      <c r="M631" s="32">
        <v>63</v>
      </c>
      <c r="N631">
        <v>7.0097463050000002</v>
      </c>
      <c r="O631">
        <v>5</v>
      </c>
      <c r="P631" t="s">
        <v>12</v>
      </c>
      <c r="Q631">
        <v>89</v>
      </c>
      <c r="R631" t="s">
        <v>13</v>
      </c>
      <c r="S631" t="s">
        <v>16</v>
      </c>
      <c r="T631" t="s">
        <v>14</v>
      </c>
      <c r="U631" s="34">
        <v>0</v>
      </c>
      <c r="V631" s="34">
        <v>5</v>
      </c>
      <c r="W631" s="25">
        <v>2.5</v>
      </c>
      <c r="X631" s="25">
        <v>5</v>
      </c>
      <c r="Y631">
        <v>2.1577600669999999</v>
      </c>
      <c r="Z631" t="s">
        <v>776</v>
      </c>
      <c r="AA631" t="s">
        <v>636</v>
      </c>
      <c r="AB631">
        <v>3</v>
      </c>
      <c r="AC631">
        <v>252.08199999999999</v>
      </c>
      <c r="AD631">
        <v>100.17100000000001</v>
      </c>
      <c r="AE631" t="s">
        <v>525</v>
      </c>
      <c r="AF631" t="s">
        <v>521</v>
      </c>
      <c r="AG631" s="32" t="s">
        <v>1583</v>
      </c>
      <c r="AH631" s="32" t="s">
        <v>1574</v>
      </c>
      <c r="AI631" s="32" t="s">
        <v>1584</v>
      </c>
      <c r="AJ631" s="31" t="s">
        <v>2955</v>
      </c>
      <c r="AK631" s="31">
        <v>0.95</v>
      </c>
      <c r="AL631" s="31">
        <v>2.2196897946392475</v>
      </c>
      <c r="AM631" s="31">
        <v>0.11682577866522381</v>
      </c>
      <c r="AN631" s="31">
        <v>17.482541950807498</v>
      </c>
      <c r="AO631" s="31">
        <v>0.92013378688460734</v>
      </c>
      <c r="AP631" s="31">
        <v>3.7723130891104698E-2</v>
      </c>
      <c r="AQ631" s="31">
        <v>1.9854279416370939E-3</v>
      </c>
      <c r="AR631" s="31">
        <v>0.13341858489683281</v>
      </c>
    </row>
    <row r="632" spans="1:44" hidden="1" x14ac:dyDescent="0.5">
      <c r="A632" s="31">
        <v>563</v>
      </c>
      <c r="B632" s="31">
        <v>40</v>
      </c>
      <c r="C632" s="225" t="s">
        <v>25</v>
      </c>
      <c r="D632" s="39">
        <v>-31.823589999999999</v>
      </c>
      <c r="E632" s="40">
        <v>18.236398000000001</v>
      </c>
      <c r="F632">
        <v>0</v>
      </c>
      <c r="G632">
        <f>F632*1609.344</f>
        <v>0</v>
      </c>
      <c r="H632" s="32" t="s">
        <v>10</v>
      </c>
      <c r="I632">
        <v>0</v>
      </c>
      <c r="J632">
        <v>8.0895246992775398</v>
      </c>
      <c r="K632" s="26">
        <v>2016</v>
      </c>
      <c r="L632" t="s">
        <v>11</v>
      </c>
      <c r="M632" s="32">
        <v>63</v>
      </c>
      <c r="N632">
        <v>7.0097463050000002</v>
      </c>
      <c r="O632">
        <v>5</v>
      </c>
      <c r="P632" t="s">
        <v>12</v>
      </c>
      <c r="Q632">
        <v>89</v>
      </c>
      <c r="R632" t="s">
        <v>13</v>
      </c>
      <c r="S632" t="s">
        <v>16</v>
      </c>
      <c r="T632" t="s">
        <v>14</v>
      </c>
      <c r="U632" s="34">
        <v>0</v>
      </c>
      <c r="V632" s="34">
        <v>5</v>
      </c>
      <c r="W632" s="25">
        <v>2.5</v>
      </c>
      <c r="X632" s="25">
        <v>5</v>
      </c>
      <c r="Y632">
        <v>0.66646978400000001</v>
      </c>
      <c r="Z632" t="s">
        <v>776</v>
      </c>
      <c r="AA632" t="s">
        <v>636</v>
      </c>
      <c r="AB632">
        <v>3</v>
      </c>
      <c r="AC632">
        <v>517.15700000000004</v>
      </c>
      <c r="AD632">
        <v>93.42</v>
      </c>
      <c r="AE632" t="s">
        <v>525</v>
      </c>
      <c r="AF632" t="s">
        <v>521</v>
      </c>
      <c r="AG632" s="32" t="s">
        <v>1585</v>
      </c>
      <c r="AH632" s="32" t="s">
        <v>1569</v>
      </c>
      <c r="AI632" s="32" t="s">
        <v>1586</v>
      </c>
      <c r="AJ632" s="31" t="s">
        <v>2956</v>
      </c>
      <c r="AK632" s="31">
        <v>0.99</v>
      </c>
      <c r="AL632" s="31">
        <v>15.364100287553324</v>
      </c>
      <c r="AM632" s="31">
        <v>0.15519293219750807</v>
      </c>
      <c r="AN632" s="31">
        <v>121.00948901160264</v>
      </c>
      <c r="AO632" s="31">
        <v>1.2223180708242671</v>
      </c>
      <c r="AP632" s="31">
        <v>8.0649168003513183E-2</v>
      </c>
      <c r="AQ632" s="31">
        <v>8.1463806064154595E-4</v>
      </c>
      <c r="AR632" s="31">
        <v>0.13341858489683281</v>
      </c>
    </row>
    <row r="633" spans="1:44" hidden="1" x14ac:dyDescent="0.5">
      <c r="A633" s="31">
        <v>564</v>
      </c>
      <c r="B633" s="31">
        <v>40</v>
      </c>
      <c r="C633" s="225" t="s">
        <v>25</v>
      </c>
      <c r="D633" s="35">
        <v>-31.044319000000002</v>
      </c>
      <c r="E633" s="33">
        <v>30.228473000000001</v>
      </c>
      <c r="F633">
        <v>0</v>
      </c>
      <c r="G633">
        <f>F633*1609.344</f>
        <v>0</v>
      </c>
      <c r="H633" s="32" t="s">
        <v>10</v>
      </c>
      <c r="I633">
        <v>0</v>
      </c>
      <c r="J633">
        <v>119.468935238124</v>
      </c>
      <c r="K633" s="26">
        <v>2016</v>
      </c>
      <c r="L633" t="s">
        <v>11</v>
      </c>
      <c r="M633" s="32">
        <v>63</v>
      </c>
      <c r="N633">
        <v>7.0097463050000002</v>
      </c>
      <c r="O633">
        <v>5</v>
      </c>
      <c r="P633" t="s">
        <v>12</v>
      </c>
      <c r="Q633">
        <v>89</v>
      </c>
      <c r="R633" t="s">
        <v>13</v>
      </c>
      <c r="S633" t="s">
        <v>16</v>
      </c>
      <c r="T633" t="s">
        <v>14</v>
      </c>
      <c r="U633" s="34">
        <v>0</v>
      </c>
      <c r="V633" s="34">
        <v>5</v>
      </c>
      <c r="W633" s="25">
        <v>2.5</v>
      </c>
      <c r="X633" s="25">
        <v>5</v>
      </c>
      <c r="Y633">
        <v>2.1577600669999999</v>
      </c>
      <c r="Z633" t="s">
        <v>776</v>
      </c>
      <c r="AA633" t="s">
        <v>636</v>
      </c>
      <c r="AB633">
        <v>3</v>
      </c>
      <c r="AC633">
        <v>757.50300000000004</v>
      </c>
      <c r="AD633">
        <v>394.69400000000002</v>
      </c>
      <c r="AE633" t="s">
        <v>525</v>
      </c>
      <c r="AF633" t="s">
        <v>521</v>
      </c>
      <c r="AG633" s="32" t="s">
        <v>1587</v>
      </c>
      <c r="AH633" s="32" t="s">
        <v>1569</v>
      </c>
      <c r="AI633" s="32" t="s">
        <v>1588</v>
      </c>
      <c r="AJ633" s="31" t="s">
        <v>2957</v>
      </c>
      <c r="AK633" s="31">
        <v>0.99</v>
      </c>
      <c r="AL633" s="31">
        <v>6.9509857140200761</v>
      </c>
      <c r="AM633" s="31">
        <v>7.0211976909293483E-2</v>
      </c>
      <c r="AN633" s="31">
        <v>54.746793735910124</v>
      </c>
      <c r="AO633" s="31">
        <v>0.55299791652434305</v>
      </c>
      <c r="AP633" s="31">
        <v>0.11813044531963261</v>
      </c>
      <c r="AQ633" s="31">
        <v>1.1932368214104267E-3</v>
      </c>
      <c r="AR633" s="31">
        <v>0.13341858489683281</v>
      </c>
    </row>
    <row r="634" spans="1:44" hidden="1" x14ac:dyDescent="0.5">
      <c r="A634" s="31">
        <v>565</v>
      </c>
      <c r="B634" s="31">
        <v>40</v>
      </c>
      <c r="C634" s="225" t="s">
        <v>25</v>
      </c>
      <c r="D634" s="39">
        <v>-30.315525999999998</v>
      </c>
      <c r="E634" s="40">
        <v>17.274963</v>
      </c>
      <c r="F634">
        <v>0</v>
      </c>
      <c r="G634">
        <f>F634*1609.344</f>
        <v>0</v>
      </c>
      <c r="H634" s="32" t="s">
        <v>10</v>
      </c>
      <c r="I634">
        <v>0</v>
      </c>
      <c r="J634">
        <v>2.74196594352899</v>
      </c>
      <c r="K634" s="26">
        <v>2016</v>
      </c>
      <c r="L634" t="s">
        <v>11</v>
      </c>
      <c r="M634" s="32">
        <v>63</v>
      </c>
      <c r="N634">
        <v>7.0097463050000002</v>
      </c>
      <c r="O634">
        <v>5</v>
      </c>
      <c r="P634" t="s">
        <v>12</v>
      </c>
      <c r="Q634">
        <v>89</v>
      </c>
      <c r="R634" t="s">
        <v>13</v>
      </c>
      <c r="S634" t="s">
        <v>16</v>
      </c>
      <c r="T634" t="s">
        <v>14</v>
      </c>
      <c r="U634" s="34">
        <v>0</v>
      </c>
      <c r="V634" s="34">
        <v>5</v>
      </c>
      <c r="W634" s="25">
        <v>2.5</v>
      </c>
      <c r="X634" s="25">
        <v>5</v>
      </c>
      <c r="Y634">
        <v>0.617552302</v>
      </c>
      <c r="Z634" t="s">
        <v>776</v>
      </c>
      <c r="AA634" t="s">
        <v>636</v>
      </c>
      <c r="AB634">
        <v>3</v>
      </c>
      <c r="AC634">
        <v>596.66899999999998</v>
      </c>
      <c r="AD634">
        <v>217.16200000000001</v>
      </c>
      <c r="AE634" t="s">
        <v>525</v>
      </c>
      <c r="AF634" t="s">
        <v>521</v>
      </c>
      <c r="AG634" s="32" t="s">
        <v>1589</v>
      </c>
      <c r="AH634" s="32">
        <v>1</v>
      </c>
      <c r="AI634" s="32" t="s">
        <v>1589</v>
      </c>
      <c r="AJ634" s="31">
        <v>0</v>
      </c>
      <c r="AK634" s="31">
        <v>1</v>
      </c>
      <c r="AL634" s="31">
        <v>19.323675033438704</v>
      </c>
      <c r="AM634" s="31">
        <v>0</v>
      </c>
      <c r="AN634" s="31">
        <v>152.19557265693001</v>
      </c>
      <c r="AO634" s="31">
        <v>0</v>
      </c>
      <c r="AP634" s="31">
        <v>9.3988726248495386E-2</v>
      </c>
      <c r="AQ634" s="31">
        <v>0</v>
      </c>
      <c r="AR634" s="31">
        <v>0.13341858489683281</v>
      </c>
    </row>
    <row r="635" spans="1:44" hidden="1" x14ac:dyDescent="0.5">
      <c r="A635" s="31">
        <v>566</v>
      </c>
      <c r="B635" s="31">
        <v>40</v>
      </c>
      <c r="C635" s="225" t="s">
        <v>25</v>
      </c>
      <c r="D635" s="35">
        <v>-29.878698</v>
      </c>
      <c r="E635" s="33">
        <v>31.012125000000001</v>
      </c>
      <c r="F635">
        <v>0</v>
      </c>
      <c r="G635">
        <f>F635*1609.344</f>
        <v>0</v>
      </c>
      <c r="H635" s="32" t="s">
        <v>10</v>
      </c>
      <c r="I635">
        <v>0</v>
      </c>
      <c r="J635">
        <v>340.55242638881998</v>
      </c>
      <c r="K635" s="26">
        <v>2016</v>
      </c>
      <c r="L635" t="s">
        <v>11</v>
      </c>
      <c r="M635" s="32">
        <v>63</v>
      </c>
      <c r="N635">
        <v>7.0097463050000002</v>
      </c>
      <c r="O635">
        <v>5</v>
      </c>
      <c r="P635" t="s">
        <v>12</v>
      </c>
      <c r="Q635">
        <v>89</v>
      </c>
      <c r="R635" t="s">
        <v>13</v>
      </c>
      <c r="S635" t="s">
        <v>16</v>
      </c>
      <c r="T635" t="s">
        <v>14</v>
      </c>
      <c r="U635" s="34">
        <v>0</v>
      </c>
      <c r="V635" s="34">
        <v>5</v>
      </c>
      <c r="W635" s="25">
        <v>2.5</v>
      </c>
      <c r="X635" s="25">
        <v>5</v>
      </c>
      <c r="Y635">
        <v>2.1577600669999999</v>
      </c>
      <c r="Z635" t="s">
        <v>776</v>
      </c>
      <c r="AA635" t="s">
        <v>636</v>
      </c>
      <c r="AB635">
        <v>3</v>
      </c>
      <c r="AC635">
        <v>590.42600000000004</v>
      </c>
      <c r="AD635">
        <v>124.18300000000001</v>
      </c>
      <c r="AE635" t="s">
        <v>525</v>
      </c>
      <c r="AF635" t="s">
        <v>521</v>
      </c>
      <c r="AG635" s="32" t="s">
        <v>1590</v>
      </c>
      <c r="AH635" s="32" t="s">
        <v>1591</v>
      </c>
      <c r="AI635" s="32" t="s">
        <v>1592</v>
      </c>
      <c r="AJ635" s="31" t="s">
        <v>2958</v>
      </c>
      <c r="AK635" s="31">
        <v>0.48</v>
      </c>
      <c r="AL635" s="31">
        <v>2.6268396040346222</v>
      </c>
      <c r="AM635" s="31">
        <v>2.8457429043708413</v>
      </c>
      <c r="AN635" s="31">
        <v>20.68930248113411</v>
      </c>
      <c r="AO635" s="31">
        <v>22.413411021228622</v>
      </c>
      <c r="AP635" s="31">
        <v>4.4642550707875206E-2</v>
      </c>
      <c r="AQ635" s="31">
        <v>4.8362763266864804E-2</v>
      </c>
      <c r="AR635" s="31">
        <v>0.13341858489683281</v>
      </c>
    </row>
    <row r="636" spans="1:44" hidden="1" x14ac:dyDescent="0.5">
      <c r="A636" s="31">
        <v>567</v>
      </c>
      <c r="B636" s="31">
        <v>40</v>
      </c>
      <c r="C636" s="225" t="s">
        <v>25</v>
      </c>
      <c r="D636" s="35">
        <v>-29.878698</v>
      </c>
      <c r="E636" s="33">
        <v>31.012125000000001</v>
      </c>
      <c r="F636">
        <v>0</v>
      </c>
      <c r="G636">
        <f>F636*1609.344</f>
        <v>0</v>
      </c>
      <c r="H636" s="32" t="s">
        <v>10</v>
      </c>
      <c r="I636">
        <v>0</v>
      </c>
      <c r="J636">
        <v>340.55242638881998</v>
      </c>
      <c r="K636" s="26">
        <v>2016</v>
      </c>
      <c r="L636" t="s">
        <v>11</v>
      </c>
      <c r="M636" s="32">
        <v>63</v>
      </c>
      <c r="N636">
        <v>7.0097463050000002</v>
      </c>
      <c r="O636">
        <v>5</v>
      </c>
      <c r="P636" t="s">
        <v>12</v>
      </c>
      <c r="Q636">
        <v>89</v>
      </c>
      <c r="R636" t="s">
        <v>13</v>
      </c>
      <c r="S636" t="s">
        <v>16</v>
      </c>
      <c r="T636" t="s">
        <v>14</v>
      </c>
      <c r="U636" s="34">
        <v>0</v>
      </c>
      <c r="V636" s="34">
        <v>5</v>
      </c>
      <c r="W636" s="25">
        <v>2.5</v>
      </c>
      <c r="X636" s="25">
        <v>5</v>
      </c>
      <c r="Y636">
        <v>2.1577600669999999</v>
      </c>
      <c r="Z636" t="s">
        <v>776</v>
      </c>
      <c r="AA636" t="s">
        <v>636</v>
      </c>
      <c r="AB636">
        <v>3</v>
      </c>
      <c r="AC636">
        <v>675.76199999999994</v>
      </c>
      <c r="AD636">
        <v>291.08300000000003</v>
      </c>
      <c r="AE636" t="s">
        <v>525</v>
      </c>
      <c r="AF636" t="s">
        <v>521</v>
      </c>
      <c r="AG636" s="32" t="s">
        <v>1593</v>
      </c>
      <c r="AH636" s="32" t="s">
        <v>1594</v>
      </c>
      <c r="AI636" s="32" t="s">
        <v>1595</v>
      </c>
      <c r="AJ636" s="31" t="s">
        <v>2959</v>
      </c>
      <c r="AK636" s="31">
        <v>0.9</v>
      </c>
      <c r="AL636" s="31">
        <v>5.6371958059783678</v>
      </c>
      <c r="AM636" s="31">
        <v>0.62635508955315178</v>
      </c>
      <c r="AN636" s="31">
        <v>44.399227496088052</v>
      </c>
      <c r="AO636" s="31">
        <v>4.9332474995653364</v>
      </c>
      <c r="AP636" s="31">
        <v>9.5802880096707191E-2</v>
      </c>
      <c r="AQ636" s="31">
        <v>1.0644764455189682E-2</v>
      </c>
      <c r="AR636" s="31">
        <v>0.13341858489683281</v>
      </c>
    </row>
    <row r="637" spans="1:44" hidden="1" x14ac:dyDescent="0.5">
      <c r="A637" s="31">
        <v>568</v>
      </c>
      <c r="B637" s="31">
        <v>40</v>
      </c>
      <c r="C637" s="225" t="s">
        <v>25</v>
      </c>
      <c r="D637" s="35">
        <v>-29.498752</v>
      </c>
      <c r="E637" s="33">
        <v>31.242764999999999</v>
      </c>
      <c r="F637">
        <v>0</v>
      </c>
      <c r="G637">
        <f>F637*1609.344</f>
        <v>0</v>
      </c>
      <c r="H637" s="32" t="s">
        <v>10</v>
      </c>
      <c r="I637">
        <v>0</v>
      </c>
      <c r="J637">
        <v>324.41598065459698</v>
      </c>
      <c r="K637" s="26">
        <v>2016</v>
      </c>
      <c r="L637" t="s">
        <v>11</v>
      </c>
      <c r="M637" s="32">
        <v>63</v>
      </c>
      <c r="N637">
        <v>7.0097463050000002</v>
      </c>
      <c r="O637">
        <v>5</v>
      </c>
      <c r="P637" t="s">
        <v>12</v>
      </c>
      <c r="Q637">
        <v>89</v>
      </c>
      <c r="R637" t="s">
        <v>13</v>
      </c>
      <c r="S637" t="s">
        <v>16</v>
      </c>
      <c r="T637" t="s">
        <v>14</v>
      </c>
      <c r="U637" s="34">
        <v>0</v>
      </c>
      <c r="V637" s="34">
        <v>5</v>
      </c>
      <c r="W637" s="25">
        <v>2.5</v>
      </c>
      <c r="X637" s="25">
        <v>5</v>
      </c>
      <c r="Y637">
        <v>1.3919760750000001</v>
      </c>
      <c r="Z637" t="s">
        <v>776</v>
      </c>
      <c r="AA637" t="s">
        <v>636</v>
      </c>
      <c r="AB637">
        <v>3</v>
      </c>
      <c r="AC637">
        <v>360.9</v>
      </c>
      <c r="AD637">
        <v>196.53700000000001</v>
      </c>
      <c r="AE637" t="s">
        <v>525</v>
      </c>
      <c r="AF637" t="s">
        <v>521</v>
      </c>
      <c r="AG637" s="32" t="s">
        <v>1596</v>
      </c>
      <c r="AH637" s="32" t="s">
        <v>1247</v>
      </c>
      <c r="AI637" s="32" t="s">
        <v>1597</v>
      </c>
      <c r="AJ637" s="31" t="s">
        <v>2960</v>
      </c>
      <c r="AK637" s="31">
        <v>0.93</v>
      </c>
      <c r="AL637" s="31">
        <v>4.8224535755760023</v>
      </c>
      <c r="AM637" s="31">
        <v>0.3629803766562576</v>
      </c>
      <c r="AN637" s="31">
        <v>37.982220373514515</v>
      </c>
      <c r="AO637" s="31">
        <v>2.8588768023075395</v>
      </c>
      <c r="AP637" s="31">
        <v>5.287034203530977E-2</v>
      </c>
      <c r="AQ637" s="31">
        <v>3.9794881101845999E-3</v>
      </c>
      <c r="AR637" s="31">
        <v>0.13341858489683281</v>
      </c>
    </row>
    <row r="638" spans="1:44" hidden="1" x14ac:dyDescent="0.5">
      <c r="A638" s="31">
        <v>569</v>
      </c>
      <c r="B638" s="31">
        <v>40</v>
      </c>
      <c r="C638" s="225" t="s">
        <v>25</v>
      </c>
      <c r="D638" s="35">
        <v>-28.801953000000001</v>
      </c>
      <c r="E638" s="33">
        <v>32.096207</v>
      </c>
      <c r="F638">
        <v>0</v>
      </c>
      <c r="G638">
        <f>F638*1609.344</f>
        <v>0</v>
      </c>
      <c r="H638" s="32" t="s">
        <v>10</v>
      </c>
      <c r="I638">
        <v>0</v>
      </c>
      <c r="J638">
        <v>105.48127704913399</v>
      </c>
      <c r="K638" s="26">
        <v>2016</v>
      </c>
      <c r="L638" t="s">
        <v>11</v>
      </c>
      <c r="M638" s="32">
        <v>63</v>
      </c>
      <c r="N638">
        <v>7.0097463050000002</v>
      </c>
      <c r="O638">
        <v>5</v>
      </c>
      <c r="P638" t="s">
        <v>12</v>
      </c>
      <c r="Q638">
        <v>89</v>
      </c>
      <c r="R638" t="s">
        <v>13</v>
      </c>
      <c r="S638" t="s">
        <v>16</v>
      </c>
      <c r="T638" t="s">
        <v>14</v>
      </c>
      <c r="U638" s="34">
        <v>0</v>
      </c>
      <c r="V638" s="34">
        <v>5</v>
      </c>
      <c r="W638" s="25">
        <v>2.5</v>
      </c>
      <c r="X638" s="25">
        <v>5</v>
      </c>
      <c r="Y638">
        <v>2.1577600669999999</v>
      </c>
      <c r="Z638" t="s">
        <v>776</v>
      </c>
      <c r="AA638" t="s">
        <v>636</v>
      </c>
      <c r="AB638">
        <v>3</v>
      </c>
      <c r="AC638">
        <v>312.447</v>
      </c>
      <c r="AD638">
        <v>28.721</v>
      </c>
      <c r="AE638" t="s">
        <v>525</v>
      </c>
      <c r="AF638" t="s">
        <v>521</v>
      </c>
      <c r="AG638" s="32" t="s">
        <v>1598</v>
      </c>
      <c r="AH638" s="32" t="s">
        <v>1131</v>
      </c>
      <c r="AI638" s="32" t="s">
        <v>1599</v>
      </c>
      <c r="AJ638" s="31" t="s">
        <v>2961</v>
      </c>
      <c r="AK638" s="31">
        <v>0.91</v>
      </c>
      <c r="AL638" s="31">
        <v>2.635388191193178</v>
      </c>
      <c r="AM638" s="31">
        <v>0.26064278813998465</v>
      </c>
      <c r="AN638" s="31">
        <v>20.756632174670802</v>
      </c>
      <c r="AO638" s="31">
        <v>2.0528537315608486</v>
      </c>
      <c r="AP638" s="31">
        <v>4.4787832031912021E-2</v>
      </c>
      <c r="AQ638" s="31">
        <v>4.4295658053539362E-3</v>
      </c>
      <c r="AR638" s="31">
        <v>0.13341858489683281</v>
      </c>
    </row>
    <row r="639" spans="1:44" hidden="1" x14ac:dyDescent="0.5">
      <c r="A639" s="31">
        <v>570</v>
      </c>
      <c r="B639" s="31">
        <v>40</v>
      </c>
      <c r="C639" s="225" t="s">
        <v>25</v>
      </c>
      <c r="D639" s="35">
        <v>-28.368976</v>
      </c>
      <c r="E639" s="33">
        <v>32.432015</v>
      </c>
      <c r="F639">
        <v>0</v>
      </c>
      <c r="G639">
        <f>F639*1609.344</f>
        <v>0</v>
      </c>
      <c r="H639" s="32" t="s">
        <v>10</v>
      </c>
      <c r="I639">
        <v>0</v>
      </c>
      <c r="J639">
        <v>85.406004739535305</v>
      </c>
      <c r="K639" s="26">
        <v>2016</v>
      </c>
      <c r="L639" t="s">
        <v>11</v>
      </c>
      <c r="M639" s="32">
        <v>63</v>
      </c>
      <c r="N639">
        <v>7.0097463050000002</v>
      </c>
      <c r="O639">
        <v>5</v>
      </c>
      <c r="P639" t="s">
        <v>12</v>
      </c>
      <c r="Q639">
        <v>89</v>
      </c>
      <c r="R639" t="s">
        <v>13</v>
      </c>
      <c r="S639" t="s">
        <v>16</v>
      </c>
      <c r="T639" t="s">
        <v>14</v>
      </c>
      <c r="U639" s="34">
        <v>0</v>
      </c>
      <c r="V639" s="34">
        <v>5</v>
      </c>
      <c r="W639" s="25">
        <v>2.5</v>
      </c>
      <c r="X639" s="25">
        <v>5</v>
      </c>
      <c r="Y639">
        <v>1.2887924630000001</v>
      </c>
      <c r="Z639" t="s">
        <v>776</v>
      </c>
      <c r="AA639" t="s">
        <v>636</v>
      </c>
      <c r="AB639">
        <v>3</v>
      </c>
      <c r="AC639">
        <v>100.91</v>
      </c>
      <c r="AD639">
        <v>31.632999999999999</v>
      </c>
      <c r="AE639" t="s">
        <v>525</v>
      </c>
      <c r="AF639" t="s">
        <v>521</v>
      </c>
      <c r="AG639" s="32" t="s">
        <v>1600</v>
      </c>
      <c r="AH639" s="32" t="s">
        <v>1131</v>
      </c>
      <c r="AI639" s="32" t="s">
        <v>1601</v>
      </c>
      <c r="AJ639" s="31" t="s">
        <v>2962</v>
      </c>
      <c r="AK639" s="31">
        <v>0.91</v>
      </c>
      <c r="AL639" s="31">
        <v>1.4250254037992458</v>
      </c>
      <c r="AM639" s="31">
        <v>0.14093657839772766</v>
      </c>
      <c r="AN639" s="31">
        <v>11.223670290801007</v>
      </c>
      <c r="AO639" s="31">
        <v>1.1100333254638364</v>
      </c>
      <c r="AP639" s="31">
        <v>1.4464981677981355E-2</v>
      </c>
      <c r="AQ639" s="31">
        <v>1.4306025835366183E-3</v>
      </c>
      <c r="AR639" s="31">
        <v>0.13341858489683281</v>
      </c>
    </row>
    <row r="640" spans="1:44" hidden="1" x14ac:dyDescent="0.5">
      <c r="A640" s="31">
        <v>1113</v>
      </c>
      <c r="B640" s="31">
        <v>74</v>
      </c>
      <c r="C640" s="225" t="s">
        <v>32</v>
      </c>
      <c r="D640" s="41">
        <v>31.89</v>
      </c>
      <c r="E640" s="43">
        <v>-116.72</v>
      </c>
      <c r="F640">
        <v>0.6</v>
      </c>
      <c r="G640">
        <f>F640*1609.344</f>
        <v>965.60640000000001</v>
      </c>
      <c r="H640" s="32" t="s">
        <v>614</v>
      </c>
      <c r="I640">
        <v>6</v>
      </c>
      <c r="J640">
        <v>233.23648503643199</v>
      </c>
      <c r="K640" s="26">
        <v>2016</v>
      </c>
      <c r="L640" t="s">
        <v>40</v>
      </c>
      <c r="M640" s="32">
        <v>250</v>
      </c>
      <c r="N640">
        <v>30.131484459999999</v>
      </c>
      <c r="O640">
        <v>5</v>
      </c>
      <c r="P640" t="s">
        <v>17</v>
      </c>
      <c r="Q640">
        <v>100</v>
      </c>
      <c r="R640" t="s">
        <v>13</v>
      </c>
      <c r="S640" t="s">
        <v>14</v>
      </c>
      <c r="T640" t="s">
        <v>14</v>
      </c>
      <c r="U640" s="34">
        <v>0</v>
      </c>
      <c r="V640" s="34">
        <v>5</v>
      </c>
      <c r="W640" s="25">
        <v>2.5</v>
      </c>
      <c r="X640" s="25">
        <v>5</v>
      </c>
      <c r="Y640">
        <v>0.49520066000000001</v>
      </c>
      <c r="Z640" t="s">
        <v>1123</v>
      </c>
      <c r="AA640" t="s">
        <v>622</v>
      </c>
      <c r="AB640">
        <v>1</v>
      </c>
      <c r="AC640">
        <v>3720</v>
      </c>
      <c r="AF640" t="s">
        <v>521</v>
      </c>
      <c r="AG640" s="32">
        <v>150.24212609086601</v>
      </c>
      <c r="AH640" s="32" t="s">
        <v>2153</v>
      </c>
      <c r="AI640" s="32" t="s">
        <v>2154</v>
      </c>
      <c r="AJ640" s="31" t="s">
        <v>3188</v>
      </c>
      <c r="AK640" s="31">
        <v>0.44</v>
      </c>
      <c r="AL640" s="31">
        <v>66.106535479980977</v>
      </c>
      <c r="AM640" s="31">
        <v>84.13559061088489</v>
      </c>
      <c r="AN640" s="31">
        <v>1991.8880465194852</v>
      </c>
      <c r="AO640" s="31">
        <v>2535.1302410247999</v>
      </c>
      <c r="AP640" s="31">
        <v>0.98638427528255979</v>
      </c>
      <c r="AQ640" s="31">
        <v>1.2553981685414399</v>
      </c>
      <c r="AR640" s="31">
        <v>0.13261895760437328</v>
      </c>
    </row>
    <row r="641" spans="1:45" hidden="1" x14ac:dyDescent="0.5">
      <c r="A641" s="31">
        <v>1114</v>
      </c>
      <c r="B641" s="31">
        <v>74</v>
      </c>
      <c r="C641" s="225" t="s">
        <v>32</v>
      </c>
      <c r="D641" s="41">
        <v>31.96</v>
      </c>
      <c r="E641" s="43">
        <v>-116.78</v>
      </c>
      <c r="F641">
        <v>0.93</v>
      </c>
      <c r="G641">
        <f>F641*1609.344</f>
        <v>1496.68992</v>
      </c>
      <c r="H641" s="32" t="s">
        <v>614</v>
      </c>
      <c r="I641">
        <v>15</v>
      </c>
      <c r="J641">
        <v>260.37405265991498</v>
      </c>
      <c r="K641" s="26">
        <v>2016</v>
      </c>
      <c r="L641" t="s">
        <v>40</v>
      </c>
      <c r="M641" s="32">
        <v>250</v>
      </c>
      <c r="N641">
        <v>30.131484459999999</v>
      </c>
      <c r="O641">
        <v>5</v>
      </c>
      <c r="P641" t="s">
        <v>17</v>
      </c>
      <c r="Q641">
        <v>100</v>
      </c>
      <c r="R641" t="s">
        <v>13</v>
      </c>
      <c r="S641" t="s">
        <v>14</v>
      </c>
      <c r="T641" t="s">
        <v>14</v>
      </c>
      <c r="U641" s="34">
        <v>0</v>
      </c>
      <c r="V641" s="34">
        <v>5</v>
      </c>
      <c r="W641" s="25">
        <v>2.5</v>
      </c>
      <c r="X641" s="25">
        <v>5</v>
      </c>
      <c r="Y641">
        <v>0.49520066000000001</v>
      </c>
      <c r="Z641" t="s">
        <v>1123</v>
      </c>
      <c r="AA641" t="s">
        <v>622</v>
      </c>
      <c r="AB641">
        <v>1</v>
      </c>
      <c r="AC641">
        <v>7250</v>
      </c>
      <c r="AF641" t="s">
        <v>521</v>
      </c>
      <c r="AG641" s="32">
        <v>292.81059520397201</v>
      </c>
      <c r="AH641" s="32" t="s">
        <v>2155</v>
      </c>
      <c r="AI641" s="32" t="s">
        <v>2156</v>
      </c>
      <c r="AJ641" s="31" t="s">
        <v>3189</v>
      </c>
      <c r="AK641" s="31">
        <v>0.33</v>
      </c>
      <c r="AL641" s="31">
        <v>96.627496417310923</v>
      </c>
      <c r="AM641" s="31">
        <v>196.18309878666156</v>
      </c>
      <c r="AN641" s="31">
        <v>2911.5299067069095</v>
      </c>
      <c r="AO641" s="31">
        <v>5911.2879924049375</v>
      </c>
      <c r="AP641" s="31">
        <v>1.4417915314109999</v>
      </c>
      <c r="AQ641" s="31">
        <v>2.927273715289</v>
      </c>
      <c r="AR641" s="31">
        <v>0.13142849355358946</v>
      </c>
    </row>
    <row r="642" spans="1:45" hidden="1" x14ac:dyDescent="0.5">
      <c r="A642" s="31">
        <v>641</v>
      </c>
      <c r="B642" s="31">
        <v>48</v>
      </c>
      <c r="C642" s="225" t="s">
        <v>9</v>
      </c>
      <c r="D642" s="35">
        <v>18.287178000000001</v>
      </c>
      <c r="E642" s="33">
        <v>109.44286700000001</v>
      </c>
      <c r="F642">
        <v>0</v>
      </c>
      <c r="G642">
        <f>F642*1609.344</f>
        <v>0</v>
      </c>
      <c r="H642" s="32" t="s">
        <v>10</v>
      </c>
      <c r="I642">
        <v>0</v>
      </c>
      <c r="J642">
        <v>173.13137203087999</v>
      </c>
      <c r="K642" s="26">
        <v>2014</v>
      </c>
      <c r="L642" t="s">
        <v>11</v>
      </c>
      <c r="M642" s="32">
        <v>38</v>
      </c>
      <c r="N642">
        <v>4.1059253030000002</v>
      </c>
      <c r="O642">
        <v>5</v>
      </c>
      <c r="P642" t="s">
        <v>12</v>
      </c>
      <c r="Q642">
        <v>89</v>
      </c>
      <c r="R642" t="s">
        <v>13</v>
      </c>
      <c r="S642" t="s">
        <v>21</v>
      </c>
      <c r="T642" t="s">
        <v>16</v>
      </c>
      <c r="U642" s="34">
        <v>0</v>
      </c>
      <c r="V642" s="34">
        <v>1</v>
      </c>
      <c r="W642" s="25">
        <v>0.5</v>
      </c>
      <c r="X642" s="25">
        <v>1</v>
      </c>
      <c r="Y642">
        <v>1.3837435549999999</v>
      </c>
      <c r="Z642" t="s">
        <v>762</v>
      </c>
      <c r="AA642" t="s">
        <v>620</v>
      </c>
      <c r="AB642">
        <v>3</v>
      </c>
      <c r="AC642">
        <v>343.76600000000002</v>
      </c>
      <c r="AD642">
        <v>35.265000000000001</v>
      </c>
      <c r="AE642" t="s">
        <v>525</v>
      </c>
      <c r="AF642" t="s">
        <v>527</v>
      </c>
      <c r="AG642" s="32" t="s">
        <v>1686</v>
      </c>
      <c r="AH642" s="32" t="s">
        <v>671</v>
      </c>
      <c r="AI642" s="32" t="s">
        <v>1129</v>
      </c>
      <c r="AJ642" s="31" t="s">
        <v>1130</v>
      </c>
      <c r="AK642" s="31">
        <v>0.59524549999999998</v>
      </c>
      <c r="AL642" s="31">
        <v>4092.5032910599998</v>
      </c>
      <c r="AM642" s="31">
        <v>2782.8167089399999</v>
      </c>
      <c r="AN642" s="31">
        <v>18880.351477948348</v>
      </c>
      <c r="AO642" s="31">
        <v>12838.244425671834</v>
      </c>
      <c r="AP642" s="31">
        <v>26.12556467374575</v>
      </c>
      <c r="AQ642" s="31">
        <v>17.764837981538076</v>
      </c>
      <c r="AR642" s="31">
        <v>0.13341858489683281</v>
      </c>
    </row>
    <row r="643" spans="1:45" hidden="1" x14ac:dyDescent="0.5">
      <c r="A643" s="31">
        <v>642</v>
      </c>
      <c r="B643" s="31">
        <v>48</v>
      </c>
      <c r="C643" s="225" t="s">
        <v>9</v>
      </c>
      <c r="D643" s="35">
        <v>18.745161</v>
      </c>
      <c r="E643" s="33">
        <v>110.450672</v>
      </c>
      <c r="F643">
        <v>0</v>
      </c>
      <c r="G643">
        <f>F643*1609.344</f>
        <v>0</v>
      </c>
      <c r="H643" s="32" t="s">
        <v>10</v>
      </c>
      <c r="I643">
        <v>0</v>
      </c>
      <c r="J643">
        <v>217.82676526806699</v>
      </c>
      <c r="K643" s="26">
        <v>2014</v>
      </c>
      <c r="L643" t="s">
        <v>11</v>
      </c>
      <c r="M643" s="32">
        <v>38</v>
      </c>
      <c r="N643">
        <v>4.1059253030000002</v>
      </c>
      <c r="O643">
        <v>5</v>
      </c>
      <c r="P643" t="s">
        <v>12</v>
      </c>
      <c r="Q643">
        <v>89</v>
      </c>
      <c r="R643" t="s">
        <v>13</v>
      </c>
      <c r="S643" t="s">
        <v>21</v>
      </c>
      <c r="T643" t="s">
        <v>16</v>
      </c>
      <c r="U643" s="34">
        <v>0</v>
      </c>
      <c r="V643" s="34">
        <v>1</v>
      </c>
      <c r="W643" s="25">
        <v>0.5</v>
      </c>
      <c r="X643" s="25">
        <v>1</v>
      </c>
      <c r="Y643">
        <v>0.64629065600000002</v>
      </c>
      <c r="Z643" t="s">
        <v>735</v>
      </c>
      <c r="AA643" t="s">
        <v>620</v>
      </c>
      <c r="AB643">
        <v>3</v>
      </c>
      <c r="AC643">
        <v>434.49299999999999</v>
      </c>
      <c r="AD643">
        <v>36.540999999999997</v>
      </c>
      <c r="AE643" t="s">
        <v>525</v>
      </c>
      <c r="AF643" t="s">
        <v>527</v>
      </c>
      <c r="AG643" s="32" t="s">
        <v>1687</v>
      </c>
      <c r="AH643" s="32" t="s">
        <v>671</v>
      </c>
      <c r="AI643" s="32" t="s">
        <v>1129</v>
      </c>
      <c r="AJ643" s="31" t="s">
        <v>1130</v>
      </c>
      <c r="AK643" s="31">
        <v>0.59524549999999998</v>
      </c>
      <c r="AL643" s="31">
        <v>5172.6000606300004</v>
      </c>
      <c r="AM643" s="31">
        <v>3517.2599393700002</v>
      </c>
      <c r="AN643" s="31">
        <v>23863.269068809048</v>
      </c>
      <c r="AO643" s="31">
        <v>16226.524249761269</v>
      </c>
      <c r="AP643" s="31">
        <v>15.422607820785109</v>
      </c>
      <c r="AQ643" s="31">
        <v>10.487051001978118</v>
      </c>
      <c r="AR643" s="31">
        <v>0.13341858489683281</v>
      </c>
    </row>
    <row r="644" spans="1:45" hidden="1" x14ac:dyDescent="0.5">
      <c r="A644" s="31">
        <v>643</v>
      </c>
      <c r="B644" s="31">
        <v>48</v>
      </c>
      <c r="C644" s="225" t="s">
        <v>9</v>
      </c>
      <c r="D644" s="35">
        <v>20.034967000000002</v>
      </c>
      <c r="E644" s="33">
        <v>110.24057000000001</v>
      </c>
      <c r="F644">
        <v>0</v>
      </c>
      <c r="G644">
        <f>F644*1609.344</f>
        <v>0</v>
      </c>
      <c r="H644" s="32" t="s">
        <v>10</v>
      </c>
      <c r="I644">
        <v>0</v>
      </c>
      <c r="J644">
        <v>408.66271434377899</v>
      </c>
      <c r="K644" s="26">
        <v>2014</v>
      </c>
      <c r="L644" t="s">
        <v>11</v>
      </c>
      <c r="M644" s="32">
        <v>38</v>
      </c>
      <c r="N644">
        <v>4.1059253030000002</v>
      </c>
      <c r="O644">
        <v>5</v>
      </c>
      <c r="P644" t="s">
        <v>12</v>
      </c>
      <c r="Q644">
        <v>89</v>
      </c>
      <c r="R644" t="s">
        <v>13</v>
      </c>
      <c r="S644" t="s">
        <v>21</v>
      </c>
      <c r="T644" t="s">
        <v>16</v>
      </c>
      <c r="U644" s="34">
        <v>0</v>
      </c>
      <c r="V644" s="34">
        <v>1</v>
      </c>
      <c r="W644" s="25">
        <v>0.5</v>
      </c>
      <c r="X644" s="25">
        <v>1</v>
      </c>
      <c r="Y644">
        <v>0.64629065600000002</v>
      </c>
      <c r="Z644" t="s">
        <v>735</v>
      </c>
      <c r="AA644" t="s">
        <v>620</v>
      </c>
      <c r="AB644">
        <v>3</v>
      </c>
      <c r="AC644">
        <v>397.71300000000002</v>
      </c>
      <c r="AD644">
        <v>34.722000000000001</v>
      </c>
      <c r="AE644" t="s">
        <v>525</v>
      </c>
      <c r="AF644" t="s">
        <v>527</v>
      </c>
      <c r="AG644" s="32" t="s">
        <v>1688</v>
      </c>
      <c r="AH644" s="32" t="s">
        <v>671</v>
      </c>
      <c r="AI644" s="32" t="s">
        <v>1129</v>
      </c>
      <c r="AJ644" s="31" t="s">
        <v>1130</v>
      </c>
      <c r="AK644" s="31">
        <v>0.59524549999999998</v>
      </c>
      <c r="AL644" s="31">
        <v>4734.7374708300003</v>
      </c>
      <c r="AM644" s="31">
        <v>3219.5225291699999</v>
      </c>
      <c r="AN644" s="31">
        <v>21843.234139936092</v>
      </c>
      <c r="AO644" s="31">
        <v>14852.942714716472</v>
      </c>
      <c r="AP644" s="31">
        <v>14.117078121460894</v>
      </c>
      <c r="AQ644" s="31">
        <v>9.5993180906245303</v>
      </c>
      <c r="AR644" s="31">
        <v>0.13341858489683281</v>
      </c>
    </row>
    <row r="645" spans="1:45" hidden="1" x14ac:dyDescent="0.5">
      <c r="A645" s="31">
        <v>644</v>
      </c>
      <c r="B645" s="31">
        <v>48</v>
      </c>
      <c r="C645" s="225" t="s">
        <v>9</v>
      </c>
      <c r="D645" s="35">
        <v>21.408799999999999</v>
      </c>
      <c r="E645" s="33">
        <v>109.157</v>
      </c>
      <c r="F645">
        <v>0</v>
      </c>
      <c r="G645">
        <f>F645*1609.344</f>
        <v>0</v>
      </c>
      <c r="H645" s="32" t="s">
        <v>10</v>
      </c>
      <c r="I645">
        <v>0</v>
      </c>
      <c r="J645">
        <v>368.22624053398903</v>
      </c>
      <c r="K645" s="26">
        <v>2014</v>
      </c>
      <c r="L645" t="s">
        <v>11</v>
      </c>
      <c r="M645" s="32">
        <v>38</v>
      </c>
      <c r="N645">
        <v>4.1059253030000002</v>
      </c>
      <c r="O645">
        <v>5</v>
      </c>
      <c r="P645" t="s">
        <v>12</v>
      </c>
      <c r="Q645">
        <v>89</v>
      </c>
      <c r="R645" t="s">
        <v>13</v>
      </c>
      <c r="S645" t="s">
        <v>21</v>
      </c>
      <c r="T645" t="s">
        <v>16</v>
      </c>
      <c r="U645" s="34">
        <v>0</v>
      </c>
      <c r="V645" s="34">
        <v>1</v>
      </c>
      <c r="W645" s="25">
        <v>0.5</v>
      </c>
      <c r="X645" s="25">
        <v>1</v>
      </c>
      <c r="Y645">
        <v>0.64629065600000002</v>
      </c>
      <c r="Z645" t="s">
        <v>735</v>
      </c>
      <c r="AA645" t="s">
        <v>620</v>
      </c>
      <c r="AB645">
        <v>3</v>
      </c>
      <c r="AC645">
        <v>302.71800000000002</v>
      </c>
      <c r="AD645">
        <v>35.317999999999998</v>
      </c>
      <c r="AE645" t="s">
        <v>525</v>
      </c>
      <c r="AF645" t="s">
        <v>527</v>
      </c>
      <c r="AG645" s="32" t="s">
        <v>1689</v>
      </c>
      <c r="AH645" s="32" t="s">
        <v>671</v>
      </c>
      <c r="AI645" s="32" t="s">
        <v>1129</v>
      </c>
      <c r="AJ645" s="31" t="s">
        <v>1130</v>
      </c>
      <c r="AK645" s="31">
        <v>0.59524549999999998</v>
      </c>
      <c r="AL645" s="31">
        <v>3603.8305453799999</v>
      </c>
      <c r="AM645" s="31">
        <v>2450.5294546199998</v>
      </c>
      <c r="AN645" s="31">
        <v>16625.909015730376</v>
      </c>
      <c r="AO645" s="31">
        <v>11305.270666821403</v>
      </c>
      <c r="AP645" s="31">
        <v>10.745169644372698</v>
      </c>
      <c r="AQ645" s="31">
        <v>7.3064907955175622</v>
      </c>
      <c r="AR645" s="31">
        <v>0.13341858489683281</v>
      </c>
    </row>
    <row r="646" spans="1:45" hidden="1" x14ac:dyDescent="0.5">
      <c r="A646" s="31">
        <v>645</v>
      </c>
      <c r="B646" s="31">
        <v>48</v>
      </c>
      <c r="C646" s="225" t="s">
        <v>9</v>
      </c>
      <c r="D646" s="35">
        <v>21.521667000000001</v>
      </c>
      <c r="E646" s="33">
        <v>111.455556</v>
      </c>
      <c r="F646">
        <v>0</v>
      </c>
      <c r="G646">
        <f>F646*1609.344</f>
        <v>0</v>
      </c>
      <c r="H646" s="32" t="s">
        <v>10</v>
      </c>
      <c r="I646">
        <v>0</v>
      </c>
      <c r="J646">
        <v>527.47987522746496</v>
      </c>
      <c r="K646" s="26">
        <v>2014</v>
      </c>
      <c r="L646" t="s">
        <v>11</v>
      </c>
      <c r="M646" s="32">
        <v>38</v>
      </c>
      <c r="N646">
        <v>4.1059253030000002</v>
      </c>
      <c r="O646">
        <v>5</v>
      </c>
      <c r="P646" t="s">
        <v>12</v>
      </c>
      <c r="Q646">
        <v>89</v>
      </c>
      <c r="R646" t="s">
        <v>13</v>
      </c>
      <c r="S646" t="s">
        <v>21</v>
      </c>
      <c r="T646" t="s">
        <v>16</v>
      </c>
      <c r="U646" s="34">
        <v>0</v>
      </c>
      <c r="V646" s="34">
        <v>1</v>
      </c>
      <c r="W646" s="25">
        <v>0.5</v>
      </c>
      <c r="X646" s="25">
        <v>1</v>
      </c>
      <c r="Y646">
        <v>0.64629065600000002</v>
      </c>
      <c r="Z646" t="s">
        <v>735</v>
      </c>
      <c r="AA646" t="s">
        <v>620</v>
      </c>
      <c r="AB646">
        <v>3</v>
      </c>
      <c r="AC646">
        <v>249.9</v>
      </c>
      <c r="AD646">
        <v>34.604999999999997</v>
      </c>
      <c r="AE646" t="s">
        <v>525</v>
      </c>
      <c r="AF646" t="s">
        <v>527</v>
      </c>
      <c r="AG646" s="32">
        <v>4998</v>
      </c>
      <c r="AH646" s="32" t="s">
        <v>671</v>
      </c>
      <c r="AI646" s="32" t="s">
        <v>1129</v>
      </c>
      <c r="AJ646" s="31" t="s">
        <v>1130</v>
      </c>
      <c r="AK646" s="31">
        <v>0.59524549999999998</v>
      </c>
      <c r="AL646" s="31">
        <v>2975.0370090000001</v>
      </c>
      <c r="AM646" s="31">
        <v>2022.9629909999999</v>
      </c>
      <c r="AN646" s="31">
        <v>13725.033407432067</v>
      </c>
      <c r="AO646" s="31">
        <v>9332.7358784038897</v>
      </c>
      <c r="AP646" s="31">
        <v>8.8703608445111861</v>
      </c>
      <c r="AQ646" s="31">
        <v>6.0316599931283861</v>
      </c>
      <c r="AR646" s="31">
        <v>0.13341858489683281</v>
      </c>
    </row>
    <row r="647" spans="1:45" hidden="1" x14ac:dyDescent="0.5">
      <c r="A647" s="31">
        <v>1115</v>
      </c>
      <c r="B647" s="31">
        <v>74</v>
      </c>
      <c r="C647" s="225" t="s">
        <v>32</v>
      </c>
      <c r="D647" s="41">
        <v>31.82</v>
      </c>
      <c r="E647" s="43">
        <v>-116.65</v>
      </c>
      <c r="F647">
        <v>2.4</v>
      </c>
      <c r="G647">
        <f>F647*1609.344</f>
        <v>3862.4256</v>
      </c>
      <c r="H647" s="32" t="s">
        <v>614</v>
      </c>
      <c r="I647">
        <v>16</v>
      </c>
      <c r="J647">
        <v>178.54926333524</v>
      </c>
      <c r="K647" s="26">
        <v>2016</v>
      </c>
      <c r="L647" t="s">
        <v>40</v>
      </c>
      <c r="M647" s="32">
        <v>250</v>
      </c>
      <c r="N647">
        <v>30.131484459999999</v>
      </c>
      <c r="O647">
        <v>5</v>
      </c>
      <c r="P647" t="s">
        <v>17</v>
      </c>
      <c r="Q647">
        <v>100</v>
      </c>
      <c r="R647" t="s">
        <v>13</v>
      </c>
      <c r="S647" t="s">
        <v>14</v>
      </c>
      <c r="T647" t="s">
        <v>14</v>
      </c>
      <c r="U647" s="34">
        <v>0</v>
      </c>
      <c r="V647" s="34">
        <v>5</v>
      </c>
      <c r="W647" s="25">
        <v>2.5</v>
      </c>
      <c r="X647" s="25">
        <v>5</v>
      </c>
      <c r="Y647">
        <v>0.49520066000000001</v>
      </c>
      <c r="Z647" t="s">
        <v>1123</v>
      </c>
      <c r="AA647" t="s">
        <v>622</v>
      </c>
      <c r="AB647">
        <v>1</v>
      </c>
      <c r="AC647">
        <v>1000</v>
      </c>
      <c r="AF647" t="s">
        <v>521</v>
      </c>
      <c r="AG647" s="32">
        <v>40.3876683039962</v>
      </c>
      <c r="AH647" s="32" t="s">
        <v>2157</v>
      </c>
      <c r="AI647" s="32" t="s">
        <v>2158</v>
      </c>
      <c r="AJ647" s="31" t="s">
        <v>3190</v>
      </c>
      <c r="AK647" s="31">
        <v>0.09</v>
      </c>
      <c r="AL647" s="31">
        <v>3.6348901473596578</v>
      </c>
      <c r="AM647" s="31">
        <v>36.752778156636545</v>
      </c>
      <c r="AN647" s="31">
        <v>109.52463598897464</v>
      </c>
      <c r="AO647" s="31">
        <v>1107.4157638885215</v>
      </c>
      <c r="AP647" s="31">
        <v>5.4236672027999991E-2</v>
      </c>
      <c r="AQ647" s="31">
        <v>0.54839301717200006</v>
      </c>
      <c r="AR647" s="31">
        <v>0.13129688117966493</v>
      </c>
    </row>
    <row r="648" spans="1:45" hidden="1" x14ac:dyDescent="0.5">
      <c r="A648" s="31">
        <v>1116</v>
      </c>
      <c r="B648" s="31">
        <v>74</v>
      </c>
      <c r="C648" s="225" t="s">
        <v>32</v>
      </c>
      <c r="D648" s="41">
        <v>31.78</v>
      </c>
      <c r="E648" s="43">
        <v>-116.65</v>
      </c>
      <c r="F648">
        <v>1.53</v>
      </c>
      <c r="G648">
        <f>F648*1609.344</f>
        <v>2462.2963199999999</v>
      </c>
      <c r="H648" s="32" t="s">
        <v>614</v>
      </c>
      <c r="I648">
        <v>18</v>
      </c>
      <c r="J648">
        <v>167.22232180730299</v>
      </c>
      <c r="K648" s="26">
        <v>2016</v>
      </c>
      <c r="L648" t="s">
        <v>40</v>
      </c>
      <c r="M648" s="32">
        <v>250</v>
      </c>
      <c r="N648">
        <v>30.131484459999999</v>
      </c>
      <c r="O648">
        <v>5</v>
      </c>
      <c r="P648" t="s">
        <v>17</v>
      </c>
      <c r="Q648">
        <v>100</v>
      </c>
      <c r="R648" t="s">
        <v>13</v>
      </c>
      <c r="S648" t="s">
        <v>14</v>
      </c>
      <c r="T648" t="s">
        <v>14</v>
      </c>
      <c r="U648" s="34">
        <v>0</v>
      </c>
      <c r="V648" s="34">
        <v>5</v>
      </c>
      <c r="W648" s="25">
        <v>2.5</v>
      </c>
      <c r="X648" s="25">
        <v>5</v>
      </c>
      <c r="Y648">
        <v>0.49520066000000001</v>
      </c>
      <c r="Z648" t="s">
        <v>1123</v>
      </c>
      <c r="AA648" t="s">
        <v>622</v>
      </c>
      <c r="AB648">
        <v>1</v>
      </c>
      <c r="AC648">
        <v>1210</v>
      </c>
      <c r="AF648" t="s">
        <v>521</v>
      </c>
      <c r="AG648" s="32">
        <v>48.869078647835401</v>
      </c>
      <c r="AH648" s="32" t="s">
        <v>2159</v>
      </c>
      <c r="AI648" s="32" t="s">
        <v>2160</v>
      </c>
      <c r="AJ648" s="31" t="s">
        <v>3191</v>
      </c>
      <c r="AK648" s="31">
        <v>0.2</v>
      </c>
      <c r="AL648" s="31">
        <v>9.7738157295670813</v>
      </c>
      <c r="AM648" s="31">
        <v>39.095262918268318</v>
      </c>
      <c r="AN648" s="31">
        <v>294.49957677035405</v>
      </c>
      <c r="AO648" s="31">
        <v>1177.998307081416</v>
      </c>
      <c r="AP648" s="31">
        <v>0.14583638478639999</v>
      </c>
      <c r="AQ648" s="31">
        <v>0.58334553914559983</v>
      </c>
      <c r="AR648" s="31">
        <v>0.13103405168936957</v>
      </c>
    </row>
    <row r="649" spans="1:45" customFormat="1" hidden="1" x14ac:dyDescent="0.5">
      <c r="A649">
        <v>1528</v>
      </c>
      <c r="B649" s="1">
        <v>114</v>
      </c>
      <c r="C649" s="226" t="s">
        <v>20</v>
      </c>
      <c r="D649" s="154">
        <v>51.529404999999997</v>
      </c>
      <c r="E649" s="241">
        <v>0.71365400000000001</v>
      </c>
      <c r="G649">
        <f>F649*1609.344</f>
        <v>0</v>
      </c>
      <c r="H649" s="30" t="s">
        <v>614</v>
      </c>
      <c r="I649" s="7">
        <v>0</v>
      </c>
      <c r="J649">
        <v>806.08996593098504</v>
      </c>
      <c r="K649" s="28">
        <v>2018</v>
      </c>
      <c r="L649" t="s">
        <v>30</v>
      </c>
      <c r="M649" s="30">
        <v>25</v>
      </c>
      <c r="N649">
        <v>2.6364560099999998</v>
      </c>
      <c r="O649">
        <v>5</v>
      </c>
      <c r="P649" t="s">
        <v>23</v>
      </c>
      <c r="Q649">
        <v>95.5</v>
      </c>
      <c r="R649" t="s">
        <v>13</v>
      </c>
      <c r="S649" t="s">
        <v>16</v>
      </c>
      <c r="T649" t="s">
        <v>14</v>
      </c>
      <c r="U649" s="29">
        <v>0</v>
      </c>
      <c r="V649" s="29">
        <v>5</v>
      </c>
      <c r="W649" s="25">
        <v>2.5</v>
      </c>
      <c r="X649" s="25">
        <v>5</v>
      </c>
      <c r="Y649" s="244">
        <v>0.93194745000000001</v>
      </c>
      <c r="Z649" t="s">
        <v>1114</v>
      </c>
      <c r="AA649" t="s">
        <v>622</v>
      </c>
      <c r="AB649">
        <v>1</v>
      </c>
      <c r="AC649">
        <v>113</v>
      </c>
      <c r="AF649" t="s">
        <v>532</v>
      </c>
      <c r="AG649" s="30">
        <v>113</v>
      </c>
      <c r="AH649" s="30" t="s">
        <v>2630</v>
      </c>
      <c r="AI649" s="30" t="s">
        <v>2634</v>
      </c>
      <c r="AJ649" t="s">
        <v>3405</v>
      </c>
      <c r="AK649">
        <v>0.91800000000000004</v>
      </c>
      <c r="AL649">
        <v>103.73400000000001</v>
      </c>
      <c r="AM649">
        <v>9.2659999999999911</v>
      </c>
      <c r="AN649">
        <v>286.37709711135079</v>
      </c>
      <c r="AO649">
        <v>25.580525014303639</v>
      </c>
      <c r="AP649">
        <v>0.26688840539132574</v>
      </c>
      <c r="AQ649">
        <v>2.3839705056741489E-2</v>
      </c>
      <c r="AR649">
        <v>0.13341858489683281</v>
      </c>
    </row>
    <row r="650" spans="1:45" customFormat="1" hidden="1" x14ac:dyDescent="0.5">
      <c r="A650">
        <v>1533</v>
      </c>
      <c r="B650" s="1">
        <v>114</v>
      </c>
      <c r="C650" s="226" t="s">
        <v>20</v>
      </c>
      <c r="D650" s="154">
        <v>51.529404999999997</v>
      </c>
      <c r="E650" s="241">
        <v>0.71365400000000001</v>
      </c>
      <c r="G650">
        <f>F650*1609.344</f>
        <v>0</v>
      </c>
      <c r="H650" s="30" t="s">
        <v>57</v>
      </c>
      <c r="I650" s="7">
        <v>0</v>
      </c>
      <c r="J650">
        <v>806.08996593098504</v>
      </c>
      <c r="K650" s="28">
        <v>2018</v>
      </c>
      <c r="L650" t="s">
        <v>30</v>
      </c>
      <c r="M650" s="30">
        <v>25</v>
      </c>
      <c r="N650">
        <v>2.6364560099999998</v>
      </c>
      <c r="O650">
        <v>5</v>
      </c>
      <c r="P650" t="s">
        <v>23</v>
      </c>
      <c r="Q650">
        <v>95.5</v>
      </c>
      <c r="R650" t="s">
        <v>13</v>
      </c>
      <c r="S650" t="s">
        <v>16</v>
      </c>
      <c r="T650" t="s">
        <v>14</v>
      </c>
      <c r="U650" s="29">
        <v>0</v>
      </c>
      <c r="V650" s="29">
        <v>5</v>
      </c>
      <c r="W650" s="25">
        <v>2.5</v>
      </c>
      <c r="X650" s="25">
        <v>5</v>
      </c>
      <c r="Y650" s="244">
        <v>1.6364102199999999</v>
      </c>
      <c r="Z650" t="s">
        <v>801</v>
      </c>
      <c r="AA650" t="s">
        <v>654</v>
      </c>
      <c r="AB650">
        <v>1</v>
      </c>
      <c r="AC650">
        <v>151</v>
      </c>
      <c r="AF650" t="s">
        <v>532</v>
      </c>
      <c r="AG650" s="30">
        <v>151</v>
      </c>
      <c r="AH650" s="30" t="s">
        <v>2630</v>
      </c>
      <c r="AI650" s="30" t="s">
        <v>2639</v>
      </c>
      <c r="AJ650" t="s">
        <v>3410</v>
      </c>
      <c r="AK650">
        <v>0.91800000000000004</v>
      </c>
      <c r="AL650">
        <v>138.61799999999999</v>
      </c>
      <c r="AM650">
        <v>12.382000000000005</v>
      </c>
      <c r="AN650">
        <v>382.6808996797696</v>
      </c>
      <c r="AO650">
        <v>34.182825461591634</v>
      </c>
      <c r="AP650">
        <v>0.62622293523476968</v>
      </c>
      <c r="AQ650">
        <v>5.5937124933824765E-2</v>
      </c>
      <c r="AR650">
        <v>0.20269999999999999</v>
      </c>
    </row>
    <row r="651" spans="1:45" customFormat="1" hidden="1" x14ac:dyDescent="0.5">
      <c r="A651">
        <v>1258</v>
      </c>
      <c r="B651">
        <v>87</v>
      </c>
      <c r="C651" s="226" t="s">
        <v>20</v>
      </c>
      <c r="D651" s="30">
        <v>51.527169999999998</v>
      </c>
      <c r="E651" s="238">
        <v>3.15</v>
      </c>
      <c r="F651">
        <v>5.22</v>
      </c>
      <c r="G651">
        <f>F651*1609.344</f>
        <v>8400.7756800000006</v>
      </c>
      <c r="H651" s="30" t="s">
        <v>614</v>
      </c>
      <c r="I651">
        <v>19</v>
      </c>
      <c r="J651">
        <v>433.61516669065901</v>
      </c>
      <c r="K651" s="26">
        <v>2014</v>
      </c>
      <c r="L651" t="s">
        <v>40</v>
      </c>
      <c r="M651" s="30">
        <v>11</v>
      </c>
      <c r="N651">
        <v>1.1060976250000001</v>
      </c>
      <c r="O651">
        <v>5</v>
      </c>
      <c r="P651" t="s">
        <v>23</v>
      </c>
      <c r="Q651">
        <v>95.5</v>
      </c>
      <c r="R651" t="s">
        <v>13</v>
      </c>
      <c r="S651" t="s">
        <v>14</v>
      </c>
      <c r="T651" t="s">
        <v>14</v>
      </c>
      <c r="U651" s="29">
        <v>0</v>
      </c>
      <c r="V651" s="29">
        <v>5</v>
      </c>
      <c r="W651" s="25">
        <v>2.5</v>
      </c>
      <c r="X651" s="25">
        <v>5</v>
      </c>
      <c r="Y651" s="244">
        <v>1.788789671</v>
      </c>
      <c r="Z651" t="s">
        <v>1104</v>
      </c>
      <c r="AA651" t="s">
        <v>622</v>
      </c>
      <c r="AB651">
        <v>1</v>
      </c>
      <c r="AC651">
        <v>77.06</v>
      </c>
      <c r="AF651" t="s">
        <v>532</v>
      </c>
      <c r="AG651" s="30" t="s">
        <v>2395</v>
      </c>
      <c r="AH651" s="30" t="s">
        <v>671</v>
      </c>
      <c r="AI651" s="30" t="s">
        <v>1129</v>
      </c>
      <c r="AJ651" t="s">
        <v>1130</v>
      </c>
      <c r="AK651">
        <v>0.59524549999999998</v>
      </c>
      <c r="AL651">
        <v>45.893428049999997</v>
      </c>
      <c r="AM651">
        <v>31.206571949999997</v>
      </c>
      <c r="AN651">
        <v>53.154567297605638</v>
      </c>
      <c r="AO651">
        <v>36.143994888258241</v>
      </c>
      <c r="AP651">
        <v>9.5082340948431349E-2</v>
      </c>
      <c r="AQ651">
        <v>6.4654004724793143E-2</v>
      </c>
      <c r="AR651">
        <v>0.13090283430916907</v>
      </c>
    </row>
    <row r="652" spans="1:45" customFormat="1" hidden="1" x14ac:dyDescent="0.5">
      <c r="A652">
        <v>1267</v>
      </c>
      <c r="B652">
        <v>87</v>
      </c>
      <c r="C652" s="226" t="s">
        <v>20</v>
      </c>
      <c r="D652" s="30">
        <v>51.52167</v>
      </c>
      <c r="E652" s="238">
        <v>2.4323299999999999</v>
      </c>
      <c r="F652">
        <v>17.399999999999999</v>
      </c>
      <c r="G652">
        <f>F652*1609.344</f>
        <v>28002.585599999999</v>
      </c>
      <c r="H652" s="30" t="s">
        <v>614</v>
      </c>
      <c r="I652">
        <v>36</v>
      </c>
      <c r="J652">
        <v>285.92710649677002</v>
      </c>
      <c r="K652" s="26">
        <v>2014</v>
      </c>
      <c r="L652" t="s">
        <v>40</v>
      </c>
      <c r="M652" s="30">
        <v>11</v>
      </c>
      <c r="N652">
        <v>1.1060976250000001</v>
      </c>
      <c r="O652">
        <v>5</v>
      </c>
      <c r="P652" t="s">
        <v>23</v>
      </c>
      <c r="Q652">
        <v>95.5</v>
      </c>
      <c r="R652" t="s">
        <v>13</v>
      </c>
      <c r="S652" t="s">
        <v>14</v>
      </c>
      <c r="T652" t="s">
        <v>14</v>
      </c>
      <c r="U652" s="29">
        <v>0</v>
      </c>
      <c r="V652" s="29">
        <v>5</v>
      </c>
      <c r="W652" s="25">
        <v>2.5</v>
      </c>
      <c r="X652" s="25">
        <v>5</v>
      </c>
      <c r="Y652" s="244">
        <v>1.788789671</v>
      </c>
      <c r="Z652" t="s">
        <v>1104</v>
      </c>
      <c r="AA652" t="s">
        <v>622</v>
      </c>
      <c r="AB652">
        <v>1</v>
      </c>
      <c r="AC652">
        <v>106.47</v>
      </c>
      <c r="AF652" t="s">
        <v>532</v>
      </c>
      <c r="AG652" s="30" t="s">
        <v>2403</v>
      </c>
      <c r="AH652" s="30" t="s">
        <v>671</v>
      </c>
      <c r="AI652" s="30" t="s">
        <v>1129</v>
      </c>
      <c r="AJ652" t="s">
        <v>1130</v>
      </c>
      <c r="AK652">
        <v>0.59524549999999998</v>
      </c>
      <c r="AL652">
        <v>63.393645749999997</v>
      </c>
      <c r="AM652">
        <v>43.106354250000003</v>
      </c>
      <c r="AN652">
        <v>73.4236240881323</v>
      </c>
      <c r="AO652">
        <v>49.926529904014302</v>
      </c>
      <c r="AP652">
        <v>0.13133942037623786</v>
      </c>
      <c r="AQ652">
        <v>8.9308061001173403E-2</v>
      </c>
      <c r="AR652">
        <v>0.12869213622231998</v>
      </c>
    </row>
    <row r="653" spans="1:45" hidden="1" x14ac:dyDescent="0.5">
      <c r="A653" s="31">
        <v>652</v>
      </c>
      <c r="B653" s="31">
        <v>51</v>
      </c>
      <c r="C653" s="225" t="s">
        <v>9</v>
      </c>
      <c r="D653" s="44">
        <v>37.457147999999997</v>
      </c>
      <c r="E653" s="45">
        <v>121.775639</v>
      </c>
      <c r="F653">
        <v>0</v>
      </c>
      <c r="G653">
        <f>F653*1609.344</f>
        <v>0</v>
      </c>
      <c r="H653" s="32" t="s">
        <v>614</v>
      </c>
      <c r="I653">
        <v>5</v>
      </c>
      <c r="J653">
        <v>590.94168825154304</v>
      </c>
      <c r="K653" s="26">
        <v>2017</v>
      </c>
      <c r="L653" t="s">
        <v>30</v>
      </c>
      <c r="M653" s="32">
        <v>35</v>
      </c>
      <c r="N653">
        <v>3.7637779180000002</v>
      </c>
      <c r="O653">
        <v>5</v>
      </c>
      <c r="P653" t="s">
        <v>12</v>
      </c>
      <c r="Q653">
        <v>89</v>
      </c>
      <c r="R653" t="s">
        <v>13</v>
      </c>
      <c r="S653" t="s">
        <v>14</v>
      </c>
      <c r="T653" t="s">
        <v>14</v>
      </c>
      <c r="U653" s="34">
        <v>0</v>
      </c>
      <c r="V653" s="34">
        <v>5</v>
      </c>
      <c r="W653" s="25">
        <v>2.5</v>
      </c>
      <c r="X653" s="25">
        <v>5</v>
      </c>
      <c r="Y653">
        <v>0.61037440899999995</v>
      </c>
      <c r="Z653" t="s">
        <v>812</v>
      </c>
      <c r="AA653" t="s">
        <v>619</v>
      </c>
      <c r="AB653">
        <v>3</v>
      </c>
      <c r="AC653">
        <v>659.95799999999997</v>
      </c>
      <c r="AD653">
        <v>149.77600000000001</v>
      </c>
      <c r="AE653" t="s">
        <v>519</v>
      </c>
      <c r="AF653" t="s">
        <v>532</v>
      </c>
      <c r="AG653" s="32" t="s">
        <v>1692</v>
      </c>
      <c r="AH653" s="32" t="s">
        <v>1693</v>
      </c>
      <c r="AI653" s="32">
        <v>580.01728746000003</v>
      </c>
      <c r="AJ653" s="31" t="s">
        <v>2991</v>
      </c>
      <c r="AK653" s="31">
        <v>0.87887000000000004</v>
      </c>
      <c r="AL653" s="31">
        <v>580.01728746000003</v>
      </c>
      <c r="AM653" s="31">
        <v>79.940712539999936</v>
      </c>
      <c r="AN653" s="31">
        <v>2452.8722006743897</v>
      </c>
      <c r="AO653" s="31">
        <v>338.06639169352525</v>
      </c>
      <c r="AP653" s="31">
        <v>1.49717041983916</v>
      </c>
      <c r="AQ653" s="31">
        <v>0.20634707403269797</v>
      </c>
      <c r="AR653" s="31">
        <v>0.13275189523153463</v>
      </c>
      <c r="AS653" s="31">
        <f>AI653*0.55</f>
        <v>319.00950810300003</v>
      </c>
    </row>
    <row r="654" spans="1:45" hidden="1" x14ac:dyDescent="0.5">
      <c r="A654" s="31">
        <v>653</v>
      </c>
      <c r="B654" s="31">
        <v>51</v>
      </c>
      <c r="C654" s="225" t="s">
        <v>9</v>
      </c>
      <c r="D654" s="44">
        <v>37.461025999999997</v>
      </c>
      <c r="E654" s="45">
        <v>121.687877</v>
      </c>
      <c r="F654">
        <v>0</v>
      </c>
      <c r="G654">
        <f>F654*1609.344</f>
        <v>0</v>
      </c>
      <c r="H654" s="32" t="s">
        <v>614</v>
      </c>
      <c r="I654">
        <v>5</v>
      </c>
      <c r="J654">
        <v>574.65022850778496</v>
      </c>
      <c r="K654" s="26">
        <v>2017</v>
      </c>
      <c r="L654" t="s">
        <v>30</v>
      </c>
      <c r="M654" s="32">
        <v>35</v>
      </c>
      <c r="N654">
        <v>3.7637779180000002</v>
      </c>
      <c r="O654">
        <v>5</v>
      </c>
      <c r="P654" t="s">
        <v>12</v>
      </c>
      <c r="Q654">
        <v>89</v>
      </c>
      <c r="R654" t="s">
        <v>13</v>
      </c>
      <c r="S654" t="s">
        <v>14</v>
      </c>
      <c r="T654" t="s">
        <v>14</v>
      </c>
      <c r="U654" s="34">
        <v>0</v>
      </c>
      <c r="V654" s="34">
        <v>5</v>
      </c>
      <c r="W654" s="25">
        <v>2.5</v>
      </c>
      <c r="X654" s="25">
        <v>5</v>
      </c>
      <c r="Y654">
        <v>0.61037440899999995</v>
      </c>
      <c r="Z654" t="s">
        <v>812</v>
      </c>
      <c r="AA654" t="s">
        <v>619</v>
      </c>
      <c r="AB654">
        <v>3</v>
      </c>
      <c r="AC654">
        <v>1163.471</v>
      </c>
      <c r="AD654">
        <v>321.77</v>
      </c>
      <c r="AE654" t="s">
        <v>519</v>
      </c>
      <c r="AF654" t="s">
        <v>532</v>
      </c>
      <c r="AG654" s="32" t="s">
        <v>1694</v>
      </c>
      <c r="AH654" s="32" t="s">
        <v>1695</v>
      </c>
      <c r="AI654" s="32">
        <v>1065.0995269499999</v>
      </c>
      <c r="AJ654" s="31" t="s">
        <v>2992</v>
      </c>
      <c r="AK654" s="31">
        <v>0.91544999999999999</v>
      </c>
      <c r="AL654" s="31">
        <v>1065.0995269499999</v>
      </c>
      <c r="AM654" s="31">
        <v>98.371473050000077</v>
      </c>
      <c r="AN654" s="31">
        <v>4504.2675056254557</v>
      </c>
      <c r="AO654" s="31">
        <v>416.0094135131713</v>
      </c>
      <c r="AP654" s="31">
        <v>2.7492896167240417</v>
      </c>
      <c r="AQ654" s="31">
        <v>0.25392149991153851</v>
      </c>
      <c r="AR654" s="31">
        <v>0.13275189523153463</v>
      </c>
      <c r="AS654" s="31">
        <f t="shared" ref="AS654:AS680" si="5">AI654*0.55</f>
        <v>585.80473982249998</v>
      </c>
    </row>
    <row r="655" spans="1:45" hidden="1" x14ac:dyDescent="0.5">
      <c r="A655" s="31">
        <v>654</v>
      </c>
      <c r="B655" s="31">
        <v>51</v>
      </c>
      <c r="C655" s="225" t="s">
        <v>9</v>
      </c>
      <c r="D655" s="44">
        <v>37.445559000000003</v>
      </c>
      <c r="E655" s="45">
        <v>121.58030599999999</v>
      </c>
      <c r="F655">
        <v>0</v>
      </c>
      <c r="G655">
        <f>F655*1609.344</f>
        <v>0</v>
      </c>
      <c r="H655" s="32" t="s">
        <v>614</v>
      </c>
      <c r="I655">
        <v>6</v>
      </c>
      <c r="J655">
        <v>572.58050603192805</v>
      </c>
      <c r="K655" s="26">
        <v>2017</v>
      </c>
      <c r="L655" t="s">
        <v>30</v>
      </c>
      <c r="M655" s="32">
        <v>35</v>
      </c>
      <c r="N655">
        <v>3.7637779180000002</v>
      </c>
      <c r="O655">
        <v>5</v>
      </c>
      <c r="P655" t="s">
        <v>12</v>
      </c>
      <c r="Q655">
        <v>89</v>
      </c>
      <c r="R655" t="s">
        <v>13</v>
      </c>
      <c r="S655" t="s">
        <v>14</v>
      </c>
      <c r="T655" t="s">
        <v>14</v>
      </c>
      <c r="U655" s="34">
        <v>0</v>
      </c>
      <c r="V655" s="34">
        <v>5</v>
      </c>
      <c r="W655" s="25">
        <v>2.5</v>
      </c>
      <c r="X655" s="25">
        <v>5</v>
      </c>
      <c r="Y655">
        <v>0.61037440899999995</v>
      </c>
      <c r="Z655" t="s">
        <v>812</v>
      </c>
      <c r="AA655" t="s">
        <v>619</v>
      </c>
      <c r="AB655">
        <v>3</v>
      </c>
      <c r="AC655">
        <v>991.78599999999994</v>
      </c>
      <c r="AD655">
        <v>226.51300000000001</v>
      </c>
      <c r="AE655" t="s">
        <v>519</v>
      </c>
      <c r="AF655" t="s">
        <v>532</v>
      </c>
      <c r="AG655" s="32" t="s">
        <v>1696</v>
      </c>
      <c r="AH655" s="32" t="s">
        <v>1697</v>
      </c>
      <c r="AI655" s="32">
        <v>918.04671089999999</v>
      </c>
      <c r="AJ655" s="31" t="s">
        <v>2993</v>
      </c>
      <c r="AK655" s="31">
        <v>0.92564999999999997</v>
      </c>
      <c r="AL655" s="31">
        <v>918.04671089999988</v>
      </c>
      <c r="AM655" s="31">
        <v>73.739289100000065</v>
      </c>
      <c r="AN655" s="31">
        <v>3882.3864473909543</v>
      </c>
      <c r="AO655" s="31">
        <v>311.84079550966106</v>
      </c>
      <c r="AP655" s="31">
        <v>2.3697093333358632</v>
      </c>
      <c r="AQ655" s="31">
        <v>0.19033964126129921</v>
      </c>
      <c r="AR655" s="31">
        <v>0.13261895760437328</v>
      </c>
      <c r="AS655" s="31">
        <f t="shared" si="5"/>
        <v>504.92569099500002</v>
      </c>
    </row>
    <row r="656" spans="1:45" hidden="1" x14ac:dyDescent="0.5">
      <c r="A656" s="31">
        <v>655</v>
      </c>
      <c r="B656" s="31">
        <v>51</v>
      </c>
      <c r="C656" s="225" t="s">
        <v>9</v>
      </c>
      <c r="D656" s="44">
        <v>36.451923200000003</v>
      </c>
      <c r="E656" s="45">
        <v>121.58028</v>
      </c>
      <c r="F656">
        <v>0</v>
      </c>
      <c r="G656">
        <f>F656*1609.344</f>
        <v>0</v>
      </c>
      <c r="H656" s="32" t="s">
        <v>614</v>
      </c>
      <c r="I656">
        <v>8</v>
      </c>
      <c r="J656">
        <v>412.88964951424799</v>
      </c>
      <c r="K656" s="26">
        <v>2017</v>
      </c>
      <c r="L656" t="s">
        <v>30</v>
      </c>
      <c r="M656" s="32">
        <v>35</v>
      </c>
      <c r="N656">
        <v>3.7637779180000002</v>
      </c>
      <c r="O656">
        <v>5</v>
      </c>
      <c r="P656" t="s">
        <v>12</v>
      </c>
      <c r="Q656">
        <v>89</v>
      </c>
      <c r="R656" t="s">
        <v>13</v>
      </c>
      <c r="S656" t="s">
        <v>14</v>
      </c>
      <c r="T656" t="s">
        <v>14</v>
      </c>
      <c r="U656" s="34">
        <v>0</v>
      </c>
      <c r="V656" s="34">
        <v>5</v>
      </c>
      <c r="W656" s="25">
        <v>2.5</v>
      </c>
      <c r="X656" s="25">
        <v>5</v>
      </c>
      <c r="Y656">
        <v>0.61037440899999995</v>
      </c>
      <c r="Z656" t="s">
        <v>812</v>
      </c>
      <c r="AA656" t="s">
        <v>619</v>
      </c>
      <c r="AB656">
        <v>3</v>
      </c>
      <c r="AC656">
        <v>366.20400000000001</v>
      </c>
      <c r="AD656">
        <v>104.026</v>
      </c>
      <c r="AE656" t="s">
        <v>519</v>
      </c>
      <c r="AF656" t="s">
        <v>532</v>
      </c>
      <c r="AG656" s="32" t="s">
        <v>1698</v>
      </c>
      <c r="AH656" s="32" t="s">
        <v>1699</v>
      </c>
      <c r="AI656" s="32">
        <v>272.86958651999998</v>
      </c>
      <c r="AJ656" s="31" t="s">
        <v>2994</v>
      </c>
      <c r="AK656" s="31">
        <v>0.74512999999999996</v>
      </c>
      <c r="AL656" s="31">
        <v>272.86958651999998</v>
      </c>
      <c r="AM656" s="31">
        <v>93.334413480000023</v>
      </c>
      <c r="AN656" s="31">
        <v>1153.9556452109737</v>
      </c>
      <c r="AO656" s="31">
        <v>394.70787016348947</v>
      </c>
      <c r="AP656" s="31">
        <v>0.70434499495786163</v>
      </c>
      <c r="AQ656" s="31">
        <v>0.2409195829786886</v>
      </c>
      <c r="AR656" s="31">
        <v>0.13235348158759747</v>
      </c>
      <c r="AS656" s="31">
        <f t="shared" si="5"/>
        <v>150.078272586</v>
      </c>
    </row>
    <row r="657" spans="1:45" hidden="1" x14ac:dyDescent="0.5">
      <c r="A657" s="31">
        <v>656</v>
      </c>
      <c r="B657" s="31">
        <v>51</v>
      </c>
      <c r="C657" s="225" t="s">
        <v>9</v>
      </c>
      <c r="D657" s="35">
        <v>37.575792999999997</v>
      </c>
      <c r="E657" s="33">
        <v>121.430736</v>
      </c>
      <c r="F657">
        <v>1.35</v>
      </c>
      <c r="G657">
        <f>F657*1609.344</f>
        <v>2172.6144000000004</v>
      </c>
      <c r="H657" s="32" t="s">
        <v>614</v>
      </c>
      <c r="I657">
        <v>8</v>
      </c>
      <c r="J657">
        <v>576.79632160934398</v>
      </c>
      <c r="K657" s="26">
        <v>2017</v>
      </c>
      <c r="L657" t="s">
        <v>30</v>
      </c>
      <c r="M657" s="32">
        <v>35</v>
      </c>
      <c r="N657">
        <v>3.7637779180000002</v>
      </c>
      <c r="O657">
        <v>5</v>
      </c>
      <c r="P657" t="s">
        <v>12</v>
      </c>
      <c r="Q657">
        <v>89</v>
      </c>
      <c r="R657" t="s">
        <v>13</v>
      </c>
      <c r="S657" t="s">
        <v>14</v>
      </c>
      <c r="T657" t="s">
        <v>14</v>
      </c>
      <c r="U657" s="34">
        <v>0</v>
      </c>
      <c r="V657" s="34">
        <v>5</v>
      </c>
      <c r="W657" s="25">
        <v>2.5</v>
      </c>
      <c r="X657" s="25">
        <v>5</v>
      </c>
      <c r="Y657">
        <v>0.61037440899999995</v>
      </c>
      <c r="Z657" t="s">
        <v>812</v>
      </c>
      <c r="AA657" t="s">
        <v>619</v>
      </c>
      <c r="AB657">
        <v>3</v>
      </c>
      <c r="AC657">
        <v>390.52300000000002</v>
      </c>
      <c r="AD657">
        <v>130.92099999999999</v>
      </c>
      <c r="AE657" t="s">
        <v>519</v>
      </c>
      <c r="AF657" t="s">
        <v>532</v>
      </c>
      <c r="AG657" s="32" t="s">
        <v>1700</v>
      </c>
      <c r="AH657" s="32" t="s">
        <v>1701</v>
      </c>
      <c r="AI657" s="32">
        <v>363.68235421000003</v>
      </c>
      <c r="AJ657" s="31" t="s">
        <v>2995</v>
      </c>
      <c r="AK657" s="31">
        <v>0.93127000000000004</v>
      </c>
      <c r="AL657" s="31">
        <v>363.68235421000003</v>
      </c>
      <c r="AM657" s="31">
        <v>26.840645789999996</v>
      </c>
      <c r="AN657" s="31">
        <v>1537.9995662268007</v>
      </c>
      <c r="AO657" s="31">
        <v>113.50812351602433</v>
      </c>
      <c r="AP657" s="31">
        <v>0.93875557627793971</v>
      </c>
      <c r="AQ657" s="31">
        <v>6.9282453807792341E-2</v>
      </c>
      <c r="AR657" s="31">
        <v>0.13235348158759747</v>
      </c>
      <c r="AS657" s="31">
        <f t="shared" si="5"/>
        <v>200.02529481550002</v>
      </c>
    </row>
    <row r="658" spans="1:45" hidden="1" x14ac:dyDescent="0.5">
      <c r="A658" s="31">
        <v>657</v>
      </c>
      <c r="B658" s="31">
        <v>51</v>
      </c>
      <c r="C658" s="225" t="s">
        <v>9</v>
      </c>
      <c r="D658" s="44">
        <v>37.464278999999998</v>
      </c>
      <c r="E658" s="45">
        <v>121.862875</v>
      </c>
      <c r="F658">
        <v>0</v>
      </c>
      <c r="G658">
        <f>F658*1609.344</f>
        <v>0</v>
      </c>
      <c r="H658" s="32" t="s">
        <v>614</v>
      </c>
      <c r="I658">
        <v>12</v>
      </c>
      <c r="J658">
        <v>608.31937804941003</v>
      </c>
      <c r="K658" s="26">
        <v>2017</v>
      </c>
      <c r="L658" t="s">
        <v>30</v>
      </c>
      <c r="M658" s="32">
        <v>35</v>
      </c>
      <c r="N658">
        <v>3.7637779180000002</v>
      </c>
      <c r="O658">
        <v>5</v>
      </c>
      <c r="P658" t="s">
        <v>12</v>
      </c>
      <c r="Q658">
        <v>89</v>
      </c>
      <c r="R658" t="s">
        <v>13</v>
      </c>
      <c r="S658" t="s">
        <v>14</v>
      </c>
      <c r="T658" t="s">
        <v>14</v>
      </c>
      <c r="U658" s="34">
        <v>0</v>
      </c>
      <c r="V658" s="34">
        <v>5</v>
      </c>
      <c r="W658" s="25">
        <v>2.5</v>
      </c>
      <c r="X658" s="25">
        <v>5</v>
      </c>
      <c r="Y658">
        <v>0.61037440899999995</v>
      </c>
      <c r="Z658" t="s">
        <v>812</v>
      </c>
      <c r="AA658" t="s">
        <v>619</v>
      </c>
      <c r="AB658">
        <v>3</v>
      </c>
      <c r="AC658">
        <v>752.07600000000002</v>
      </c>
      <c r="AD658">
        <v>119.351</v>
      </c>
      <c r="AE658" t="s">
        <v>519</v>
      </c>
      <c r="AF658" t="s">
        <v>532</v>
      </c>
      <c r="AG658" s="32" t="s">
        <v>1702</v>
      </c>
      <c r="AH658" s="32" t="s">
        <v>1703</v>
      </c>
      <c r="AI658" s="32">
        <v>724.04612748</v>
      </c>
      <c r="AJ658" s="31" t="s">
        <v>2996</v>
      </c>
      <c r="AK658" s="31">
        <v>0.96272999999999997</v>
      </c>
      <c r="AL658" s="31">
        <v>724.04612748</v>
      </c>
      <c r="AM658" s="31">
        <v>28.029872520000026</v>
      </c>
      <c r="AN658" s="31">
        <v>3061.964973283862</v>
      </c>
      <c r="AO658" s="31">
        <v>118.53732048891136</v>
      </c>
      <c r="AP658" s="31">
        <v>1.8689450609468379</v>
      </c>
      <c r="AQ658" s="31">
        <v>7.2352146937862849E-2</v>
      </c>
      <c r="AR658" s="31">
        <v>0.1318241227762269</v>
      </c>
      <c r="AS658" s="31">
        <f t="shared" si="5"/>
        <v>398.22537011400004</v>
      </c>
    </row>
    <row r="659" spans="1:45" hidden="1" x14ac:dyDescent="0.5">
      <c r="A659" s="31">
        <v>658</v>
      </c>
      <c r="B659" s="31">
        <v>51</v>
      </c>
      <c r="C659" s="225" t="s">
        <v>9</v>
      </c>
      <c r="D659" s="44">
        <v>37.484386000000001</v>
      </c>
      <c r="E659" s="45">
        <v>121.960354</v>
      </c>
      <c r="F659">
        <v>0.49</v>
      </c>
      <c r="G659">
        <f>F659*1609.344</f>
        <v>788.57856000000004</v>
      </c>
      <c r="H659" s="32" t="s">
        <v>614</v>
      </c>
      <c r="I659">
        <v>17</v>
      </c>
      <c r="J659">
        <v>635.88261697372195</v>
      </c>
      <c r="K659" s="26">
        <v>2017</v>
      </c>
      <c r="L659" t="s">
        <v>30</v>
      </c>
      <c r="M659" s="32">
        <v>35</v>
      </c>
      <c r="N659">
        <v>3.7637779180000002</v>
      </c>
      <c r="O659">
        <v>5</v>
      </c>
      <c r="P659" t="s">
        <v>12</v>
      </c>
      <c r="Q659">
        <v>89</v>
      </c>
      <c r="R659" t="s">
        <v>13</v>
      </c>
      <c r="S659" t="s">
        <v>14</v>
      </c>
      <c r="T659" t="s">
        <v>14</v>
      </c>
      <c r="U659" s="34">
        <v>0</v>
      </c>
      <c r="V659" s="34">
        <v>5</v>
      </c>
      <c r="W659" s="25">
        <v>2.5</v>
      </c>
      <c r="X659" s="25">
        <v>5</v>
      </c>
      <c r="Y659">
        <v>0.61037440899999995</v>
      </c>
      <c r="Z659" t="s">
        <v>812</v>
      </c>
      <c r="AA659" t="s">
        <v>619</v>
      </c>
      <c r="AB659">
        <v>3</v>
      </c>
      <c r="AC659">
        <v>518.83799999999997</v>
      </c>
      <c r="AD659">
        <v>112.123</v>
      </c>
      <c r="AE659" t="s">
        <v>519</v>
      </c>
      <c r="AF659" t="s">
        <v>532</v>
      </c>
      <c r="AG659" s="32" t="s">
        <v>1704</v>
      </c>
      <c r="AH659" s="32" t="s">
        <v>1705</v>
      </c>
      <c r="AI659" s="32">
        <v>464.41189379999997</v>
      </c>
      <c r="AJ659" s="31" t="s">
        <v>2997</v>
      </c>
      <c r="AK659" s="31">
        <v>0.89510000000000001</v>
      </c>
      <c r="AL659" s="31">
        <v>464.41189379999997</v>
      </c>
      <c r="AM659" s="31">
        <v>54.426106199999992</v>
      </c>
      <c r="AN659" s="31">
        <v>1963.9811581359563</v>
      </c>
      <c r="AO659" s="31">
        <v>230.16604121155382</v>
      </c>
      <c r="AP659" s="31">
        <v>1.1987638386843698</v>
      </c>
      <c r="AQ659" s="31">
        <v>0.1404874613763718</v>
      </c>
      <c r="AR659" s="31">
        <v>0.13116540060225193</v>
      </c>
      <c r="AS659" s="31">
        <f t="shared" si="5"/>
        <v>255.42654159</v>
      </c>
    </row>
    <row r="660" spans="1:45" hidden="1" x14ac:dyDescent="0.5">
      <c r="A660" s="31">
        <v>659</v>
      </c>
      <c r="B660" s="31">
        <v>51</v>
      </c>
      <c r="C660" s="225" t="s">
        <v>9</v>
      </c>
      <c r="D660" s="35">
        <v>37.565966000000003</v>
      </c>
      <c r="E660" s="33">
        <v>121.393845</v>
      </c>
      <c r="F660">
        <v>0.55000000000000004</v>
      </c>
      <c r="G660">
        <f>F660*1609.344</f>
        <v>885.13920000000007</v>
      </c>
      <c r="H660" s="32" t="s">
        <v>614</v>
      </c>
      <c r="I660">
        <v>6</v>
      </c>
      <c r="J660">
        <v>580.17315808773401</v>
      </c>
      <c r="K660" s="26">
        <v>2017</v>
      </c>
      <c r="L660" t="s">
        <v>30</v>
      </c>
      <c r="M660" s="32">
        <v>35</v>
      </c>
      <c r="N660">
        <v>3.7637779180000002</v>
      </c>
      <c r="O660">
        <v>5</v>
      </c>
      <c r="P660" t="s">
        <v>12</v>
      </c>
      <c r="Q660">
        <v>89</v>
      </c>
      <c r="R660" t="s">
        <v>13</v>
      </c>
      <c r="S660" t="s">
        <v>14</v>
      </c>
      <c r="T660" t="s">
        <v>14</v>
      </c>
      <c r="U660" s="34">
        <v>0</v>
      </c>
      <c r="V660" s="34">
        <v>5</v>
      </c>
      <c r="W660" s="25">
        <v>2.5</v>
      </c>
      <c r="X660" s="25">
        <v>5</v>
      </c>
      <c r="Y660">
        <v>0.61037440899999995</v>
      </c>
      <c r="Z660" t="s">
        <v>812</v>
      </c>
      <c r="AA660" t="s">
        <v>619</v>
      </c>
      <c r="AB660">
        <v>3</v>
      </c>
      <c r="AC660">
        <v>1873.83</v>
      </c>
      <c r="AD660">
        <v>412.46</v>
      </c>
      <c r="AE660" t="s">
        <v>519</v>
      </c>
      <c r="AF660" t="s">
        <v>532</v>
      </c>
      <c r="AG660" s="32" t="s">
        <v>1706</v>
      </c>
      <c r="AH660" s="32" t="s">
        <v>1707</v>
      </c>
      <c r="AI660" s="32">
        <v>985.42845869999996</v>
      </c>
      <c r="AJ660" s="31" t="s">
        <v>2998</v>
      </c>
      <c r="AK660" s="31">
        <v>0.52588999999999997</v>
      </c>
      <c r="AL660" s="31">
        <v>985.42845869999985</v>
      </c>
      <c r="AM660" s="31">
        <v>888.40154130000008</v>
      </c>
      <c r="AN660" s="31">
        <v>4167.3414299144215</v>
      </c>
      <c r="AO660" s="31">
        <v>3757.0180937776472</v>
      </c>
      <c r="AP660" s="31">
        <v>2.54363856238523</v>
      </c>
      <c r="AQ660" s="31">
        <v>2.2931876985918378</v>
      </c>
      <c r="AR660" s="31">
        <v>0.13261895760437328</v>
      </c>
      <c r="AS660" s="31">
        <f t="shared" si="5"/>
        <v>541.98565228500001</v>
      </c>
    </row>
    <row r="661" spans="1:45" hidden="1" x14ac:dyDescent="0.5">
      <c r="A661" s="31">
        <v>660</v>
      </c>
      <c r="B661" s="31">
        <v>51</v>
      </c>
      <c r="C661" s="225" t="s">
        <v>9</v>
      </c>
      <c r="D661" s="44">
        <v>37.472619999999999</v>
      </c>
      <c r="E661" s="45">
        <v>121.53774199999999</v>
      </c>
      <c r="F661">
        <v>1.25</v>
      </c>
      <c r="G661">
        <f>F661*1609.344</f>
        <v>2011.68</v>
      </c>
      <c r="H661" s="32" t="s">
        <v>614</v>
      </c>
      <c r="I661">
        <v>8</v>
      </c>
      <c r="J661">
        <v>569.69680407396504</v>
      </c>
      <c r="K661" s="26">
        <v>2017</v>
      </c>
      <c r="L661" t="s">
        <v>30</v>
      </c>
      <c r="M661" s="32">
        <v>35</v>
      </c>
      <c r="N661">
        <v>3.7637779180000002</v>
      </c>
      <c r="O661">
        <v>5</v>
      </c>
      <c r="P661" t="s">
        <v>12</v>
      </c>
      <c r="Q661">
        <v>89</v>
      </c>
      <c r="R661" t="s">
        <v>13</v>
      </c>
      <c r="S661" t="s">
        <v>14</v>
      </c>
      <c r="T661" t="s">
        <v>14</v>
      </c>
      <c r="U661" s="34">
        <v>0</v>
      </c>
      <c r="V661" s="34">
        <v>5</v>
      </c>
      <c r="W661" s="25">
        <v>2.5</v>
      </c>
      <c r="X661" s="25">
        <v>5</v>
      </c>
      <c r="Y661">
        <v>0.61037440899999995</v>
      </c>
      <c r="Z661" t="s">
        <v>812</v>
      </c>
      <c r="AA661" t="s">
        <v>619</v>
      </c>
      <c r="AB661">
        <v>3</v>
      </c>
      <c r="AC661">
        <v>317.95999999999998</v>
      </c>
      <c r="AD661">
        <v>132.042</v>
      </c>
      <c r="AE661" t="s">
        <v>519</v>
      </c>
      <c r="AF661" t="s">
        <v>532</v>
      </c>
      <c r="AG661" s="32" t="s">
        <v>1708</v>
      </c>
      <c r="AH661" s="32" t="s">
        <v>1709</v>
      </c>
      <c r="AI661" s="32">
        <v>284.63143280000003</v>
      </c>
      <c r="AJ661" s="31" t="s">
        <v>2999</v>
      </c>
      <c r="AK661" s="31">
        <v>0.89517999999999998</v>
      </c>
      <c r="AL661" s="31">
        <v>284.63143279999997</v>
      </c>
      <c r="AM661" s="31">
        <v>33.328567200000009</v>
      </c>
      <c r="AN661" s="31">
        <v>1203.696069147574</v>
      </c>
      <c r="AO661" s="31">
        <v>140.94530928757206</v>
      </c>
      <c r="AP661" s="31">
        <v>0.73470527682157349</v>
      </c>
      <c r="AQ661" s="31">
        <v>8.6029409857724004E-2</v>
      </c>
      <c r="AR661" s="31">
        <v>0.13235348158759747</v>
      </c>
      <c r="AS661" s="31">
        <f t="shared" si="5"/>
        <v>156.54728804000004</v>
      </c>
    </row>
    <row r="662" spans="1:45" hidden="1" x14ac:dyDescent="0.5">
      <c r="A662" s="31">
        <v>661</v>
      </c>
      <c r="B662" s="31">
        <v>51</v>
      </c>
      <c r="C662" s="225" t="s">
        <v>9</v>
      </c>
      <c r="D662" s="35">
        <v>37.474303999999997</v>
      </c>
      <c r="E662" s="33">
        <v>121.48737199999999</v>
      </c>
      <c r="F662">
        <v>0.76</v>
      </c>
      <c r="G662">
        <f>F662*1609.344</f>
        <v>1223.1014400000001</v>
      </c>
      <c r="H662" s="32" t="s">
        <v>614</v>
      </c>
      <c r="I662">
        <v>10</v>
      </c>
      <c r="J662">
        <v>571.01703500437395</v>
      </c>
      <c r="K662" s="26">
        <v>2017</v>
      </c>
      <c r="L662" t="s">
        <v>30</v>
      </c>
      <c r="M662" s="32">
        <v>35</v>
      </c>
      <c r="N662">
        <v>3.7637779180000002</v>
      </c>
      <c r="O662">
        <v>5</v>
      </c>
      <c r="P662" t="s">
        <v>12</v>
      </c>
      <c r="Q662">
        <v>89</v>
      </c>
      <c r="R662" t="s">
        <v>13</v>
      </c>
      <c r="S662" t="s">
        <v>14</v>
      </c>
      <c r="T662" t="s">
        <v>14</v>
      </c>
      <c r="U662" s="34">
        <v>0</v>
      </c>
      <c r="V662" s="34">
        <v>5</v>
      </c>
      <c r="W662" s="25">
        <v>2.5</v>
      </c>
      <c r="X662" s="25">
        <v>5</v>
      </c>
      <c r="Y662">
        <v>0.61037440899999995</v>
      </c>
      <c r="Z662" t="s">
        <v>812</v>
      </c>
      <c r="AA662" t="s">
        <v>619</v>
      </c>
      <c r="AB662">
        <v>3</v>
      </c>
      <c r="AC662">
        <v>245.78899999999999</v>
      </c>
      <c r="AD662">
        <v>85.394999999999996</v>
      </c>
      <c r="AE662" t="s">
        <v>519</v>
      </c>
      <c r="AF662" t="s">
        <v>532</v>
      </c>
      <c r="AG662" s="32" t="s">
        <v>1710</v>
      </c>
      <c r="AH662" s="32" t="s">
        <v>1711</v>
      </c>
      <c r="AI662" s="32">
        <v>232.0985527</v>
      </c>
      <c r="AJ662" s="31" t="s">
        <v>3000</v>
      </c>
      <c r="AK662" s="31">
        <v>0.94430000000000003</v>
      </c>
      <c r="AL662" s="31">
        <v>232.0985527</v>
      </c>
      <c r="AM662" s="31">
        <v>13.690447299999988</v>
      </c>
      <c r="AN662" s="31">
        <v>981.53641286743755</v>
      </c>
      <c r="AO662" s="31">
        <v>57.89640812953111</v>
      </c>
      <c r="AP662" s="31">
        <v>0.59910470791594217</v>
      </c>
      <c r="AQ662" s="31">
        <v>3.5338485895285342E-2</v>
      </c>
      <c r="AR662" s="31">
        <v>0.13208853699948581</v>
      </c>
      <c r="AS662" s="31">
        <f t="shared" si="5"/>
        <v>127.65420398500001</v>
      </c>
    </row>
    <row r="663" spans="1:45" hidden="1" x14ac:dyDescent="0.5">
      <c r="A663" s="31">
        <v>662</v>
      </c>
      <c r="B663" s="31">
        <v>51</v>
      </c>
      <c r="C663" s="225" t="s">
        <v>9</v>
      </c>
      <c r="D663" s="35">
        <v>37.504139000000002</v>
      </c>
      <c r="E663" s="33">
        <v>121.51571800000001</v>
      </c>
      <c r="F663">
        <v>3.24</v>
      </c>
      <c r="G663">
        <f>F663*1609.344</f>
        <v>5214.2745600000007</v>
      </c>
      <c r="H663" s="32" t="s">
        <v>614</v>
      </c>
      <c r="I663">
        <v>10</v>
      </c>
      <c r="J663">
        <v>573.12751765906205</v>
      </c>
      <c r="K663" s="26">
        <v>2017</v>
      </c>
      <c r="L663" t="s">
        <v>30</v>
      </c>
      <c r="M663" s="32">
        <v>35</v>
      </c>
      <c r="N663">
        <v>3.7637779180000002</v>
      </c>
      <c r="O663">
        <v>5</v>
      </c>
      <c r="P663" t="s">
        <v>12</v>
      </c>
      <c r="Q663">
        <v>89</v>
      </c>
      <c r="R663" t="s">
        <v>13</v>
      </c>
      <c r="S663" t="s">
        <v>14</v>
      </c>
      <c r="T663" t="s">
        <v>14</v>
      </c>
      <c r="U663" s="34">
        <v>0</v>
      </c>
      <c r="V663" s="34">
        <v>5</v>
      </c>
      <c r="W663" s="25">
        <v>2.5</v>
      </c>
      <c r="X663" s="25">
        <v>5</v>
      </c>
      <c r="Y663">
        <v>0.61037440899999995</v>
      </c>
      <c r="Z663" t="s">
        <v>812</v>
      </c>
      <c r="AA663" t="s">
        <v>619</v>
      </c>
      <c r="AB663">
        <v>3</v>
      </c>
      <c r="AC663">
        <v>230.29599999999999</v>
      </c>
      <c r="AD663">
        <v>111.282</v>
      </c>
      <c r="AE663" t="s">
        <v>519</v>
      </c>
      <c r="AF663" t="s">
        <v>532</v>
      </c>
      <c r="AG663" s="32" t="s">
        <v>1712</v>
      </c>
      <c r="AH663" s="32" t="s">
        <v>1711</v>
      </c>
      <c r="AI663" s="32">
        <v>217.46851280000001</v>
      </c>
      <c r="AJ663" s="31" t="s">
        <v>3001</v>
      </c>
      <c r="AK663" s="31">
        <v>0.94430000000000003</v>
      </c>
      <c r="AL663" s="31">
        <v>217.46851280000001</v>
      </c>
      <c r="AM663" s="31">
        <v>12.827487199999979</v>
      </c>
      <c r="AN663" s="31">
        <v>919.66650150218015</v>
      </c>
      <c r="AO663" s="31">
        <v>54.246980973918625</v>
      </c>
      <c r="AP663" s="31">
        <v>0.56134089733149073</v>
      </c>
      <c r="AQ663" s="31">
        <v>3.3110968951989825E-2</v>
      </c>
      <c r="AR663" s="31">
        <v>0.13208853699948581</v>
      </c>
      <c r="AS663" s="31">
        <f t="shared" si="5"/>
        <v>119.60768204000001</v>
      </c>
    </row>
    <row r="664" spans="1:45" hidden="1" x14ac:dyDescent="0.5">
      <c r="A664" s="31">
        <v>663</v>
      </c>
      <c r="B664" s="31">
        <v>51</v>
      </c>
      <c r="C664" s="225" t="s">
        <v>9</v>
      </c>
      <c r="D664" s="44">
        <v>37.486080000000001</v>
      </c>
      <c r="E664" s="45">
        <v>121.625411</v>
      </c>
      <c r="F664">
        <v>0.59</v>
      </c>
      <c r="G664">
        <f>F664*1609.344</f>
        <v>949.51296000000002</v>
      </c>
      <c r="H664" s="32" t="s">
        <v>614</v>
      </c>
      <c r="I664">
        <v>12</v>
      </c>
      <c r="J664">
        <v>571.44547994553398</v>
      </c>
      <c r="K664" s="26">
        <v>2017</v>
      </c>
      <c r="L664" t="s">
        <v>30</v>
      </c>
      <c r="M664" s="32">
        <v>35</v>
      </c>
      <c r="N664">
        <v>3.7637779180000002</v>
      </c>
      <c r="O664">
        <v>5</v>
      </c>
      <c r="P664" t="s">
        <v>12</v>
      </c>
      <c r="Q664">
        <v>89</v>
      </c>
      <c r="R664" t="s">
        <v>13</v>
      </c>
      <c r="S664" t="s">
        <v>14</v>
      </c>
      <c r="T664" t="s">
        <v>14</v>
      </c>
      <c r="U664" s="34">
        <v>0</v>
      </c>
      <c r="V664" s="34">
        <v>5</v>
      </c>
      <c r="W664" s="25">
        <v>2.5</v>
      </c>
      <c r="X664" s="25">
        <v>5</v>
      </c>
      <c r="Y664">
        <v>0.61037440899999995</v>
      </c>
      <c r="Z664" t="s">
        <v>812</v>
      </c>
      <c r="AA664" t="s">
        <v>619</v>
      </c>
      <c r="AB664">
        <v>3</v>
      </c>
      <c r="AC664">
        <v>589.13199999999995</v>
      </c>
      <c r="AD664">
        <v>118.986</v>
      </c>
      <c r="AE664" t="s">
        <v>519</v>
      </c>
      <c r="AF664" t="s">
        <v>532</v>
      </c>
      <c r="AG664" s="32" t="s">
        <v>1713</v>
      </c>
      <c r="AH664" s="32" t="s">
        <v>1714</v>
      </c>
      <c r="AI664" s="32">
        <v>555.46899752000002</v>
      </c>
      <c r="AJ664" s="31" t="s">
        <v>3002</v>
      </c>
      <c r="AK664" s="31">
        <v>0.94286000000000003</v>
      </c>
      <c r="AL664" s="31">
        <v>555.46899752000002</v>
      </c>
      <c r="AM664" s="31">
        <v>33.663002479999932</v>
      </c>
      <c r="AN664" s="31">
        <v>2349.0583674150257</v>
      </c>
      <c r="AO664" s="31">
        <v>142.35962403123929</v>
      </c>
      <c r="AP664" s="31">
        <v>1.4338051127174511</v>
      </c>
      <c r="AQ664" s="31">
        <v>8.6892671383529865E-2</v>
      </c>
      <c r="AR664" s="31">
        <v>0.1318241227762269</v>
      </c>
      <c r="AS664" s="31">
        <f t="shared" si="5"/>
        <v>305.50794863600004</v>
      </c>
    </row>
    <row r="665" spans="1:45" hidden="1" x14ac:dyDescent="0.5">
      <c r="A665" s="31">
        <v>664</v>
      </c>
      <c r="B665" s="31">
        <v>51</v>
      </c>
      <c r="C665" s="225" t="s">
        <v>9</v>
      </c>
      <c r="D665" s="44">
        <v>37.513882000000002</v>
      </c>
      <c r="E665" s="45">
        <v>121.778015</v>
      </c>
      <c r="F665">
        <v>3.84</v>
      </c>
      <c r="G665">
        <f>F665*1609.344</f>
        <v>6179.8809600000004</v>
      </c>
      <c r="H665" s="32" t="s">
        <v>614</v>
      </c>
      <c r="I665">
        <v>12</v>
      </c>
      <c r="J665">
        <v>595.00184040634304</v>
      </c>
      <c r="K665" s="26">
        <v>2017</v>
      </c>
      <c r="L665" t="s">
        <v>30</v>
      </c>
      <c r="M665" s="32">
        <v>35</v>
      </c>
      <c r="N665">
        <v>3.7637779180000002</v>
      </c>
      <c r="O665">
        <v>5</v>
      </c>
      <c r="P665" t="s">
        <v>12</v>
      </c>
      <c r="Q665">
        <v>89</v>
      </c>
      <c r="R665" t="s">
        <v>13</v>
      </c>
      <c r="S665" t="s">
        <v>14</v>
      </c>
      <c r="T665" t="s">
        <v>14</v>
      </c>
      <c r="U665" s="34">
        <v>0</v>
      </c>
      <c r="V665" s="34">
        <v>5</v>
      </c>
      <c r="W665" s="25">
        <v>2.5</v>
      </c>
      <c r="X665" s="25">
        <v>5</v>
      </c>
      <c r="Y665">
        <v>0.61037440899999995</v>
      </c>
      <c r="Z665" t="s">
        <v>812</v>
      </c>
      <c r="AA665" t="s">
        <v>619</v>
      </c>
      <c r="AB665">
        <v>3</v>
      </c>
      <c r="AC665">
        <v>321.63</v>
      </c>
      <c r="AD665">
        <v>109.377</v>
      </c>
      <c r="AE665" t="s">
        <v>519</v>
      </c>
      <c r="AF665" t="s">
        <v>532</v>
      </c>
      <c r="AG665" s="32" t="s">
        <v>1715</v>
      </c>
      <c r="AH665" s="32" t="s">
        <v>1716</v>
      </c>
      <c r="AI665" s="32">
        <v>294.86716769999998</v>
      </c>
      <c r="AJ665" s="31" t="s">
        <v>3003</v>
      </c>
      <c r="AK665" s="31">
        <v>0.91678999999999999</v>
      </c>
      <c r="AL665" s="31">
        <v>294.86716769999998</v>
      </c>
      <c r="AM665" s="31">
        <v>26.762832300000014</v>
      </c>
      <c r="AN665" s="31">
        <v>1246.9826230701831</v>
      </c>
      <c r="AO665" s="31">
        <v>113.17905307177215</v>
      </c>
      <c r="AP665" s="31">
        <v>0.76112628158973272</v>
      </c>
      <c r="AQ665" s="31">
        <v>6.9081597629862546E-2</v>
      </c>
      <c r="AR665" s="31">
        <v>0.1318241227762269</v>
      </c>
      <c r="AS665" s="31">
        <f t="shared" si="5"/>
        <v>162.17694223500001</v>
      </c>
    </row>
    <row r="666" spans="1:45" hidden="1" x14ac:dyDescent="0.5">
      <c r="A666" s="31">
        <v>665</v>
      </c>
      <c r="B666" s="31">
        <v>51</v>
      </c>
      <c r="C666" s="225" t="s">
        <v>9</v>
      </c>
      <c r="D666" s="44">
        <v>37.530493999999997</v>
      </c>
      <c r="E666" s="45">
        <v>121.70903</v>
      </c>
      <c r="F666">
        <v>4.54</v>
      </c>
      <c r="G666">
        <f>F666*1609.344</f>
        <v>7306.4217600000002</v>
      </c>
      <c r="H666" s="32" t="s">
        <v>614</v>
      </c>
      <c r="I666">
        <v>12</v>
      </c>
      <c r="J666">
        <v>584.78436615161695</v>
      </c>
      <c r="K666" s="26">
        <v>2017</v>
      </c>
      <c r="L666" t="s">
        <v>30</v>
      </c>
      <c r="M666" s="32">
        <v>35</v>
      </c>
      <c r="N666">
        <v>3.7637779180000002</v>
      </c>
      <c r="O666">
        <v>5</v>
      </c>
      <c r="P666" t="s">
        <v>12</v>
      </c>
      <c r="Q666">
        <v>89</v>
      </c>
      <c r="R666" t="s">
        <v>13</v>
      </c>
      <c r="S666" t="s">
        <v>14</v>
      </c>
      <c r="T666" t="s">
        <v>14</v>
      </c>
      <c r="U666" s="34">
        <v>0</v>
      </c>
      <c r="V666" s="34">
        <v>5</v>
      </c>
      <c r="W666" s="25">
        <v>2.5</v>
      </c>
      <c r="X666" s="25">
        <v>5</v>
      </c>
      <c r="Y666">
        <v>0.61037440899999995</v>
      </c>
      <c r="Z666" t="s">
        <v>812</v>
      </c>
      <c r="AA666" t="s">
        <v>619</v>
      </c>
      <c r="AB666">
        <v>3</v>
      </c>
      <c r="AC666">
        <v>580.05499999999995</v>
      </c>
      <c r="AD666">
        <v>127.139</v>
      </c>
      <c r="AE666" t="s">
        <v>519</v>
      </c>
      <c r="AF666" t="s">
        <v>532</v>
      </c>
      <c r="AG666" s="32" t="s">
        <v>1717</v>
      </c>
      <c r="AH666" s="32" t="s">
        <v>1716</v>
      </c>
      <c r="AI666" s="32">
        <v>531.78862345000005</v>
      </c>
      <c r="AJ666" s="31" t="s">
        <v>3004</v>
      </c>
      <c r="AK666" s="31">
        <v>0.91678999999999999</v>
      </c>
      <c r="AL666" s="31">
        <v>531.78862344999993</v>
      </c>
      <c r="AM666" s="31">
        <v>48.266376550000018</v>
      </c>
      <c r="AN666" s="31">
        <v>2248.9149190839626</v>
      </c>
      <c r="AO666" s="31">
        <v>204.11676656265519</v>
      </c>
      <c r="AP666" s="31">
        <v>1.3726801146271563</v>
      </c>
      <c r="AQ666" s="31">
        <v>0.1245876507576716</v>
      </c>
      <c r="AR666" s="31">
        <v>0.1318241227762269</v>
      </c>
      <c r="AS666" s="31">
        <f t="shared" si="5"/>
        <v>292.48374289750006</v>
      </c>
    </row>
    <row r="667" spans="1:45" hidden="1" x14ac:dyDescent="0.5">
      <c r="A667" s="31">
        <v>666</v>
      </c>
      <c r="B667" s="31">
        <v>51</v>
      </c>
      <c r="C667" s="225" t="s">
        <v>9</v>
      </c>
      <c r="D667" s="44">
        <v>37.544573999999997</v>
      </c>
      <c r="E667" s="45">
        <v>121.631653</v>
      </c>
      <c r="F667">
        <v>3.92</v>
      </c>
      <c r="G667">
        <f>F667*1609.344</f>
        <v>6308.6284800000003</v>
      </c>
      <c r="H667" s="32" t="s">
        <v>614</v>
      </c>
      <c r="I667">
        <v>12</v>
      </c>
      <c r="J667">
        <v>574.38581668201505</v>
      </c>
      <c r="K667" s="26">
        <v>2017</v>
      </c>
      <c r="L667" t="s">
        <v>30</v>
      </c>
      <c r="M667" s="32">
        <v>35</v>
      </c>
      <c r="N667">
        <v>3.7637779180000002</v>
      </c>
      <c r="O667">
        <v>5</v>
      </c>
      <c r="P667" t="s">
        <v>12</v>
      </c>
      <c r="Q667">
        <v>89</v>
      </c>
      <c r="R667" t="s">
        <v>13</v>
      </c>
      <c r="S667" t="s">
        <v>14</v>
      </c>
      <c r="T667" t="s">
        <v>14</v>
      </c>
      <c r="U667" s="34">
        <v>0</v>
      </c>
      <c r="V667" s="34">
        <v>5</v>
      </c>
      <c r="W667" s="25">
        <v>2.5</v>
      </c>
      <c r="X667" s="25">
        <v>5</v>
      </c>
      <c r="Y667">
        <v>0.61037440899999995</v>
      </c>
      <c r="Z667" t="s">
        <v>812</v>
      </c>
      <c r="AA667" t="s">
        <v>619</v>
      </c>
      <c r="AB667">
        <v>3</v>
      </c>
      <c r="AC667">
        <v>282.15499999999997</v>
      </c>
      <c r="AD667">
        <v>134.619</v>
      </c>
      <c r="AE667" t="s">
        <v>519</v>
      </c>
      <c r="AF667" t="s">
        <v>532</v>
      </c>
      <c r="AG667" s="32" t="s">
        <v>1718</v>
      </c>
      <c r="AH667" s="32" t="s">
        <v>1719</v>
      </c>
      <c r="AI667" s="32">
        <v>254.62231510000001</v>
      </c>
      <c r="AJ667" s="31" t="s">
        <v>3005</v>
      </c>
      <c r="AK667" s="31">
        <v>0.90242</v>
      </c>
      <c r="AL667" s="31">
        <v>254.62231509999998</v>
      </c>
      <c r="AM667" s="31">
        <v>27.532684899999992</v>
      </c>
      <c r="AN667" s="31">
        <v>1076.7885921386717</v>
      </c>
      <c r="AO667" s="31">
        <v>116.43473196614833</v>
      </c>
      <c r="AP667" s="31">
        <v>0.65724420054458377</v>
      </c>
      <c r="AQ667" s="31">
        <v>7.1068780710911189E-2</v>
      </c>
      <c r="AR667" s="31">
        <v>0.1318241227762269</v>
      </c>
      <c r="AS667" s="31">
        <f t="shared" si="5"/>
        <v>140.04227330500001</v>
      </c>
    </row>
    <row r="668" spans="1:45" hidden="1" x14ac:dyDescent="0.5">
      <c r="A668" s="31">
        <v>667</v>
      </c>
      <c r="B668" s="31">
        <v>51</v>
      </c>
      <c r="C668" s="225" t="s">
        <v>9</v>
      </c>
      <c r="D668" s="44">
        <v>37.562748999999997</v>
      </c>
      <c r="E668" s="45">
        <v>121.55318699999999</v>
      </c>
      <c r="F668">
        <v>1.66</v>
      </c>
      <c r="G668">
        <f>F668*1609.344</f>
        <v>2671.5110399999999</v>
      </c>
      <c r="H668" s="32" t="s">
        <v>614</v>
      </c>
      <c r="I668">
        <v>12</v>
      </c>
      <c r="J668">
        <v>569.24139501791899</v>
      </c>
      <c r="K668" s="26">
        <v>2017</v>
      </c>
      <c r="L668" t="s">
        <v>30</v>
      </c>
      <c r="M668" s="32">
        <v>35</v>
      </c>
      <c r="N668">
        <v>3.7637779180000002</v>
      </c>
      <c r="O668">
        <v>5</v>
      </c>
      <c r="P668" t="s">
        <v>12</v>
      </c>
      <c r="Q668">
        <v>89</v>
      </c>
      <c r="R668" t="s">
        <v>13</v>
      </c>
      <c r="S668" t="s">
        <v>14</v>
      </c>
      <c r="T668" t="s">
        <v>14</v>
      </c>
      <c r="U668" s="34">
        <v>0</v>
      </c>
      <c r="V668" s="34">
        <v>5</v>
      </c>
      <c r="W668" s="25">
        <v>2.5</v>
      </c>
      <c r="X668" s="25">
        <v>5</v>
      </c>
      <c r="Y668">
        <v>0.61037440899999995</v>
      </c>
      <c r="Z668" t="s">
        <v>812</v>
      </c>
      <c r="AA668" t="s">
        <v>619</v>
      </c>
      <c r="AB668">
        <v>3</v>
      </c>
      <c r="AC668">
        <v>137.25299999999999</v>
      </c>
      <c r="AD668">
        <v>55.192999999999998</v>
      </c>
      <c r="AE668" t="s">
        <v>519</v>
      </c>
      <c r="AF668" t="s">
        <v>532</v>
      </c>
      <c r="AG668" s="32" t="s">
        <v>1720</v>
      </c>
      <c r="AH668" s="32" t="s">
        <v>1721</v>
      </c>
      <c r="AI668" s="32">
        <v>130.53172058999999</v>
      </c>
      <c r="AJ668" s="31" t="s">
        <v>3006</v>
      </c>
      <c r="AK668" s="31">
        <v>0.95103000000000004</v>
      </c>
      <c r="AL668" s="31">
        <v>130.53172058999999</v>
      </c>
      <c r="AM668" s="31">
        <v>6.721279409999994</v>
      </c>
      <c r="AN668" s="31">
        <v>552.01394107324484</v>
      </c>
      <c r="AO668" s="31">
        <v>28.424048341647246</v>
      </c>
      <c r="AP668" s="31">
        <v>0.33693518304234266</v>
      </c>
      <c r="AQ668" s="31">
        <v>1.7349311707920367E-2</v>
      </c>
      <c r="AR668" s="31">
        <v>0.1318241227762269</v>
      </c>
      <c r="AS668" s="31">
        <f t="shared" si="5"/>
        <v>71.792446324500006</v>
      </c>
    </row>
    <row r="669" spans="1:45" hidden="1" x14ac:dyDescent="0.5">
      <c r="A669" s="31">
        <v>668</v>
      </c>
      <c r="B669" s="31">
        <v>51</v>
      </c>
      <c r="C669" s="225" t="s">
        <v>9</v>
      </c>
      <c r="D669" s="35">
        <v>37.603489000000003</v>
      </c>
      <c r="E669" s="33">
        <v>121.46861199999999</v>
      </c>
      <c r="F669">
        <v>1.96</v>
      </c>
      <c r="G669">
        <f>F669*1609.344</f>
        <v>3154.3142400000002</v>
      </c>
      <c r="H669" s="32" t="s">
        <v>614</v>
      </c>
      <c r="I669">
        <v>12</v>
      </c>
      <c r="J669">
        <v>577.95385301074703</v>
      </c>
      <c r="K669" s="26">
        <v>2017</v>
      </c>
      <c r="L669" t="s">
        <v>30</v>
      </c>
      <c r="M669" s="32">
        <v>35</v>
      </c>
      <c r="N669">
        <v>3.7637779180000002</v>
      </c>
      <c r="O669">
        <v>5</v>
      </c>
      <c r="P669" t="s">
        <v>12</v>
      </c>
      <c r="Q669">
        <v>89</v>
      </c>
      <c r="R669" t="s">
        <v>13</v>
      </c>
      <c r="S669" t="s">
        <v>14</v>
      </c>
      <c r="T669" t="s">
        <v>14</v>
      </c>
      <c r="U669" s="34">
        <v>0</v>
      </c>
      <c r="V669" s="34">
        <v>5</v>
      </c>
      <c r="W669" s="25">
        <v>2.5</v>
      </c>
      <c r="X669" s="25">
        <v>5</v>
      </c>
      <c r="Y669">
        <v>0.61037440899999995</v>
      </c>
      <c r="Z669" t="s">
        <v>812</v>
      </c>
      <c r="AA669" t="s">
        <v>619</v>
      </c>
      <c r="AB669">
        <v>3</v>
      </c>
      <c r="AC669">
        <v>236.43199999999999</v>
      </c>
      <c r="AD669">
        <v>63.848999999999997</v>
      </c>
      <c r="AE669" t="s">
        <v>519</v>
      </c>
      <c r="AF669" t="s">
        <v>532</v>
      </c>
      <c r="AG669" s="32" t="s">
        <v>1722</v>
      </c>
      <c r="AH669" s="32" t="s">
        <v>1723</v>
      </c>
      <c r="AI669" s="32">
        <v>216.51733264000001</v>
      </c>
      <c r="AJ669" s="31" t="s">
        <v>3007</v>
      </c>
      <c r="AK669" s="31">
        <v>0.91576999999999997</v>
      </c>
      <c r="AL669" s="31">
        <v>216.51733263999998</v>
      </c>
      <c r="AM669" s="31">
        <v>19.91466736000001</v>
      </c>
      <c r="AN669" s="31">
        <v>915.64399489291293</v>
      </c>
      <c r="AO669" s="31">
        <v>84.218410397621795</v>
      </c>
      <c r="AP669" s="31">
        <v>0.55888566223716074</v>
      </c>
      <c r="AQ669" s="31">
        <v>5.1404762473367852E-2</v>
      </c>
      <c r="AR669" s="31">
        <v>0.1318241227762269</v>
      </c>
      <c r="AS669" s="31">
        <f t="shared" si="5"/>
        <v>119.08453295200002</v>
      </c>
    </row>
    <row r="670" spans="1:45" hidden="1" x14ac:dyDescent="0.5">
      <c r="A670" s="31">
        <v>669</v>
      </c>
      <c r="B670" s="31">
        <v>51</v>
      </c>
      <c r="C670" s="225" t="s">
        <v>9</v>
      </c>
      <c r="D670" s="44">
        <v>37.512934000000001</v>
      </c>
      <c r="E670" s="45">
        <v>121.880461</v>
      </c>
      <c r="F670">
        <v>3.15</v>
      </c>
      <c r="G670">
        <f>F670*1609.344</f>
        <v>5069.4336000000003</v>
      </c>
      <c r="H670" s="32" t="s">
        <v>614</v>
      </c>
      <c r="I670">
        <v>13</v>
      </c>
      <c r="J670">
        <v>613.65887249286698</v>
      </c>
      <c r="K670" s="26">
        <v>2017</v>
      </c>
      <c r="L670" t="s">
        <v>30</v>
      </c>
      <c r="M670" s="32">
        <v>35</v>
      </c>
      <c r="N670">
        <v>3.7637779180000002</v>
      </c>
      <c r="O670">
        <v>5</v>
      </c>
      <c r="P670" t="s">
        <v>12</v>
      </c>
      <c r="Q670">
        <v>89</v>
      </c>
      <c r="R670" t="s">
        <v>13</v>
      </c>
      <c r="S670" t="s">
        <v>14</v>
      </c>
      <c r="T670" t="s">
        <v>14</v>
      </c>
      <c r="U670" s="34">
        <v>0</v>
      </c>
      <c r="V670" s="34">
        <v>5</v>
      </c>
      <c r="W670" s="25">
        <v>2.5</v>
      </c>
      <c r="X670" s="25">
        <v>5</v>
      </c>
      <c r="Y670">
        <v>0.61037440899999995</v>
      </c>
      <c r="Z670" t="s">
        <v>812</v>
      </c>
      <c r="AA670" t="s">
        <v>619</v>
      </c>
      <c r="AB670">
        <v>3</v>
      </c>
      <c r="AC670">
        <v>833.74400000000003</v>
      </c>
      <c r="AD670">
        <v>178.858</v>
      </c>
      <c r="AE670" t="s">
        <v>519</v>
      </c>
      <c r="AF670" t="s">
        <v>532</v>
      </c>
      <c r="AG670" s="32" t="s">
        <v>1724</v>
      </c>
      <c r="AH670" s="32" t="s">
        <v>1725</v>
      </c>
      <c r="AI670" s="32">
        <v>758.79875184000002</v>
      </c>
      <c r="AJ670" s="31" t="s">
        <v>3008</v>
      </c>
      <c r="AK670" s="31">
        <v>0.91010999999999997</v>
      </c>
      <c r="AL670" s="31">
        <v>758.79875184000002</v>
      </c>
      <c r="AM670" s="31">
        <v>74.945248160000006</v>
      </c>
      <c r="AN670" s="31">
        <v>3208.9325689678135</v>
      </c>
      <c r="AO670" s="31">
        <v>316.94075290296422</v>
      </c>
      <c r="AP670" s="31">
        <v>1.9586503203045809</v>
      </c>
      <c r="AQ670" s="31">
        <v>0.19345252474116179</v>
      </c>
      <c r="AR670" s="31">
        <v>0.13169211421955859</v>
      </c>
      <c r="AS670" s="31">
        <f t="shared" si="5"/>
        <v>417.33931351200005</v>
      </c>
    </row>
    <row r="671" spans="1:45" hidden="1" x14ac:dyDescent="0.5">
      <c r="A671" s="31">
        <v>670</v>
      </c>
      <c r="B671" s="31">
        <v>51</v>
      </c>
      <c r="C671" s="225" t="s">
        <v>9</v>
      </c>
      <c r="D671" s="35">
        <v>37.514389999999999</v>
      </c>
      <c r="E671" s="33">
        <v>121.518027</v>
      </c>
      <c r="F671">
        <v>3.39</v>
      </c>
      <c r="G671">
        <f>F671*1609.344</f>
        <v>5455.67616</v>
      </c>
      <c r="H671" s="32" t="s">
        <v>614</v>
      </c>
      <c r="I671">
        <v>15</v>
      </c>
      <c r="J671">
        <v>573.43777082279098</v>
      </c>
      <c r="K671" s="26">
        <v>2017</v>
      </c>
      <c r="L671" t="s">
        <v>30</v>
      </c>
      <c r="M671" s="32">
        <v>35</v>
      </c>
      <c r="N671">
        <v>3.7637779180000002</v>
      </c>
      <c r="O671">
        <v>5</v>
      </c>
      <c r="P671" t="s">
        <v>12</v>
      </c>
      <c r="Q671">
        <v>89</v>
      </c>
      <c r="R671" t="s">
        <v>13</v>
      </c>
      <c r="S671" t="s">
        <v>14</v>
      </c>
      <c r="T671" t="s">
        <v>14</v>
      </c>
      <c r="U671" s="34">
        <v>0</v>
      </c>
      <c r="V671" s="34">
        <v>5</v>
      </c>
      <c r="W671" s="25">
        <v>2.5</v>
      </c>
      <c r="X671" s="25">
        <v>5</v>
      </c>
      <c r="Y671">
        <v>0.61037440899999995</v>
      </c>
      <c r="Z671" t="s">
        <v>812</v>
      </c>
      <c r="AA671" t="s">
        <v>619</v>
      </c>
      <c r="AB671">
        <v>3</v>
      </c>
      <c r="AC671">
        <v>210.82400000000001</v>
      </c>
      <c r="AD671">
        <v>66.959999999999994</v>
      </c>
      <c r="AE671" t="s">
        <v>519</v>
      </c>
      <c r="AF671" t="s">
        <v>532</v>
      </c>
      <c r="AG671" s="32" t="s">
        <v>1726</v>
      </c>
      <c r="AH671" s="32" t="s">
        <v>1727</v>
      </c>
      <c r="AI671" s="32">
        <v>203.97854472</v>
      </c>
      <c r="AJ671" s="31" t="s">
        <v>3009</v>
      </c>
      <c r="AK671" s="31">
        <v>0.96753</v>
      </c>
      <c r="AL671" s="31">
        <v>203.97854472</v>
      </c>
      <c r="AM671" s="31">
        <v>6.8454552800000101</v>
      </c>
      <c r="AN671" s="31">
        <v>862.61791276731628</v>
      </c>
      <c r="AO671" s="31">
        <v>28.949183619686004</v>
      </c>
      <c r="AP671" s="31">
        <v>0.52651989869816418</v>
      </c>
      <c r="AQ671" s="31">
        <v>1.7669840842898323E-2</v>
      </c>
      <c r="AR671" s="31">
        <v>0.13142849355358946</v>
      </c>
      <c r="AS671" s="31">
        <f t="shared" si="5"/>
        <v>112.188199596</v>
      </c>
    </row>
    <row r="672" spans="1:45" hidden="1" x14ac:dyDescent="0.5">
      <c r="A672" s="31">
        <v>671</v>
      </c>
      <c r="B672" s="31">
        <v>51</v>
      </c>
      <c r="C672" s="225" t="s">
        <v>9</v>
      </c>
      <c r="D672" s="35">
        <v>37.572401999999997</v>
      </c>
      <c r="E672" s="33">
        <v>121.547618</v>
      </c>
      <c r="F672">
        <v>1.25</v>
      </c>
      <c r="G672">
        <f>F672*1609.344</f>
        <v>2011.68</v>
      </c>
      <c r="H672" s="32" t="s">
        <v>614</v>
      </c>
      <c r="I672">
        <v>15</v>
      </c>
      <c r="J672">
        <v>569.99642611424599</v>
      </c>
      <c r="K672" s="26">
        <v>2017</v>
      </c>
      <c r="L672" t="s">
        <v>30</v>
      </c>
      <c r="M672" s="32">
        <v>35</v>
      </c>
      <c r="N672">
        <v>3.7637779180000002</v>
      </c>
      <c r="O672">
        <v>5</v>
      </c>
      <c r="P672" t="s">
        <v>12</v>
      </c>
      <c r="Q672">
        <v>89</v>
      </c>
      <c r="R672" t="s">
        <v>13</v>
      </c>
      <c r="S672" t="s">
        <v>14</v>
      </c>
      <c r="T672" t="s">
        <v>14</v>
      </c>
      <c r="U672" s="34">
        <v>0</v>
      </c>
      <c r="V672" s="34">
        <v>5</v>
      </c>
      <c r="W672" s="25">
        <v>2.5</v>
      </c>
      <c r="X672" s="25">
        <v>5</v>
      </c>
      <c r="Y672">
        <v>0.61037440899999995</v>
      </c>
      <c r="Z672" t="s">
        <v>812</v>
      </c>
      <c r="AA672" t="s">
        <v>619</v>
      </c>
      <c r="AB672">
        <v>3</v>
      </c>
      <c r="AC672">
        <v>731.23199999999997</v>
      </c>
      <c r="AD672">
        <v>200.542</v>
      </c>
      <c r="AE672" t="s">
        <v>519</v>
      </c>
      <c r="AF672" t="s">
        <v>532</v>
      </c>
      <c r="AG672" s="32" t="s">
        <v>1728</v>
      </c>
      <c r="AH672" s="32" t="s">
        <v>1729</v>
      </c>
      <c r="AI672" s="32">
        <v>691.00692767999999</v>
      </c>
      <c r="AJ672" s="31" t="s">
        <v>3010</v>
      </c>
      <c r="AK672" s="31">
        <v>0.94499</v>
      </c>
      <c r="AL672" s="31">
        <v>691.00692767999999</v>
      </c>
      <c r="AM672" s="31">
        <v>40.225072319999981</v>
      </c>
      <c r="AN672" s="31">
        <v>2922.2433883000081</v>
      </c>
      <c r="AO672" s="31">
        <v>170.11038084041456</v>
      </c>
      <c r="AP672" s="31">
        <v>1.7836625810877749</v>
      </c>
      <c r="AQ672" s="31">
        <v>0.10383102317023296</v>
      </c>
      <c r="AR672" s="31">
        <v>0.13142849355358946</v>
      </c>
      <c r="AS672" s="31">
        <f t="shared" si="5"/>
        <v>380.05381022400002</v>
      </c>
    </row>
    <row r="673" spans="1:45" hidden="1" x14ac:dyDescent="0.5">
      <c r="A673" s="31">
        <v>672</v>
      </c>
      <c r="B673" s="31">
        <v>51</v>
      </c>
      <c r="C673" s="225" t="s">
        <v>9</v>
      </c>
      <c r="D673" s="35">
        <v>37.504578000000002</v>
      </c>
      <c r="E673" s="33">
        <v>121.95050500000001</v>
      </c>
      <c r="F673">
        <v>1.95</v>
      </c>
      <c r="G673">
        <f>F673*1609.344</f>
        <v>3138.2208000000001</v>
      </c>
      <c r="H673" s="32" t="s">
        <v>614</v>
      </c>
      <c r="I673">
        <v>19</v>
      </c>
      <c r="J673">
        <v>634.40573682727199</v>
      </c>
      <c r="K673" s="26">
        <v>2017</v>
      </c>
      <c r="L673" t="s">
        <v>30</v>
      </c>
      <c r="M673" s="32">
        <v>35</v>
      </c>
      <c r="N673">
        <v>3.7637779180000002</v>
      </c>
      <c r="O673">
        <v>5</v>
      </c>
      <c r="P673" t="s">
        <v>12</v>
      </c>
      <c r="Q673">
        <v>89</v>
      </c>
      <c r="R673" t="s">
        <v>13</v>
      </c>
      <c r="S673" t="s">
        <v>14</v>
      </c>
      <c r="T673" t="s">
        <v>14</v>
      </c>
      <c r="U673" s="34">
        <v>0</v>
      </c>
      <c r="V673" s="34">
        <v>5</v>
      </c>
      <c r="W673" s="25">
        <v>2.5</v>
      </c>
      <c r="X673" s="25">
        <v>5</v>
      </c>
      <c r="Y673">
        <v>0.61037440899999995</v>
      </c>
      <c r="Z673" t="s">
        <v>812</v>
      </c>
      <c r="AA673" t="s">
        <v>619</v>
      </c>
      <c r="AB673">
        <v>3</v>
      </c>
      <c r="AC673">
        <v>344.49099999999999</v>
      </c>
      <c r="AD673">
        <v>103.129</v>
      </c>
      <c r="AE673" t="s">
        <v>519</v>
      </c>
      <c r="AF673" t="s">
        <v>532</v>
      </c>
      <c r="AG673" s="32" t="s">
        <v>1730</v>
      </c>
      <c r="AH673" s="32" t="s">
        <v>1731</v>
      </c>
      <c r="AI673" s="32">
        <v>276.30245145999999</v>
      </c>
      <c r="AJ673" s="31" t="s">
        <v>3011</v>
      </c>
      <c r="AK673" s="31">
        <v>0.80206</v>
      </c>
      <c r="AL673" s="31">
        <v>276.30245145999999</v>
      </c>
      <c r="AM673" s="31">
        <v>68.188548539999999</v>
      </c>
      <c r="AN673" s="31">
        <v>1168.4731072970956</v>
      </c>
      <c r="AO673" s="31">
        <v>288.36691377002603</v>
      </c>
      <c r="AP673" s="31">
        <v>0.71320608229885818</v>
      </c>
      <c r="AQ673" s="31">
        <v>0.17601178456753361</v>
      </c>
      <c r="AR673" s="31">
        <v>0.13090283430916907</v>
      </c>
      <c r="AS673" s="31">
        <f t="shared" si="5"/>
        <v>151.96634830300002</v>
      </c>
    </row>
    <row r="674" spans="1:45" hidden="1" x14ac:dyDescent="0.5">
      <c r="A674" s="31">
        <v>673</v>
      </c>
      <c r="B674" s="31">
        <v>51</v>
      </c>
      <c r="C674" s="225" t="s">
        <v>9</v>
      </c>
      <c r="D674" s="35">
        <v>37.610947000000003</v>
      </c>
      <c r="E674" s="33">
        <v>121.710663</v>
      </c>
      <c r="F674">
        <v>10.54</v>
      </c>
      <c r="G674">
        <f>F674*1609.344</f>
        <v>16962.48576</v>
      </c>
      <c r="H674" s="32" t="s">
        <v>614</v>
      </c>
      <c r="I674">
        <v>20</v>
      </c>
      <c r="J674">
        <v>589.97525878051704</v>
      </c>
      <c r="K674" s="26">
        <v>2017</v>
      </c>
      <c r="L674" t="s">
        <v>30</v>
      </c>
      <c r="M674" s="32">
        <v>35</v>
      </c>
      <c r="N674">
        <v>3.7637779180000002</v>
      </c>
      <c r="O674">
        <v>5</v>
      </c>
      <c r="P674" t="s">
        <v>12</v>
      </c>
      <c r="Q674">
        <v>89</v>
      </c>
      <c r="R674" t="s">
        <v>13</v>
      </c>
      <c r="S674" t="s">
        <v>14</v>
      </c>
      <c r="T674" t="s">
        <v>14</v>
      </c>
      <c r="U674" s="34">
        <v>0</v>
      </c>
      <c r="V674" s="34">
        <v>5</v>
      </c>
      <c r="W674" s="25">
        <v>2.5</v>
      </c>
      <c r="X674" s="25">
        <v>5</v>
      </c>
      <c r="Y674">
        <v>0.61037440899999995</v>
      </c>
      <c r="Z674" t="s">
        <v>812</v>
      </c>
      <c r="AA674" t="s">
        <v>619</v>
      </c>
      <c r="AB674">
        <v>3</v>
      </c>
      <c r="AC674">
        <v>627.851</v>
      </c>
      <c r="AD674">
        <v>195.61099999999999</v>
      </c>
      <c r="AE674" t="s">
        <v>519</v>
      </c>
      <c r="AF674" t="s">
        <v>532</v>
      </c>
      <c r="AG674" s="32" t="s">
        <v>1732</v>
      </c>
      <c r="AH674" s="32" t="s">
        <v>1733</v>
      </c>
      <c r="AI674" s="32">
        <v>587.06579904</v>
      </c>
      <c r="AJ674" s="31" t="s">
        <v>3012</v>
      </c>
      <c r="AK674" s="31">
        <v>0.93503999999999998</v>
      </c>
      <c r="AL674" s="31">
        <v>587.06579904</v>
      </c>
      <c r="AM674" s="31">
        <v>40.785200959999997</v>
      </c>
      <c r="AN674" s="31">
        <v>2482.680102067166</v>
      </c>
      <c r="AO674" s="31">
        <v>172.47914466791056</v>
      </c>
      <c r="AP674" s="31">
        <v>1.5153644000353059</v>
      </c>
      <c r="AQ674" s="31">
        <v>0.1052768559915014</v>
      </c>
      <c r="AR674" s="31">
        <v>0.13077174832993385</v>
      </c>
      <c r="AS674" s="31">
        <f t="shared" si="5"/>
        <v>322.88618947200001</v>
      </c>
    </row>
    <row r="675" spans="1:45" hidden="1" x14ac:dyDescent="0.5">
      <c r="A675" s="31">
        <v>674</v>
      </c>
      <c r="B675" s="31">
        <v>51</v>
      </c>
      <c r="C675" s="225" t="s">
        <v>9</v>
      </c>
      <c r="D675" s="35">
        <v>37.612537000000003</v>
      </c>
      <c r="E675" s="33">
        <v>121.784526</v>
      </c>
      <c r="F675">
        <v>11.55</v>
      </c>
      <c r="G675">
        <f>F675*1609.344</f>
        <v>18587.923200000001</v>
      </c>
      <c r="H675" s="32" t="s">
        <v>614</v>
      </c>
      <c r="I675">
        <v>20</v>
      </c>
      <c r="J675">
        <v>599.65788619412399</v>
      </c>
      <c r="K675" s="26">
        <v>2017</v>
      </c>
      <c r="L675" t="s">
        <v>30</v>
      </c>
      <c r="M675" s="32">
        <v>35</v>
      </c>
      <c r="N675">
        <v>3.7637779180000002</v>
      </c>
      <c r="O675">
        <v>5</v>
      </c>
      <c r="P675" t="s">
        <v>12</v>
      </c>
      <c r="Q675">
        <v>89</v>
      </c>
      <c r="R675" t="s">
        <v>13</v>
      </c>
      <c r="S675" t="s">
        <v>14</v>
      </c>
      <c r="T675" t="s">
        <v>14</v>
      </c>
      <c r="U675" s="34">
        <v>0</v>
      </c>
      <c r="V675" s="34">
        <v>5</v>
      </c>
      <c r="W675" s="25">
        <v>2.5</v>
      </c>
      <c r="X675" s="25">
        <v>5</v>
      </c>
      <c r="Y675">
        <v>0.61037440899999995</v>
      </c>
      <c r="Z675" t="s">
        <v>812</v>
      </c>
      <c r="AA675" t="s">
        <v>619</v>
      </c>
      <c r="AB675">
        <v>3</v>
      </c>
      <c r="AC675">
        <v>163.72900000000001</v>
      </c>
      <c r="AD675">
        <v>71.665999999999997</v>
      </c>
      <c r="AE675" t="s">
        <v>519</v>
      </c>
      <c r="AF675" t="s">
        <v>532</v>
      </c>
      <c r="AG675" s="32" t="s">
        <v>1734</v>
      </c>
      <c r="AH675" s="32" t="s">
        <v>1735</v>
      </c>
      <c r="AI675" s="32">
        <v>143.33819034000001</v>
      </c>
      <c r="AJ675" s="31" t="s">
        <v>3013</v>
      </c>
      <c r="AK675" s="31">
        <v>0.87546000000000002</v>
      </c>
      <c r="AL675" s="31">
        <v>143.33819034000001</v>
      </c>
      <c r="AM675" s="31">
        <v>20.390809660000002</v>
      </c>
      <c r="AN675" s="31">
        <v>606.17204000873369</v>
      </c>
      <c r="AO675" s="31">
        <v>86.231999020729319</v>
      </c>
      <c r="AP675" s="31">
        <v>0.36999190067265514</v>
      </c>
      <c r="AQ675" s="31">
        <v>5.2633805439166237E-2</v>
      </c>
      <c r="AR675" s="31">
        <v>0.13077174832993385</v>
      </c>
      <c r="AS675" s="31">
        <f t="shared" si="5"/>
        <v>78.836004687000013</v>
      </c>
    </row>
    <row r="676" spans="1:45" hidden="1" x14ac:dyDescent="0.5">
      <c r="A676" s="31">
        <v>675</v>
      </c>
      <c r="B676" s="31">
        <v>51</v>
      </c>
      <c r="C676" s="225" t="s">
        <v>9</v>
      </c>
      <c r="D676" s="35">
        <v>37.615000000000002</v>
      </c>
      <c r="E676" s="33">
        <v>121.63577600000001</v>
      </c>
      <c r="F676">
        <v>6.81</v>
      </c>
      <c r="G676">
        <f>F676*1609.344</f>
        <v>10959.63264</v>
      </c>
      <c r="H676" s="32" t="s">
        <v>614</v>
      </c>
      <c r="I676">
        <v>20</v>
      </c>
      <c r="J676">
        <v>579.996380554035</v>
      </c>
      <c r="K676" s="26">
        <v>2017</v>
      </c>
      <c r="L676" t="s">
        <v>30</v>
      </c>
      <c r="M676" s="32">
        <v>35</v>
      </c>
      <c r="N676">
        <v>3.7637779180000002</v>
      </c>
      <c r="O676">
        <v>5</v>
      </c>
      <c r="P676" t="s">
        <v>12</v>
      </c>
      <c r="Q676">
        <v>89</v>
      </c>
      <c r="R676" t="s">
        <v>13</v>
      </c>
      <c r="S676" t="s">
        <v>14</v>
      </c>
      <c r="T676" t="s">
        <v>14</v>
      </c>
      <c r="U676" s="34">
        <v>0</v>
      </c>
      <c r="V676" s="34">
        <v>5</v>
      </c>
      <c r="W676" s="25">
        <v>2.5</v>
      </c>
      <c r="X676" s="25">
        <v>5</v>
      </c>
      <c r="Y676">
        <v>0.61037440899999995</v>
      </c>
      <c r="Z676" t="s">
        <v>812</v>
      </c>
      <c r="AA676" t="s">
        <v>619</v>
      </c>
      <c r="AB676">
        <v>3</v>
      </c>
      <c r="AC676">
        <v>191.07300000000001</v>
      </c>
      <c r="AD676">
        <v>95.34</v>
      </c>
      <c r="AE676" t="s">
        <v>519</v>
      </c>
      <c r="AF676" t="s">
        <v>532</v>
      </c>
      <c r="AG676" s="32" t="s">
        <v>1736</v>
      </c>
      <c r="AH676" s="32" t="s">
        <v>1737</v>
      </c>
      <c r="AI676" s="32">
        <v>191.00994591</v>
      </c>
      <c r="AJ676" s="31" t="s">
        <v>3014</v>
      </c>
      <c r="AK676" s="31">
        <v>0.99966999999999995</v>
      </c>
      <c r="AL676" s="31">
        <v>191.00994591</v>
      </c>
      <c r="AM676" s="31">
        <v>6.30540900000085E-2</v>
      </c>
      <c r="AN676" s="31">
        <v>807.77417588138474</v>
      </c>
      <c r="AO676" s="31">
        <v>0.26665347368720965</v>
      </c>
      <c r="AP676" s="31">
        <v>0.49304468520906225</v>
      </c>
      <c r="AQ676" s="31">
        <v>1.6275845640962764E-4</v>
      </c>
      <c r="AR676" s="31">
        <v>0.13077174832993385</v>
      </c>
      <c r="AS676" s="31">
        <f t="shared" si="5"/>
        <v>105.05547025050001</v>
      </c>
    </row>
    <row r="677" spans="1:45" hidden="1" x14ac:dyDescent="0.5">
      <c r="A677" s="31">
        <v>676</v>
      </c>
      <c r="B677" s="31">
        <v>51</v>
      </c>
      <c r="C677" s="225" t="s">
        <v>9</v>
      </c>
      <c r="D677" s="35">
        <v>37.603555</v>
      </c>
      <c r="E677" s="33">
        <v>121.829649</v>
      </c>
      <c r="F677">
        <v>9.77</v>
      </c>
      <c r="G677">
        <f>F677*1609.344</f>
        <v>15723.29088</v>
      </c>
      <c r="H677" s="32" t="s">
        <v>614</v>
      </c>
      <c r="I677">
        <v>22</v>
      </c>
      <c r="J677">
        <v>608.436764930815</v>
      </c>
      <c r="K677" s="26">
        <v>2017</v>
      </c>
      <c r="L677" t="s">
        <v>30</v>
      </c>
      <c r="M677" s="32">
        <v>35</v>
      </c>
      <c r="N677">
        <v>3.7637779180000002</v>
      </c>
      <c r="O677">
        <v>5</v>
      </c>
      <c r="P677" t="s">
        <v>12</v>
      </c>
      <c r="Q677">
        <v>89</v>
      </c>
      <c r="R677" t="s">
        <v>13</v>
      </c>
      <c r="S677" t="s">
        <v>14</v>
      </c>
      <c r="T677" t="s">
        <v>14</v>
      </c>
      <c r="U677" s="34">
        <v>0</v>
      </c>
      <c r="V677" s="34">
        <v>5</v>
      </c>
      <c r="W677" s="25">
        <v>2.5</v>
      </c>
      <c r="X677" s="25">
        <v>5</v>
      </c>
      <c r="Y677">
        <v>0.61037440899999995</v>
      </c>
      <c r="Z677" t="s">
        <v>812</v>
      </c>
      <c r="AA677" t="s">
        <v>619</v>
      </c>
      <c r="AB677">
        <v>3</v>
      </c>
      <c r="AC677">
        <v>444.73500000000001</v>
      </c>
      <c r="AD677">
        <v>129.94</v>
      </c>
      <c r="AE677" t="s">
        <v>519</v>
      </c>
      <c r="AF677" t="s">
        <v>532</v>
      </c>
      <c r="AG677" s="32" t="s">
        <v>1738</v>
      </c>
      <c r="AH677" s="32" t="s">
        <v>1739</v>
      </c>
      <c r="AI677" s="32">
        <v>384.07759334999997</v>
      </c>
      <c r="AJ677" s="31" t="s">
        <v>3015</v>
      </c>
      <c r="AK677" s="31">
        <v>0.86360999999999999</v>
      </c>
      <c r="AL677" s="31">
        <v>384.07759335000003</v>
      </c>
      <c r="AM677" s="31">
        <v>60.657406649999984</v>
      </c>
      <c r="AN677" s="31">
        <v>1624.2502973587793</v>
      </c>
      <c r="AO677" s="31">
        <v>256.51798619372619</v>
      </c>
      <c r="AP677" s="31">
        <v>0.99140081531843915</v>
      </c>
      <c r="AQ677" s="31">
        <v>0.15657201422086575</v>
      </c>
      <c r="AR677" s="31">
        <v>0.13050997004815151</v>
      </c>
      <c r="AS677" s="31">
        <f t="shared" si="5"/>
        <v>211.2426763425</v>
      </c>
    </row>
    <row r="678" spans="1:45" hidden="1" x14ac:dyDescent="0.5">
      <c r="A678" s="31">
        <v>677</v>
      </c>
      <c r="B678" s="31">
        <v>51</v>
      </c>
      <c r="C678" s="225" t="s">
        <v>9</v>
      </c>
      <c r="D678" s="35">
        <v>37.600991999999998</v>
      </c>
      <c r="E678" s="33">
        <v>121.91377</v>
      </c>
      <c r="F678">
        <v>9.1</v>
      </c>
      <c r="G678">
        <f>F678*1609.344</f>
        <v>14645.0304</v>
      </c>
      <c r="H678" s="32" t="s">
        <v>614</v>
      </c>
      <c r="I678">
        <v>23</v>
      </c>
      <c r="J678">
        <v>636.25847839033395</v>
      </c>
      <c r="K678" s="26">
        <v>2017</v>
      </c>
      <c r="L678" t="s">
        <v>30</v>
      </c>
      <c r="M678" s="32">
        <v>35</v>
      </c>
      <c r="N678">
        <v>3.7637779180000002</v>
      </c>
      <c r="O678">
        <v>5</v>
      </c>
      <c r="P678" t="s">
        <v>12</v>
      </c>
      <c r="Q678">
        <v>89</v>
      </c>
      <c r="R678" t="s">
        <v>13</v>
      </c>
      <c r="S678" t="s">
        <v>14</v>
      </c>
      <c r="T678" t="s">
        <v>14</v>
      </c>
      <c r="U678" s="34">
        <v>0</v>
      </c>
      <c r="V678" s="34">
        <v>5</v>
      </c>
      <c r="W678" s="25">
        <v>2.5</v>
      </c>
      <c r="X678" s="25">
        <v>5</v>
      </c>
      <c r="Y678">
        <v>0.61037440899999995</v>
      </c>
      <c r="Z678" t="s">
        <v>812</v>
      </c>
      <c r="AA678" t="s">
        <v>619</v>
      </c>
      <c r="AB678">
        <v>3</v>
      </c>
      <c r="AC678">
        <v>206.846</v>
      </c>
      <c r="AD678">
        <v>54.212000000000003</v>
      </c>
      <c r="AE678" t="s">
        <v>519</v>
      </c>
      <c r="AF678" t="s">
        <v>532</v>
      </c>
      <c r="AG678" s="32" t="s">
        <v>1740</v>
      </c>
      <c r="AH678" s="32" t="s">
        <v>1741</v>
      </c>
      <c r="AI678" s="32">
        <v>186.81917028000001</v>
      </c>
      <c r="AJ678" s="31" t="s">
        <v>3016</v>
      </c>
      <c r="AK678" s="31">
        <v>0.90317999999999998</v>
      </c>
      <c r="AL678" s="31">
        <v>186.81917028000001</v>
      </c>
      <c r="AM678" s="31">
        <v>20.026829719999995</v>
      </c>
      <c r="AN678" s="31">
        <v>790.0515368078045</v>
      </c>
      <c r="AO678" s="31">
        <v>84.692740974923723</v>
      </c>
      <c r="AP678" s="31">
        <v>0.48222723985860538</v>
      </c>
      <c r="AQ678" s="31">
        <v>5.1694281719159151E-2</v>
      </c>
      <c r="AR678" s="31">
        <v>0.13037927748282999</v>
      </c>
      <c r="AS678" s="31">
        <f t="shared" si="5"/>
        <v>102.75054365400001</v>
      </c>
    </row>
    <row r="679" spans="1:45" hidden="1" x14ac:dyDescent="0.5">
      <c r="A679" s="31">
        <v>678</v>
      </c>
      <c r="B679" s="31">
        <v>51</v>
      </c>
      <c r="C679" s="225" t="s">
        <v>9</v>
      </c>
      <c r="D679" s="35">
        <v>37.577157999999997</v>
      </c>
      <c r="E679" s="33">
        <v>122.10325</v>
      </c>
      <c r="F679">
        <v>1.03</v>
      </c>
      <c r="G679">
        <f>F679*1609.344</f>
        <v>1657.6243200000001</v>
      </c>
      <c r="H679" s="32" t="s">
        <v>614</v>
      </c>
      <c r="I679">
        <v>24</v>
      </c>
      <c r="J679">
        <v>708.85772944143298</v>
      </c>
      <c r="K679" s="26">
        <v>2017</v>
      </c>
      <c r="L679" t="s">
        <v>30</v>
      </c>
      <c r="M679" s="32">
        <v>35</v>
      </c>
      <c r="N679">
        <v>3.7637779180000002</v>
      </c>
      <c r="O679">
        <v>5</v>
      </c>
      <c r="P679" t="s">
        <v>12</v>
      </c>
      <c r="Q679">
        <v>89</v>
      </c>
      <c r="R679" t="s">
        <v>13</v>
      </c>
      <c r="S679" t="s">
        <v>14</v>
      </c>
      <c r="T679" t="s">
        <v>14</v>
      </c>
      <c r="U679" s="34">
        <v>0</v>
      </c>
      <c r="V679" s="34">
        <v>5</v>
      </c>
      <c r="W679" s="25">
        <v>2.5</v>
      </c>
      <c r="X679" s="25">
        <v>5</v>
      </c>
      <c r="Y679">
        <v>0.61037440899999995</v>
      </c>
      <c r="Z679" t="s">
        <v>812</v>
      </c>
      <c r="AA679" t="s">
        <v>619</v>
      </c>
      <c r="AB679">
        <v>3</v>
      </c>
      <c r="AC679">
        <v>353.26100000000002</v>
      </c>
      <c r="AD679">
        <v>97.525000000000006</v>
      </c>
      <c r="AE679" t="s">
        <v>519</v>
      </c>
      <c r="AF679" t="s">
        <v>532</v>
      </c>
      <c r="AG679" s="32" t="s">
        <v>1742</v>
      </c>
      <c r="AH679" s="32" t="s">
        <v>1743</v>
      </c>
      <c r="AI679" s="32">
        <v>338.90447296000002</v>
      </c>
      <c r="AJ679" s="31" t="s">
        <v>3017</v>
      </c>
      <c r="AK679" s="31">
        <v>0.95935999999999999</v>
      </c>
      <c r="AL679" s="31">
        <v>338.90447296000002</v>
      </c>
      <c r="AM679" s="31">
        <v>14.356527040000003</v>
      </c>
      <c r="AN679" s="31">
        <v>1433.2147995935686</v>
      </c>
      <c r="AO679" s="31">
        <v>60.713235339687543</v>
      </c>
      <c r="AP679" s="31">
        <v>0.87479763627197782</v>
      </c>
      <c r="AQ679" s="31">
        <v>3.7057805138939699E-2</v>
      </c>
      <c r="AR679" s="31">
        <v>0.13024871579292449</v>
      </c>
      <c r="AS679" s="31">
        <f t="shared" si="5"/>
        <v>186.39746012800003</v>
      </c>
    </row>
    <row r="680" spans="1:45" hidden="1" x14ac:dyDescent="0.5">
      <c r="A680" s="31">
        <v>679</v>
      </c>
      <c r="B680" s="31">
        <v>51</v>
      </c>
      <c r="C680" s="225" t="s">
        <v>9</v>
      </c>
      <c r="D680" s="35">
        <v>37.606701999999999</v>
      </c>
      <c r="E680" s="33">
        <v>122.079786</v>
      </c>
      <c r="F680">
        <v>2.4900000000000002</v>
      </c>
      <c r="G680">
        <f>F680*1609.344</f>
        <v>4007.2665600000005</v>
      </c>
      <c r="H680" s="32" t="s">
        <v>614</v>
      </c>
      <c r="I680">
        <v>24</v>
      </c>
      <c r="J680">
        <v>705.80451022928105</v>
      </c>
      <c r="K680" s="26">
        <v>2017</v>
      </c>
      <c r="L680" t="s">
        <v>30</v>
      </c>
      <c r="M680" s="32">
        <v>35</v>
      </c>
      <c r="N680">
        <v>3.7637779180000002</v>
      </c>
      <c r="O680">
        <v>5</v>
      </c>
      <c r="P680" t="s">
        <v>12</v>
      </c>
      <c r="Q680">
        <v>89</v>
      </c>
      <c r="R680" t="s">
        <v>13</v>
      </c>
      <c r="S680" t="s">
        <v>14</v>
      </c>
      <c r="T680" t="s">
        <v>14</v>
      </c>
      <c r="U680" s="34">
        <v>0</v>
      </c>
      <c r="V680" s="34">
        <v>5</v>
      </c>
      <c r="W680" s="25">
        <v>2.5</v>
      </c>
      <c r="X680" s="25">
        <v>5</v>
      </c>
      <c r="Y680">
        <v>0.61037440899999995</v>
      </c>
      <c r="Z680" t="s">
        <v>812</v>
      </c>
      <c r="AA680" t="s">
        <v>619</v>
      </c>
      <c r="AB680">
        <v>3</v>
      </c>
      <c r="AC680">
        <v>228.67099999999999</v>
      </c>
      <c r="AD680">
        <v>100.944</v>
      </c>
      <c r="AE680" t="s">
        <v>519</v>
      </c>
      <c r="AF680" t="s">
        <v>532</v>
      </c>
      <c r="AG680" s="32" t="s">
        <v>1744</v>
      </c>
      <c r="AH680" s="32" t="s">
        <v>1745</v>
      </c>
      <c r="AI680" s="32">
        <v>215.31661360000001</v>
      </c>
      <c r="AJ680" s="31" t="s">
        <v>3018</v>
      </c>
      <c r="AK680" s="31">
        <v>0.94159999999999999</v>
      </c>
      <c r="AL680" s="31">
        <v>215.31661359999998</v>
      </c>
      <c r="AM680" s="31">
        <v>13.35438640000001</v>
      </c>
      <c r="AN680" s="31">
        <v>910.56619735530171</v>
      </c>
      <c r="AO680" s="31">
        <v>56.475218697482646</v>
      </c>
      <c r="AP680" s="31">
        <v>0.55578630456611966</v>
      </c>
      <c r="AQ680" s="31">
        <v>3.4471028235621717E-2</v>
      </c>
      <c r="AR680" s="31">
        <v>0.13024871579292449</v>
      </c>
      <c r="AS680" s="31">
        <f t="shared" si="5"/>
        <v>118.42413748000001</v>
      </c>
    </row>
    <row r="681" spans="1:45" hidden="1" x14ac:dyDescent="0.5">
      <c r="A681" s="31">
        <v>680</v>
      </c>
      <c r="B681" s="31">
        <v>52</v>
      </c>
      <c r="C681" s="225" t="s">
        <v>9</v>
      </c>
      <c r="D681" s="35">
        <v>22.254625999999998</v>
      </c>
      <c r="E681" s="33">
        <v>113.860916</v>
      </c>
      <c r="F681">
        <v>0</v>
      </c>
      <c r="G681">
        <f>F681*1609.344</f>
        <v>0</v>
      </c>
      <c r="H681" s="32" t="s">
        <v>51</v>
      </c>
      <c r="I681">
        <v>0</v>
      </c>
      <c r="J681">
        <v>2993.3224121512299</v>
      </c>
      <c r="K681" s="26">
        <v>2016</v>
      </c>
      <c r="L681" t="s">
        <v>11</v>
      </c>
      <c r="M681" s="32">
        <v>250</v>
      </c>
      <c r="N681">
        <v>30.131484459999999</v>
      </c>
      <c r="O681">
        <v>5</v>
      </c>
      <c r="P681" t="s">
        <v>23</v>
      </c>
      <c r="Q681">
        <v>95.5</v>
      </c>
      <c r="R681" t="s">
        <v>13</v>
      </c>
      <c r="S681" t="s">
        <v>14</v>
      </c>
      <c r="T681" t="s">
        <v>14</v>
      </c>
      <c r="U681" s="34">
        <v>0</v>
      </c>
      <c r="V681" s="34">
        <v>3</v>
      </c>
      <c r="W681" s="25">
        <v>1.5</v>
      </c>
      <c r="X681" s="25">
        <v>3</v>
      </c>
      <c r="Y681">
        <v>0.64629065600000002</v>
      </c>
      <c r="Z681" t="s">
        <v>735</v>
      </c>
      <c r="AA681" t="s">
        <v>620</v>
      </c>
      <c r="AB681">
        <v>26</v>
      </c>
      <c r="AC681">
        <v>932</v>
      </c>
      <c r="AD681">
        <v>159</v>
      </c>
      <c r="AE681" t="s">
        <v>525</v>
      </c>
      <c r="AF681" t="s">
        <v>532</v>
      </c>
      <c r="AG681" s="32">
        <v>932</v>
      </c>
      <c r="AH681" s="32" t="s">
        <v>1746</v>
      </c>
      <c r="AI681" s="32" t="s">
        <v>1747</v>
      </c>
      <c r="AJ681" s="31" t="s">
        <v>3019</v>
      </c>
      <c r="AK681" s="31">
        <v>0.78312000000000004</v>
      </c>
      <c r="AL681" s="31">
        <v>729.86784</v>
      </c>
      <c r="AM681" s="31">
        <v>202.13216</v>
      </c>
      <c r="AN681" s="31">
        <v>23028.273799804992</v>
      </c>
      <c r="AO681" s="31">
        <v>6377.5309297447475</v>
      </c>
      <c r="AP681" s="31">
        <v>14.882958180623582</v>
      </c>
      <c r="AQ681" s="31">
        <v>4.1217386482450227</v>
      </c>
      <c r="AR681" s="31">
        <v>0.13341858489683281</v>
      </c>
    </row>
    <row r="682" spans="1:45" hidden="1" x14ac:dyDescent="0.5">
      <c r="A682" s="31">
        <v>681</v>
      </c>
      <c r="B682" s="31">
        <v>52</v>
      </c>
      <c r="C682" s="225" t="s">
        <v>9</v>
      </c>
      <c r="D682" s="35">
        <v>22.269666000000001</v>
      </c>
      <c r="E682" s="33">
        <v>113.887642</v>
      </c>
      <c r="F682">
        <v>0</v>
      </c>
      <c r="G682">
        <f>F682*1609.344</f>
        <v>0</v>
      </c>
      <c r="H682" s="32" t="s">
        <v>51</v>
      </c>
      <c r="I682">
        <v>0</v>
      </c>
      <c r="J682">
        <v>2996.0644137322802</v>
      </c>
      <c r="K682" s="26">
        <v>2016</v>
      </c>
      <c r="L682" t="s">
        <v>11</v>
      </c>
      <c r="M682" s="32">
        <v>250</v>
      </c>
      <c r="N682">
        <v>30.131484459999999</v>
      </c>
      <c r="O682">
        <v>5</v>
      </c>
      <c r="P682" t="s">
        <v>23</v>
      </c>
      <c r="Q682">
        <v>95.5</v>
      </c>
      <c r="R682" t="s">
        <v>13</v>
      </c>
      <c r="S682" t="s">
        <v>14</v>
      </c>
      <c r="T682" t="s">
        <v>14</v>
      </c>
      <c r="U682" s="34">
        <v>0</v>
      </c>
      <c r="V682" s="34">
        <v>3</v>
      </c>
      <c r="W682" s="25">
        <v>1.5</v>
      </c>
      <c r="X682" s="25">
        <v>3</v>
      </c>
      <c r="Y682">
        <v>0.64629065600000002</v>
      </c>
      <c r="Z682" t="s">
        <v>735</v>
      </c>
      <c r="AA682" t="s">
        <v>620</v>
      </c>
      <c r="AB682">
        <v>39</v>
      </c>
      <c r="AC682">
        <v>45.2</v>
      </c>
      <c r="AD682">
        <v>36.200000000000003</v>
      </c>
      <c r="AE682" t="s">
        <v>525</v>
      </c>
      <c r="AF682" t="s">
        <v>532</v>
      </c>
      <c r="AG682" s="32" t="s">
        <v>1748</v>
      </c>
      <c r="AH682" s="32" t="s">
        <v>1749</v>
      </c>
      <c r="AI682" s="32" t="s">
        <v>1750</v>
      </c>
      <c r="AJ682" s="31" t="s">
        <v>3020</v>
      </c>
      <c r="AK682" s="31">
        <v>0.71303000000000005</v>
      </c>
      <c r="AL682" s="31">
        <v>32.228956000000004</v>
      </c>
      <c r="AM682" s="31">
        <v>12.971043999999999</v>
      </c>
      <c r="AN682" s="31">
        <v>1016.8652218597108</v>
      </c>
      <c r="AO682" s="31">
        <v>409.25320493819493</v>
      </c>
      <c r="AP682" s="31">
        <v>0.65719049129929796</v>
      </c>
      <c r="AQ682" s="31">
        <v>0.26449652228960846</v>
      </c>
      <c r="AR682" s="31">
        <v>0.13341858489683281</v>
      </c>
    </row>
    <row r="683" spans="1:45" hidden="1" x14ac:dyDescent="0.5">
      <c r="A683" s="31">
        <v>682</v>
      </c>
      <c r="B683" s="31">
        <v>52</v>
      </c>
      <c r="C683" s="225" t="s">
        <v>9</v>
      </c>
      <c r="D683" s="35">
        <v>22.287178999999998</v>
      </c>
      <c r="E683" s="33">
        <v>113.924792</v>
      </c>
      <c r="F683">
        <v>0</v>
      </c>
      <c r="G683">
        <f>F683*1609.344</f>
        <v>0</v>
      </c>
      <c r="H683" s="32" t="s">
        <v>51</v>
      </c>
      <c r="I683">
        <v>0</v>
      </c>
      <c r="J683">
        <v>2982.6529540311099</v>
      </c>
      <c r="K683" s="26">
        <v>2016</v>
      </c>
      <c r="L683" t="s">
        <v>11</v>
      </c>
      <c r="M683" s="32">
        <v>250</v>
      </c>
      <c r="N683">
        <v>30.131484459999999</v>
      </c>
      <c r="O683">
        <v>5</v>
      </c>
      <c r="P683" t="s">
        <v>23</v>
      </c>
      <c r="Q683">
        <v>95.5</v>
      </c>
      <c r="R683" t="s">
        <v>13</v>
      </c>
      <c r="S683" t="s">
        <v>14</v>
      </c>
      <c r="T683" t="s">
        <v>14</v>
      </c>
      <c r="U683" s="34">
        <v>0</v>
      </c>
      <c r="V683" s="34">
        <v>3</v>
      </c>
      <c r="W683" s="25">
        <v>1.5</v>
      </c>
      <c r="X683" s="25">
        <v>3</v>
      </c>
      <c r="Y683">
        <v>0.64629065600000002</v>
      </c>
      <c r="Z683" t="s">
        <v>735</v>
      </c>
      <c r="AA683" t="s">
        <v>620</v>
      </c>
      <c r="AB683">
        <v>26</v>
      </c>
      <c r="AC683">
        <v>26.1</v>
      </c>
      <c r="AD683">
        <v>4.46</v>
      </c>
      <c r="AE683" t="s">
        <v>525</v>
      </c>
      <c r="AF683" t="s">
        <v>532</v>
      </c>
      <c r="AG683" s="32" t="s">
        <v>1751</v>
      </c>
      <c r="AH683" s="32" t="s">
        <v>1752</v>
      </c>
      <c r="AI683" s="32" t="s">
        <v>1753</v>
      </c>
      <c r="AJ683" s="31" t="s">
        <v>3021</v>
      </c>
      <c r="AK683" s="31">
        <v>0.21265000000000001</v>
      </c>
      <c r="AL683" s="31">
        <v>5.5501650000000007</v>
      </c>
      <c r="AM683" s="31">
        <v>20.549835000000002</v>
      </c>
      <c r="AN683" s="31">
        <v>175.1148800501947</v>
      </c>
      <c r="AO683" s="31">
        <v>648.37385754771105</v>
      </c>
      <c r="AP683" s="31">
        <v>0.11317511070300165</v>
      </c>
      <c r="AQ683" s="31">
        <v>0.41903796572776075</v>
      </c>
      <c r="AR683" s="31">
        <v>0.13341858489683281</v>
      </c>
    </row>
    <row r="684" spans="1:45" hidden="1" x14ac:dyDescent="0.5">
      <c r="A684" s="31">
        <v>683</v>
      </c>
      <c r="B684" s="31">
        <v>52</v>
      </c>
      <c r="C684" s="225" t="s">
        <v>9</v>
      </c>
      <c r="D684" s="44">
        <v>22.354490999999999</v>
      </c>
      <c r="E684" s="45">
        <v>114.252762</v>
      </c>
      <c r="F684">
        <v>0</v>
      </c>
      <c r="G684">
        <f>F684*1609.344</f>
        <v>0</v>
      </c>
      <c r="H684" s="32" t="s">
        <v>51</v>
      </c>
      <c r="I684">
        <v>0</v>
      </c>
      <c r="J684">
        <v>2734.1112612530801</v>
      </c>
      <c r="K684" s="26">
        <v>2016</v>
      </c>
      <c r="L684" t="s">
        <v>11</v>
      </c>
      <c r="M684" s="32">
        <v>250</v>
      </c>
      <c r="N684">
        <v>30.131484459999999</v>
      </c>
      <c r="O684">
        <v>5</v>
      </c>
      <c r="P684" t="s">
        <v>23</v>
      </c>
      <c r="Q684">
        <v>95.5</v>
      </c>
      <c r="R684" t="s">
        <v>13</v>
      </c>
      <c r="S684" t="s">
        <v>14</v>
      </c>
      <c r="T684" t="s">
        <v>14</v>
      </c>
      <c r="U684" s="34">
        <v>0</v>
      </c>
      <c r="V684" s="34">
        <v>3</v>
      </c>
      <c r="W684" s="25">
        <v>1.5</v>
      </c>
      <c r="X684" s="25">
        <v>3</v>
      </c>
      <c r="Y684">
        <v>0.64629065600000002</v>
      </c>
      <c r="Z684" t="s">
        <v>735</v>
      </c>
      <c r="AA684" t="s">
        <v>620</v>
      </c>
      <c r="AB684">
        <v>39</v>
      </c>
      <c r="AC684">
        <v>44.8</v>
      </c>
      <c r="AD684">
        <v>28.9</v>
      </c>
      <c r="AE684" t="s">
        <v>525</v>
      </c>
      <c r="AF684" t="s">
        <v>532</v>
      </c>
      <c r="AG684" s="32" t="s">
        <v>1754</v>
      </c>
      <c r="AH684" s="32" t="s">
        <v>1755</v>
      </c>
      <c r="AI684" s="32" t="s">
        <v>1756</v>
      </c>
      <c r="AJ684" s="31" t="s">
        <v>3022</v>
      </c>
      <c r="AK684" s="31">
        <v>0.45047999999999999</v>
      </c>
      <c r="AL684" s="31">
        <v>20.181503999999997</v>
      </c>
      <c r="AM684" s="31">
        <v>24.618496</v>
      </c>
      <c r="AN684" s="31">
        <v>636.75253838264678</v>
      </c>
      <c r="AO684" s="31">
        <v>776.74537136394986</v>
      </c>
      <c r="AP684" s="31">
        <v>0.411527215740986</v>
      </c>
      <c r="AQ684" s="31">
        <v>0.50200327560377078</v>
      </c>
      <c r="AR684" s="31">
        <v>0.13341858489683281</v>
      </c>
    </row>
    <row r="685" spans="1:45" hidden="1" x14ac:dyDescent="0.5">
      <c r="A685" s="31">
        <v>684</v>
      </c>
      <c r="B685" s="31">
        <v>52</v>
      </c>
      <c r="C685" s="225" t="s">
        <v>9</v>
      </c>
      <c r="D685" s="44">
        <v>22.384367000000001</v>
      </c>
      <c r="E685" s="45">
        <v>114.316624</v>
      </c>
      <c r="F685">
        <v>0</v>
      </c>
      <c r="G685">
        <f>F685*1609.344</f>
        <v>0</v>
      </c>
      <c r="H685" s="32" t="s">
        <v>51</v>
      </c>
      <c r="I685">
        <v>0</v>
      </c>
      <c r="J685">
        <v>2659.5329384770498</v>
      </c>
      <c r="K685" s="26">
        <v>2016</v>
      </c>
      <c r="L685" t="s">
        <v>11</v>
      </c>
      <c r="M685" s="32">
        <v>250</v>
      </c>
      <c r="N685">
        <v>30.131484459999999</v>
      </c>
      <c r="O685">
        <v>5</v>
      </c>
      <c r="P685" t="s">
        <v>23</v>
      </c>
      <c r="Q685">
        <v>95.5</v>
      </c>
      <c r="R685" t="s">
        <v>13</v>
      </c>
      <c r="S685" t="s">
        <v>14</v>
      </c>
      <c r="T685" t="s">
        <v>14</v>
      </c>
      <c r="U685" s="34">
        <v>0</v>
      </c>
      <c r="V685" s="34">
        <v>3</v>
      </c>
      <c r="W685" s="25">
        <v>1.5</v>
      </c>
      <c r="X685" s="25">
        <v>3</v>
      </c>
      <c r="Y685">
        <v>0.64629065600000002</v>
      </c>
      <c r="Z685" t="s">
        <v>735</v>
      </c>
      <c r="AA685" t="s">
        <v>620</v>
      </c>
      <c r="AB685">
        <v>26</v>
      </c>
      <c r="AC685">
        <v>24.2</v>
      </c>
      <c r="AD685">
        <v>23.5</v>
      </c>
      <c r="AE685" t="s">
        <v>525</v>
      </c>
      <c r="AF685" t="s">
        <v>532</v>
      </c>
      <c r="AG685" s="32" t="s">
        <v>1757</v>
      </c>
      <c r="AH685" s="32" t="s">
        <v>1758</v>
      </c>
      <c r="AI685" s="32" t="s">
        <v>1759</v>
      </c>
      <c r="AJ685" s="31" t="s">
        <v>3023</v>
      </c>
      <c r="AK685" s="31">
        <v>0.59887000000000001</v>
      </c>
      <c r="AL685" s="31">
        <v>14.492654</v>
      </c>
      <c r="AM685" s="31">
        <v>9.7073459999999994</v>
      </c>
      <c r="AN685" s="31">
        <v>457.26196731430031</v>
      </c>
      <c r="AO685" s="31">
        <v>306.27931428988808</v>
      </c>
      <c r="AP685" s="31">
        <v>0.2955241368194097</v>
      </c>
      <c r="AQ685" s="31">
        <v>0.19794545895164195</v>
      </c>
      <c r="AR685" s="31">
        <v>0.13341858489683281</v>
      </c>
    </row>
    <row r="686" spans="1:45" hidden="1" x14ac:dyDescent="0.5">
      <c r="A686" s="31">
        <v>685</v>
      </c>
      <c r="B686" s="31">
        <v>52</v>
      </c>
      <c r="C686" s="225" t="s">
        <v>9</v>
      </c>
      <c r="D686" s="44">
        <v>22.421745999999999</v>
      </c>
      <c r="E686" s="45">
        <v>114.350607</v>
      </c>
      <c r="F686">
        <v>0</v>
      </c>
      <c r="G686">
        <f>F686*1609.344</f>
        <v>0</v>
      </c>
      <c r="H686" s="32" t="s">
        <v>51</v>
      </c>
      <c r="I686">
        <v>0</v>
      </c>
      <c r="J686">
        <v>2564.4965399344801</v>
      </c>
      <c r="K686" s="26">
        <v>2016</v>
      </c>
      <c r="L686" t="s">
        <v>11</v>
      </c>
      <c r="M686" s="32">
        <v>250</v>
      </c>
      <c r="N686">
        <v>30.131484459999999</v>
      </c>
      <c r="O686">
        <v>5</v>
      </c>
      <c r="P686" t="s">
        <v>23</v>
      </c>
      <c r="Q686">
        <v>95.5</v>
      </c>
      <c r="R686" t="s">
        <v>13</v>
      </c>
      <c r="S686" t="s">
        <v>14</v>
      </c>
      <c r="T686" t="s">
        <v>14</v>
      </c>
      <c r="U686" s="34">
        <v>0</v>
      </c>
      <c r="V686" s="34">
        <v>3</v>
      </c>
      <c r="W686" s="25">
        <v>1.5</v>
      </c>
      <c r="X686" s="25">
        <v>3</v>
      </c>
      <c r="Y686">
        <v>0.64629065600000002</v>
      </c>
      <c r="Z686" t="s">
        <v>735</v>
      </c>
      <c r="AA686" t="s">
        <v>620</v>
      </c>
      <c r="AB686">
        <v>39</v>
      </c>
      <c r="AC686">
        <v>1.42</v>
      </c>
      <c r="AD686">
        <v>0.72</v>
      </c>
      <c r="AE686" t="s">
        <v>525</v>
      </c>
      <c r="AF686" t="s">
        <v>532</v>
      </c>
      <c r="AG686" s="32" t="s">
        <v>1760</v>
      </c>
      <c r="AH686" s="32" t="s">
        <v>1761</v>
      </c>
      <c r="AI686" s="32" t="s">
        <v>1762</v>
      </c>
      <c r="AJ686" s="31" t="s">
        <v>3024</v>
      </c>
      <c r="AK686" s="31">
        <v>0.45141999999999999</v>
      </c>
      <c r="AL686" s="31">
        <v>0.64101639999999993</v>
      </c>
      <c r="AM686" s="31">
        <v>0.7789836</v>
      </c>
      <c r="AN686" s="31">
        <v>20.224896015921615</v>
      </c>
      <c r="AO686" s="31">
        <v>24.57793951622498</v>
      </c>
      <c r="AP686" s="31">
        <v>1.3071161313661766E-2</v>
      </c>
      <c r="AQ686" s="31">
        <v>1.5884492653069366E-2</v>
      </c>
      <c r="AR686" s="31">
        <v>0.13341858489683281</v>
      </c>
    </row>
    <row r="687" spans="1:45" hidden="1" x14ac:dyDescent="0.5">
      <c r="A687" s="31">
        <v>686</v>
      </c>
      <c r="B687" s="31">
        <v>52</v>
      </c>
      <c r="C687" s="225" t="s">
        <v>9</v>
      </c>
      <c r="D687" s="35">
        <v>22.439406000000002</v>
      </c>
      <c r="E687" s="33">
        <v>113.94734099999999</v>
      </c>
      <c r="F687">
        <v>0</v>
      </c>
      <c r="G687">
        <f>F687*1609.344</f>
        <v>0</v>
      </c>
      <c r="H687" s="32" t="s">
        <v>51</v>
      </c>
      <c r="I687">
        <v>0</v>
      </c>
      <c r="J687">
        <v>2937.3099763947898</v>
      </c>
      <c r="K687" s="26">
        <v>2016</v>
      </c>
      <c r="L687" t="s">
        <v>11</v>
      </c>
      <c r="M687" s="32">
        <v>250</v>
      </c>
      <c r="N687">
        <v>30.131484459999999</v>
      </c>
      <c r="O687">
        <v>5</v>
      </c>
      <c r="P687" t="s">
        <v>23</v>
      </c>
      <c r="Q687">
        <v>95.5</v>
      </c>
      <c r="R687" t="s">
        <v>13</v>
      </c>
      <c r="S687" t="s">
        <v>14</v>
      </c>
      <c r="T687" t="s">
        <v>14</v>
      </c>
      <c r="U687" s="34">
        <v>0</v>
      </c>
      <c r="V687" s="34">
        <v>3</v>
      </c>
      <c r="W687" s="25">
        <v>1.5</v>
      </c>
      <c r="X687" s="25">
        <v>3</v>
      </c>
      <c r="Y687">
        <v>0.64629065600000002</v>
      </c>
      <c r="Z687" t="s">
        <v>735</v>
      </c>
      <c r="AA687" t="s">
        <v>620</v>
      </c>
      <c r="AB687">
        <v>26</v>
      </c>
      <c r="AC687">
        <v>20.5</v>
      </c>
      <c r="AD687">
        <v>15.4</v>
      </c>
      <c r="AE687" t="s">
        <v>525</v>
      </c>
      <c r="AF687" t="s">
        <v>532</v>
      </c>
      <c r="AG687" s="32" t="s">
        <v>1369</v>
      </c>
      <c r="AH687" s="32" t="s">
        <v>1763</v>
      </c>
      <c r="AI687" s="32" t="s">
        <v>1764</v>
      </c>
      <c r="AJ687" s="31" t="s">
        <v>3025</v>
      </c>
      <c r="AK687" s="31">
        <v>0.97770000000000001</v>
      </c>
      <c r="AL687" s="31">
        <v>20.042850000000001</v>
      </c>
      <c r="AM687" s="31">
        <v>0.45714999999999861</v>
      </c>
      <c r="AN687" s="31">
        <v>632.3778254545665</v>
      </c>
      <c r="AO687" s="31">
        <v>14.423673425014616</v>
      </c>
      <c r="AP687" s="31">
        <v>0.40869987965288535</v>
      </c>
      <c r="AQ687" s="31">
        <v>9.3218853597824645E-3</v>
      </c>
      <c r="AR687" s="31">
        <v>0.13341858489683281</v>
      </c>
    </row>
    <row r="688" spans="1:45" hidden="1" x14ac:dyDescent="0.5">
      <c r="A688" s="31">
        <v>687</v>
      </c>
      <c r="B688" s="31">
        <v>52</v>
      </c>
      <c r="C688" s="225" t="s">
        <v>9</v>
      </c>
      <c r="D688" s="41">
        <v>22.473140000000001</v>
      </c>
      <c r="E688" s="43">
        <v>113.986442</v>
      </c>
      <c r="F688">
        <v>0</v>
      </c>
      <c r="G688">
        <f>F688*1609.344</f>
        <v>0</v>
      </c>
      <c r="H688" s="32" t="s">
        <v>51</v>
      </c>
      <c r="I688">
        <v>0</v>
      </c>
      <c r="J688">
        <v>2860.4296817606901</v>
      </c>
      <c r="K688" s="26">
        <v>2016</v>
      </c>
      <c r="L688" t="s">
        <v>11</v>
      </c>
      <c r="M688" s="32">
        <v>250</v>
      </c>
      <c r="N688">
        <v>30.131484459999999</v>
      </c>
      <c r="O688">
        <v>5</v>
      </c>
      <c r="P688" t="s">
        <v>23</v>
      </c>
      <c r="Q688">
        <v>95.5</v>
      </c>
      <c r="R688" t="s">
        <v>13</v>
      </c>
      <c r="S688" t="s">
        <v>14</v>
      </c>
      <c r="T688" t="s">
        <v>14</v>
      </c>
      <c r="U688" s="34">
        <v>0</v>
      </c>
      <c r="V688" s="34">
        <v>3</v>
      </c>
      <c r="W688" s="25">
        <v>1.5</v>
      </c>
      <c r="X688" s="25">
        <v>3</v>
      </c>
      <c r="Y688">
        <v>0.64629065600000002</v>
      </c>
      <c r="Z688" t="s">
        <v>735</v>
      </c>
      <c r="AA688" t="s">
        <v>620</v>
      </c>
      <c r="AB688">
        <v>39</v>
      </c>
      <c r="AC688">
        <v>1270</v>
      </c>
      <c r="AD688">
        <v>478</v>
      </c>
      <c r="AE688" t="s">
        <v>525</v>
      </c>
      <c r="AF688" t="s">
        <v>532</v>
      </c>
      <c r="AG688" s="32">
        <v>1270</v>
      </c>
      <c r="AH688" s="32" t="s">
        <v>1765</v>
      </c>
      <c r="AI688" s="32" t="s">
        <v>1766</v>
      </c>
      <c r="AJ688" s="31" t="s">
        <v>3026</v>
      </c>
      <c r="AK688" s="31">
        <v>0.99555000000000005</v>
      </c>
      <c r="AL688" s="31">
        <v>1264.3485000000001</v>
      </c>
      <c r="AM688" s="31">
        <v>5.6514999999999418</v>
      </c>
      <c r="AN688" s="31">
        <v>39891.829507617083</v>
      </c>
      <c r="AO688" s="31">
        <v>178.31213028867882</v>
      </c>
      <c r="AP688" s="31">
        <v>25.781716661518001</v>
      </c>
      <c r="AQ688" s="31">
        <v>0.1152414636570277</v>
      </c>
      <c r="AR688" s="31">
        <v>0.13341858489683281</v>
      </c>
    </row>
    <row r="689" spans="1:44" hidden="1" x14ac:dyDescent="0.5">
      <c r="A689" s="31">
        <v>688</v>
      </c>
      <c r="B689" s="31">
        <v>52</v>
      </c>
      <c r="C689" s="225" t="s">
        <v>9</v>
      </c>
      <c r="D689" s="44">
        <v>22.526226999999999</v>
      </c>
      <c r="E689" s="45">
        <v>114.21233100000001</v>
      </c>
      <c r="F689">
        <v>0</v>
      </c>
      <c r="G689">
        <f>F689*1609.344</f>
        <v>0</v>
      </c>
      <c r="H689" s="32" t="s">
        <v>51</v>
      </c>
      <c r="I689">
        <v>0</v>
      </c>
      <c r="J689">
        <v>2415.5100496280502</v>
      </c>
      <c r="K689" s="26">
        <v>2016</v>
      </c>
      <c r="L689" t="s">
        <v>11</v>
      </c>
      <c r="M689" s="32">
        <v>250</v>
      </c>
      <c r="N689">
        <v>30.131484459999999</v>
      </c>
      <c r="O689">
        <v>5</v>
      </c>
      <c r="P689" t="s">
        <v>23</v>
      </c>
      <c r="Q689">
        <v>95.5</v>
      </c>
      <c r="R689" t="s">
        <v>13</v>
      </c>
      <c r="S689" t="s">
        <v>14</v>
      </c>
      <c r="T689" t="s">
        <v>14</v>
      </c>
      <c r="U689" s="34">
        <v>0</v>
      </c>
      <c r="V689" s="34">
        <v>3</v>
      </c>
      <c r="W689" s="25">
        <v>1.5</v>
      </c>
      <c r="X689" s="25">
        <v>3</v>
      </c>
      <c r="Y689">
        <v>0.64629065600000002</v>
      </c>
      <c r="Z689" t="s">
        <v>735</v>
      </c>
      <c r="AA689" t="s">
        <v>620</v>
      </c>
      <c r="AB689">
        <v>39</v>
      </c>
      <c r="AC689">
        <v>60.4</v>
      </c>
      <c r="AD689">
        <v>5.63</v>
      </c>
      <c r="AE689" t="s">
        <v>525</v>
      </c>
      <c r="AF689" t="s">
        <v>532</v>
      </c>
      <c r="AG689" s="32" t="s">
        <v>1767</v>
      </c>
      <c r="AH689" s="32" t="s">
        <v>1768</v>
      </c>
      <c r="AI689" s="32" t="s">
        <v>1769</v>
      </c>
      <c r="AJ689" s="31" t="s">
        <v>3027</v>
      </c>
      <c r="AK689" s="31">
        <v>0.48318</v>
      </c>
      <c r="AL689" s="31">
        <v>29.184072</v>
      </c>
      <c r="AM689" s="31">
        <v>31.215927999999998</v>
      </c>
      <c r="AN689" s="31">
        <v>920.79519575656673</v>
      </c>
      <c r="AO689" s="31">
        <v>984.90287899107739</v>
      </c>
      <c r="AP689" s="31">
        <v>0.59510133110716001</v>
      </c>
      <c r="AQ689" s="31">
        <v>0.63653352775943206</v>
      </c>
      <c r="AR689" s="31">
        <v>0.13341858489683281</v>
      </c>
    </row>
    <row r="690" spans="1:44" hidden="1" x14ac:dyDescent="0.5">
      <c r="A690" s="31">
        <v>689</v>
      </c>
      <c r="B690" s="31">
        <v>52</v>
      </c>
      <c r="C690" s="225" t="s">
        <v>9</v>
      </c>
      <c r="D690" s="44">
        <v>22.526533000000001</v>
      </c>
      <c r="E690" s="45">
        <v>114.261692</v>
      </c>
      <c r="F690">
        <v>0</v>
      </c>
      <c r="G690">
        <f>F690*1609.344</f>
        <v>0</v>
      </c>
      <c r="H690" s="32" t="s">
        <v>51</v>
      </c>
      <c r="I690">
        <v>0</v>
      </c>
      <c r="J690">
        <v>2369.58818259585</v>
      </c>
      <c r="K690" s="26">
        <v>2016</v>
      </c>
      <c r="L690" t="s">
        <v>11</v>
      </c>
      <c r="M690" s="32">
        <v>250</v>
      </c>
      <c r="N690">
        <v>30.131484459999999</v>
      </c>
      <c r="O690">
        <v>5</v>
      </c>
      <c r="P690" t="s">
        <v>23</v>
      </c>
      <c r="Q690">
        <v>95.5</v>
      </c>
      <c r="R690" t="s">
        <v>13</v>
      </c>
      <c r="S690" t="s">
        <v>14</v>
      </c>
      <c r="T690" t="s">
        <v>14</v>
      </c>
      <c r="U690" s="34">
        <v>0</v>
      </c>
      <c r="V690" s="34">
        <v>3</v>
      </c>
      <c r="W690" s="25">
        <v>1.5</v>
      </c>
      <c r="X690" s="25">
        <v>3</v>
      </c>
      <c r="Y690">
        <v>0.64629065600000002</v>
      </c>
      <c r="Z690" t="s">
        <v>735</v>
      </c>
      <c r="AA690" t="s">
        <v>620</v>
      </c>
      <c r="AB690">
        <v>39</v>
      </c>
      <c r="AC690">
        <v>49.6</v>
      </c>
      <c r="AD690">
        <v>51.1</v>
      </c>
      <c r="AE690" t="s">
        <v>525</v>
      </c>
      <c r="AF690" t="s">
        <v>532</v>
      </c>
      <c r="AG690" s="32" t="s">
        <v>1770</v>
      </c>
      <c r="AH690" s="32" t="s">
        <v>1771</v>
      </c>
      <c r="AI690" s="32" t="s">
        <v>1772</v>
      </c>
      <c r="AJ690" s="31" t="s">
        <v>3028</v>
      </c>
      <c r="AK690" s="31">
        <v>0.80369000000000002</v>
      </c>
      <c r="AL690" s="31">
        <v>39.863024000000003</v>
      </c>
      <c r="AM690" s="31">
        <v>9.7369759999999985</v>
      </c>
      <c r="AN690" s="31">
        <v>1257.7299352718398</v>
      </c>
      <c r="AO690" s="31">
        <v>307.2141790904638</v>
      </c>
      <c r="AP690" s="31">
        <v>0.81285910493767499</v>
      </c>
      <c r="AQ690" s="31">
        <v>0.19854965333687732</v>
      </c>
      <c r="AR690" s="31">
        <v>0.13341858489683281</v>
      </c>
    </row>
    <row r="691" spans="1:44" hidden="1" x14ac:dyDescent="0.5">
      <c r="A691" s="31">
        <v>690</v>
      </c>
      <c r="B691" s="31">
        <v>52</v>
      </c>
      <c r="C691" s="225" t="s">
        <v>9</v>
      </c>
      <c r="D691" s="44">
        <v>22.221118000000001</v>
      </c>
      <c r="E691" s="45">
        <v>113.918824</v>
      </c>
      <c r="F691">
        <v>0</v>
      </c>
      <c r="G691">
        <f>F691*1609.344</f>
        <v>0</v>
      </c>
      <c r="H691" s="32" t="s">
        <v>10</v>
      </c>
      <c r="I691">
        <v>0</v>
      </c>
      <c r="J691">
        <v>3060.82064267537</v>
      </c>
      <c r="K691" s="26">
        <v>2016</v>
      </c>
      <c r="L691" t="s">
        <v>11</v>
      </c>
      <c r="M691" s="32">
        <v>250</v>
      </c>
      <c r="N691">
        <v>30.131484459999999</v>
      </c>
      <c r="O691">
        <v>5</v>
      </c>
      <c r="P691" t="s">
        <v>23</v>
      </c>
      <c r="Q691">
        <v>95.5</v>
      </c>
      <c r="R691" t="s">
        <v>13</v>
      </c>
      <c r="S691" t="s">
        <v>14</v>
      </c>
      <c r="T691" t="s">
        <v>14</v>
      </c>
      <c r="U691" s="34">
        <v>0</v>
      </c>
      <c r="V691" s="34">
        <v>3</v>
      </c>
      <c r="W691" s="25">
        <v>1.5</v>
      </c>
      <c r="X691" s="25">
        <v>3</v>
      </c>
      <c r="Y691">
        <v>0.64629065600000002</v>
      </c>
      <c r="Z691" t="s">
        <v>735</v>
      </c>
      <c r="AA691" t="s">
        <v>620</v>
      </c>
      <c r="AB691">
        <v>26</v>
      </c>
      <c r="AC691">
        <v>4.2699999999999996</v>
      </c>
      <c r="AD691">
        <v>3.12</v>
      </c>
      <c r="AE691" t="s">
        <v>525</v>
      </c>
      <c r="AF691" t="s">
        <v>532</v>
      </c>
      <c r="AG691" s="32" t="s">
        <v>1773</v>
      </c>
      <c r="AH691" s="32" t="s">
        <v>1774</v>
      </c>
      <c r="AI691" s="32" t="s">
        <v>1775</v>
      </c>
      <c r="AJ691" s="31" t="s">
        <v>3029</v>
      </c>
      <c r="AK691" s="31">
        <v>0.63210999999999995</v>
      </c>
      <c r="AL691" s="31">
        <v>2.6991096999999997</v>
      </c>
      <c r="AM691" s="31">
        <v>1.5708902999999999</v>
      </c>
      <c r="AN691" s="31">
        <v>85.160399980508117</v>
      </c>
      <c r="AO691" s="31">
        <v>49.563619542214383</v>
      </c>
      <c r="AP691" s="31">
        <v>5.5038370768624979E-2</v>
      </c>
      <c r="AQ691" s="31">
        <v>3.2032504187672152E-2</v>
      </c>
      <c r="AR691" s="31">
        <v>0.13341858489683281</v>
      </c>
    </row>
    <row r="692" spans="1:44" hidden="1" x14ac:dyDescent="0.5">
      <c r="A692" s="31">
        <v>691</v>
      </c>
      <c r="B692" s="31">
        <v>52</v>
      </c>
      <c r="C692" s="225" t="s">
        <v>9</v>
      </c>
      <c r="D692" s="44">
        <v>22.229848</v>
      </c>
      <c r="E692" s="45">
        <v>114.23554799999999</v>
      </c>
      <c r="F692">
        <v>0</v>
      </c>
      <c r="G692">
        <f>F692*1609.344</f>
        <v>0</v>
      </c>
      <c r="H692" s="32" t="s">
        <v>10</v>
      </c>
      <c r="I692">
        <v>0</v>
      </c>
      <c r="J692">
        <v>3071.50117285121</v>
      </c>
      <c r="K692" s="26">
        <v>2016</v>
      </c>
      <c r="L692" t="s">
        <v>11</v>
      </c>
      <c r="M692" s="32">
        <v>250</v>
      </c>
      <c r="N692">
        <v>30.131484459999999</v>
      </c>
      <c r="O692">
        <v>5</v>
      </c>
      <c r="P692" t="s">
        <v>23</v>
      </c>
      <c r="Q692">
        <v>95.5</v>
      </c>
      <c r="R692" t="s">
        <v>13</v>
      </c>
      <c r="S692" t="s">
        <v>14</v>
      </c>
      <c r="T692" t="s">
        <v>14</v>
      </c>
      <c r="U692" s="34">
        <v>0</v>
      </c>
      <c r="V692" s="34">
        <v>3</v>
      </c>
      <c r="W692" s="25">
        <v>1.5</v>
      </c>
      <c r="X692" s="25">
        <v>3</v>
      </c>
      <c r="Y692">
        <v>0.64629065600000002</v>
      </c>
      <c r="Z692" t="s">
        <v>735</v>
      </c>
      <c r="AA692" t="s">
        <v>620</v>
      </c>
      <c r="AB692">
        <v>39</v>
      </c>
      <c r="AC692">
        <v>33.299999999999997</v>
      </c>
      <c r="AD692">
        <v>6.22</v>
      </c>
      <c r="AE692" t="s">
        <v>525</v>
      </c>
      <c r="AF692" t="s">
        <v>532</v>
      </c>
      <c r="AG692" s="32" t="s">
        <v>1776</v>
      </c>
      <c r="AH692" s="32" t="s">
        <v>1777</v>
      </c>
      <c r="AI692" s="32" t="s">
        <v>1778</v>
      </c>
      <c r="AJ692" s="31" t="s">
        <v>3030</v>
      </c>
      <c r="AK692" s="31">
        <v>0.56386000000000003</v>
      </c>
      <c r="AL692" s="31">
        <v>18.776537999999999</v>
      </c>
      <c r="AM692" s="31">
        <v>14.523461999999999</v>
      </c>
      <c r="AN692" s="31">
        <v>592.42404498387373</v>
      </c>
      <c r="AO692" s="31">
        <v>458.23399953759213</v>
      </c>
      <c r="AP692" s="31">
        <v>0.38287812466280124</v>
      </c>
      <c r="AQ692" s="31">
        <v>0.29615235216265412</v>
      </c>
      <c r="AR692" s="31">
        <v>0.13341858489683281</v>
      </c>
    </row>
    <row r="693" spans="1:44" hidden="1" x14ac:dyDescent="0.5">
      <c r="A693" s="31">
        <v>692</v>
      </c>
      <c r="B693" s="31">
        <v>52</v>
      </c>
      <c r="C693" s="225" t="s">
        <v>9</v>
      </c>
      <c r="D693" s="44">
        <v>22.23415</v>
      </c>
      <c r="E693" s="45">
        <v>113.84755199999999</v>
      </c>
      <c r="F693">
        <v>0</v>
      </c>
      <c r="G693">
        <f>F693*1609.344</f>
        <v>0</v>
      </c>
      <c r="H693" s="32" t="s">
        <v>10</v>
      </c>
      <c r="I693">
        <v>0</v>
      </c>
      <c r="J693">
        <v>2996.4324197137398</v>
      </c>
      <c r="K693" s="26">
        <v>2016</v>
      </c>
      <c r="L693" t="s">
        <v>11</v>
      </c>
      <c r="M693" s="32">
        <v>250</v>
      </c>
      <c r="N693">
        <v>30.131484459999999</v>
      </c>
      <c r="O693">
        <v>5</v>
      </c>
      <c r="P693" t="s">
        <v>23</v>
      </c>
      <c r="Q693">
        <v>95.5</v>
      </c>
      <c r="R693" t="s">
        <v>13</v>
      </c>
      <c r="S693" t="s">
        <v>14</v>
      </c>
      <c r="T693" t="s">
        <v>14</v>
      </c>
      <c r="U693" s="34">
        <v>0</v>
      </c>
      <c r="V693" s="34">
        <v>3</v>
      </c>
      <c r="W693" s="25">
        <v>1.5</v>
      </c>
      <c r="X693" s="25">
        <v>3</v>
      </c>
      <c r="Y693">
        <v>0.64629065600000002</v>
      </c>
      <c r="Z693" t="s">
        <v>735</v>
      </c>
      <c r="AA693" t="s">
        <v>620</v>
      </c>
      <c r="AB693">
        <v>26</v>
      </c>
      <c r="AC693">
        <v>2.88</v>
      </c>
      <c r="AD693">
        <v>0.54</v>
      </c>
      <c r="AE693" t="s">
        <v>525</v>
      </c>
      <c r="AF693" t="s">
        <v>532</v>
      </c>
      <c r="AG693" s="32" t="s">
        <v>1779</v>
      </c>
      <c r="AH693" s="32" t="s">
        <v>1780</v>
      </c>
      <c r="AI693" s="32" t="s">
        <v>1781</v>
      </c>
      <c r="AJ693" s="31" t="s">
        <v>3031</v>
      </c>
      <c r="AK693" s="31">
        <v>0.56133999999999995</v>
      </c>
      <c r="AL693" s="31">
        <v>1.6166591999999997</v>
      </c>
      <c r="AM693" s="31">
        <v>1.2633408000000002</v>
      </c>
      <c r="AN693" s="31">
        <v>51.007687499388496</v>
      </c>
      <c r="AO693" s="31">
        <v>39.860035270035574</v>
      </c>
      <c r="AP693" s="31">
        <v>3.2965791815022794E-2</v>
      </c>
      <c r="AQ693" s="31">
        <v>2.5761168342854426E-2</v>
      </c>
      <c r="AR693" s="31">
        <v>0.13341858489683281</v>
      </c>
    </row>
    <row r="694" spans="1:44" hidden="1" x14ac:dyDescent="0.5">
      <c r="A694" s="31">
        <v>693</v>
      </c>
      <c r="B694" s="31">
        <v>52</v>
      </c>
      <c r="C694" s="225" t="s">
        <v>9</v>
      </c>
      <c r="D694" s="44">
        <v>22.290752000000001</v>
      </c>
      <c r="E694" s="45">
        <v>113.902722</v>
      </c>
      <c r="F694">
        <v>0</v>
      </c>
      <c r="G694">
        <f>F694*1609.344</f>
        <v>0</v>
      </c>
      <c r="H694" s="32" t="s">
        <v>10</v>
      </c>
      <c r="I694">
        <v>0</v>
      </c>
      <c r="J694">
        <v>2978.8035810997098</v>
      </c>
      <c r="K694" s="26">
        <v>2016</v>
      </c>
      <c r="L694" t="s">
        <v>11</v>
      </c>
      <c r="M694" s="32">
        <v>250</v>
      </c>
      <c r="N694">
        <v>30.131484459999999</v>
      </c>
      <c r="O694">
        <v>5</v>
      </c>
      <c r="P694" t="s">
        <v>23</v>
      </c>
      <c r="Q694">
        <v>95.5</v>
      </c>
      <c r="R694" t="s">
        <v>13</v>
      </c>
      <c r="S694" t="s">
        <v>14</v>
      </c>
      <c r="T694" t="s">
        <v>14</v>
      </c>
      <c r="U694" s="34">
        <v>0</v>
      </c>
      <c r="V694" s="34">
        <v>3</v>
      </c>
      <c r="W694" s="25">
        <v>1.5</v>
      </c>
      <c r="X694" s="25">
        <v>3</v>
      </c>
      <c r="Y694">
        <v>0.64629065600000002</v>
      </c>
      <c r="Z694" t="s">
        <v>735</v>
      </c>
      <c r="AA694" t="s">
        <v>620</v>
      </c>
      <c r="AB694">
        <v>26</v>
      </c>
      <c r="AC694">
        <v>4.16</v>
      </c>
      <c r="AD694">
        <v>3.13</v>
      </c>
      <c r="AE694" t="s">
        <v>525</v>
      </c>
      <c r="AF694" t="s">
        <v>532</v>
      </c>
      <c r="AG694" s="32" t="s">
        <v>1782</v>
      </c>
      <c r="AH694" s="32" t="s">
        <v>1783</v>
      </c>
      <c r="AI694" s="32" t="s">
        <v>1784</v>
      </c>
      <c r="AJ694" s="31" t="s">
        <v>3032</v>
      </c>
      <c r="AK694" s="31">
        <v>0.45833000000000002</v>
      </c>
      <c r="AL694" s="31">
        <v>1.9066528</v>
      </c>
      <c r="AM694" s="31">
        <v>2.2533472000000003</v>
      </c>
      <c r="AN694" s="31">
        <v>60.157360433314643</v>
      </c>
      <c r="AO694" s="31">
        <v>71.096016900297926</v>
      </c>
      <c r="AP694" s="31">
        <v>3.8879139937675368E-2</v>
      </c>
      <c r="AQ694" s="31">
        <v>4.594869140148064E-2</v>
      </c>
      <c r="AR694" s="31">
        <v>0.13341858489683281</v>
      </c>
    </row>
    <row r="695" spans="1:44" hidden="1" x14ac:dyDescent="0.5">
      <c r="A695" s="31">
        <v>694</v>
      </c>
      <c r="B695" s="31">
        <v>52</v>
      </c>
      <c r="C695" s="225" t="s">
        <v>9</v>
      </c>
      <c r="D695" s="44">
        <v>22.331461000000001</v>
      </c>
      <c r="E695" s="45">
        <v>114.023369</v>
      </c>
      <c r="F695">
        <v>0</v>
      </c>
      <c r="G695">
        <f>F695*1609.344</f>
        <v>0</v>
      </c>
      <c r="H695" s="32" t="s">
        <v>10</v>
      </c>
      <c r="I695">
        <v>0</v>
      </c>
      <c r="J695">
        <v>2896.9661183205699</v>
      </c>
      <c r="K695" s="26">
        <v>2016</v>
      </c>
      <c r="L695" t="s">
        <v>11</v>
      </c>
      <c r="M695" s="32">
        <v>250</v>
      </c>
      <c r="N695">
        <v>30.131484459999999</v>
      </c>
      <c r="O695">
        <v>5</v>
      </c>
      <c r="P695" t="s">
        <v>23</v>
      </c>
      <c r="Q695">
        <v>95.5</v>
      </c>
      <c r="R695" t="s">
        <v>13</v>
      </c>
      <c r="S695" t="s">
        <v>14</v>
      </c>
      <c r="T695" t="s">
        <v>14</v>
      </c>
      <c r="U695" s="34">
        <v>0</v>
      </c>
      <c r="V695" s="34">
        <v>3</v>
      </c>
      <c r="W695" s="25">
        <v>1.5</v>
      </c>
      <c r="X695" s="25">
        <v>3</v>
      </c>
      <c r="Y695">
        <v>0.64629065600000002</v>
      </c>
      <c r="Z695" t="s">
        <v>735</v>
      </c>
      <c r="AA695" t="s">
        <v>620</v>
      </c>
      <c r="AB695">
        <v>39</v>
      </c>
      <c r="AC695">
        <v>47.2</v>
      </c>
      <c r="AD695">
        <v>29.9</v>
      </c>
      <c r="AE695" t="s">
        <v>525</v>
      </c>
      <c r="AF695" t="s">
        <v>532</v>
      </c>
      <c r="AG695" s="32" t="s">
        <v>1785</v>
      </c>
      <c r="AH695" s="32" t="s">
        <v>1786</v>
      </c>
      <c r="AI695" s="32" t="s">
        <v>1787</v>
      </c>
      <c r="AJ695" s="31" t="s">
        <v>3033</v>
      </c>
      <c r="AK695" s="31">
        <v>0.24476000000000001</v>
      </c>
      <c r="AL695" s="31">
        <v>11.552672000000001</v>
      </c>
      <c r="AM695" s="31">
        <v>35.647328000000002</v>
      </c>
      <c r="AN695" s="31">
        <v>364.50173491044728</v>
      </c>
      <c r="AO695" s="31">
        <v>1124.7192771440032</v>
      </c>
      <c r="AP695" s="31">
        <v>0.23557406536841108</v>
      </c>
      <c r="AQ695" s="31">
        <v>0.72689555944124362</v>
      </c>
      <c r="AR695" s="31">
        <v>0.13341858489683281</v>
      </c>
    </row>
    <row r="696" spans="1:44" hidden="1" x14ac:dyDescent="0.5">
      <c r="A696" s="31">
        <v>695</v>
      </c>
      <c r="B696" s="31">
        <v>52</v>
      </c>
      <c r="C696" s="225" t="s">
        <v>9</v>
      </c>
      <c r="D696" s="44">
        <v>22.342455000000001</v>
      </c>
      <c r="E696" s="45">
        <v>114.06104499999999</v>
      </c>
      <c r="F696">
        <v>0</v>
      </c>
      <c r="G696">
        <f>F696*1609.344</f>
        <v>0</v>
      </c>
      <c r="H696" s="32" t="s">
        <v>10</v>
      </c>
      <c r="I696">
        <v>0</v>
      </c>
      <c r="J696">
        <v>2830.7837066669799</v>
      </c>
      <c r="K696" s="26">
        <v>2016</v>
      </c>
      <c r="L696" t="s">
        <v>11</v>
      </c>
      <c r="M696" s="32">
        <v>250</v>
      </c>
      <c r="N696">
        <v>30.131484459999999</v>
      </c>
      <c r="O696">
        <v>5</v>
      </c>
      <c r="P696" t="s">
        <v>23</v>
      </c>
      <c r="Q696">
        <v>95.5</v>
      </c>
      <c r="R696" t="s">
        <v>13</v>
      </c>
      <c r="S696" t="s">
        <v>14</v>
      </c>
      <c r="T696" t="s">
        <v>14</v>
      </c>
      <c r="U696" s="34">
        <v>0</v>
      </c>
      <c r="V696" s="34">
        <v>3</v>
      </c>
      <c r="W696" s="25">
        <v>1.5</v>
      </c>
      <c r="X696" s="25">
        <v>3</v>
      </c>
      <c r="Y696">
        <v>0.64629065600000002</v>
      </c>
      <c r="Z696" t="s">
        <v>735</v>
      </c>
      <c r="AA696" t="s">
        <v>620</v>
      </c>
      <c r="AB696">
        <v>26</v>
      </c>
      <c r="AC696">
        <v>9.43</v>
      </c>
      <c r="AD696">
        <v>13</v>
      </c>
      <c r="AE696" t="s">
        <v>525</v>
      </c>
      <c r="AF696" t="s">
        <v>532</v>
      </c>
      <c r="AG696" s="32" t="s">
        <v>1788</v>
      </c>
      <c r="AH696" s="32" t="s">
        <v>1789</v>
      </c>
      <c r="AI696" s="32" t="s">
        <v>1790</v>
      </c>
      <c r="AJ696" s="31" t="s">
        <v>3034</v>
      </c>
      <c r="AK696" s="31">
        <v>0.50568999999999997</v>
      </c>
      <c r="AL696" s="31">
        <v>4.7686566999999993</v>
      </c>
      <c r="AM696" s="31">
        <v>4.6613433000000004</v>
      </c>
      <c r="AN696" s="31">
        <v>150.45728298547104</v>
      </c>
      <c r="AO696" s="31">
        <v>147.07140649913629</v>
      </c>
      <c r="AP696" s="31">
        <v>9.7239136120657724E-2</v>
      </c>
      <c r="AQ696" s="31">
        <v>9.505087578516945E-2</v>
      </c>
      <c r="AR696" s="31">
        <v>0.13341858489683281</v>
      </c>
    </row>
    <row r="697" spans="1:44" hidden="1" x14ac:dyDescent="0.5">
      <c r="A697" s="31">
        <v>696</v>
      </c>
      <c r="B697" s="31">
        <v>52</v>
      </c>
      <c r="C697" s="225" t="s">
        <v>9</v>
      </c>
      <c r="D697" s="44">
        <v>22.365379000000001</v>
      </c>
      <c r="E697" s="45">
        <v>114.29722599999999</v>
      </c>
      <c r="F697">
        <v>0</v>
      </c>
      <c r="G697">
        <f>F697*1609.344</f>
        <v>0</v>
      </c>
      <c r="H697" s="32" t="s">
        <v>10</v>
      </c>
      <c r="I697">
        <v>0</v>
      </c>
      <c r="J697">
        <v>2703.3665833627401</v>
      </c>
      <c r="K697" s="26">
        <v>2016</v>
      </c>
      <c r="L697" t="s">
        <v>11</v>
      </c>
      <c r="M697" s="32">
        <v>250</v>
      </c>
      <c r="N697">
        <v>30.131484459999999</v>
      </c>
      <c r="O697">
        <v>5</v>
      </c>
      <c r="P697" t="s">
        <v>23</v>
      </c>
      <c r="Q697">
        <v>95.5</v>
      </c>
      <c r="R697" t="s">
        <v>13</v>
      </c>
      <c r="S697" t="s">
        <v>14</v>
      </c>
      <c r="T697" t="s">
        <v>14</v>
      </c>
      <c r="U697" s="34">
        <v>0</v>
      </c>
      <c r="V697" s="34">
        <v>3</v>
      </c>
      <c r="W697" s="25">
        <v>1.5</v>
      </c>
      <c r="X697" s="25">
        <v>3</v>
      </c>
      <c r="Y697">
        <v>0.64629065600000002</v>
      </c>
      <c r="Z697" t="s">
        <v>735</v>
      </c>
      <c r="AA697" t="s">
        <v>620</v>
      </c>
      <c r="AB697">
        <v>26</v>
      </c>
      <c r="AC697">
        <v>16</v>
      </c>
      <c r="AD697">
        <v>7.33</v>
      </c>
      <c r="AE697" t="s">
        <v>525</v>
      </c>
      <c r="AF697" t="s">
        <v>532</v>
      </c>
      <c r="AG697" s="32">
        <v>16</v>
      </c>
      <c r="AH697" s="32" t="s">
        <v>1791</v>
      </c>
      <c r="AI697" s="32" t="s">
        <v>1792</v>
      </c>
      <c r="AJ697" s="31" t="s">
        <v>3035</v>
      </c>
      <c r="AK697" s="31">
        <v>0.39751999999999998</v>
      </c>
      <c r="AL697" s="31">
        <v>6.3603199999999998</v>
      </c>
      <c r="AM697" s="31">
        <v>9.6396800000000002</v>
      </c>
      <c r="AN697" s="31">
        <v>200.67631752945258</v>
      </c>
      <c r="AO697" s="31">
        <v>304.14436452290346</v>
      </c>
      <c r="AP697" s="31">
        <v>0.12969522889977422</v>
      </c>
      <c r="AQ697" s="31">
        <v>0.19656566086621041</v>
      </c>
      <c r="AR697" s="31">
        <v>0.13341858489683281</v>
      </c>
    </row>
    <row r="698" spans="1:44" hidden="1" x14ac:dyDescent="0.5">
      <c r="A698" s="31">
        <v>697</v>
      </c>
      <c r="B698" s="31">
        <v>52</v>
      </c>
      <c r="C698" s="225" t="s">
        <v>9</v>
      </c>
      <c r="D698" s="44">
        <v>22.387297</v>
      </c>
      <c r="E698" s="45">
        <v>114.314564</v>
      </c>
      <c r="F698">
        <v>0</v>
      </c>
      <c r="G698">
        <f>F698*1609.344</f>
        <v>0</v>
      </c>
      <c r="H698" s="32" t="s">
        <v>10</v>
      </c>
      <c r="I698">
        <v>0</v>
      </c>
      <c r="J698">
        <v>2652.42933246235</v>
      </c>
      <c r="K698" s="26">
        <v>2016</v>
      </c>
      <c r="L698" t="s">
        <v>11</v>
      </c>
      <c r="M698" s="32">
        <v>250</v>
      </c>
      <c r="N698">
        <v>30.131484459999999</v>
      </c>
      <c r="O698">
        <v>5</v>
      </c>
      <c r="P698" t="s">
        <v>23</v>
      </c>
      <c r="Q698">
        <v>95.5</v>
      </c>
      <c r="R698" t="s">
        <v>13</v>
      </c>
      <c r="S698" t="s">
        <v>14</v>
      </c>
      <c r="T698" t="s">
        <v>14</v>
      </c>
      <c r="U698" s="34">
        <v>0</v>
      </c>
      <c r="V698" s="34">
        <v>3</v>
      </c>
      <c r="W698" s="25">
        <v>1.5</v>
      </c>
      <c r="X698" s="25">
        <v>3</v>
      </c>
      <c r="Y698">
        <v>0.64629065600000002</v>
      </c>
      <c r="Z698" t="s">
        <v>735</v>
      </c>
      <c r="AA698" t="s">
        <v>620</v>
      </c>
      <c r="AB698">
        <v>26</v>
      </c>
      <c r="AC698">
        <v>7.06</v>
      </c>
      <c r="AD698">
        <v>2.42</v>
      </c>
      <c r="AE698" t="s">
        <v>525</v>
      </c>
      <c r="AF698" t="s">
        <v>532</v>
      </c>
      <c r="AG698" s="32" t="s">
        <v>1793</v>
      </c>
      <c r="AH698" s="32" t="s">
        <v>1794</v>
      </c>
      <c r="AI698" s="32" t="s">
        <v>1795</v>
      </c>
      <c r="AJ698" s="31" t="s">
        <v>3036</v>
      </c>
      <c r="AK698" s="31">
        <v>0.61029999999999995</v>
      </c>
      <c r="AL698" s="31">
        <v>4.3087179999999998</v>
      </c>
      <c r="AM698" s="31">
        <v>2.7512819999999998</v>
      </c>
      <c r="AN698" s="31">
        <v>135.94562247070397</v>
      </c>
      <c r="AO698" s="31">
        <v>86.80650348489813</v>
      </c>
      <c r="AP698" s="31">
        <v>8.7860385526919604E-2</v>
      </c>
      <c r="AQ698" s="31">
        <v>5.6102232082321096E-2</v>
      </c>
      <c r="AR698" s="31">
        <v>0.13341858489683281</v>
      </c>
    </row>
    <row r="699" spans="1:44" hidden="1" x14ac:dyDescent="0.5">
      <c r="A699" s="31">
        <v>698</v>
      </c>
      <c r="B699" s="31">
        <v>52</v>
      </c>
      <c r="C699" s="225" t="s">
        <v>9</v>
      </c>
      <c r="D699" s="44">
        <v>22.439674</v>
      </c>
      <c r="E699" s="45">
        <v>114.33289000000001</v>
      </c>
      <c r="F699">
        <v>0</v>
      </c>
      <c r="G699">
        <f>F699*1609.344</f>
        <v>0</v>
      </c>
      <c r="H699" s="32" t="s">
        <v>10</v>
      </c>
      <c r="I699">
        <v>0</v>
      </c>
      <c r="J699">
        <v>2532.9124495218298</v>
      </c>
      <c r="K699" s="26">
        <v>2016</v>
      </c>
      <c r="L699" t="s">
        <v>11</v>
      </c>
      <c r="M699" s="32">
        <v>250</v>
      </c>
      <c r="N699">
        <v>30.131484459999999</v>
      </c>
      <c r="O699">
        <v>5</v>
      </c>
      <c r="P699" t="s">
        <v>23</v>
      </c>
      <c r="Q699">
        <v>95.5</v>
      </c>
      <c r="R699" t="s">
        <v>13</v>
      </c>
      <c r="S699" t="s">
        <v>14</v>
      </c>
      <c r="T699" t="s">
        <v>14</v>
      </c>
      <c r="U699" s="34">
        <v>0</v>
      </c>
      <c r="V699" s="34">
        <v>3</v>
      </c>
      <c r="W699" s="25">
        <v>1.5</v>
      </c>
      <c r="X699" s="25">
        <v>3</v>
      </c>
      <c r="Y699">
        <v>0.64629065600000002</v>
      </c>
      <c r="Z699" t="s">
        <v>735</v>
      </c>
      <c r="AA699" t="s">
        <v>620</v>
      </c>
      <c r="AB699">
        <v>39</v>
      </c>
      <c r="AC699">
        <v>4.55</v>
      </c>
      <c r="AD699">
        <v>1.35</v>
      </c>
      <c r="AE699" t="s">
        <v>525</v>
      </c>
      <c r="AF699" t="s">
        <v>532</v>
      </c>
      <c r="AG699" s="32" t="s">
        <v>1796</v>
      </c>
      <c r="AH699" s="32" t="s">
        <v>1797</v>
      </c>
      <c r="AI699" s="32" t="s">
        <v>1798</v>
      </c>
      <c r="AJ699" s="31" t="s">
        <v>3037</v>
      </c>
      <c r="AK699" s="31">
        <v>0.59518000000000004</v>
      </c>
      <c r="AL699" s="31">
        <v>2.7080690000000001</v>
      </c>
      <c r="AM699" s="31">
        <v>1.8419309999999998</v>
      </c>
      <c r="AN699" s="31">
        <v>85.443077476552602</v>
      </c>
      <c r="AO699" s="31">
        <v>58.115303982086132</v>
      </c>
      <c r="AP699" s="31">
        <v>5.5221062592980014E-2</v>
      </c>
      <c r="AQ699" s="31">
        <v>3.7559377934221864E-2</v>
      </c>
      <c r="AR699" s="31">
        <v>0.13341858489683281</v>
      </c>
    </row>
    <row r="700" spans="1:44" hidden="1" x14ac:dyDescent="0.5">
      <c r="A700" s="31">
        <v>699</v>
      </c>
      <c r="B700" s="31">
        <v>52</v>
      </c>
      <c r="C700" s="225" t="s">
        <v>9</v>
      </c>
      <c r="D700" s="44">
        <v>22.454592000000002</v>
      </c>
      <c r="E700" s="45">
        <v>114.301225</v>
      </c>
      <c r="F700">
        <v>0</v>
      </c>
      <c r="G700">
        <f>F700*1609.344</f>
        <v>0</v>
      </c>
      <c r="H700" s="32" t="s">
        <v>10</v>
      </c>
      <c r="I700">
        <v>0</v>
      </c>
      <c r="J700">
        <v>2502.5812745035901</v>
      </c>
      <c r="K700" s="26">
        <v>2016</v>
      </c>
      <c r="L700" t="s">
        <v>11</v>
      </c>
      <c r="M700" s="32">
        <v>250</v>
      </c>
      <c r="N700">
        <v>30.131484459999999</v>
      </c>
      <c r="O700">
        <v>5</v>
      </c>
      <c r="P700" t="s">
        <v>23</v>
      </c>
      <c r="Q700">
        <v>95.5</v>
      </c>
      <c r="R700" t="s">
        <v>13</v>
      </c>
      <c r="S700" t="s">
        <v>14</v>
      </c>
      <c r="T700" t="s">
        <v>14</v>
      </c>
      <c r="U700" s="34">
        <v>0</v>
      </c>
      <c r="V700" s="34">
        <v>3</v>
      </c>
      <c r="W700" s="25">
        <v>1.5</v>
      </c>
      <c r="X700" s="25">
        <v>3</v>
      </c>
      <c r="Y700">
        <v>0.64629065600000002</v>
      </c>
      <c r="Z700" t="s">
        <v>735</v>
      </c>
      <c r="AA700" t="s">
        <v>620</v>
      </c>
      <c r="AB700">
        <v>39</v>
      </c>
      <c r="AC700">
        <v>5.19</v>
      </c>
      <c r="AD700">
        <v>1.87</v>
      </c>
      <c r="AE700" t="s">
        <v>525</v>
      </c>
      <c r="AF700" t="s">
        <v>532</v>
      </c>
      <c r="AG700" s="32" t="s">
        <v>1799</v>
      </c>
      <c r="AH700" s="32" t="s">
        <v>1800</v>
      </c>
      <c r="AI700" s="32" t="s">
        <v>1801</v>
      </c>
      <c r="AJ700" s="31" t="s">
        <v>3038</v>
      </c>
      <c r="AK700" s="31">
        <v>0.77517000000000003</v>
      </c>
      <c r="AL700" s="31">
        <v>4.0231323000000003</v>
      </c>
      <c r="AM700" s="31">
        <v>1.1668677000000001</v>
      </c>
      <c r="AN700" s="31">
        <v>126.935024479554</v>
      </c>
      <c r="AO700" s="31">
        <v>36.816184261178996</v>
      </c>
      <c r="AP700" s="31">
        <v>8.2036920240267028E-2</v>
      </c>
      <c r="AQ700" s="31">
        <v>2.3793955877574251E-2</v>
      </c>
      <c r="AR700" s="31">
        <v>0.13341858489683281</v>
      </c>
    </row>
    <row r="701" spans="1:44" hidden="1" x14ac:dyDescent="0.5">
      <c r="A701" s="31">
        <v>1117</v>
      </c>
      <c r="B701" s="31">
        <v>74</v>
      </c>
      <c r="C701" s="225" t="s">
        <v>32</v>
      </c>
      <c r="D701" s="41">
        <v>31.81</v>
      </c>
      <c r="E701" s="43">
        <v>-116.68</v>
      </c>
      <c r="F701">
        <v>3.98</v>
      </c>
      <c r="G701">
        <f>F701*1609.344</f>
        <v>6405.18912</v>
      </c>
      <c r="H701" s="32" t="s">
        <v>614</v>
      </c>
      <c r="I701">
        <v>24</v>
      </c>
      <c r="J701">
        <v>186.400113998519</v>
      </c>
      <c r="K701" s="26">
        <v>2016</v>
      </c>
      <c r="L701" t="s">
        <v>40</v>
      </c>
      <c r="M701" s="32">
        <v>250</v>
      </c>
      <c r="N701">
        <v>30.131484459999999</v>
      </c>
      <c r="O701">
        <v>5</v>
      </c>
      <c r="P701" t="s">
        <v>17</v>
      </c>
      <c r="Q701">
        <v>100</v>
      </c>
      <c r="R701" t="s">
        <v>13</v>
      </c>
      <c r="S701" t="s">
        <v>14</v>
      </c>
      <c r="T701" t="s">
        <v>14</v>
      </c>
      <c r="U701" s="34">
        <v>0</v>
      </c>
      <c r="V701" s="34">
        <v>5</v>
      </c>
      <c r="W701" s="25">
        <v>2.5</v>
      </c>
      <c r="X701" s="25">
        <v>5</v>
      </c>
      <c r="Y701">
        <v>0.49520066000000001</v>
      </c>
      <c r="Z701" t="s">
        <v>1123</v>
      </c>
      <c r="AA701" t="s">
        <v>622</v>
      </c>
      <c r="AB701">
        <v>1</v>
      </c>
      <c r="AC701">
        <v>850</v>
      </c>
      <c r="AF701" t="s">
        <v>521</v>
      </c>
      <c r="AG701" s="32">
        <v>34.3295180583968</v>
      </c>
      <c r="AH701" s="32" t="s">
        <v>2161</v>
      </c>
      <c r="AI701" s="32" t="s">
        <v>2162</v>
      </c>
      <c r="AJ701" s="31" t="s">
        <v>3192</v>
      </c>
      <c r="AK701" s="31">
        <v>0.19</v>
      </c>
      <c r="AL701" s="31">
        <v>6.5226084310953869</v>
      </c>
      <c r="AM701" s="31">
        <v>27.806909627301387</v>
      </c>
      <c r="AN701" s="31">
        <v>196.53587458021562</v>
      </c>
      <c r="AO701" s="31">
        <v>837.86346531565596</v>
      </c>
      <c r="AP701" s="31">
        <v>9.7324694805799999E-2</v>
      </c>
      <c r="AQ701" s="31">
        <v>0.41491054101419994</v>
      </c>
      <c r="AR701" s="31">
        <v>0.13024871579292449</v>
      </c>
    </row>
    <row r="702" spans="1:44" hidden="1" x14ac:dyDescent="0.5">
      <c r="A702" s="31">
        <v>1118</v>
      </c>
      <c r="B702" s="31">
        <v>74</v>
      </c>
      <c r="C702" s="225" t="s">
        <v>32</v>
      </c>
      <c r="D702" s="41">
        <v>31.76</v>
      </c>
      <c r="E702" s="43">
        <v>-116.68</v>
      </c>
      <c r="F702">
        <v>2.76</v>
      </c>
      <c r="G702">
        <f>F702*1609.344</f>
        <v>4441.7894399999996</v>
      </c>
      <c r="H702" s="32" t="s">
        <v>614</v>
      </c>
      <c r="I702">
        <v>40</v>
      </c>
      <c r="J702">
        <v>173.03965087410799</v>
      </c>
      <c r="K702" s="26">
        <v>2016</v>
      </c>
      <c r="L702" t="s">
        <v>40</v>
      </c>
      <c r="M702" s="32">
        <v>250</v>
      </c>
      <c r="N702">
        <v>30.131484459999999</v>
      </c>
      <c r="O702">
        <v>5</v>
      </c>
      <c r="P702" t="s">
        <v>17</v>
      </c>
      <c r="Q702">
        <v>100</v>
      </c>
      <c r="R702" t="s">
        <v>13</v>
      </c>
      <c r="S702" t="s">
        <v>14</v>
      </c>
      <c r="T702" t="s">
        <v>14</v>
      </c>
      <c r="U702" s="34">
        <v>0</v>
      </c>
      <c r="V702" s="34">
        <v>5</v>
      </c>
      <c r="W702" s="25">
        <v>2.5</v>
      </c>
      <c r="X702" s="25">
        <v>5</v>
      </c>
      <c r="Y702">
        <v>0.49520066000000001</v>
      </c>
      <c r="Z702" t="s">
        <v>1123</v>
      </c>
      <c r="AA702" t="s">
        <v>622</v>
      </c>
      <c r="AB702">
        <v>1</v>
      </c>
      <c r="AC702">
        <v>2620</v>
      </c>
      <c r="AF702" t="s">
        <v>521</v>
      </c>
      <c r="AG702" s="32">
        <v>105.81569095646999</v>
      </c>
      <c r="AH702" s="32" t="s">
        <v>2163</v>
      </c>
      <c r="AI702" s="32" t="s">
        <v>2164</v>
      </c>
      <c r="AJ702" s="31" t="s">
        <v>3193</v>
      </c>
      <c r="AK702" s="31">
        <v>0.18</v>
      </c>
      <c r="AL702" s="31">
        <v>19.046824372164608</v>
      </c>
      <c r="AM702" s="31">
        <v>86.768866584305442</v>
      </c>
      <c r="AN702" s="31">
        <v>573.90909258222712</v>
      </c>
      <c r="AO702" s="31">
        <v>2614.4747550968127</v>
      </c>
      <c r="AP702" s="31">
        <v>0.28420016142672</v>
      </c>
      <c r="AQ702" s="31">
        <v>1.2946896242772801</v>
      </c>
      <c r="AR702" s="31">
        <v>0.12817742126774359</v>
      </c>
    </row>
    <row r="703" spans="1:44" hidden="1" x14ac:dyDescent="0.5">
      <c r="A703" s="31">
        <v>1119</v>
      </c>
      <c r="B703" s="31">
        <v>74</v>
      </c>
      <c r="C703" s="225" t="s">
        <v>32</v>
      </c>
      <c r="D703" s="41">
        <v>31.86</v>
      </c>
      <c r="E703" s="43">
        <v>-116.72</v>
      </c>
      <c r="F703">
        <v>2.5</v>
      </c>
      <c r="G703">
        <f>F703*1609.344</f>
        <v>4023.36</v>
      </c>
      <c r="H703" s="32" t="s">
        <v>614</v>
      </c>
      <c r="I703">
        <v>50</v>
      </c>
      <c r="J703">
        <v>225.81577891455299</v>
      </c>
      <c r="K703" s="26">
        <v>2016</v>
      </c>
      <c r="L703" t="s">
        <v>40</v>
      </c>
      <c r="M703" s="32">
        <v>250</v>
      </c>
      <c r="N703">
        <v>30.131484459999999</v>
      </c>
      <c r="O703">
        <v>5</v>
      </c>
      <c r="P703" t="s">
        <v>17</v>
      </c>
      <c r="Q703">
        <v>100</v>
      </c>
      <c r="R703" t="s">
        <v>13</v>
      </c>
      <c r="S703" t="s">
        <v>14</v>
      </c>
      <c r="T703" t="s">
        <v>14</v>
      </c>
      <c r="U703" s="34">
        <v>0</v>
      </c>
      <c r="V703" s="34">
        <v>5</v>
      </c>
      <c r="W703" s="25">
        <v>2.5</v>
      </c>
      <c r="X703" s="25">
        <v>5</v>
      </c>
      <c r="Y703">
        <v>0.49520066000000001</v>
      </c>
      <c r="Z703" t="s">
        <v>1123</v>
      </c>
      <c r="AA703" t="s">
        <v>622</v>
      </c>
      <c r="AB703">
        <v>1</v>
      </c>
      <c r="AC703">
        <v>2620</v>
      </c>
      <c r="AF703" t="s">
        <v>521</v>
      </c>
      <c r="AG703" s="32">
        <v>105.81569095646999</v>
      </c>
      <c r="AH703" s="32" t="s">
        <v>1591</v>
      </c>
      <c r="AI703" s="32" t="s">
        <v>2165</v>
      </c>
      <c r="AJ703" s="31" t="s">
        <v>3194</v>
      </c>
      <c r="AK703" s="31">
        <v>0.48</v>
      </c>
      <c r="AL703" s="31">
        <v>50.791531659105623</v>
      </c>
      <c r="AM703" s="31">
        <v>55.024159297364427</v>
      </c>
      <c r="AN703" s="31">
        <v>1530.4242468859391</v>
      </c>
      <c r="AO703" s="31">
        <v>1657.9596007931007</v>
      </c>
      <c r="AP703" s="31">
        <v>0.75786709713792</v>
      </c>
      <c r="AQ703" s="31">
        <v>0.82102268856607996</v>
      </c>
      <c r="AR703" s="31">
        <v>0.12689962245301062</v>
      </c>
    </row>
    <row r="704" spans="1:44" hidden="1" x14ac:dyDescent="0.5">
      <c r="A704" s="31">
        <v>703</v>
      </c>
      <c r="B704" s="31">
        <v>53</v>
      </c>
      <c r="C704" s="225" t="s">
        <v>43</v>
      </c>
      <c r="D704" s="35">
        <v>49.106884000000001</v>
      </c>
      <c r="E704" s="33">
        <v>-8.1706070000000004</v>
      </c>
      <c r="F704">
        <v>130.75</v>
      </c>
      <c r="G704">
        <f>F704*1609.344</f>
        <v>210421.728</v>
      </c>
      <c r="H704" s="32" t="s">
        <v>611</v>
      </c>
      <c r="I704">
        <v>1400</v>
      </c>
      <c r="J704">
        <v>0</v>
      </c>
      <c r="K704" s="27">
        <v>2012</v>
      </c>
      <c r="L704" t="s">
        <v>30</v>
      </c>
      <c r="M704" s="32">
        <v>32</v>
      </c>
      <c r="N704">
        <v>3.4233292909999999</v>
      </c>
      <c r="P704" t="s">
        <v>53</v>
      </c>
      <c r="Q704">
        <v>89</v>
      </c>
      <c r="R704" t="s">
        <v>13</v>
      </c>
      <c r="S704" t="s">
        <v>14</v>
      </c>
      <c r="T704" t="s">
        <v>14</v>
      </c>
      <c r="U704" s="34">
        <v>2</v>
      </c>
      <c r="V704" s="34">
        <v>5</v>
      </c>
      <c r="W704" s="25">
        <v>3.5</v>
      </c>
      <c r="X704" s="25">
        <v>3</v>
      </c>
      <c r="Y704">
        <v>1.746039369</v>
      </c>
      <c r="Z704" t="s">
        <v>1106</v>
      </c>
      <c r="AA704" t="s">
        <v>622</v>
      </c>
      <c r="AB704">
        <v>1</v>
      </c>
      <c r="AC704">
        <v>6</v>
      </c>
      <c r="AF704" t="s">
        <v>528</v>
      </c>
      <c r="AG704" s="32" t="s">
        <v>1805</v>
      </c>
      <c r="AH704" s="32" t="s">
        <v>671</v>
      </c>
      <c r="AI704" s="32" t="s">
        <v>1129</v>
      </c>
      <c r="AJ704" s="31" t="s">
        <v>1130</v>
      </c>
      <c r="AK704" s="31">
        <v>0.59524549999999998</v>
      </c>
      <c r="AL704" s="31">
        <v>40.909421212483544</v>
      </c>
      <c r="AM704" s="31">
        <v>27.817551460948756</v>
      </c>
      <c r="AN704" s="31">
        <v>157.35552799387827</v>
      </c>
      <c r="AO704" s="31">
        <v>106.99847047209632</v>
      </c>
      <c r="AP704" s="31">
        <v>0.27474894680709305</v>
      </c>
      <c r="AQ704" s="31">
        <v>0.18682354186706418</v>
      </c>
      <c r="AR704" s="31">
        <v>3.2813180688088653E-2</v>
      </c>
    </row>
    <row r="705" spans="1:44" hidden="1" x14ac:dyDescent="0.5">
      <c r="A705" s="31">
        <v>704</v>
      </c>
      <c r="B705" s="31">
        <v>53</v>
      </c>
      <c r="C705" s="225" t="s">
        <v>43</v>
      </c>
      <c r="D705" s="35">
        <v>78.268333999999996</v>
      </c>
      <c r="E705" s="33">
        <v>7.3907780000000001</v>
      </c>
      <c r="F705">
        <v>52.71</v>
      </c>
      <c r="G705">
        <f>F705*1609.344</f>
        <v>84828.522240000006</v>
      </c>
      <c r="H705" s="32" t="s">
        <v>611</v>
      </c>
      <c r="I705">
        <v>2000</v>
      </c>
      <c r="J705">
        <v>0</v>
      </c>
      <c r="K705" s="27">
        <v>2012</v>
      </c>
      <c r="L705" t="s">
        <v>30</v>
      </c>
      <c r="M705" s="32">
        <v>32</v>
      </c>
      <c r="N705">
        <v>3.4233292909999999</v>
      </c>
      <c r="P705" t="s">
        <v>53</v>
      </c>
      <c r="Q705">
        <v>89</v>
      </c>
      <c r="R705" t="s">
        <v>13</v>
      </c>
      <c r="S705" t="s">
        <v>14</v>
      </c>
      <c r="T705" t="s">
        <v>14</v>
      </c>
      <c r="U705" s="34">
        <v>0</v>
      </c>
      <c r="V705" s="34">
        <v>1</v>
      </c>
      <c r="W705" s="25">
        <v>0.5</v>
      </c>
      <c r="X705" s="25">
        <v>1</v>
      </c>
      <c r="Y705">
        <v>0.84994090499999997</v>
      </c>
      <c r="Z705" t="s">
        <v>761</v>
      </c>
      <c r="AA705" t="s">
        <v>620</v>
      </c>
      <c r="AB705">
        <v>1</v>
      </c>
      <c r="AC705">
        <v>15</v>
      </c>
      <c r="AF705" t="s">
        <v>528</v>
      </c>
      <c r="AG705" s="32" t="s">
        <v>1806</v>
      </c>
      <c r="AH705" s="32" t="s">
        <v>671</v>
      </c>
      <c r="AI705" s="32" t="s">
        <v>1129</v>
      </c>
      <c r="AJ705" s="31" t="s">
        <v>1130</v>
      </c>
      <c r="AK705" s="31">
        <v>0.59524549999999998</v>
      </c>
      <c r="AL705" s="31">
        <v>210.10125403953819</v>
      </c>
      <c r="AM705" s="31">
        <v>142.86446185338028</v>
      </c>
      <c r="AN705" s="31">
        <v>808.1413225049248</v>
      </c>
      <c r="AO705" s="31">
        <v>549.51921000632456</v>
      </c>
      <c r="AP705" s="31">
        <v>0.68687236701773258</v>
      </c>
      <c r="AQ705" s="31">
        <v>0.46705885466766051</v>
      </c>
      <c r="AR705" s="31">
        <v>1.7987728753976254E-2</v>
      </c>
    </row>
    <row r="706" spans="1:44" hidden="1" x14ac:dyDescent="0.5">
      <c r="A706" s="31">
        <v>1120</v>
      </c>
      <c r="B706" s="31">
        <v>74</v>
      </c>
      <c r="C706" s="225" t="s">
        <v>32</v>
      </c>
      <c r="D706" s="41">
        <v>31.82</v>
      </c>
      <c r="E706" s="43">
        <v>-116.72</v>
      </c>
      <c r="F706">
        <v>4.16</v>
      </c>
      <c r="G706">
        <f>F706*1609.344</f>
        <v>6694.87104</v>
      </c>
      <c r="H706" s="32" t="s">
        <v>614</v>
      </c>
      <c r="I706">
        <v>100</v>
      </c>
      <c r="J706">
        <v>204.10006989539801</v>
      </c>
      <c r="K706" s="26">
        <v>2016</v>
      </c>
      <c r="L706" t="s">
        <v>40</v>
      </c>
      <c r="M706" s="32">
        <v>250</v>
      </c>
      <c r="N706">
        <v>30.131484459999999</v>
      </c>
      <c r="O706">
        <v>5</v>
      </c>
      <c r="P706" t="s">
        <v>17</v>
      </c>
      <c r="Q706">
        <v>100</v>
      </c>
      <c r="R706" t="s">
        <v>13</v>
      </c>
      <c r="S706" t="s">
        <v>14</v>
      </c>
      <c r="T706" t="s">
        <v>14</v>
      </c>
      <c r="U706" s="34">
        <v>0</v>
      </c>
      <c r="V706" s="34">
        <v>5</v>
      </c>
      <c r="W706" s="25">
        <v>2.5</v>
      </c>
      <c r="X706" s="25">
        <v>5</v>
      </c>
      <c r="Y706">
        <v>0.49520066000000001</v>
      </c>
      <c r="Z706" t="s">
        <v>1123</v>
      </c>
      <c r="AA706" t="s">
        <v>622</v>
      </c>
      <c r="AB706">
        <v>1</v>
      </c>
      <c r="AC706">
        <v>1350</v>
      </c>
      <c r="AF706" t="s">
        <v>521</v>
      </c>
      <c r="AG706" s="32">
        <v>54.523352210394897</v>
      </c>
      <c r="AH706" s="32" t="s">
        <v>1200</v>
      </c>
      <c r="AI706" s="32" t="s">
        <v>2166</v>
      </c>
      <c r="AJ706" s="31" t="s">
        <v>3195</v>
      </c>
      <c r="AK706" s="31">
        <v>0.38</v>
      </c>
      <c r="AL706" s="31">
        <v>20.718873839950049</v>
      </c>
      <c r="AM706" s="31">
        <v>33.804478370444819</v>
      </c>
      <c r="AN706" s="31">
        <v>624.29042513715547</v>
      </c>
      <c r="AO706" s="31">
        <v>1018.5791146974642</v>
      </c>
      <c r="AP706" s="31">
        <v>0.30914903055960002</v>
      </c>
      <c r="AQ706" s="31">
        <v>0.50440104986040002</v>
      </c>
      <c r="AR706" s="31">
        <v>0.12069918288496942</v>
      </c>
    </row>
    <row r="707" spans="1:44" hidden="1" x14ac:dyDescent="0.5">
      <c r="A707" s="31">
        <v>1121</v>
      </c>
      <c r="B707" s="31">
        <v>74</v>
      </c>
      <c r="C707" s="225" t="s">
        <v>32</v>
      </c>
      <c r="D707" s="41">
        <v>31.84</v>
      </c>
      <c r="E707" s="43">
        <v>-116.83</v>
      </c>
      <c r="F707">
        <v>6.47</v>
      </c>
      <c r="G707">
        <f>F707*1609.344</f>
        <v>10412.455679999999</v>
      </c>
      <c r="H707" s="32" t="s">
        <v>614</v>
      </c>
      <c r="I707">
        <v>110</v>
      </c>
      <c r="J707">
        <v>266.63099798939999</v>
      </c>
      <c r="K707" s="26">
        <v>2016</v>
      </c>
      <c r="L707" t="s">
        <v>40</v>
      </c>
      <c r="M707" s="32">
        <v>250</v>
      </c>
      <c r="N707">
        <v>30.131484459999999</v>
      </c>
      <c r="O707">
        <v>5</v>
      </c>
      <c r="P707" t="s">
        <v>17</v>
      </c>
      <c r="Q707">
        <v>100</v>
      </c>
      <c r="R707" t="s">
        <v>13</v>
      </c>
      <c r="S707" t="s">
        <v>14</v>
      </c>
      <c r="T707" t="s">
        <v>14</v>
      </c>
      <c r="U707" s="34">
        <v>0</v>
      </c>
      <c r="V707" s="34">
        <v>5</v>
      </c>
      <c r="W707" s="25">
        <v>2.5</v>
      </c>
      <c r="X707" s="25">
        <v>5</v>
      </c>
      <c r="Y707">
        <v>0.49520066000000001</v>
      </c>
      <c r="Z707" t="s">
        <v>1123</v>
      </c>
      <c r="AA707" t="s">
        <v>622</v>
      </c>
      <c r="AB707">
        <v>1</v>
      </c>
      <c r="AC707">
        <v>6960</v>
      </c>
      <c r="AF707" t="s">
        <v>521</v>
      </c>
      <c r="AG707" s="32">
        <v>281.09817139581401</v>
      </c>
      <c r="AH707" s="32" t="s">
        <v>2167</v>
      </c>
      <c r="AI707" s="32" t="s">
        <v>2168</v>
      </c>
      <c r="AJ707" s="31" t="s">
        <v>3196</v>
      </c>
      <c r="AK707" s="31">
        <v>0.63</v>
      </c>
      <c r="AL707" s="31">
        <v>177.09184797936254</v>
      </c>
      <c r="AM707" s="31">
        <v>104.00632341645101</v>
      </c>
      <c r="AN707" s="31">
        <v>5336.0402653828451</v>
      </c>
      <c r="AO707" s="31">
        <v>3133.8649177645275</v>
      </c>
      <c r="AP707" s="31">
        <v>2.6424106612041602</v>
      </c>
      <c r="AQ707" s="31">
        <v>1.5518919756278398</v>
      </c>
      <c r="AR707" s="31">
        <v>0.11949593451794625</v>
      </c>
    </row>
    <row r="708" spans="1:44" hidden="1" x14ac:dyDescent="0.5">
      <c r="A708" s="31">
        <v>707</v>
      </c>
      <c r="B708" s="31">
        <v>53</v>
      </c>
      <c r="C708" s="225" t="s">
        <v>43</v>
      </c>
      <c r="D708" s="35">
        <v>41.540315</v>
      </c>
      <c r="E708" s="33">
        <v>3.7282540000000002</v>
      </c>
      <c r="F708">
        <v>37.119999999999997</v>
      </c>
      <c r="G708">
        <f>F708*1609.344</f>
        <v>59738.849279999995</v>
      </c>
      <c r="H708" s="32" t="s">
        <v>611</v>
      </c>
      <c r="I708">
        <v>300</v>
      </c>
      <c r="J708">
        <v>266.21692684414501</v>
      </c>
      <c r="K708" s="27">
        <v>2012</v>
      </c>
      <c r="L708" t="s">
        <v>30</v>
      </c>
      <c r="M708" s="32">
        <v>32</v>
      </c>
      <c r="N708">
        <v>3.4233292909999999</v>
      </c>
      <c r="P708" t="s">
        <v>12</v>
      </c>
      <c r="Q708">
        <v>89</v>
      </c>
      <c r="R708" t="s">
        <v>13</v>
      </c>
      <c r="S708" t="s">
        <v>14</v>
      </c>
      <c r="T708" t="s">
        <v>14</v>
      </c>
      <c r="U708" s="34">
        <v>0</v>
      </c>
      <c r="V708" s="34">
        <v>1</v>
      </c>
      <c r="W708" s="25">
        <v>0.5</v>
      </c>
      <c r="X708" s="25">
        <v>1</v>
      </c>
      <c r="Y708">
        <v>1.4517405560000001</v>
      </c>
      <c r="Z708" t="s">
        <v>1103</v>
      </c>
      <c r="AA708" t="s">
        <v>622</v>
      </c>
      <c r="AB708">
        <v>1</v>
      </c>
      <c r="AC708">
        <v>35</v>
      </c>
      <c r="AF708" t="s">
        <v>528</v>
      </c>
      <c r="AG708" s="32" t="s">
        <v>1809</v>
      </c>
      <c r="AH708" s="32" t="s">
        <v>671</v>
      </c>
      <c r="AI708" s="32" t="s">
        <v>1129</v>
      </c>
      <c r="AJ708" s="31" t="s">
        <v>1130</v>
      </c>
      <c r="AK708" s="31">
        <v>0.59524549999999998</v>
      </c>
      <c r="AL708" s="31">
        <v>287.01536805451065</v>
      </c>
      <c r="AM708" s="31">
        <v>195.16445196010631</v>
      </c>
      <c r="AN708" s="31">
        <v>1103.9866476720808</v>
      </c>
      <c r="AO708" s="31">
        <v>750.68784826628564</v>
      </c>
      <c r="AP708" s="31">
        <v>1.6027021897080427</v>
      </c>
      <c r="AQ708" s="31">
        <v>1.0898039942245412</v>
      </c>
      <c r="AR708" s="31">
        <v>9.8782572070480718E-2</v>
      </c>
    </row>
    <row r="709" spans="1:44" hidden="1" x14ac:dyDescent="0.5">
      <c r="A709" s="31">
        <v>1122</v>
      </c>
      <c r="B709" s="31">
        <v>74</v>
      </c>
      <c r="C709" s="225" t="s">
        <v>32</v>
      </c>
      <c r="D709" s="41">
        <v>31.9</v>
      </c>
      <c r="E709" s="43">
        <v>-116.81</v>
      </c>
      <c r="F709">
        <v>3.22</v>
      </c>
      <c r="G709">
        <f>F709*1609.344</f>
        <v>5182.0876800000005</v>
      </c>
      <c r="H709" s="32" t="s">
        <v>614</v>
      </c>
      <c r="I709">
        <v>140</v>
      </c>
      <c r="J709">
        <v>271.047892020402</v>
      </c>
      <c r="K709" s="26">
        <v>2016</v>
      </c>
      <c r="L709" t="s">
        <v>40</v>
      </c>
      <c r="M709" s="32">
        <v>250</v>
      </c>
      <c r="N709">
        <v>30.131484459999999</v>
      </c>
      <c r="O709">
        <v>5</v>
      </c>
      <c r="P709" t="s">
        <v>17</v>
      </c>
      <c r="Q709">
        <v>100</v>
      </c>
      <c r="R709" t="s">
        <v>13</v>
      </c>
      <c r="S709" t="s">
        <v>14</v>
      </c>
      <c r="T709" t="s">
        <v>14</v>
      </c>
      <c r="U709" s="34">
        <v>0</v>
      </c>
      <c r="V709" s="34">
        <v>5</v>
      </c>
      <c r="W709" s="25">
        <v>2.5</v>
      </c>
      <c r="X709" s="25">
        <v>5</v>
      </c>
      <c r="Y709">
        <v>0.49520066000000001</v>
      </c>
      <c r="Z709" t="s">
        <v>1123</v>
      </c>
      <c r="AA709" t="s">
        <v>622</v>
      </c>
      <c r="AB709">
        <v>1</v>
      </c>
      <c r="AC709">
        <v>1920</v>
      </c>
      <c r="AF709" t="s">
        <v>521</v>
      </c>
      <c r="AG709" s="32">
        <v>77.544323143672699</v>
      </c>
      <c r="AH709" s="32" t="s">
        <v>1200</v>
      </c>
      <c r="AI709" s="32" t="s">
        <v>2169</v>
      </c>
      <c r="AJ709" s="31" t="s">
        <v>3197</v>
      </c>
      <c r="AK709" s="31">
        <v>0.38</v>
      </c>
      <c r="AL709" s="31">
        <v>29.466842794595625</v>
      </c>
      <c r="AM709" s="31">
        <v>48.077480349077078</v>
      </c>
      <c r="AN709" s="31">
        <v>887.8797157506209</v>
      </c>
      <c r="AO709" s="31">
        <v>1448.6458520141714</v>
      </c>
      <c r="AP709" s="31">
        <v>0.43967862124031987</v>
      </c>
      <c r="AQ709" s="31">
        <v>0.71737038202367998</v>
      </c>
      <c r="AR709" s="31">
        <v>0.11595768328139726</v>
      </c>
    </row>
    <row r="710" spans="1:44" hidden="1" x14ac:dyDescent="0.5">
      <c r="A710" s="31">
        <v>709</v>
      </c>
      <c r="B710" s="31">
        <v>53</v>
      </c>
      <c r="C710" s="225" t="s">
        <v>43</v>
      </c>
      <c r="D710" s="35">
        <v>77.379154</v>
      </c>
      <c r="E710" s="33">
        <v>11.018173000000001</v>
      </c>
      <c r="F710">
        <v>45.3</v>
      </c>
      <c r="G710">
        <f>F710*1609.344</f>
        <v>72903.283199999991</v>
      </c>
      <c r="H710" s="32" t="s">
        <v>611</v>
      </c>
      <c r="I710">
        <v>1000</v>
      </c>
      <c r="J710">
        <v>0</v>
      </c>
      <c r="K710" s="27">
        <v>2012</v>
      </c>
      <c r="L710" t="s">
        <v>30</v>
      </c>
      <c r="M710" s="32">
        <v>32</v>
      </c>
      <c r="N710">
        <v>3.4233292909999999</v>
      </c>
      <c r="P710" t="s">
        <v>12</v>
      </c>
      <c r="Q710">
        <v>89</v>
      </c>
      <c r="R710" t="s">
        <v>13</v>
      </c>
      <c r="S710" t="s">
        <v>14</v>
      </c>
      <c r="T710" t="s">
        <v>14</v>
      </c>
      <c r="U710" s="34">
        <v>0</v>
      </c>
      <c r="V710" s="34">
        <v>1</v>
      </c>
      <c r="W710" s="25">
        <v>0.5</v>
      </c>
      <c r="X710" s="25">
        <v>1</v>
      </c>
      <c r="Y710">
        <v>0.64037984199999998</v>
      </c>
      <c r="Z710" t="s">
        <v>809</v>
      </c>
      <c r="AA710" t="s">
        <v>641</v>
      </c>
      <c r="AB710">
        <v>1</v>
      </c>
      <c r="AC710">
        <v>10</v>
      </c>
      <c r="AF710" t="s">
        <v>528</v>
      </c>
      <c r="AG710" s="32" t="s">
        <v>1811</v>
      </c>
      <c r="AH710" s="32" t="s">
        <v>671</v>
      </c>
      <c r="AI710" s="32" t="s">
        <v>1129</v>
      </c>
      <c r="AJ710" s="31" t="s">
        <v>1130</v>
      </c>
      <c r="AK710" s="31">
        <v>0.59524549999999998</v>
      </c>
      <c r="AL710" s="31">
        <v>185.90388421376949</v>
      </c>
      <c r="AM710" s="31">
        <v>126.41075607123813</v>
      </c>
      <c r="AN710" s="31">
        <v>715.0676540895164</v>
      </c>
      <c r="AO710" s="31">
        <v>486.23106062486016</v>
      </c>
      <c r="AP710" s="31">
        <v>0.45791491134515516</v>
      </c>
      <c r="AQ710" s="31">
        <v>0.31137256977844036</v>
      </c>
      <c r="AR710" s="31">
        <v>4.8988746828874725E-2</v>
      </c>
    </row>
    <row r="711" spans="1:44" hidden="1" x14ac:dyDescent="0.5">
      <c r="A711" s="31">
        <v>710</v>
      </c>
      <c r="B711" s="31">
        <v>53</v>
      </c>
      <c r="C711" s="225" t="s">
        <v>43</v>
      </c>
      <c r="D711" s="35">
        <v>41.951242999999998</v>
      </c>
      <c r="E711" s="33">
        <v>3.6878929999999999</v>
      </c>
      <c r="F711">
        <v>24.58</v>
      </c>
      <c r="G711">
        <f>F711*1609.344</f>
        <v>39557.675519999997</v>
      </c>
      <c r="H711" s="32" t="s">
        <v>611</v>
      </c>
      <c r="I711">
        <v>1300</v>
      </c>
      <c r="J711">
        <v>238.841018727749</v>
      </c>
      <c r="K711" s="27">
        <v>2012</v>
      </c>
      <c r="L711" t="s">
        <v>30</v>
      </c>
      <c r="M711" s="32">
        <v>32</v>
      </c>
      <c r="N711">
        <v>3.4233292909999999</v>
      </c>
      <c r="P711" t="s">
        <v>12</v>
      </c>
      <c r="Q711">
        <v>89</v>
      </c>
      <c r="R711" t="s">
        <v>13</v>
      </c>
      <c r="S711" t="s">
        <v>14</v>
      </c>
      <c r="T711" t="s">
        <v>14</v>
      </c>
      <c r="U711" s="34">
        <v>0</v>
      </c>
      <c r="V711" s="34">
        <v>1</v>
      </c>
      <c r="W711" s="25">
        <v>0.5</v>
      </c>
      <c r="X711" s="25">
        <v>1</v>
      </c>
      <c r="Y711">
        <v>1.4517405560000001</v>
      </c>
      <c r="Z711" t="s">
        <v>1103</v>
      </c>
      <c r="AA711" t="s">
        <v>622</v>
      </c>
      <c r="AB711">
        <v>1</v>
      </c>
      <c r="AC711">
        <v>10</v>
      </c>
      <c r="AF711" t="s">
        <v>528</v>
      </c>
      <c r="AG711" s="32" t="s">
        <v>1812</v>
      </c>
      <c r="AH711" s="32" t="s">
        <v>671</v>
      </c>
      <c r="AI711" s="32" t="s">
        <v>1129</v>
      </c>
      <c r="AJ711" s="31" t="s">
        <v>1130</v>
      </c>
      <c r="AK711" s="31">
        <v>0.59524549999999998</v>
      </c>
      <c r="AL711" s="31">
        <v>82.004390872717337</v>
      </c>
      <c r="AM711" s="31">
        <v>55.761271988601791</v>
      </c>
      <c r="AN711" s="31">
        <v>315.42475647773739</v>
      </c>
      <c r="AO711" s="31">
        <v>214.48224236179584</v>
      </c>
      <c r="AP711" s="31">
        <v>0.45791491134515511</v>
      </c>
      <c r="AQ711" s="31">
        <v>0.31137256977844024</v>
      </c>
      <c r="AR711" s="31">
        <v>3.6271066868291513E-2</v>
      </c>
    </row>
    <row r="712" spans="1:44" hidden="1" x14ac:dyDescent="0.5">
      <c r="A712" s="31">
        <v>711</v>
      </c>
      <c r="B712" s="31">
        <v>53</v>
      </c>
      <c r="C712" s="225" t="s">
        <v>43</v>
      </c>
      <c r="D712" s="35">
        <v>44.114555000000003</v>
      </c>
      <c r="E712" s="33">
        <v>-6.3345909999999996</v>
      </c>
      <c r="F712">
        <v>38.979999999999997</v>
      </c>
      <c r="G712">
        <f>F712*1609.344</f>
        <v>62732.229119999996</v>
      </c>
      <c r="H712" s="32" t="s">
        <v>611</v>
      </c>
      <c r="I712">
        <v>2000</v>
      </c>
      <c r="J712">
        <v>176.697713396594</v>
      </c>
      <c r="K712" s="27">
        <v>2012</v>
      </c>
      <c r="L712" t="s">
        <v>30</v>
      </c>
      <c r="M712" s="32">
        <v>32</v>
      </c>
      <c r="N712">
        <v>3.4233292909999999</v>
      </c>
      <c r="P712" t="s">
        <v>12</v>
      </c>
      <c r="Q712">
        <v>89</v>
      </c>
      <c r="R712" t="s">
        <v>13</v>
      </c>
      <c r="S712" t="s">
        <v>14</v>
      </c>
      <c r="T712" t="s">
        <v>14</v>
      </c>
      <c r="U712" s="34">
        <v>0</v>
      </c>
      <c r="V712" s="34">
        <v>1</v>
      </c>
      <c r="W712" s="25">
        <v>0.5</v>
      </c>
      <c r="X712" s="25">
        <v>1</v>
      </c>
      <c r="Y712">
        <v>1.1840535889999999</v>
      </c>
      <c r="Z712" t="s">
        <v>1114</v>
      </c>
      <c r="AA712" t="s">
        <v>622</v>
      </c>
      <c r="AB712">
        <v>1</v>
      </c>
      <c r="AC712">
        <v>40</v>
      </c>
      <c r="AF712" t="s">
        <v>528</v>
      </c>
      <c r="AG712" s="32" t="s">
        <v>1813</v>
      </c>
      <c r="AH712" s="32" t="s">
        <v>671</v>
      </c>
      <c r="AI712" s="32" t="s">
        <v>1129</v>
      </c>
      <c r="AJ712" s="31" t="s">
        <v>1130</v>
      </c>
      <c r="AK712" s="31">
        <v>0.59524549999999998</v>
      </c>
      <c r="AL712" s="31">
        <v>402.174702584344</v>
      </c>
      <c r="AM712" s="31">
        <v>273.47039273236817</v>
      </c>
      <c r="AN712" s="31">
        <v>1546.9398196137058</v>
      </c>
      <c r="AO712" s="31">
        <v>1051.8867479348196</v>
      </c>
      <c r="AP712" s="31">
        <v>1.8316596453806209</v>
      </c>
      <c r="AQ712" s="31">
        <v>1.2454902791137612</v>
      </c>
      <c r="AR712" s="31">
        <v>1.7987728753976254E-2</v>
      </c>
    </row>
    <row r="713" spans="1:44" hidden="1" x14ac:dyDescent="0.5">
      <c r="A713" s="31">
        <v>1123</v>
      </c>
      <c r="B713" s="31">
        <v>74</v>
      </c>
      <c r="C713" s="225" t="s">
        <v>32</v>
      </c>
      <c r="D713" s="41">
        <v>31.78</v>
      </c>
      <c r="E713" s="43">
        <v>-116.72</v>
      </c>
      <c r="F713">
        <v>2.64</v>
      </c>
      <c r="G713">
        <f>F713*1609.344</f>
        <v>4248.6681600000002</v>
      </c>
      <c r="H713" s="32" t="s">
        <v>614</v>
      </c>
      <c r="I713">
        <v>170</v>
      </c>
      <c r="J713">
        <v>193.243882376648</v>
      </c>
      <c r="K713" s="26">
        <v>2016</v>
      </c>
      <c r="L713" t="s">
        <v>40</v>
      </c>
      <c r="M713" s="32">
        <v>250</v>
      </c>
      <c r="N713">
        <v>30.131484459999999</v>
      </c>
      <c r="O713">
        <v>5</v>
      </c>
      <c r="P713" t="s">
        <v>17</v>
      </c>
      <c r="Q713">
        <v>100</v>
      </c>
      <c r="R713" t="s">
        <v>13</v>
      </c>
      <c r="S713" t="s">
        <v>14</v>
      </c>
      <c r="T713" t="s">
        <v>14</v>
      </c>
      <c r="U713" s="34">
        <v>0</v>
      </c>
      <c r="V713" s="34">
        <v>5</v>
      </c>
      <c r="W713" s="25">
        <v>2.5</v>
      </c>
      <c r="X713" s="25">
        <v>5</v>
      </c>
      <c r="Y713">
        <v>0.49520066000000001</v>
      </c>
      <c r="Z713" t="s">
        <v>1123</v>
      </c>
      <c r="AA713" t="s">
        <v>622</v>
      </c>
      <c r="AB713">
        <v>1</v>
      </c>
      <c r="AC713">
        <v>24940</v>
      </c>
      <c r="AF713" t="s">
        <v>521</v>
      </c>
      <c r="AG713" s="32">
        <v>1007.26844750167</v>
      </c>
      <c r="AH713" s="32" t="s">
        <v>2170</v>
      </c>
      <c r="AI713" s="32" t="s">
        <v>2171</v>
      </c>
      <c r="AJ713" s="31" t="s">
        <v>3198</v>
      </c>
      <c r="AK713" s="31">
        <v>7.6999999999999999E-2</v>
      </c>
      <c r="AL713" s="31">
        <v>77.559670457628229</v>
      </c>
      <c r="AM713" s="31">
        <v>929.70877704403699</v>
      </c>
      <c r="AN713" s="31">
        <v>2336.9880051167461</v>
      </c>
      <c r="AO713" s="31">
        <v>28013.505567828004</v>
      </c>
      <c r="AP713" s="31">
        <v>1.157278002545896</v>
      </c>
      <c r="AQ713" s="31">
        <v>13.872306446102103</v>
      </c>
      <c r="AR713" s="31">
        <v>0.11252419897155125</v>
      </c>
    </row>
    <row r="714" spans="1:44" hidden="1" x14ac:dyDescent="0.5">
      <c r="A714" s="31">
        <v>1124</v>
      </c>
      <c r="B714" s="31">
        <v>74</v>
      </c>
      <c r="C714" s="225" t="s">
        <v>32</v>
      </c>
      <c r="D714" s="41">
        <v>31.81</v>
      </c>
      <c r="E714" s="43">
        <v>-116.74</v>
      </c>
      <c r="F714">
        <v>5.44</v>
      </c>
      <c r="G714">
        <f>F714*1609.344</f>
        <v>8754.8313600000001</v>
      </c>
      <c r="H714" s="32" t="s">
        <v>614</v>
      </c>
      <c r="I714">
        <v>180</v>
      </c>
      <c r="J714">
        <v>208.61455742973999</v>
      </c>
      <c r="K714" s="26">
        <v>2016</v>
      </c>
      <c r="L714" t="s">
        <v>40</v>
      </c>
      <c r="M714" s="32">
        <v>250</v>
      </c>
      <c r="N714">
        <v>30.131484459999999</v>
      </c>
      <c r="O714">
        <v>5</v>
      </c>
      <c r="P714" t="s">
        <v>17</v>
      </c>
      <c r="Q714">
        <v>100</v>
      </c>
      <c r="R714" t="s">
        <v>13</v>
      </c>
      <c r="S714" t="s">
        <v>14</v>
      </c>
      <c r="T714" t="s">
        <v>14</v>
      </c>
      <c r="U714" s="34">
        <v>0</v>
      </c>
      <c r="V714" s="34">
        <v>5</v>
      </c>
      <c r="W714" s="25">
        <v>2.5</v>
      </c>
      <c r="X714" s="25">
        <v>5</v>
      </c>
      <c r="Y714">
        <v>0.49520066000000001</v>
      </c>
      <c r="Z714" t="s">
        <v>1123</v>
      </c>
      <c r="AA714" t="s">
        <v>622</v>
      </c>
      <c r="AB714">
        <v>1</v>
      </c>
      <c r="AC714">
        <v>2230</v>
      </c>
      <c r="AF714" t="s">
        <v>521</v>
      </c>
      <c r="AG714" s="32">
        <v>90.064500317911495</v>
      </c>
      <c r="AH714" s="32" t="s">
        <v>2172</v>
      </c>
      <c r="AI714" s="32" t="s">
        <v>2173</v>
      </c>
      <c r="AJ714" s="31" t="s">
        <v>3199</v>
      </c>
      <c r="AK714" s="31">
        <v>0.05</v>
      </c>
      <c r="AL714" s="31">
        <v>4.5032250158955769</v>
      </c>
      <c r="AM714" s="31">
        <v>85.561275302015957</v>
      </c>
      <c r="AN714" s="31">
        <v>135.68885458634082</v>
      </c>
      <c r="AO714" s="31">
        <v>2578.0882371404755</v>
      </c>
      <c r="AP714" s="31">
        <v>6.7193210345800017E-2</v>
      </c>
      <c r="AQ714" s="31">
        <v>1.2766709965701999</v>
      </c>
      <c r="AR714" s="31">
        <v>0.11140244689811635</v>
      </c>
    </row>
    <row r="715" spans="1:44" hidden="1" x14ac:dyDescent="0.5">
      <c r="A715" s="31">
        <v>1385</v>
      </c>
      <c r="B715" s="31">
        <v>98</v>
      </c>
      <c r="C715" s="225" t="s">
        <v>39</v>
      </c>
      <c r="D715" s="41">
        <v>51.453341000000002</v>
      </c>
      <c r="E715" s="43">
        <v>0.33346799999999999</v>
      </c>
      <c r="G715">
        <f>F715*1609.344</f>
        <v>0</v>
      </c>
      <c r="H715" s="31" t="s">
        <v>614</v>
      </c>
      <c r="I715" s="7">
        <v>6</v>
      </c>
      <c r="J715">
        <v>913.14282267812803</v>
      </c>
      <c r="K715" s="26">
        <v>2017</v>
      </c>
      <c r="L715" t="s">
        <v>40</v>
      </c>
      <c r="M715" s="32">
        <v>1000</v>
      </c>
      <c r="N715">
        <v>130.61708849999999</v>
      </c>
      <c r="P715" t="s">
        <v>17</v>
      </c>
      <c r="Q715">
        <v>100</v>
      </c>
      <c r="R715" t="s">
        <v>13</v>
      </c>
      <c r="S715" t="s">
        <v>16</v>
      </c>
      <c r="T715" t="s">
        <v>16</v>
      </c>
      <c r="U715" s="240">
        <v>0</v>
      </c>
      <c r="V715" s="240">
        <v>15</v>
      </c>
      <c r="W715" s="25">
        <v>7.5</v>
      </c>
      <c r="X715" s="25">
        <v>15</v>
      </c>
      <c r="Y715" s="244">
        <v>1.092945329</v>
      </c>
      <c r="Z715" t="s">
        <v>1104</v>
      </c>
      <c r="AA715" t="s">
        <v>622</v>
      </c>
      <c r="AB715">
        <v>19</v>
      </c>
      <c r="AC715">
        <v>31.37</v>
      </c>
      <c r="AD715">
        <v>13.97</v>
      </c>
      <c r="AE715" t="s">
        <v>525</v>
      </c>
      <c r="AF715" t="s">
        <v>553</v>
      </c>
      <c r="AG715" s="32">
        <v>1.9134839390793839</v>
      </c>
      <c r="AH715" s="32">
        <v>0.31</v>
      </c>
      <c r="AI715" s="32">
        <v>0.59318002111460899</v>
      </c>
      <c r="AJ715" s="31">
        <v>1.3203039179647749</v>
      </c>
      <c r="AK715" s="31">
        <v>0.31</v>
      </c>
      <c r="AL715" s="31">
        <v>0.59318002111460899</v>
      </c>
      <c r="AM715" s="31">
        <v>1.3203039179647749</v>
      </c>
      <c r="AN715" s="31">
        <v>77.479447314358751</v>
      </c>
      <c r="AO715" s="31">
        <v>172.45425369970172</v>
      </c>
      <c r="AP715" s="31">
        <v>8.4680800035729989E-2</v>
      </c>
      <c r="AQ715" s="31">
        <v>0.18848307104726994</v>
      </c>
      <c r="AR715" s="31">
        <v>0.13261895760437328</v>
      </c>
    </row>
    <row r="716" spans="1:44" hidden="1" x14ac:dyDescent="0.5">
      <c r="A716" s="31">
        <v>1395</v>
      </c>
      <c r="B716" s="31">
        <v>98</v>
      </c>
      <c r="C716" s="225" t="s">
        <v>39</v>
      </c>
      <c r="D716" s="41">
        <v>51.434156000000002</v>
      </c>
      <c r="E716" s="43">
        <v>-3.044114</v>
      </c>
      <c r="G716">
        <f>F716*1609.344</f>
        <v>0</v>
      </c>
      <c r="H716" s="31" t="s">
        <v>614</v>
      </c>
      <c r="I716" s="7">
        <v>4</v>
      </c>
      <c r="J716">
        <v>249.04229481522501</v>
      </c>
      <c r="K716" s="26">
        <v>2016</v>
      </c>
      <c r="L716" t="s">
        <v>40</v>
      </c>
      <c r="M716" s="32">
        <v>1000</v>
      </c>
      <c r="N716">
        <v>130.61708849999999</v>
      </c>
      <c r="P716" t="s">
        <v>17</v>
      </c>
      <c r="Q716">
        <v>100</v>
      </c>
      <c r="R716" t="s">
        <v>13</v>
      </c>
      <c r="S716" t="s">
        <v>16</v>
      </c>
      <c r="T716" t="s">
        <v>16</v>
      </c>
      <c r="U716" s="240">
        <v>0</v>
      </c>
      <c r="V716" s="240">
        <v>15</v>
      </c>
      <c r="W716" s="25">
        <v>7.5</v>
      </c>
      <c r="X716" s="25">
        <v>15</v>
      </c>
      <c r="Y716" s="244">
        <v>0.93194745000000001</v>
      </c>
      <c r="Z716" t="s">
        <v>1114</v>
      </c>
      <c r="AA716" t="s">
        <v>622</v>
      </c>
      <c r="AB716">
        <v>17</v>
      </c>
      <c r="AC716">
        <v>8.76</v>
      </c>
      <c r="AD716">
        <v>4.18</v>
      </c>
      <c r="AE716" t="s">
        <v>525</v>
      </c>
      <c r="AF716" t="s">
        <v>553</v>
      </c>
      <c r="AG716" s="32">
        <v>0.62664477487437731</v>
      </c>
      <c r="AH716" s="32">
        <v>0.31</v>
      </c>
      <c r="AI716" s="32">
        <v>0.19425988021105697</v>
      </c>
      <c r="AJ716" s="31">
        <v>0.43238489466332031</v>
      </c>
      <c r="AK716" s="31">
        <v>0.31</v>
      </c>
      <c r="AL716" s="31">
        <v>0.19425988021105697</v>
      </c>
      <c r="AM716" s="31">
        <v>0.43238489466332031</v>
      </c>
      <c r="AN716" s="31">
        <v>25.373659965527022</v>
      </c>
      <c r="AO716" s="31">
        <v>56.476856052302082</v>
      </c>
      <c r="AP716" s="31">
        <v>2.3646917702039996E-2</v>
      </c>
      <c r="AQ716" s="31">
        <v>5.2633461981959999E-2</v>
      </c>
      <c r="AR716" s="31">
        <v>0.13288496611575845</v>
      </c>
    </row>
    <row r="717" spans="1:44" hidden="1" x14ac:dyDescent="0.5">
      <c r="A717" s="31">
        <v>716</v>
      </c>
      <c r="B717" s="31">
        <v>54</v>
      </c>
      <c r="C717" s="225" t="s">
        <v>43</v>
      </c>
      <c r="D717" s="41">
        <v>47.241944400000001</v>
      </c>
      <c r="E717" s="43">
        <v>154.70861099999999</v>
      </c>
      <c r="F717">
        <v>84.68</v>
      </c>
      <c r="G717">
        <f>F717*1609.344</f>
        <v>136279.24992</v>
      </c>
      <c r="H717" s="32" t="s">
        <v>613</v>
      </c>
      <c r="I717">
        <v>4977</v>
      </c>
      <c r="J717">
        <v>0</v>
      </c>
      <c r="K717" s="26">
        <v>2012</v>
      </c>
      <c r="L717" t="s">
        <v>30</v>
      </c>
      <c r="M717" s="32">
        <v>300</v>
      </c>
      <c r="N717">
        <v>36.542166029999997</v>
      </c>
      <c r="P717" t="s">
        <v>17</v>
      </c>
      <c r="Q717">
        <v>100</v>
      </c>
      <c r="R717" t="s">
        <v>13</v>
      </c>
      <c r="S717" t="s">
        <v>16</v>
      </c>
      <c r="T717" t="s">
        <v>16</v>
      </c>
      <c r="U717" s="34">
        <v>2</v>
      </c>
      <c r="V717" s="34">
        <v>20</v>
      </c>
      <c r="W717" s="25">
        <v>11</v>
      </c>
      <c r="X717" s="25">
        <v>18</v>
      </c>
      <c r="Y717">
        <v>0.66369104999999995</v>
      </c>
      <c r="Z717" t="s">
        <v>1110</v>
      </c>
      <c r="AA717" t="s">
        <v>622</v>
      </c>
      <c r="AB717">
        <v>1</v>
      </c>
      <c r="AC717">
        <v>87</v>
      </c>
      <c r="AF717" t="s">
        <v>529</v>
      </c>
      <c r="AG717" s="32" t="s">
        <v>1820</v>
      </c>
      <c r="AH717" s="32" t="s">
        <v>1342</v>
      </c>
      <c r="AI717" s="32" t="s">
        <v>1821</v>
      </c>
      <c r="AJ717" s="31" t="s">
        <v>3042</v>
      </c>
      <c r="AK717" s="31">
        <v>0.75</v>
      </c>
      <c r="AL717" s="31">
        <v>2.1847514743493979</v>
      </c>
      <c r="AM717" s="31">
        <v>0.72825049144979914</v>
      </c>
      <c r="AN717" s="31">
        <v>79.835551109962978</v>
      </c>
      <c r="AO717" s="31">
        <v>26.611850369987657</v>
      </c>
      <c r="AP717" s="31">
        <v>5.2986140743499985E-2</v>
      </c>
      <c r="AQ717" s="31">
        <v>1.7662046914499997E-2</v>
      </c>
      <c r="AR717" s="31">
        <v>9.11221776452307E-4</v>
      </c>
    </row>
    <row r="718" spans="1:44" hidden="1" x14ac:dyDescent="0.5">
      <c r="A718" s="31">
        <v>717</v>
      </c>
      <c r="B718" s="31">
        <v>54</v>
      </c>
      <c r="C718" s="225" t="s">
        <v>43</v>
      </c>
      <c r="D718" s="41">
        <v>47.241944400000001</v>
      </c>
      <c r="E718" s="43">
        <v>154.70861099999999</v>
      </c>
      <c r="F718">
        <v>84.68</v>
      </c>
      <c r="G718">
        <f>F718*1609.344</f>
        <v>136279.24992</v>
      </c>
      <c r="H718" s="32" t="s">
        <v>613</v>
      </c>
      <c r="I718">
        <v>4977</v>
      </c>
      <c r="J718">
        <v>0</v>
      </c>
      <c r="K718" s="26">
        <v>2012</v>
      </c>
      <c r="L718" t="s">
        <v>30</v>
      </c>
      <c r="M718" s="32">
        <v>300</v>
      </c>
      <c r="N718">
        <v>36.542166029999997</v>
      </c>
      <c r="P718" t="s">
        <v>17</v>
      </c>
      <c r="Q718">
        <v>100</v>
      </c>
      <c r="R718" t="s">
        <v>13</v>
      </c>
      <c r="S718" t="s">
        <v>16</v>
      </c>
      <c r="T718" t="s">
        <v>16</v>
      </c>
      <c r="U718" s="34">
        <v>0</v>
      </c>
      <c r="V718" s="34">
        <v>2</v>
      </c>
      <c r="W718" s="25">
        <v>1</v>
      </c>
      <c r="X718" s="25">
        <v>2</v>
      </c>
      <c r="Y718">
        <v>0.66369104999999995</v>
      </c>
      <c r="Z718" t="s">
        <v>1110</v>
      </c>
      <c r="AA718" t="s">
        <v>622</v>
      </c>
      <c r="AB718">
        <v>1</v>
      </c>
      <c r="AC718">
        <v>142</v>
      </c>
      <c r="AF718" t="s">
        <v>529</v>
      </c>
      <c r="AG718" s="32" t="s">
        <v>1822</v>
      </c>
      <c r="AH718" s="32" t="s">
        <v>1342</v>
      </c>
      <c r="AI718" s="32" t="s">
        <v>1823</v>
      </c>
      <c r="AJ718" s="31" t="s">
        <v>3043</v>
      </c>
      <c r="AK718" s="31">
        <v>0.75</v>
      </c>
      <c r="AL718" s="31">
        <v>32.093245795615296</v>
      </c>
      <c r="AM718" s="31">
        <v>10.697748598538432</v>
      </c>
      <c r="AN718" s="31">
        <v>1172.7567163049735</v>
      </c>
      <c r="AO718" s="31">
        <v>390.91890543499119</v>
      </c>
      <c r="AP718" s="31">
        <v>0.77834813643899992</v>
      </c>
      <c r="AQ718" s="31">
        <v>0.25944937881300001</v>
      </c>
      <c r="AR718" s="31">
        <v>9.11221776452307E-4</v>
      </c>
    </row>
    <row r="719" spans="1:44" hidden="1" x14ac:dyDescent="0.5">
      <c r="A719" s="31">
        <v>718</v>
      </c>
      <c r="B719" s="31">
        <v>54</v>
      </c>
      <c r="C719" s="225" t="s">
        <v>43</v>
      </c>
      <c r="D719" s="41">
        <v>47.241666700000003</v>
      </c>
      <c r="E719" s="43">
        <v>154.709722</v>
      </c>
      <c r="F719">
        <v>84.09</v>
      </c>
      <c r="G719">
        <f>F719*1609.344</f>
        <v>135329.73696000001</v>
      </c>
      <c r="H719" s="32" t="s">
        <v>613</v>
      </c>
      <c r="I719">
        <v>4980</v>
      </c>
      <c r="J719">
        <v>0</v>
      </c>
      <c r="K719" s="26">
        <v>2012</v>
      </c>
      <c r="L719" t="s">
        <v>30</v>
      </c>
      <c r="M719" s="32">
        <v>300</v>
      </c>
      <c r="N719">
        <v>36.542166029999997</v>
      </c>
      <c r="P719" t="s">
        <v>17</v>
      </c>
      <c r="Q719">
        <v>100</v>
      </c>
      <c r="R719" t="s">
        <v>13</v>
      </c>
      <c r="S719" t="s">
        <v>16</v>
      </c>
      <c r="T719" t="s">
        <v>16</v>
      </c>
      <c r="U719" s="34">
        <v>0</v>
      </c>
      <c r="V719" s="34">
        <v>2</v>
      </c>
      <c r="W719" s="25">
        <v>1</v>
      </c>
      <c r="X719" s="25">
        <v>2</v>
      </c>
      <c r="Y719">
        <v>0.66369104999999995</v>
      </c>
      <c r="Z719" t="s">
        <v>1110</v>
      </c>
      <c r="AA719" t="s">
        <v>622</v>
      </c>
      <c r="AB719">
        <v>1</v>
      </c>
      <c r="AC719">
        <v>0</v>
      </c>
      <c r="AF719" t="s">
        <v>529</v>
      </c>
      <c r="AG719" s="32">
        <v>0</v>
      </c>
      <c r="AH719" s="32" t="s">
        <v>671</v>
      </c>
      <c r="AI719" s="32" t="s">
        <v>1129</v>
      </c>
      <c r="AJ719" s="31" t="s">
        <v>1130</v>
      </c>
      <c r="AK719" s="31">
        <v>0.59524549999999998</v>
      </c>
      <c r="AL719" s="31">
        <v>0</v>
      </c>
      <c r="AM719" s="31">
        <v>0</v>
      </c>
      <c r="AN719" s="31">
        <v>0</v>
      </c>
      <c r="AO719" s="31">
        <v>0</v>
      </c>
      <c r="AP719" s="31">
        <v>0</v>
      </c>
      <c r="AQ719" s="31">
        <v>0</v>
      </c>
      <c r="AR719" s="31">
        <v>9.0848702688238177E-4</v>
      </c>
    </row>
    <row r="720" spans="1:44" hidden="1" x14ac:dyDescent="0.5">
      <c r="A720" s="31">
        <v>719</v>
      </c>
      <c r="B720" s="31">
        <v>54</v>
      </c>
      <c r="C720" s="225" t="s">
        <v>43</v>
      </c>
      <c r="D720" s="41">
        <v>47.241666700000003</v>
      </c>
      <c r="E720" s="43">
        <v>154.709722</v>
      </c>
      <c r="F720">
        <v>84.09</v>
      </c>
      <c r="G720">
        <f>F720*1609.344</f>
        <v>135329.73696000001</v>
      </c>
      <c r="H720" s="32" t="s">
        <v>613</v>
      </c>
      <c r="I720">
        <v>4980</v>
      </c>
      <c r="J720">
        <v>0</v>
      </c>
      <c r="K720" s="26">
        <v>2012</v>
      </c>
      <c r="L720" t="s">
        <v>30</v>
      </c>
      <c r="M720" s="32">
        <v>300</v>
      </c>
      <c r="N720">
        <v>36.542166029999997</v>
      </c>
      <c r="P720" t="s">
        <v>17</v>
      </c>
      <c r="Q720">
        <v>100</v>
      </c>
      <c r="R720" t="s">
        <v>13</v>
      </c>
      <c r="S720" t="s">
        <v>16</v>
      </c>
      <c r="T720" t="s">
        <v>16</v>
      </c>
      <c r="U720" s="34">
        <v>2</v>
      </c>
      <c r="V720" s="34">
        <v>20</v>
      </c>
      <c r="W720" s="25">
        <v>11</v>
      </c>
      <c r="X720" s="25">
        <v>18</v>
      </c>
      <c r="Y720">
        <v>0.66369104999999995</v>
      </c>
      <c r="Z720" t="s">
        <v>1110</v>
      </c>
      <c r="AA720" t="s">
        <v>622</v>
      </c>
      <c r="AB720">
        <v>1</v>
      </c>
      <c r="AC720">
        <v>250</v>
      </c>
      <c r="AF720" t="s">
        <v>529</v>
      </c>
      <c r="AG720" s="32" t="s">
        <v>1824</v>
      </c>
      <c r="AH720" s="32" t="s">
        <v>1342</v>
      </c>
      <c r="AI720" s="32" t="s">
        <v>1825</v>
      </c>
      <c r="AJ720" s="31" t="s">
        <v>3044</v>
      </c>
      <c r="AK720" s="31">
        <v>0.75</v>
      </c>
      <c r="AL720" s="31">
        <v>6.2780214780155115</v>
      </c>
      <c r="AM720" s="31">
        <v>2.0926738260051705</v>
      </c>
      <c r="AN720" s="31">
        <v>229.41250318954883</v>
      </c>
      <c r="AO720" s="31">
        <v>76.470834396516267</v>
      </c>
      <c r="AP720" s="31">
        <v>0.152259025125</v>
      </c>
      <c r="AQ720" s="31">
        <v>5.0753008374999992E-2</v>
      </c>
      <c r="AR720" s="31">
        <v>9.0848702688238177E-4</v>
      </c>
    </row>
    <row r="721" spans="1:44" hidden="1" x14ac:dyDescent="0.5">
      <c r="A721" s="31">
        <v>1380</v>
      </c>
      <c r="B721" s="31">
        <v>98</v>
      </c>
      <c r="C721" s="225" t="s">
        <v>39</v>
      </c>
      <c r="D721" s="41">
        <v>51.400593999999998</v>
      </c>
      <c r="E721" s="43">
        <v>1.401824</v>
      </c>
      <c r="G721">
        <f>F721*1609.344</f>
        <v>0</v>
      </c>
      <c r="H721" s="31" t="s">
        <v>614</v>
      </c>
      <c r="I721" s="7">
        <v>8</v>
      </c>
      <c r="J721">
        <v>372.61576857746098</v>
      </c>
      <c r="K721" s="26">
        <v>2017</v>
      </c>
      <c r="L721" t="s">
        <v>40</v>
      </c>
      <c r="M721" s="32">
        <v>1000</v>
      </c>
      <c r="N721">
        <v>130.61708849999999</v>
      </c>
      <c r="P721" t="s">
        <v>17</v>
      </c>
      <c r="Q721">
        <v>100</v>
      </c>
      <c r="R721" t="s">
        <v>13</v>
      </c>
      <c r="S721" t="s">
        <v>16</v>
      </c>
      <c r="T721" t="s">
        <v>16</v>
      </c>
      <c r="U721" s="240">
        <v>0</v>
      </c>
      <c r="V721" s="240">
        <v>15</v>
      </c>
      <c r="W721" s="25">
        <v>7.5</v>
      </c>
      <c r="X721" s="25">
        <v>15</v>
      </c>
      <c r="Y721" s="244">
        <v>1.092945329</v>
      </c>
      <c r="Z721" t="s">
        <v>1104</v>
      </c>
      <c r="AA721" t="s">
        <v>622</v>
      </c>
      <c r="AB721">
        <v>32</v>
      </c>
      <c r="AC721">
        <v>7.28</v>
      </c>
      <c r="AD721">
        <v>1.7</v>
      </c>
      <c r="AE721" t="s">
        <v>525</v>
      </c>
      <c r="AF721" t="s">
        <v>553</v>
      </c>
      <c r="AG721" s="32">
        <v>0.4440600279406412</v>
      </c>
      <c r="AH721" s="32">
        <v>0.31</v>
      </c>
      <c r="AI721" s="32">
        <v>0.13765860866159876</v>
      </c>
      <c r="AJ721" s="31">
        <v>0.30640141927904241</v>
      </c>
      <c r="AK721" s="31">
        <v>0.31</v>
      </c>
      <c r="AL721" s="31">
        <v>0.13765860866159876</v>
      </c>
      <c r="AM721" s="31">
        <v>0.30640141927904241</v>
      </c>
      <c r="AN721" s="31">
        <v>17.980566670338913</v>
      </c>
      <c r="AO721" s="31">
        <v>40.021261298496285</v>
      </c>
      <c r="AP721" s="31">
        <v>1.9651776355119999E-2</v>
      </c>
      <c r="AQ721" s="31">
        <v>4.3741050596879986E-2</v>
      </c>
      <c r="AR721" s="31">
        <v>0.13235348158759747</v>
      </c>
    </row>
    <row r="722" spans="1:44" hidden="1" x14ac:dyDescent="0.5">
      <c r="A722" s="31">
        <v>1425</v>
      </c>
      <c r="B722" s="31">
        <v>104</v>
      </c>
      <c r="C722" s="225" t="s">
        <v>34</v>
      </c>
      <c r="D722" s="41">
        <v>50.165913000000003</v>
      </c>
      <c r="E722" s="43">
        <v>-125.03713500000001</v>
      </c>
      <c r="F722">
        <v>0</v>
      </c>
      <c r="G722">
        <f>F722*1609.344</f>
        <v>0</v>
      </c>
      <c r="H722" s="32" t="s">
        <v>10</v>
      </c>
      <c r="I722">
        <v>0</v>
      </c>
      <c r="J722">
        <v>9.2082341804467909</v>
      </c>
      <c r="K722" s="26">
        <v>2016</v>
      </c>
      <c r="L722" t="s">
        <v>30</v>
      </c>
      <c r="M722" s="32">
        <v>10</v>
      </c>
      <c r="N722">
        <v>0.99999999799999995</v>
      </c>
      <c r="O722">
        <v>5</v>
      </c>
      <c r="P722" t="s">
        <v>22</v>
      </c>
      <c r="Q722">
        <v>81</v>
      </c>
      <c r="R722" t="s">
        <v>13</v>
      </c>
      <c r="S722" t="s">
        <v>14</v>
      </c>
      <c r="T722" t="s">
        <v>14</v>
      </c>
      <c r="U722" s="34">
        <v>0</v>
      </c>
      <c r="V722" s="34">
        <v>5.45</v>
      </c>
      <c r="W722" s="25">
        <v>2.7250000000000001</v>
      </c>
      <c r="X722" s="25">
        <v>5.45</v>
      </c>
      <c r="Y722">
        <v>0.73831813300000004</v>
      </c>
      <c r="Z722" t="s">
        <v>1127</v>
      </c>
      <c r="AA722" t="s">
        <v>622</v>
      </c>
      <c r="AB722">
        <v>16</v>
      </c>
      <c r="AC722">
        <v>19.97</v>
      </c>
      <c r="AD722">
        <v>23.74</v>
      </c>
      <c r="AF722" t="s">
        <v>532</v>
      </c>
      <c r="AG722" s="32">
        <v>20</v>
      </c>
      <c r="AH722" s="32" t="s">
        <v>2505</v>
      </c>
      <c r="AI722" s="32" t="s">
        <v>2506</v>
      </c>
      <c r="AJ722" s="31" t="s">
        <v>3348</v>
      </c>
      <c r="AK722" s="31">
        <v>2E-3</v>
      </c>
      <c r="AL722" s="31">
        <v>0.04</v>
      </c>
      <c r="AM722" s="31">
        <v>19.96</v>
      </c>
      <c r="AN722" s="31">
        <v>4.9382715950617287E-2</v>
      </c>
      <c r="AO722" s="31">
        <v>24.641975259358027</v>
      </c>
      <c r="AP722" s="31">
        <v>3.6460154643129079E-5</v>
      </c>
      <c r="AQ722" s="31">
        <v>1.8193617166921409E-2</v>
      </c>
      <c r="AR722" s="31">
        <v>0.13341858489683281</v>
      </c>
    </row>
    <row r="723" spans="1:44" hidden="1" x14ac:dyDescent="0.5">
      <c r="A723" s="31">
        <v>427</v>
      </c>
      <c r="B723" s="31">
        <v>29</v>
      </c>
      <c r="C723" s="225" t="s">
        <v>20</v>
      </c>
      <c r="D723" s="44">
        <v>51.368547</v>
      </c>
      <c r="E723" s="45">
        <v>3.3649909999999998</v>
      </c>
      <c r="F723">
        <v>0</v>
      </c>
      <c r="G723">
        <f>F723*1609.344</f>
        <v>0</v>
      </c>
      <c r="H723" s="32" t="s">
        <v>10</v>
      </c>
      <c r="I723">
        <v>0</v>
      </c>
      <c r="J723">
        <v>439.50270844195899</v>
      </c>
      <c r="K723" s="26">
        <v>2011</v>
      </c>
      <c r="M723" s="32">
        <v>35</v>
      </c>
      <c r="N723">
        <v>3.7637779180000002</v>
      </c>
      <c r="O723">
        <v>1</v>
      </c>
      <c r="P723" t="s">
        <v>15</v>
      </c>
      <c r="Q723">
        <v>99.3</v>
      </c>
      <c r="R723" t="s">
        <v>36</v>
      </c>
      <c r="S723" t="s">
        <v>16</v>
      </c>
      <c r="T723" t="s">
        <v>16</v>
      </c>
      <c r="U723" s="34">
        <v>0</v>
      </c>
      <c r="V723" s="34">
        <v>5</v>
      </c>
      <c r="W723" s="25">
        <v>2.5</v>
      </c>
      <c r="X723" s="25">
        <v>5</v>
      </c>
      <c r="Y723" s="244">
        <v>1.788789671</v>
      </c>
      <c r="Z723" t="s">
        <v>1104</v>
      </c>
      <c r="AA723" t="s">
        <v>622</v>
      </c>
      <c r="AB723">
        <v>1</v>
      </c>
      <c r="AC723">
        <v>12</v>
      </c>
      <c r="AD723">
        <v>5</v>
      </c>
      <c r="AE723" t="s">
        <v>519</v>
      </c>
      <c r="AF723" t="s">
        <v>532</v>
      </c>
      <c r="AG723" s="32">
        <v>12</v>
      </c>
      <c r="AH723" s="32" t="s">
        <v>1427</v>
      </c>
      <c r="AI723" s="32" t="s">
        <v>1436</v>
      </c>
      <c r="AJ723" s="31" t="s">
        <v>2857</v>
      </c>
      <c r="AK723" s="31">
        <v>0.92900000000000005</v>
      </c>
      <c r="AL723" s="31">
        <v>11.148</v>
      </c>
      <c r="AM723" s="31">
        <v>0.85200000000000031</v>
      </c>
      <c r="AN723" s="31">
        <v>42.254376867939584</v>
      </c>
      <c r="AO723" s="31">
        <v>3.2293441955045332</v>
      </c>
      <c r="AP723" s="31">
        <v>7.5584192895911659E-2</v>
      </c>
      <c r="AQ723" s="31">
        <v>5.7766175410223133E-3</v>
      </c>
      <c r="AR723" s="31">
        <v>0.13341858489683281</v>
      </c>
    </row>
    <row r="724" spans="1:44" hidden="1" x14ac:dyDescent="0.5">
      <c r="A724" s="31">
        <v>428</v>
      </c>
      <c r="B724" s="31">
        <v>29</v>
      </c>
      <c r="C724" s="225" t="s">
        <v>20</v>
      </c>
      <c r="D724" s="44">
        <v>51.368547</v>
      </c>
      <c r="E724" s="45">
        <v>3.3649909999999998</v>
      </c>
      <c r="F724">
        <v>0</v>
      </c>
      <c r="G724">
        <f>F724*1609.344</f>
        <v>0</v>
      </c>
      <c r="H724" s="32" t="s">
        <v>10</v>
      </c>
      <c r="I724">
        <v>0</v>
      </c>
      <c r="J724">
        <v>439.50270844195899</v>
      </c>
      <c r="K724" s="26">
        <v>2011</v>
      </c>
      <c r="M724" s="32">
        <v>35</v>
      </c>
      <c r="N724">
        <v>3.7637779180000002</v>
      </c>
      <c r="O724">
        <v>1</v>
      </c>
      <c r="P724" t="s">
        <v>15</v>
      </c>
      <c r="Q724">
        <v>99.3</v>
      </c>
      <c r="R724" t="s">
        <v>36</v>
      </c>
      <c r="S724" t="s">
        <v>16</v>
      </c>
      <c r="T724" t="s">
        <v>16</v>
      </c>
      <c r="U724" s="34">
        <v>0</v>
      </c>
      <c r="V724" s="34">
        <v>5</v>
      </c>
      <c r="W724" s="25">
        <v>2.5</v>
      </c>
      <c r="X724" s="25">
        <v>5</v>
      </c>
      <c r="Y724" s="244">
        <v>1.788789671</v>
      </c>
      <c r="Z724" t="s">
        <v>1104</v>
      </c>
      <c r="AA724" t="s">
        <v>622</v>
      </c>
      <c r="AB724">
        <v>1</v>
      </c>
      <c r="AC724">
        <v>18.2</v>
      </c>
      <c r="AD724">
        <v>15.1</v>
      </c>
      <c r="AE724" t="s">
        <v>519</v>
      </c>
      <c r="AF724" t="s">
        <v>532</v>
      </c>
      <c r="AG724" s="32" t="s">
        <v>1437</v>
      </c>
      <c r="AH724" s="32" t="s">
        <v>1427</v>
      </c>
      <c r="AI724" s="32" t="s">
        <v>1438</v>
      </c>
      <c r="AJ724" s="31" t="s">
        <v>2858</v>
      </c>
      <c r="AK724" s="31">
        <v>0.92900000000000005</v>
      </c>
      <c r="AL724" s="31">
        <v>16.907800000000002</v>
      </c>
      <c r="AM724" s="31">
        <v>1.2921999999999976</v>
      </c>
      <c r="AN724" s="31">
        <v>64.085804916375039</v>
      </c>
      <c r="AO724" s="31">
        <v>4.8978386965151977</v>
      </c>
      <c r="AP724" s="31">
        <v>0.11463602589213269</v>
      </c>
      <c r="AQ724" s="31">
        <v>8.7612032705504887E-3</v>
      </c>
      <c r="AR724" s="31">
        <v>0.13341858489683281</v>
      </c>
    </row>
    <row r="725" spans="1:44" hidden="1" x14ac:dyDescent="0.5">
      <c r="A725" s="31">
        <v>1384</v>
      </c>
      <c r="B725" s="31">
        <v>98</v>
      </c>
      <c r="C725" s="225" t="s">
        <v>39</v>
      </c>
      <c r="D725" s="41">
        <v>51.359886000000003</v>
      </c>
      <c r="E725" s="43">
        <v>0.84544600000000003</v>
      </c>
      <c r="G725">
        <f>F725*1609.344</f>
        <v>0</v>
      </c>
      <c r="H725" s="31" t="s">
        <v>614</v>
      </c>
      <c r="I725" s="7">
        <v>0</v>
      </c>
      <c r="J725">
        <v>744.83435166914796</v>
      </c>
      <c r="K725" s="26">
        <v>2016</v>
      </c>
      <c r="L725" t="s">
        <v>40</v>
      </c>
      <c r="M725" s="32">
        <v>1000</v>
      </c>
      <c r="N725">
        <v>130.61708849999999</v>
      </c>
      <c r="P725" t="s">
        <v>17</v>
      </c>
      <c r="Q725">
        <v>100</v>
      </c>
      <c r="R725" t="s">
        <v>13</v>
      </c>
      <c r="S725" t="s">
        <v>16</v>
      </c>
      <c r="T725" t="s">
        <v>16</v>
      </c>
      <c r="U725" s="240">
        <v>0</v>
      </c>
      <c r="V725" s="240">
        <v>15</v>
      </c>
      <c r="W725" s="25">
        <v>7.5</v>
      </c>
      <c r="X725" s="25">
        <v>15</v>
      </c>
      <c r="Y725" s="244">
        <v>1.092945329</v>
      </c>
      <c r="Z725" t="s">
        <v>1104</v>
      </c>
      <c r="AA725" t="s">
        <v>622</v>
      </c>
      <c r="AB725">
        <v>54</v>
      </c>
      <c r="AC725">
        <v>12.61</v>
      </c>
      <c r="AD725">
        <v>4.8899999999999997</v>
      </c>
      <c r="AE725" t="s">
        <v>525</v>
      </c>
      <c r="AF725" t="s">
        <v>553</v>
      </c>
      <c r="AG725" s="32">
        <v>0.76917540554003927</v>
      </c>
      <c r="AH725" s="32">
        <v>0.31</v>
      </c>
      <c r="AI725" s="32">
        <v>0.23844437571741217</v>
      </c>
      <c r="AJ725" s="31">
        <v>0.5307310298226271</v>
      </c>
      <c r="AK725" s="31">
        <v>0.31</v>
      </c>
      <c r="AL725" s="31">
        <v>0.23844437571741217</v>
      </c>
      <c r="AM725" s="31">
        <v>0.5307310298226271</v>
      </c>
      <c r="AN725" s="31">
        <v>31.144910125408476</v>
      </c>
      <c r="AO725" s="31">
        <v>69.322541892038217</v>
      </c>
      <c r="AP725" s="31">
        <v>3.4039684043689997E-2</v>
      </c>
      <c r="AQ725" s="31">
        <v>7.5765748355309998E-2</v>
      </c>
      <c r="AR725" s="31">
        <v>0.13341858489683281</v>
      </c>
    </row>
    <row r="726" spans="1:44" hidden="1" x14ac:dyDescent="0.5">
      <c r="A726" s="31">
        <v>425</v>
      </c>
      <c r="B726" s="31">
        <v>29</v>
      </c>
      <c r="C726" s="225" t="s">
        <v>20</v>
      </c>
      <c r="D726" s="44">
        <v>51.275272999999999</v>
      </c>
      <c r="E726" s="45">
        <v>3.019771</v>
      </c>
      <c r="F726">
        <v>0</v>
      </c>
      <c r="G726">
        <f>F726*1609.344</f>
        <v>0</v>
      </c>
      <c r="H726" s="32" t="s">
        <v>10</v>
      </c>
      <c r="I726">
        <v>0</v>
      </c>
      <c r="J726">
        <v>439.54980584541499</v>
      </c>
      <c r="K726" s="26">
        <v>2011</v>
      </c>
      <c r="M726" s="32">
        <v>35</v>
      </c>
      <c r="N726">
        <v>3.7637779180000002</v>
      </c>
      <c r="O726">
        <v>1</v>
      </c>
      <c r="P726" t="s">
        <v>15</v>
      </c>
      <c r="Q726">
        <v>99.3</v>
      </c>
      <c r="R726" t="s">
        <v>36</v>
      </c>
      <c r="S726" t="s">
        <v>16</v>
      </c>
      <c r="T726" t="s">
        <v>16</v>
      </c>
      <c r="U726" s="34">
        <v>0</v>
      </c>
      <c r="V726" s="34">
        <v>5</v>
      </c>
      <c r="W726" s="25">
        <v>2.5</v>
      </c>
      <c r="X726" s="25">
        <v>5</v>
      </c>
      <c r="Y726" s="244">
        <v>1.788789671</v>
      </c>
      <c r="Z726" t="s">
        <v>1104</v>
      </c>
      <c r="AA726" t="s">
        <v>622</v>
      </c>
      <c r="AB726">
        <v>1</v>
      </c>
      <c r="AC726">
        <v>7.2</v>
      </c>
      <c r="AD726">
        <v>2.2999999999999998</v>
      </c>
      <c r="AE726" t="s">
        <v>519</v>
      </c>
      <c r="AF726" t="s">
        <v>532</v>
      </c>
      <c r="AG726" s="32" t="s">
        <v>1426</v>
      </c>
      <c r="AH726" s="32" t="s">
        <v>1427</v>
      </c>
      <c r="AI726" s="32" t="s">
        <v>1428</v>
      </c>
      <c r="AJ726" s="31" t="s">
        <v>2852</v>
      </c>
      <c r="AK726" s="31">
        <v>0.92900000000000005</v>
      </c>
      <c r="AL726" s="31">
        <v>6.6888000000000005</v>
      </c>
      <c r="AM726" s="31">
        <v>0.51119999999999965</v>
      </c>
      <c r="AN726" s="31">
        <v>25.352626120763748</v>
      </c>
      <c r="AO726" s="31">
        <v>1.9376065173027177</v>
      </c>
      <c r="AP726" s="31">
        <v>4.535051573754699E-2</v>
      </c>
      <c r="AQ726" s="31">
        <v>3.4659705246133841E-3</v>
      </c>
      <c r="AR726" s="31">
        <v>0.13341858489683281</v>
      </c>
    </row>
    <row r="727" spans="1:44" hidden="1" x14ac:dyDescent="0.5">
      <c r="A727" s="31">
        <v>426</v>
      </c>
      <c r="B727" s="31">
        <v>29</v>
      </c>
      <c r="C727" s="225" t="s">
        <v>20</v>
      </c>
      <c r="D727" s="44">
        <v>51.275272999999999</v>
      </c>
      <c r="E727" s="45">
        <v>3.019771</v>
      </c>
      <c r="F727">
        <v>0</v>
      </c>
      <c r="G727">
        <f>F727*1609.344</f>
        <v>0</v>
      </c>
      <c r="H727" s="32" t="s">
        <v>10</v>
      </c>
      <c r="I727">
        <v>0</v>
      </c>
      <c r="J727">
        <v>439.54980584541499</v>
      </c>
      <c r="K727" s="26">
        <v>2011</v>
      </c>
      <c r="M727" s="32">
        <v>35</v>
      </c>
      <c r="N727">
        <v>3.7637779180000002</v>
      </c>
      <c r="O727">
        <v>1</v>
      </c>
      <c r="P727" t="s">
        <v>15</v>
      </c>
      <c r="Q727">
        <v>99.3</v>
      </c>
      <c r="R727" t="s">
        <v>36</v>
      </c>
      <c r="S727" t="s">
        <v>16</v>
      </c>
      <c r="T727" t="s">
        <v>16</v>
      </c>
      <c r="U727" s="34">
        <v>0</v>
      </c>
      <c r="V727" s="34">
        <v>5</v>
      </c>
      <c r="W727" s="25">
        <v>2.5</v>
      </c>
      <c r="X727" s="25">
        <v>5</v>
      </c>
      <c r="Y727" s="244">
        <v>1.788789671</v>
      </c>
      <c r="Z727" t="s">
        <v>1104</v>
      </c>
      <c r="AA727" t="s">
        <v>622</v>
      </c>
      <c r="AB727">
        <v>1</v>
      </c>
      <c r="AC727">
        <v>16</v>
      </c>
      <c r="AD727">
        <v>3.3</v>
      </c>
      <c r="AE727" t="s">
        <v>519</v>
      </c>
      <c r="AF727" t="s">
        <v>532</v>
      </c>
      <c r="AG727" s="32">
        <v>16</v>
      </c>
      <c r="AH727" s="32" t="s">
        <v>1427</v>
      </c>
      <c r="AI727" s="32" t="s">
        <v>1435</v>
      </c>
      <c r="AJ727" s="31" t="s">
        <v>2856</v>
      </c>
      <c r="AK727" s="31">
        <v>0.92900000000000005</v>
      </c>
      <c r="AL727" s="31">
        <v>14.864000000000001</v>
      </c>
      <c r="AM727" s="31">
        <v>1.1359999999999992</v>
      </c>
      <c r="AN727" s="31">
        <v>56.339169157252776</v>
      </c>
      <c r="AO727" s="31">
        <v>4.3057922606727059</v>
      </c>
      <c r="AP727" s="31">
        <v>0.10077892386121554</v>
      </c>
      <c r="AQ727" s="31">
        <v>7.7021567213630751E-3</v>
      </c>
      <c r="AR727" s="31">
        <v>0.13341858489683281</v>
      </c>
    </row>
    <row r="728" spans="1:44" hidden="1" x14ac:dyDescent="0.5">
      <c r="A728" s="31">
        <v>1263</v>
      </c>
      <c r="B728" s="31">
        <v>87</v>
      </c>
      <c r="C728" s="225" t="s">
        <v>20</v>
      </c>
      <c r="D728" s="32">
        <v>51.244169999999997</v>
      </c>
      <c r="E728" s="38">
        <v>2.4546700000000001</v>
      </c>
      <c r="F728">
        <v>4.97</v>
      </c>
      <c r="G728">
        <f>F728*1609.344</f>
        <v>7998.4396799999995</v>
      </c>
      <c r="H728" s="32" t="s">
        <v>614</v>
      </c>
      <c r="I728">
        <v>23</v>
      </c>
      <c r="J728">
        <v>391.41348681484999</v>
      </c>
      <c r="K728" s="26">
        <v>2014</v>
      </c>
      <c r="L728" t="s">
        <v>40</v>
      </c>
      <c r="M728" s="32">
        <v>11</v>
      </c>
      <c r="N728">
        <v>1.1060976250000001</v>
      </c>
      <c r="O728">
        <v>5</v>
      </c>
      <c r="P728" t="s">
        <v>23</v>
      </c>
      <c r="Q728">
        <v>95.5</v>
      </c>
      <c r="R728" t="s">
        <v>13</v>
      </c>
      <c r="S728" t="s">
        <v>14</v>
      </c>
      <c r="T728" t="s">
        <v>14</v>
      </c>
      <c r="U728" s="34">
        <v>0</v>
      </c>
      <c r="V728" s="34">
        <v>5</v>
      </c>
      <c r="W728" s="25">
        <v>2.5</v>
      </c>
      <c r="X728" s="25">
        <v>5</v>
      </c>
      <c r="Y728" s="244">
        <v>1.788789671</v>
      </c>
      <c r="Z728" t="s">
        <v>1104</v>
      </c>
      <c r="AA728" t="s">
        <v>622</v>
      </c>
      <c r="AB728">
        <v>1</v>
      </c>
      <c r="AC728">
        <v>22.24</v>
      </c>
      <c r="AF728" t="s">
        <v>532</v>
      </c>
      <c r="AG728" s="32" t="s">
        <v>2399</v>
      </c>
      <c r="AH728" s="32" t="s">
        <v>671</v>
      </c>
      <c r="AI728" s="32" t="s">
        <v>1129</v>
      </c>
      <c r="AJ728" s="31" t="s">
        <v>1130</v>
      </c>
      <c r="AK728" s="31">
        <v>0.59524549999999998</v>
      </c>
      <c r="AL728" s="31">
        <v>13.214450099999999</v>
      </c>
      <c r="AM728" s="31">
        <v>8.9855499000000005</v>
      </c>
      <c r="AN728" s="31">
        <v>15.305206147948702</v>
      </c>
      <c r="AO728" s="31">
        <v>10.407220318019883</v>
      </c>
      <c r="AP728" s="31">
        <v>2.7377794669976335E-2</v>
      </c>
      <c r="AQ728" s="31">
        <v>1.8616328208695302E-2</v>
      </c>
      <c r="AR728" s="31">
        <v>0.13037927748282999</v>
      </c>
    </row>
    <row r="729" spans="1:44" hidden="1" x14ac:dyDescent="0.5">
      <c r="A729" s="31">
        <v>1373</v>
      </c>
      <c r="B729" s="31">
        <v>98</v>
      </c>
      <c r="C729" s="225" t="s">
        <v>39</v>
      </c>
      <c r="D729" s="41">
        <v>51.176409999999997</v>
      </c>
      <c r="E729" s="43">
        <v>-4.6605679999999996</v>
      </c>
      <c r="G729">
        <f>F729*1609.344</f>
        <v>0</v>
      </c>
      <c r="H729" s="31" t="s">
        <v>614</v>
      </c>
      <c r="I729" s="7">
        <v>16</v>
      </c>
      <c r="J729">
        <v>147.55317231082199</v>
      </c>
      <c r="K729" s="26">
        <v>2017</v>
      </c>
      <c r="L729" t="s">
        <v>40</v>
      </c>
      <c r="M729" s="32">
        <v>1000</v>
      </c>
      <c r="N729">
        <v>130.61708849999999</v>
      </c>
      <c r="P729" t="s">
        <v>17</v>
      </c>
      <c r="Q729">
        <v>100</v>
      </c>
      <c r="R729" t="s">
        <v>13</v>
      </c>
      <c r="S729" t="s">
        <v>16</v>
      </c>
      <c r="T729" t="s">
        <v>16</v>
      </c>
      <c r="U729" s="240">
        <v>0</v>
      </c>
      <c r="V729" s="240">
        <v>15</v>
      </c>
      <c r="W729" s="25">
        <v>7.5</v>
      </c>
      <c r="X729" s="25">
        <v>15</v>
      </c>
      <c r="Y729" s="244">
        <v>0.93194745000000001</v>
      </c>
      <c r="Z729" t="s">
        <v>1114</v>
      </c>
      <c r="AA729" t="s">
        <v>622</v>
      </c>
      <c r="AB729">
        <v>98</v>
      </c>
      <c r="AC729">
        <v>5.53</v>
      </c>
      <c r="AD729">
        <v>0.92</v>
      </c>
      <c r="AE729" t="s">
        <v>525</v>
      </c>
      <c r="AF729" t="s">
        <v>553</v>
      </c>
      <c r="AG729" s="32">
        <v>0.39558739783736374</v>
      </c>
      <c r="AH729" s="32">
        <v>0.31</v>
      </c>
      <c r="AI729" s="32">
        <v>0.12263209332958276</v>
      </c>
      <c r="AJ729" s="31">
        <v>0.27295530450778099</v>
      </c>
      <c r="AK729" s="31">
        <v>0.31</v>
      </c>
      <c r="AL729" s="31">
        <v>0.12263209332958276</v>
      </c>
      <c r="AM729" s="31">
        <v>0.27295530450778099</v>
      </c>
      <c r="AN729" s="31">
        <v>16.017846987370369</v>
      </c>
      <c r="AO729" s="31">
        <v>35.652627165437281</v>
      </c>
      <c r="AP729" s="31">
        <v>1.4927791654369997E-2</v>
      </c>
      <c r="AQ729" s="31">
        <v>3.322637497263E-2</v>
      </c>
      <c r="AR729" s="31">
        <v>0.13129688117966493</v>
      </c>
    </row>
    <row r="730" spans="1:44" hidden="1" x14ac:dyDescent="0.5">
      <c r="A730" s="31">
        <v>1377</v>
      </c>
      <c r="B730" s="31">
        <v>98</v>
      </c>
      <c r="C730" s="225" t="s">
        <v>39</v>
      </c>
      <c r="D730" s="41">
        <v>51.170406999999997</v>
      </c>
      <c r="E730" s="43">
        <v>1.4107499999999999</v>
      </c>
      <c r="G730">
        <f>F730*1609.344</f>
        <v>0</v>
      </c>
      <c r="H730" s="31" t="s">
        <v>614</v>
      </c>
      <c r="I730" s="7">
        <v>0</v>
      </c>
      <c r="J730">
        <v>372.87386341585699</v>
      </c>
      <c r="K730" s="26">
        <v>2016</v>
      </c>
      <c r="L730" t="s">
        <v>40</v>
      </c>
      <c r="M730" s="32">
        <v>1000</v>
      </c>
      <c r="N730">
        <v>130.61708849999999</v>
      </c>
      <c r="P730" t="s">
        <v>17</v>
      </c>
      <c r="Q730">
        <v>100</v>
      </c>
      <c r="R730" t="s">
        <v>13</v>
      </c>
      <c r="S730" t="s">
        <v>16</v>
      </c>
      <c r="T730" t="s">
        <v>16</v>
      </c>
      <c r="U730" s="240">
        <v>0</v>
      </c>
      <c r="V730" s="240">
        <v>15</v>
      </c>
      <c r="W730" s="25">
        <v>7.5</v>
      </c>
      <c r="X730" s="25">
        <v>15</v>
      </c>
      <c r="Y730" s="244">
        <v>1.241026956</v>
      </c>
      <c r="Z730" t="s">
        <v>1114</v>
      </c>
      <c r="AA730" t="s">
        <v>622</v>
      </c>
      <c r="AB730">
        <v>15</v>
      </c>
      <c r="AC730">
        <v>0.21</v>
      </c>
      <c r="AD730">
        <v>0.11</v>
      </c>
      <c r="AE730" t="s">
        <v>525</v>
      </c>
      <c r="AF730" t="s">
        <v>553</v>
      </c>
      <c r="AG730" s="32">
        <v>1.128097978236018E-2</v>
      </c>
      <c r="AH730" s="32" t="s">
        <v>671</v>
      </c>
      <c r="AI730" s="32" t="s">
        <v>1129</v>
      </c>
      <c r="AJ730" s="31" t="s">
        <v>1130</v>
      </c>
      <c r="AK730" s="31">
        <v>0.59524549999999998</v>
      </c>
      <c r="AL730" s="31">
        <v>6.7149524510408762E-3</v>
      </c>
      <c r="AM730" s="31">
        <v>4.5660273313193039E-3</v>
      </c>
      <c r="AN730" s="31">
        <v>0.87708753857089816</v>
      </c>
      <c r="AO730" s="31">
        <v>0.59640119602835229</v>
      </c>
      <c r="AP730" s="31">
        <v>1.0884892781381744E-3</v>
      </c>
      <c r="AQ730" s="31">
        <v>7.4014996086182528E-4</v>
      </c>
      <c r="AR730" s="31">
        <v>0.13341858489683281</v>
      </c>
    </row>
    <row r="731" spans="1:44" hidden="1" x14ac:dyDescent="0.5">
      <c r="A731" s="31">
        <v>423</v>
      </c>
      <c r="B731" s="31">
        <v>29</v>
      </c>
      <c r="C731" s="225" t="s">
        <v>20</v>
      </c>
      <c r="D731" s="44">
        <v>51.131604000000003</v>
      </c>
      <c r="E731" s="45">
        <v>2.6583589999999999</v>
      </c>
      <c r="F731">
        <v>0</v>
      </c>
      <c r="G731">
        <f>F731*1609.344</f>
        <v>0</v>
      </c>
      <c r="H731" s="32" t="s">
        <v>10</v>
      </c>
      <c r="I731">
        <v>0</v>
      </c>
      <c r="J731">
        <v>375.57111287809897</v>
      </c>
      <c r="K731" s="26">
        <v>2011</v>
      </c>
      <c r="M731" s="32">
        <v>35</v>
      </c>
      <c r="N731">
        <v>3.7637779180000002</v>
      </c>
      <c r="O731">
        <v>1</v>
      </c>
      <c r="P731" t="s">
        <v>15</v>
      </c>
      <c r="Q731">
        <v>99.3</v>
      </c>
      <c r="R731" t="s">
        <v>36</v>
      </c>
      <c r="S731" t="s">
        <v>16</v>
      </c>
      <c r="T731" t="s">
        <v>16</v>
      </c>
      <c r="U731" s="34">
        <v>0</v>
      </c>
      <c r="V731" s="34">
        <v>5</v>
      </c>
      <c r="W731" s="25">
        <v>2.5</v>
      </c>
      <c r="X731" s="25">
        <v>5</v>
      </c>
      <c r="Y731" s="244">
        <v>1.788789671</v>
      </c>
      <c r="Z731" t="s">
        <v>1104</v>
      </c>
      <c r="AA731" t="s">
        <v>622</v>
      </c>
      <c r="AB731">
        <v>1</v>
      </c>
      <c r="AC731">
        <v>10.5</v>
      </c>
      <c r="AD731">
        <v>7.3</v>
      </c>
      <c r="AE731" t="s">
        <v>519</v>
      </c>
      <c r="AF731" t="s">
        <v>532</v>
      </c>
      <c r="AG731" s="32" t="s">
        <v>1431</v>
      </c>
      <c r="AH731" s="32" t="s">
        <v>1427</v>
      </c>
      <c r="AI731" s="32" t="s">
        <v>1432</v>
      </c>
      <c r="AJ731" s="31" t="s">
        <v>2854</v>
      </c>
      <c r="AK731" s="31">
        <v>0.92900000000000005</v>
      </c>
      <c r="AL731" s="31">
        <v>9.7545000000000002</v>
      </c>
      <c r="AM731" s="31">
        <v>0.74549999999999983</v>
      </c>
      <c r="AN731" s="31">
        <v>36.972579759447136</v>
      </c>
      <c r="AO731" s="31">
        <v>2.8256761710664646</v>
      </c>
      <c r="AP731" s="31">
        <v>6.61361687839227E-2</v>
      </c>
      <c r="AQ731" s="31">
        <v>5.0545403483945204E-3</v>
      </c>
      <c r="AR731" s="31">
        <v>0.13341858489683281</v>
      </c>
    </row>
    <row r="732" spans="1:44" hidden="1" x14ac:dyDescent="0.5">
      <c r="A732" s="31">
        <v>424</v>
      </c>
      <c r="B732" s="31">
        <v>29</v>
      </c>
      <c r="C732" s="225" t="s">
        <v>20</v>
      </c>
      <c r="D732" s="44">
        <v>51.131604000000003</v>
      </c>
      <c r="E732" s="45">
        <v>2.6583589999999999</v>
      </c>
      <c r="F732">
        <v>0</v>
      </c>
      <c r="G732">
        <f>F732*1609.344</f>
        <v>0</v>
      </c>
      <c r="H732" s="32" t="s">
        <v>10</v>
      </c>
      <c r="I732">
        <v>0</v>
      </c>
      <c r="J732">
        <v>375.57111287809897</v>
      </c>
      <c r="K732" s="26">
        <v>2011</v>
      </c>
      <c r="M732" s="32">
        <v>35</v>
      </c>
      <c r="N732">
        <v>3.7637779180000002</v>
      </c>
      <c r="O732">
        <v>1</v>
      </c>
      <c r="P732" t="s">
        <v>15</v>
      </c>
      <c r="Q732">
        <v>99.3</v>
      </c>
      <c r="R732" t="s">
        <v>36</v>
      </c>
      <c r="S732" t="s">
        <v>16</v>
      </c>
      <c r="T732" t="s">
        <v>16</v>
      </c>
      <c r="U732" s="34">
        <v>0</v>
      </c>
      <c r="V732" s="34">
        <v>5</v>
      </c>
      <c r="W732" s="25">
        <v>2.5</v>
      </c>
      <c r="X732" s="25">
        <v>5</v>
      </c>
      <c r="Y732" s="244">
        <v>1.788789671</v>
      </c>
      <c r="Z732" t="s">
        <v>1104</v>
      </c>
      <c r="AA732" t="s">
        <v>622</v>
      </c>
      <c r="AB732">
        <v>1</v>
      </c>
      <c r="AC732">
        <v>15.5</v>
      </c>
      <c r="AD732">
        <v>8.5</v>
      </c>
      <c r="AE732" t="s">
        <v>519</v>
      </c>
      <c r="AF732" t="s">
        <v>532</v>
      </c>
      <c r="AG732" s="32" t="s">
        <v>1433</v>
      </c>
      <c r="AH732" s="32" t="s">
        <v>1427</v>
      </c>
      <c r="AI732" s="32" t="s">
        <v>1434</v>
      </c>
      <c r="AJ732" s="31" t="s">
        <v>2855</v>
      </c>
      <c r="AK732" s="31">
        <v>0.92900000000000005</v>
      </c>
      <c r="AL732" s="31">
        <v>14.399500000000002</v>
      </c>
      <c r="AM732" s="31">
        <v>1.1004999999999985</v>
      </c>
      <c r="AN732" s="31">
        <v>54.578570121088632</v>
      </c>
      <c r="AO732" s="31">
        <v>4.1712362525266808</v>
      </c>
      <c r="AP732" s="31">
        <v>9.7629582490552563E-2</v>
      </c>
      <c r="AQ732" s="31">
        <v>7.4614643238204749E-3</v>
      </c>
      <c r="AR732" s="31">
        <v>0.13341858489683281</v>
      </c>
    </row>
    <row r="733" spans="1:44" hidden="1" x14ac:dyDescent="0.5">
      <c r="A733" s="31">
        <v>1376</v>
      </c>
      <c r="B733" s="31">
        <v>98</v>
      </c>
      <c r="C733" s="225" t="s">
        <v>39</v>
      </c>
      <c r="D733" s="41">
        <v>51.096727000000001</v>
      </c>
      <c r="E733" s="43">
        <v>1.2541949999999999</v>
      </c>
      <c r="G733">
        <f>F733*1609.344</f>
        <v>0</v>
      </c>
      <c r="H733" s="31" t="s">
        <v>614</v>
      </c>
      <c r="I733" s="7">
        <v>7</v>
      </c>
      <c r="J733">
        <v>403.97458644901002</v>
      </c>
      <c r="K733" s="26">
        <v>2016</v>
      </c>
      <c r="L733" t="s">
        <v>40</v>
      </c>
      <c r="M733" s="32">
        <v>1000</v>
      </c>
      <c r="N733">
        <v>130.61708849999999</v>
      </c>
      <c r="P733" t="s">
        <v>17</v>
      </c>
      <c r="Q733">
        <v>100</v>
      </c>
      <c r="R733" t="s">
        <v>13</v>
      </c>
      <c r="S733" t="s">
        <v>16</v>
      </c>
      <c r="T733" t="s">
        <v>16</v>
      </c>
      <c r="U733" s="240">
        <v>0</v>
      </c>
      <c r="V733" s="240">
        <v>15</v>
      </c>
      <c r="W733" s="25">
        <v>7.5</v>
      </c>
      <c r="X733" s="25">
        <v>15</v>
      </c>
      <c r="Y733" s="244">
        <v>1.241026956</v>
      </c>
      <c r="Z733" t="s">
        <v>1114</v>
      </c>
      <c r="AA733" t="s">
        <v>622</v>
      </c>
      <c r="AB733">
        <v>32</v>
      </c>
      <c r="AC733">
        <v>0.79</v>
      </c>
      <c r="AD733">
        <v>0.21</v>
      </c>
      <c r="AE733" t="s">
        <v>525</v>
      </c>
      <c r="AF733" t="s">
        <v>553</v>
      </c>
      <c r="AG733" s="32">
        <v>4.2437971562212115E-2</v>
      </c>
      <c r="AH733" s="32" t="s">
        <v>671</v>
      </c>
      <c r="AI733" s="32" t="s">
        <v>1129</v>
      </c>
      <c r="AJ733" s="31" t="s">
        <v>1130</v>
      </c>
      <c r="AK733" s="31">
        <v>0.59524549999999998</v>
      </c>
      <c r="AL733" s="31">
        <v>2.5261011601534732E-2</v>
      </c>
      <c r="AM733" s="31">
        <v>1.7176959960677383E-2</v>
      </c>
      <c r="AN733" s="31">
        <v>3.2995197879571885</v>
      </c>
      <c r="AO733" s="31">
        <v>2.2436044993447544</v>
      </c>
      <c r="AP733" s="31">
        <v>4.0947929987102749E-3</v>
      </c>
      <c r="AQ733" s="31">
        <v>2.7843736622897249E-3</v>
      </c>
      <c r="AR733" s="31">
        <v>0.13248615310083081</v>
      </c>
    </row>
    <row r="734" spans="1:44" hidden="1" x14ac:dyDescent="0.5">
      <c r="A734" s="31">
        <v>421</v>
      </c>
      <c r="B734" s="31">
        <v>29</v>
      </c>
      <c r="C734" s="225" t="s">
        <v>20</v>
      </c>
      <c r="D734" s="44">
        <v>51.092157</v>
      </c>
      <c r="E734" s="45">
        <v>2.5517810000000001</v>
      </c>
      <c r="F734">
        <v>0</v>
      </c>
      <c r="G734">
        <f>F734*1609.344</f>
        <v>0</v>
      </c>
      <c r="H734" s="32" t="s">
        <v>10</v>
      </c>
      <c r="I734">
        <v>0</v>
      </c>
      <c r="J734">
        <v>358.77453474595001</v>
      </c>
      <c r="K734" s="26">
        <v>2011</v>
      </c>
      <c r="M734" s="32">
        <v>35</v>
      </c>
      <c r="N734">
        <v>3.7637779180000002</v>
      </c>
      <c r="O734">
        <v>1</v>
      </c>
      <c r="P734" t="s">
        <v>15</v>
      </c>
      <c r="Q734">
        <v>99.3</v>
      </c>
      <c r="R734" t="s">
        <v>36</v>
      </c>
      <c r="S734" t="s">
        <v>16</v>
      </c>
      <c r="T734" t="s">
        <v>16</v>
      </c>
      <c r="U734" s="34">
        <v>0</v>
      </c>
      <c r="V734" s="34">
        <v>5</v>
      </c>
      <c r="W734" s="25">
        <v>2.5</v>
      </c>
      <c r="X734" s="25">
        <v>5</v>
      </c>
      <c r="Y734" s="244">
        <v>1.788789671</v>
      </c>
      <c r="Z734" t="s">
        <v>1104</v>
      </c>
      <c r="AA734" t="s">
        <v>622</v>
      </c>
      <c r="AB734">
        <v>1</v>
      </c>
      <c r="AC734">
        <v>7.2</v>
      </c>
      <c r="AD734">
        <v>2.9</v>
      </c>
      <c r="AE734" t="s">
        <v>519</v>
      </c>
      <c r="AF734" t="s">
        <v>532</v>
      </c>
      <c r="AG734" s="32" t="s">
        <v>1426</v>
      </c>
      <c r="AH734" s="32" t="s">
        <v>1427</v>
      </c>
      <c r="AI734" s="32" t="s">
        <v>1428</v>
      </c>
      <c r="AJ734" s="31" t="s">
        <v>2852</v>
      </c>
      <c r="AK734" s="31">
        <v>0.92900000000000005</v>
      </c>
      <c r="AL734" s="31">
        <v>6.6888000000000005</v>
      </c>
      <c r="AM734" s="31">
        <v>0.51119999999999965</v>
      </c>
      <c r="AN734" s="31">
        <v>25.352626120763748</v>
      </c>
      <c r="AO734" s="31">
        <v>1.9376065173027177</v>
      </c>
      <c r="AP734" s="31">
        <v>4.535051573754699E-2</v>
      </c>
      <c r="AQ734" s="31">
        <v>3.4659705246133841E-3</v>
      </c>
      <c r="AR734" s="31">
        <v>0.13341858489683281</v>
      </c>
    </row>
    <row r="735" spans="1:44" hidden="1" x14ac:dyDescent="0.5">
      <c r="A735" s="31">
        <v>422</v>
      </c>
      <c r="B735" s="31">
        <v>29</v>
      </c>
      <c r="C735" s="225" t="s">
        <v>20</v>
      </c>
      <c r="D735" s="44">
        <v>51.092157</v>
      </c>
      <c r="E735" s="45">
        <v>2.5517810000000001</v>
      </c>
      <c r="F735">
        <v>0</v>
      </c>
      <c r="G735">
        <f>F735*1609.344</f>
        <v>0</v>
      </c>
      <c r="H735" s="32" t="s">
        <v>10</v>
      </c>
      <c r="I735">
        <v>0</v>
      </c>
      <c r="J735">
        <v>358.77453474595001</v>
      </c>
      <c r="K735" s="26">
        <v>2011</v>
      </c>
      <c r="M735" s="32">
        <v>35</v>
      </c>
      <c r="N735">
        <v>3.7637779180000002</v>
      </c>
      <c r="O735">
        <v>1</v>
      </c>
      <c r="P735" t="s">
        <v>15</v>
      </c>
      <c r="Q735">
        <v>99.3</v>
      </c>
      <c r="R735" t="s">
        <v>36</v>
      </c>
      <c r="S735" t="s">
        <v>16</v>
      </c>
      <c r="T735" t="s">
        <v>16</v>
      </c>
      <c r="U735" s="34">
        <v>0</v>
      </c>
      <c r="V735" s="34">
        <v>5</v>
      </c>
      <c r="W735" s="25">
        <v>2.5</v>
      </c>
      <c r="X735" s="25">
        <v>5</v>
      </c>
      <c r="Y735" s="244">
        <v>1.788789671</v>
      </c>
      <c r="Z735" t="s">
        <v>1104</v>
      </c>
      <c r="AA735" t="s">
        <v>622</v>
      </c>
      <c r="AB735">
        <v>1</v>
      </c>
      <c r="AC735">
        <v>20.399999999999999</v>
      </c>
      <c r="AD735">
        <v>8.6999999999999993</v>
      </c>
      <c r="AE735" t="s">
        <v>519</v>
      </c>
      <c r="AF735" t="s">
        <v>532</v>
      </c>
      <c r="AG735" s="32" t="s">
        <v>1429</v>
      </c>
      <c r="AH735" s="32" t="s">
        <v>1427</v>
      </c>
      <c r="AI735" s="32" t="s">
        <v>1430</v>
      </c>
      <c r="AJ735" s="31" t="s">
        <v>2853</v>
      </c>
      <c r="AK735" s="31">
        <v>0.92900000000000005</v>
      </c>
      <c r="AL735" s="31">
        <v>18.951599999999999</v>
      </c>
      <c r="AM735" s="31">
        <v>1.4483999999999995</v>
      </c>
      <c r="AN735" s="31">
        <v>71.832440675497296</v>
      </c>
      <c r="AO735" s="31">
        <v>5.4898851323577027</v>
      </c>
      <c r="AP735" s="31">
        <v>0.12849312792304982</v>
      </c>
      <c r="AQ735" s="31">
        <v>9.8202498197379265E-3</v>
      </c>
      <c r="AR735" s="31">
        <v>0.13341858489683281</v>
      </c>
    </row>
    <row r="736" spans="1:44" hidden="1" x14ac:dyDescent="0.5">
      <c r="A736" s="31">
        <v>279</v>
      </c>
      <c r="B736" s="31">
        <v>18</v>
      </c>
      <c r="C736" s="225" t="s">
        <v>20</v>
      </c>
      <c r="D736" s="35">
        <v>51</v>
      </c>
      <c r="E736" s="33">
        <v>3</v>
      </c>
      <c r="F736">
        <v>0</v>
      </c>
      <c r="G736">
        <f>F736*1609.344</f>
        <v>0</v>
      </c>
      <c r="H736" s="32" t="s">
        <v>47</v>
      </c>
      <c r="I736" s="7">
        <v>0</v>
      </c>
      <c r="J736">
        <v>386.10110247894102</v>
      </c>
      <c r="K736" s="26">
        <v>2007</v>
      </c>
      <c r="L736" t="s">
        <v>40</v>
      </c>
      <c r="M736" s="32">
        <v>38</v>
      </c>
      <c r="N736">
        <v>4.1059253030000002</v>
      </c>
      <c r="P736" t="s">
        <v>12</v>
      </c>
      <c r="Q736">
        <v>89</v>
      </c>
      <c r="R736" t="s">
        <v>13</v>
      </c>
      <c r="S736" t="s">
        <v>14</v>
      </c>
      <c r="T736" t="s">
        <v>16</v>
      </c>
      <c r="U736" s="34">
        <v>0</v>
      </c>
      <c r="V736" s="34">
        <v>10</v>
      </c>
      <c r="W736" s="25">
        <v>5</v>
      </c>
      <c r="X736" s="25">
        <v>10</v>
      </c>
      <c r="Y736" s="244">
        <v>1.788789671</v>
      </c>
      <c r="Z736" t="s">
        <v>1104</v>
      </c>
      <c r="AA736" t="s">
        <v>622</v>
      </c>
      <c r="AB736">
        <v>3</v>
      </c>
      <c r="AC736">
        <v>126.1</v>
      </c>
      <c r="AD736">
        <v>46.3</v>
      </c>
      <c r="AE736" t="s">
        <v>519</v>
      </c>
      <c r="AF736" t="s">
        <v>532</v>
      </c>
      <c r="AG736" s="32" t="s">
        <v>1289</v>
      </c>
      <c r="AH736" s="32" t="s">
        <v>1290</v>
      </c>
      <c r="AI736" s="32" t="s">
        <v>1291</v>
      </c>
      <c r="AJ736" s="31" t="s">
        <v>2787</v>
      </c>
      <c r="AK736" s="31">
        <v>0.59</v>
      </c>
      <c r="AL736" s="31">
        <v>74.398999999999987</v>
      </c>
      <c r="AM736" s="31">
        <v>51.701000000000008</v>
      </c>
      <c r="AN736" s="31">
        <v>343.23228833471569</v>
      </c>
      <c r="AO736" s="31">
        <v>238.51735291056522</v>
      </c>
      <c r="AP736" s="31">
        <v>0.61397037212683325</v>
      </c>
      <c r="AQ736" s="31">
        <v>0.42665737724068087</v>
      </c>
      <c r="AR736" s="31">
        <v>0.13341858489683281</v>
      </c>
    </row>
    <row r="737" spans="1:44" hidden="1" x14ac:dyDescent="0.5">
      <c r="A737" s="31">
        <v>280</v>
      </c>
      <c r="B737" s="31">
        <v>18</v>
      </c>
      <c r="C737" s="225" t="s">
        <v>20</v>
      </c>
      <c r="D737" s="35">
        <v>51</v>
      </c>
      <c r="E737" s="33">
        <v>3</v>
      </c>
      <c r="F737">
        <v>0</v>
      </c>
      <c r="G737">
        <f>F737*1609.344</f>
        <v>0</v>
      </c>
      <c r="H737" s="32" t="s">
        <v>47</v>
      </c>
      <c r="I737" s="7">
        <v>0</v>
      </c>
      <c r="J737">
        <v>386.10110247894102</v>
      </c>
      <c r="K737" s="26">
        <v>2007</v>
      </c>
      <c r="L737" t="s">
        <v>40</v>
      </c>
      <c r="M737" s="32">
        <v>38</v>
      </c>
      <c r="N737">
        <v>4.1059253030000002</v>
      </c>
      <c r="P737" t="s">
        <v>12</v>
      </c>
      <c r="Q737">
        <v>89</v>
      </c>
      <c r="R737" t="s">
        <v>13</v>
      </c>
      <c r="S737" t="s">
        <v>14</v>
      </c>
      <c r="T737" t="s">
        <v>16</v>
      </c>
      <c r="U737" s="34">
        <v>0</v>
      </c>
      <c r="V737" s="34">
        <v>10</v>
      </c>
      <c r="W737" s="25">
        <v>5</v>
      </c>
      <c r="X737" s="25">
        <v>10</v>
      </c>
      <c r="Y737" s="244">
        <v>1.788789671</v>
      </c>
      <c r="Z737" t="s">
        <v>1104</v>
      </c>
      <c r="AA737" t="s">
        <v>622</v>
      </c>
      <c r="AB737">
        <v>3</v>
      </c>
      <c r="AC737">
        <v>172.2</v>
      </c>
      <c r="AD737">
        <v>70.900000000000006</v>
      </c>
      <c r="AE737" t="s">
        <v>519</v>
      </c>
      <c r="AF737" t="s">
        <v>532</v>
      </c>
      <c r="AG737" s="32" t="s">
        <v>1292</v>
      </c>
      <c r="AH737" s="32" t="s">
        <v>1290</v>
      </c>
      <c r="AI737" s="32" t="s">
        <v>1293</v>
      </c>
      <c r="AJ737" s="31" t="s">
        <v>2788</v>
      </c>
      <c r="AK737" s="31">
        <v>0.59</v>
      </c>
      <c r="AL737" s="31">
        <v>101.59799999999998</v>
      </c>
      <c r="AM737" s="31">
        <v>70.602000000000004</v>
      </c>
      <c r="AN737" s="31">
        <v>468.71213363392582</v>
      </c>
      <c r="AO737" s="31">
        <v>325.71521150832143</v>
      </c>
      <c r="AP737" s="31">
        <v>0.83842742331673825</v>
      </c>
      <c r="AQ737" s="31">
        <v>0.58263600603366572</v>
      </c>
      <c r="AR737" s="31">
        <v>0.13341858489683281</v>
      </c>
    </row>
    <row r="738" spans="1:44" hidden="1" x14ac:dyDescent="0.5">
      <c r="A738" s="31">
        <v>281</v>
      </c>
      <c r="B738" s="31">
        <v>18</v>
      </c>
      <c r="C738" s="225" t="s">
        <v>20</v>
      </c>
      <c r="D738" s="35">
        <v>51</v>
      </c>
      <c r="E738" s="33">
        <v>3</v>
      </c>
      <c r="F738">
        <v>0</v>
      </c>
      <c r="G738">
        <f>F738*1609.344</f>
        <v>0</v>
      </c>
      <c r="H738" s="32" t="s">
        <v>47</v>
      </c>
      <c r="I738" s="7">
        <v>0</v>
      </c>
      <c r="J738">
        <v>386.10110247894102</v>
      </c>
      <c r="K738" s="26">
        <v>2007</v>
      </c>
      <c r="L738" t="s">
        <v>40</v>
      </c>
      <c r="M738" s="32">
        <v>38</v>
      </c>
      <c r="N738">
        <v>4.1059253030000002</v>
      </c>
      <c r="P738" t="s">
        <v>12</v>
      </c>
      <c r="Q738">
        <v>89</v>
      </c>
      <c r="R738" t="s">
        <v>13</v>
      </c>
      <c r="S738" t="s">
        <v>14</v>
      </c>
      <c r="T738" t="s">
        <v>16</v>
      </c>
      <c r="U738" s="34">
        <v>0</v>
      </c>
      <c r="V738" s="34">
        <v>10</v>
      </c>
      <c r="W738" s="25">
        <v>5</v>
      </c>
      <c r="X738" s="25">
        <v>10</v>
      </c>
      <c r="Y738" s="244">
        <v>1.788789671</v>
      </c>
      <c r="Z738" t="s">
        <v>1104</v>
      </c>
      <c r="AA738" t="s">
        <v>622</v>
      </c>
      <c r="AB738">
        <v>3</v>
      </c>
      <c r="AC738">
        <v>213.4</v>
      </c>
      <c r="AD738">
        <v>142.30000000000001</v>
      </c>
      <c r="AE738" t="s">
        <v>519</v>
      </c>
      <c r="AF738" t="s">
        <v>532</v>
      </c>
      <c r="AG738" s="32" t="s">
        <v>1294</v>
      </c>
      <c r="AH738" s="32" t="s">
        <v>1290</v>
      </c>
      <c r="AI738" s="32" t="s">
        <v>1295</v>
      </c>
      <c r="AJ738" s="31" t="s">
        <v>2789</v>
      </c>
      <c r="AK738" s="31">
        <v>0.59</v>
      </c>
      <c r="AL738" s="31">
        <v>125.90599999999999</v>
      </c>
      <c r="AM738" s="31">
        <v>87.494000000000014</v>
      </c>
      <c r="AN738" s="31">
        <v>580.85464179721123</v>
      </c>
      <c r="AO738" s="31">
        <v>403.64475107941809</v>
      </c>
      <c r="AP738" s="31">
        <v>1.0390267835992564</v>
      </c>
      <c r="AQ738" s="31">
        <v>0.7220355614842292</v>
      </c>
      <c r="AR738" s="31">
        <v>0.13341858489683281</v>
      </c>
    </row>
    <row r="739" spans="1:44" hidden="1" x14ac:dyDescent="0.5">
      <c r="A739" s="31">
        <v>1143</v>
      </c>
      <c r="B739" s="31">
        <v>77</v>
      </c>
      <c r="C739" s="225" t="s">
        <v>20</v>
      </c>
      <c r="D739" s="32">
        <v>50.802244999999999</v>
      </c>
      <c r="E739" s="38">
        <v>1.602546</v>
      </c>
      <c r="F739">
        <v>0</v>
      </c>
      <c r="G739">
        <f>F739*1609.344</f>
        <v>0</v>
      </c>
      <c r="H739" s="31" t="s">
        <v>10</v>
      </c>
      <c r="I739">
        <v>0</v>
      </c>
      <c r="J739">
        <v>195.42464817169201</v>
      </c>
      <c r="K739" s="26">
        <v>2017</v>
      </c>
      <c r="L739" t="s">
        <v>11</v>
      </c>
      <c r="N739">
        <v>1</v>
      </c>
      <c r="O739">
        <v>5</v>
      </c>
      <c r="P739" t="s">
        <v>12</v>
      </c>
      <c r="Q739">
        <v>89</v>
      </c>
      <c r="R739" t="s">
        <v>13</v>
      </c>
      <c r="S739" t="s">
        <v>21</v>
      </c>
      <c r="T739" t="s">
        <v>14</v>
      </c>
      <c r="U739" s="240">
        <v>0</v>
      </c>
      <c r="V739" s="240">
        <v>3</v>
      </c>
      <c r="W739" s="25">
        <v>1.5</v>
      </c>
      <c r="X739" s="25">
        <v>3</v>
      </c>
      <c r="Y739" s="244">
        <v>1.241026956</v>
      </c>
      <c r="Z739" t="s">
        <v>1114</v>
      </c>
      <c r="AA739" t="s">
        <v>622</v>
      </c>
      <c r="AB739">
        <v>9</v>
      </c>
      <c r="AC739">
        <v>2.5</v>
      </c>
      <c r="AD739">
        <v>3.8</v>
      </c>
      <c r="AE739" t="s">
        <v>519</v>
      </c>
      <c r="AF739" t="s">
        <v>532</v>
      </c>
      <c r="AG739" s="32">
        <v>2.5</v>
      </c>
      <c r="AH739" s="32" t="s">
        <v>671</v>
      </c>
      <c r="AI739" s="32" t="s">
        <v>1129</v>
      </c>
      <c r="AJ739" s="31" t="s">
        <v>1130</v>
      </c>
      <c r="AK739" s="31">
        <v>0.59524549999999998</v>
      </c>
      <c r="AL739" s="31">
        <v>1.4881137499999999</v>
      </c>
      <c r="AM739" s="31">
        <v>1.0118862500000001</v>
      </c>
      <c r="AN739" s="31">
        <v>1.6720379213483145</v>
      </c>
      <c r="AO739" s="31">
        <v>1.1369508426966293</v>
      </c>
      <c r="AP739" s="31">
        <v>2.0750441318474664E-3</v>
      </c>
      <c r="AQ739" s="31">
        <v>1.4109866434334328E-3</v>
      </c>
      <c r="AR739" s="31">
        <v>0.13341858489683281</v>
      </c>
    </row>
    <row r="740" spans="1:44" hidden="1" x14ac:dyDescent="0.5">
      <c r="A740" s="31">
        <v>1529</v>
      </c>
      <c r="B740" s="52">
        <v>114</v>
      </c>
      <c r="C740" s="225" t="s">
        <v>20</v>
      </c>
      <c r="D740" s="32">
        <v>50.785826</v>
      </c>
      <c r="E740" s="32">
        <v>-1.114287</v>
      </c>
      <c r="G740">
        <f>F740*1609.344</f>
        <v>0</v>
      </c>
      <c r="H740" s="32" t="s">
        <v>614</v>
      </c>
      <c r="I740" s="7">
        <v>10</v>
      </c>
      <c r="J740">
        <v>497.18781847152798</v>
      </c>
      <c r="K740" s="26">
        <v>2018</v>
      </c>
      <c r="L740" t="s">
        <v>30</v>
      </c>
      <c r="M740" s="32">
        <v>25</v>
      </c>
      <c r="N740">
        <v>2.6364560099999998</v>
      </c>
      <c r="O740">
        <v>5</v>
      </c>
      <c r="P740" t="s">
        <v>23</v>
      </c>
      <c r="Q740">
        <v>95.5</v>
      </c>
      <c r="R740" t="s">
        <v>13</v>
      </c>
      <c r="S740" t="s">
        <v>16</v>
      </c>
      <c r="T740" t="s">
        <v>14</v>
      </c>
      <c r="U740" s="34">
        <v>0</v>
      </c>
      <c r="V740" s="34">
        <v>5</v>
      </c>
      <c r="W740" s="25">
        <v>2.5</v>
      </c>
      <c r="X740" s="25">
        <v>5</v>
      </c>
      <c r="Y740" s="244">
        <v>0.93194745000000001</v>
      </c>
      <c r="Z740" t="s">
        <v>1114</v>
      </c>
      <c r="AA740" t="s">
        <v>622</v>
      </c>
      <c r="AB740">
        <v>1</v>
      </c>
      <c r="AC740">
        <v>103</v>
      </c>
      <c r="AF740" t="s">
        <v>532</v>
      </c>
      <c r="AG740" s="32">
        <v>103</v>
      </c>
      <c r="AH740" s="32" t="s">
        <v>2630</v>
      </c>
      <c r="AI740" s="32" t="s">
        <v>2637</v>
      </c>
      <c r="AJ740" s="31" t="s">
        <v>3408</v>
      </c>
      <c r="AK740" s="31">
        <v>0.91800000000000004</v>
      </c>
      <c r="AL740" s="31">
        <v>94.554000000000002</v>
      </c>
      <c r="AM740" s="31">
        <v>8.445999999999998</v>
      </c>
      <c r="AN740" s="31">
        <v>261.03399117229321</v>
      </c>
      <c r="AO740" s="31">
        <v>23.316761738701565</v>
      </c>
      <c r="AP740" s="31">
        <v>0.24326996243634116</v>
      </c>
      <c r="AQ740" s="31">
        <v>2.1729996644640492E-2</v>
      </c>
      <c r="AR740" s="31">
        <v>0.13208853699948581</v>
      </c>
    </row>
    <row r="741" spans="1:44" hidden="1" x14ac:dyDescent="0.5">
      <c r="A741" s="31">
        <v>1534</v>
      </c>
      <c r="B741" s="52">
        <v>114</v>
      </c>
      <c r="C741" s="225" t="s">
        <v>20</v>
      </c>
      <c r="D741" s="32">
        <v>50.785826</v>
      </c>
      <c r="E741" s="32">
        <v>-1.114287</v>
      </c>
      <c r="G741">
        <f>F741*1609.344</f>
        <v>0</v>
      </c>
      <c r="H741" s="32" t="s">
        <v>57</v>
      </c>
      <c r="I741" s="7">
        <v>10</v>
      </c>
      <c r="J741">
        <v>497.18781847152798</v>
      </c>
      <c r="K741" s="26">
        <v>2018</v>
      </c>
      <c r="L741" t="s">
        <v>30</v>
      </c>
      <c r="M741" s="32">
        <v>25</v>
      </c>
      <c r="N741">
        <v>2.6364560099999998</v>
      </c>
      <c r="O741">
        <v>5</v>
      </c>
      <c r="P741" t="s">
        <v>23</v>
      </c>
      <c r="Q741">
        <v>95.5</v>
      </c>
      <c r="R741" t="s">
        <v>13</v>
      </c>
      <c r="S741" t="s">
        <v>16</v>
      </c>
      <c r="T741" t="s">
        <v>14</v>
      </c>
      <c r="U741" s="34">
        <v>0</v>
      </c>
      <c r="V741" s="34">
        <v>5</v>
      </c>
      <c r="W741" s="25">
        <v>2.5</v>
      </c>
      <c r="X741" s="25">
        <v>5</v>
      </c>
      <c r="Y741" s="244">
        <v>1.19</v>
      </c>
      <c r="Z741" t="s">
        <v>781</v>
      </c>
      <c r="AA741" t="s">
        <v>653</v>
      </c>
      <c r="AB741">
        <v>1</v>
      </c>
      <c r="AC741">
        <v>214</v>
      </c>
      <c r="AF741" t="s">
        <v>532</v>
      </c>
      <c r="AG741" s="32">
        <v>214</v>
      </c>
      <c r="AH741" s="32" t="s">
        <v>2630</v>
      </c>
      <c r="AI741" s="32" t="s">
        <v>2641</v>
      </c>
      <c r="AJ741" s="31" t="s">
        <v>3412</v>
      </c>
      <c r="AK741" s="31">
        <v>0.91800000000000004</v>
      </c>
      <c r="AL741" s="31">
        <v>196.452</v>
      </c>
      <c r="AM741" s="31">
        <v>17.548000000000002</v>
      </c>
      <c r="AN741" s="31">
        <v>542.34246709583238</v>
      </c>
      <c r="AO741" s="31">
        <v>48.444534097884819</v>
      </c>
      <c r="AP741" s="31">
        <v>0.64538753584404041</v>
      </c>
      <c r="AQ741" s="31">
        <v>5.7648995576482939E-2</v>
      </c>
      <c r="AR741" s="31">
        <v>0.20269999999999999</v>
      </c>
    </row>
    <row r="742" spans="1:44" hidden="1" x14ac:dyDescent="0.5">
      <c r="A742" s="31">
        <v>1379</v>
      </c>
      <c r="B742" s="31">
        <v>98</v>
      </c>
      <c r="C742" s="225" t="s">
        <v>39</v>
      </c>
      <c r="D742" s="41">
        <v>50.784618999999999</v>
      </c>
      <c r="E742" s="43">
        <v>-1.110797</v>
      </c>
      <c r="G742">
        <f>F742*1609.344</f>
        <v>0</v>
      </c>
      <c r="H742" s="31" t="s">
        <v>614</v>
      </c>
      <c r="I742" s="7">
        <v>4</v>
      </c>
      <c r="J742">
        <v>499.27434236715197</v>
      </c>
      <c r="K742" s="26">
        <v>2018</v>
      </c>
      <c r="L742" t="s">
        <v>40</v>
      </c>
      <c r="M742" s="32">
        <v>1000</v>
      </c>
      <c r="N742">
        <v>130.61708849999999</v>
      </c>
      <c r="P742" t="s">
        <v>17</v>
      </c>
      <c r="Q742">
        <v>100</v>
      </c>
      <c r="R742" t="s">
        <v>13</v>
      </c>
      <c r="S742" t="s">
        <v>16</v>
      </c>
      <c r="T742" t="s">
        <v>16</v>
      </c>
      <c r="U742" s="240">
        <v>0</v>
      </c>
      <c r="V742" s="240">
        <v>15</v>
      </c>
      <c r="W742" s="25">
        <v>7.5</v>
      </c>
      <c r="X742" s="25">
        <v>15</v>
      </c>
      <c r="Y742" s="244">
        <v>0.93194745000000001</v>
      </c>
      <c r="Z742" t="s">
        <v>1114</v>
      </c>
      <c r="AA742" t="s">
        <v>622</v>
      </c>
      <c r="AB742">
        <v>34</v>
      </c>
      <c r="AC742">
        <v>4.74</v>
      </c>
      <c r="AD742">
        <v>1.84</v>
      </c>
      <c r="AE742" t="s">
        <v>525</v>
      </c>
      <c r="AF742" t="s">
        <v>553</v>
      </c>
      <c r="AG742" s="32">
        <v>0.33907491243202609</v>
      </c>
      <c r="AH742" s="32">
        <v>0.31</v>
      </c>
      <c r="AI742" s="32">
        <v>0.10511322285392809</v>
      </c>
      <c r="AJ742" s="31">
        <v>0.23396168957809799</v>
      </c>
      <c r="AK742" s="31">
        <v>0.31</v>
      </c>
      <c r="AL742" s="31">
        <v>0.10511322285392809</v>
      </c>
      <c r="AM742" s="31">
        <v>0.23396168957809799</v>
      </c>
      <c r="AN742" s="31">
        <v>13.729583132031747</v>
      </c>
      <c r="AO742" s="31">
        <v>30.559394713231953</v>
      </c>
      <c r="AP742" s="31">
        <v>1.279524998946E-2</v>
      </c>
      <c r="AQ742" s="31">
        <v>2.847974997654E-2</v>
      </c>
      <c r="AR742" s="31">
        <v>0.13288496611575845</v>
      </c>
    </row>
    <row r="743" spans="1:44" hidden="1" x14ac:dyDescent="0.5">
      <c r="A743" s="31">
        <v>1142</v>
      </c>
      <c r="B743" s="31">
        <v>77</v>
      </c>
      <c r="C743" s="225" t="s">
        <v>20</v>
      </c>
      <c r="D743" s="32">
        <v>50.732956000000001</v>
      </c>
      <c r="E743" s="38">
        <v>1.5920259999999999</v>
      </c>
      <c r="F743">
        <v>0</v>
      </c>
      <c r="G743">
        <f>F743*1609.344</f>
        <v>0</v>
      </c>
      <c r="H743" s="31" t="s">
        <v>10</v>
      </c>
      <c r="I743">
        <v>0</v>
      </c>
      <c r="J743">
        <v>190.96790142635501</v>
      </c>
      <c r="K743" s="26">
        <v>2017</v>
      </c>
      <c r="L743" t="s">
        <v>11</v>
      </c>
      <c r="N743">
        <v>1</v>
      </c>
      <c r="O743">
        <v>5</v>
      </c>
      <c r="P743" t="s">
        <v>12</v>
      </c>
      <c r="Q743">
        <v>89</v>
      </c>
      <c r="R743" t="s">
        <v>13</v>
      </c>
      <c r="S743" t="s">
        <v>21</v>
      </c>
      <c r="T743" t="s">
        <v>14</v>
      </c>
      <c r="U743" s="240">
        <v>0</v>
      </c>
      <c r="V743" s="240">
        <v>3</v>
      </c>
      <c r="W743" s="25">
        <v>1.5</v>
      </c>
      <c r="X743" s="25">
        <v>3</v>
      </c>
      <c r="Y743" s="244">
        <v>1.241026956</v>
      </c>
      <c r="Z743" t="s">
        <v>1114</v>
      </c>
      <c r="AA743" t="s">
        <v>622</v>
      </c>
      <c r="AB743">
        <v>9</v>
      </c>
      <c r="AC743">
        <v>9</v>
      </c>
      <c r="AD743">
        <v>13.1</v>
      </c>
      <c r="AE743" t="s">
        <v>519</v>
      </c>
      <c r="AF743" t="s">
        <v>532</v>
      </c>
      <c r="AG743" s="32">
        <v>9</v>
      </c>
      <c r="AH743" s="32" t="s">
        <v>671</v>
      </c>
      <c r="AI743" s="32" t="s">
        <v>1129</v>
      </c>
      <c r="AJ743" s="31" t="s">
        <v>1130</v>
      </c>
      <c r="AK743" s="31">
        <v>0.59524549999999998</v>
      </c>
      <c r="AL743" s="31">
        <v>5.3572094999999997</v>
      </c>
      <c r="AM743" s="31">
        <v>3.6427905000000003</v>
      </c>
      <c r="AN743" s="31">
        <v>6.0193365168539321</v>
      </c>
      <c r="AO743" s="31">
        <v>4.0930230337078655</v>
      </c>
      <c r="AP743" s="31">
        <v>7.4701588746508779E-3</v>
      </c>
      <c r="AQ743" s="31">
        <v>5.0795519163603581E-3</v>
      </c>
      <c r="AR743" s="31">
        <v>0.13341858489683281</v>
      </c>
    </row>
    <row r="744" spans="1:44" hidden="1" x14ac:dyDescent="0.5">
      <c r="A744" s="31">
        <v>1523</v>
      </c>
      <c r="B744" s="52">
        <v>114</v>
      </c>
      <c r="C744" s="225" t="s">
        <v>20</v>
      </c>
      <c r="D744" s="32">
        <v>50.694114999999996</v>
      </c>
      <c r="E744" s="32">
        <v>-1.0720590000000001</v>
      </c>
      <c r="G744">
        <f>F744*1609.344</f>
        <v>0</v>
      </c>
      <c r="H744" s="32" t="s">
        <v>614</v>
      </c>
      <c r="I744" s="7">
        <v>3</v>
      </c>
      <c r="J744">
        <v>511.79910506764202</v>
      </c>
      <c r="K744" s="26">
        <v>2018</v>
      </c>
      <c r="L744" t="s">
        <v>30</v>
      </c>
      <c r="M744" s="32">
        <v>25</v>
      </c>
      <c r="N744">
        <v>2.6364560099999998</v>
      </c>
      <c r="O744">
        <v>5</v>
      </c>
      <c r="P744" t="s">
        <v>23</v>
      </c>
      <c r="Q744">
        <v>95.5</v>
      </c>
      <c r="R744" t="s">
        <v>13</v>
      </c>
      <c r="S744" t="s">
        <v>16</v>
      </c>
      <c r="T744" t="s">
        <v>14</v>
      </c>
      <c r="U744" s="34">
        <v>0</v>
      </c>
      <c r="V744" s="34">
        <v>5</v>
      </c>
      <c r="W744" s="25">
        <v>2.5</v>
      </c>
      <c r="X744" s="25">
        <v>5</v>
      </c>
      <c r="Y744" s="244">
        <v>0.93194745000000001</v>
      </c>
      <c r="Z744" t="s">
        <v>1114</v>
      </c>
      <c r="AA744" t="s">
        <v>622</v>
      </c>
      <c r="AB744">
        <v>1</v>
      </c>
      <c r="AC744">
        <v>143</v>
      </c>
      <c r="AF744" t="s">
        <v>532</v>
      </c>
      <c r="AG744" s="32">
        <v>143</v>
      </c>
      <c r="AH744" s="32" t="s">
        <v>2630</v>
      </c>
      <c r="AI744" s="32" t="s">
        <v>2632</v>
      </c>
      <c r="AJ744" s="31" t="s">
        <v>3403</v>
      </c>
      <c r="AK744" s="31">
        <v>0.91800000000000004</v>
      </c>
      <c r="AL744" s="31">
        <v>131.274</v>
      </c>
      <c r="AM744" s="31">
        <v>11.725999999999999</v>
      </c>
      <c r="AN744" s="31">
        <v>362.40641492852353</v>
      </c>
      <c r="AO744" s="31">
        <v>32.371814841109945</v>
      </c>
      <c r="AP744" s="31">
        <v>0.33774373425627946</v>
      </c>
      <c r="AQ744" s="31">
        <v>3.0168830293044568E-2</v>
      </c>
      <c r="AR744" s="31">
        <v>0.13301817039062197</v>
      </c>
    </row>
    <row r="745" spans="1:44" hidden="1" x14ac:dyDescent="0.5">
      <c r="A745" s="31">
        <v>1526</v>
      </c>
      <c r="B745" s="52">
        <v>114</v>
      </c>
      <c r="C745" s="225" t="s">
        <v>20</v>
      </c>
      <c r="D745" s="32">
        <v>50.694114999999996</v>
      </c>
      <c r="E745" s="32">
        <v>-1.0720590000000001</v>
      </c>
      <c r="G745">
        <f>F745*1609.344</f>
        <v>0</v>
      </c>
      <c r="H745" s="32" t="s">
        <v>57</v>
      </c>
      <c r="I745" s="7">
        <v>3</v>
      </c>
      <c r="J745">
        <v>511.79910506764202</v>
      </c>
      <c r="K745" s="26">
        <v>2018</v>
      </c>
      <c r="L745" t="s">
        <v>30</v>
      </c>
      <c r="M745" s="32">
        <v>25</v>
      </c>
      <c r="N745">
        <v>2.6364560099999998</v>
      </c>
      <c r="O745">
        <v>5</v>
      </c>
      <c r="P745" t="s">
        <v>23</v>
      </c>
      <c r="Q745">
        <v>95.5</v>
      </c>
      <c r="R745" t="s">
        <v>13</v>
      </c>
      <c r="S745" t="s">
        <v>16</v>
      </c>
      <c r="T745" t="s">
        <v>14</v>
      </c>
      <c r="U745" s="34">
        <v>0</v>
      </c>
      <c r="V745" s="34">
        <v>5</v>
      </c>
      <c r="W745" s="25">
        <v>2.5</v>
      </c>
      <c r="X745" s="25">
        <v>5</v>
      </c>
      <c r="Y745" s="244">
        <v>1.19</v>
      </c>
      <c r="Z745" t="s">
        <v>781</v>
      </c>
      <c r="AA745" t="s">
        <v>653</v>
      </c>
      <c r="AB745">
        <v>1</v>
      </c>
      <c r="AC745">
        <v>132</v>
      </c>
      <c r="AF745" t="s">
        <v>532</v>
      </c>
      <c r="AG745" s="32">
        <v>132</v>
      </c>
      <c r="AH745" s="32" t="s">
        <v>2630</v>
      </c>
      <c r="AI745" s="32" t="s">
        <v>2635</v>
      </c>
      <c r="AJ745" s="31" t="s">
        <v>3406</v>
      </c>
      <c r="AK745" s="31">
        <v>0.91800000000000004</v>
      </c>
      <c r="AL745" s="31">
        <v>121.176</v>
      </c>
      <c r="AM745" s="31">
        <v>10.823999999999998</v>
      </c>
      <c r="AN745" s="31">
        <v>334.52899839556022</v>
      </c>
      <c r="AO745" s="31">
        <v>29.881675237947636</v>
      </c>
      <c r="AP745" s="31">
        <v>0.39808950809071664</v>
      </c>
      <c r="AQ745" s="31">
        <v>3.5559193533157687E-2</v>
      </c>
      <c r="AR745" s="31">
        <v>0.20269999999999999</v>
      </c>
    </row>
    <row r="746" spans="1:44" hidden="1" x14ac:dyDescent="0.5">
      <c r="A746" s="31">
        <v>1389</v>
      </c>
      <c r="B746" s="31">
        <v>98</v>
      </c>
      <c r="C746" s="225" t="s">
        <v>39</v>
      </c>
      <c r="D746" s="41">
        <v>50.631366999999997</v>
      </c>
      <c r="E746" s="43">
        <v>-3.4319570000000001</v>
      </c>
      <c r="F746">
        <v>0</v>
      </c>
      <c r="G746">
        <f>F746*1609.344</f>
        <v>0</v>
      </c>
      <c r="H746" s="31" t="s">
        <v>10</v>
      </c>
      <c r="I746">
        <v>0</v>
      </c>
      <c r="J746">
        <v>241.712082953264</v>
      </c>
      <c r="K746" s="26">
        <v>2018</v>
      </c>
      <c r="L746" t="s">
        <v>30</v>
      </c>
      <c r="M746" s="32">
        <v>500</v>
      </c>
      <c r="N746">
        <v>62.735052189999998</v>
      </c>
      <c r="P746" t="s">
        <v>17</v>
      </c>
      <c r="Q746">
        <v>100</v>
      </c>
      <c r="R746" t="s">
        <v>13</v>
      </c>
      <c r="S746" t="s">
        <v>16</v>
      </c>
      <c r="T746" t="s">
        <v>16</v>
      </c>
      <c r="U746" s="240">
        <v>0</v>
      </c>
      <c r="V746" s="240">
        <v>15</v>
      </c>
      <c r="W746" s="25">
        <v>7.5</v>
      </c>
      <c r="X746" s="25">
        <v>15</v>
      </c>
      <c r="Y746" s="244">
        <v>0.93194745000000001</v>
      </c>
      <c r="Z746" t="s">
        <v>1114</v>
      </c>
      <c r="AA746" t="s">
        <v>622</v>
      </c>
      <c r="AB746">
        <v>15</v>
      </c>
      <c r="AC746">
        <v>19.559999999999999</v>
      </c>
      <c r="AD746">
        <v>6.33</v>
      </c>
      <c r="AE746" t="s">
        <v>525</v>
      </c>
      <c r="AF746" t="s">
        <v>553</v>
      </c>
      <c r="AG746" s="32">
        <v>1.3992205247194995</v>
      </c>
      <c r="AH746" s="32">
        <v>0.31</v>
      </c>
      <c r="AI746" s="32">
        <v>0.43375836266304485</v>
      </c>
      <c r="AJ746" s="31">
        <v>0.96546216205645474</v>
      </c>
      <c r="AK746" s="31">
        <v>0.31</v>
      </c>
      <c r="AL746" s="31">
        <v>0.43375836266304485</v>
      </c>
      <c r="AM746" s="31">
        <v>0.96546216205645474</v>
      </c>
      <c r="AN746" s="31">
        <v>27.21185351951506</v>
      </c>
      <c r="AO746" s="31">
        <v>60.568319124081924</v>
      </c>
      <c r="AP746" s="31">
        <v>2.5360017497285586E-2</v>
      </c>
      <c r="AQ746" s="31">
        <v>5.644649055847438E-2</v>
      </c>
      <c r="AR746" s="31">
        <v>0.13341858489683281</v>
      </c>
    </row>
    <row r="747" spans="1:44" hidden="1" x14ac:dyDescent="0.5">
      <c r="A747" s="31">
        <v>1390</v>
      </c>
      <c r="B747" s="31">
        <v>98</v>
      </c>
      <c r="C747" s="225" t="s">
        <v>39</v>
      </c>
      <c r="D747" s="41">
        <v>50.631366999999997</v>
      </c>
      <c r="E747" s="43">
        <v>-3.4319570000000001</v>
      </c>
      <c r="G747">
        <f>F747*1609.344</f>
        <v>0</v>
      </c>
      <c r="H747" s="31" t="s">
        <v>614</v>
      </c>
      <c r="I747" s="7">
        <v>0</v>
      </c>
      <c r="J747">
        <v>241.712082953264</v>
      </c>
      <c r="K747" s="26">
        <v>2018</v>
      </c>
      <c r="L747" t="s">
        <v>40</v>
      </c>
      <c r="M747" s="32">
        <v>1000</v>
      </c>
      <c r="N747">
        <v>130.61708849999999</v>
      </c>
      <c r="P747" t="s">
        <v>17</v>
      </c>
      <c r="Q747">
        <v>100</v>
      </c>
      <c r="R747" t="s">
        <v>13</v>
      </c>
      <c r="S747" t="s">
        <v>16</v>
      </c>
      <c r="T747" t="s">
        <v>16</v>
      </c>
      <c r="U747" s="240">
        <v>0</v>
      </c>
      <c r="V747" s="240">
        <v>15</v>
      </c>
      <c r="W747" s="25">
        <v>7.5</v>
      </c>
      <c r="X747" s="25">
        <v>15</v>
      </c>
      <c r="Y747" s="244">
        <v>0.93194745000000001</v>
      </c>
      <c r="Z747" t="s">
        <v>1114</v>
      </c>
      <c r="AA747" t="s">
        <v>622</v>
      </c>
      <c r="AB747">
        <v>10</v>
      </c>
      <c r="AC747">
        <v>31.2</v>
      </c>
      <c r="AD747">
        <v>23.76</v>
      </c>
      <c r="AE747" t="s">
        <v>525</v>
      </c>
      <c r="AF747" t="s">
        <v>553</v>
      </c>
      <c r="AG747" s="32">
        <v>2.2318854995525768</v>
      </c>
      <c r="AH747" s="32">
        <v>0.31</v>
      </c>
      <c r="AI747" s="32">
        <v>0.69188450486129882</v>
      </c>
      <c r="AJ747" s="31">
        <v>1.5400009946912778</v>
      </c>
      <c r="AK747" s="31">
        <v>0.31</v>
      </c>
      <c r="AL747" s="31">
        <v>0.69188450486129882</v>
      </c>
      <c r="AM747" s="31">
        <v>1.5400009946912778</v>
      </c>
      <c r="AN747" s="31">
        <v>90.371939603246943</v>
      </c>
      <c r="AO747" s="31">
        <v>201.15044621367866</v>
      </c>
      <c r="AP747" s="31">
        <v>8.4221898664799996E-2</v>
      </c>
      <c r="AQ747" s="31">
        <v>0.1874616454152</v>
      </c>
      <c r="AR747" s="31">
        <v>0.13341858489683281</v>
      </c>
    </row>
    <row r="748" spans="1:44" hidden="1" x14ac:dyDescent="0.5">
      <c r="A748" s="31">
        <v>1253</v>
      </c>
      <c r="B748" s="31">
        <v>87</v>
      </c>
      <c r="C748" s="225" t="s">
        <v>20</v>
      </c>
      <c r="D748" s="32">
        <v>50.467829999999999</v>
      </c>
      <c r="E748" s="38">
        <v>1.15117</v>
      </c>
      <c r="F748">
        <v>9.01</v>
      </c>
      <c r="G748">
        <f>F748*1609.344</f>
        <v>14500.18944</v>
      </c>
      <c r="H748" s="32" t="s">
        <v>614</v>
      </c>
      <c r="I748">
        <v>17</v>
      </c>
      <c r="J748">
        <v>195.18293227566701</v>
      </c>
      <c r="K748" s="26">
        <v>2014</v>
      </c>
      <c r="L748" t="s">
        <v>40</v>
      </c>
      <c r="M748" s="32">
        <v>11</v>
      </c>
      <c r="N748">
        <v>1.1060976250000001</v>
      </c>
      <c r="O748">
        <v>5</v>
      </c>
      <c r="P748" t="s">
        <v>23</v>
      </c>
      <c r="Q748">
        <v>95.5</v>
      </c>
      <c r="R748" t="s">
        <v>13</v>
      </c>
      <c r="S748" t="s">
        <v>14</v>
      </c>
      <c r="T748" t="s">
        <v>14</v>
      </c>
      <c r="U748" s="34">
        <v>0</v>
      </c>
      <c r="V748" s="34">
        <v>5</v>
      </c>
      <c r="W748" s="25">
        <v>2.5</v>
      </c>
      <c r="X748" s="25">
        <v>5</v>
      </c>
      <c r="Y748" s="244">
        <v>1.241026956</v>
      </c>
      <c r="Z748" t="s">
        <v>1114</v>
      </c>
      <c r="AA748" t="s">
        <v>622</v>
      </c>
      <c r="AB748">
        <v>1</v>
      </c>
      <c r="AC748">
        <v>88.69</v>
      </c>
      <c r="AF748" t="s">
        <v>532</v>
      </c>
      <c r="AG748" s="32" t="s">
        <v>2390</v>
      </c>
      <c r="AH748" s="32" t="s">
        <v>671</v>
      </c>
      <c r="AI748" s="32" t="s">
        <v>1129</v>
      </c>
      <c r="AJ748" s="31" t="s">
        <v>1130</v>
      </c>
      <c r="AK748" s="31">
        <v>0.59524549999999998</v>
      </c>
      <c r="AL748" s="31">
        <v>52.798275850000003</v>
      </c>
      <c r="AM748" s="31">
        <v>35.90172415</v>
      </c>
      <c r="AN748" s="31">
        <v>61.15188222175901</v>
      </c>
      <c r="AO748" s="31">
        <v>41.582001901277643</v>
      </c>
      <c r="AP748" s="31">
        <v>7.5891134247340106E-2</v>
      </c>
      <c r="AQ748" s="31">
        <v>5.1604385243928803E-2</v>
      </c>
      <c r="AR748" s="31">
        <v>0.13116540060225193</v>
      </c>
    </row>
    <row r="749" spans="1:44" hidden="1" x14ac:dyDescent="0.5">
      <c r="A749" s="31">
        <v>748</v>
      </c>
      <c r="B749" s="31">
        <v>54</v>
      </c>
      <c r="C749" s="225" t="s">
        <v>43</v>
      </c>
      <c r="D749" s="41">
        <v>46.9677778</v>
      </c>
      <c r="E749" s="43">
        <v>154.59722199999999</v>
      </c>
      <c r="F749">
        <v>91.06</v>
      </c>
      <c r="G749">
        <f>F749*1609.344</f>
        <v>146546.86464000001</v>
      </c>
      <c r="H749" s="32" t="s">
        <v>613</v>
      </c>
      <c r="I749">
        <v>5766</v>
      </c>
      <c r="J749">
        <v>0</v>
      </c>
      <c r="K749" s="26">
        <v>2012</v>
      </c>
      <c r="L749" t="s">
        <v>30</v>
      </c>
      <c r="M749" s="32">
        <v>300</v>
      </c>
      <c r="N749">
        <v>36.542166029999997</v>
      </c>
      <c r="P749" t="s">
        <v>17</v>
      </c>
      <c r="Q749">
        <v>100</v>
      </c>
      <c r="R749" t="s">
        <v>13</v>
      </c>
      <c r="S749" t="s">
        <v>16</v>
      </c>
      <c r="T749" t="s">
        <v>16</v>
      </c>
      <c r="U749" s="34">
        <v>2</v>
      </c>
      <c r="V749" s="34">
        <v>20</v>
      </c>
      <c r="W749" s="25">
        <v>11</v>
      </c>
      <c r="X749" s="25">
        <v>18</v>
      </c>
      <c r="Y749">
        <v>0.66369104999999995</v>
      </c>
      <c r="Z749" t="s">
        <v>1110</v>
      </c>
      <c r="AA749" t="s">
        <v>622</v>
      </c>
      <c r="AB749">
        <v>1</v>
      </c>
      <c r="AC749">
        <v>118</v>
      </c>
      <c r="AF749" t="s">
        <v>529</v>
      </c>
      <c r="AG749" s="32" t="s">
        <v>1874</v>
      </c>
      <c r="AH749" s="32" t="s">
        <v>1342</v>
      </c>
      <c r="AI749" s="32" t="s">
        <v>1875</v>
      </c>
      <c r="AJ749" s="31" t="s">
        <v>3069</v>
      </c>
      <c r="AK749" s="31">
        <v>0.75</v>
      </c>
      <c r="AL749" s="31">
        <v>2.9632261376233218</v>
      </c>
      <c r="AM749" s="31">
        <v>0.98774204587444059</v>
      </c>
      <c r="AN749" s="31">
        <v>108.28270150546703</v>
      </c>
      <c r="AO749" s="31">
        <v>36.094233835155684</v>
      </c>
      <c r="AP749" s="31">
        <v>7.1866259858999984E-2</v>
      </c>
      <c r="AQ749" s="31">
        <v>2.3955419953E-2</v>
      </c>
      <c r="AR749" s="31">
        <v>4.1334663838396037E-4</v>
      </c>
    </row>
    <row r="750" spans="1:44" hidden="1" x14ac:dyDescent="0.5">
      <c r="A750" s="31">
        <v>749</v>
      </c>
      <c r="B750" s="31">
        <v>54</v>
      </c>
      <c r="C750" s="225" t="s">
        <v>43</v>
      </c>
      <c r="D750" s="41">
        <v>46.9677778</v>
      </c>
      <c r="E750" s="43">
        <v>154.59722199999999</v>
      </c>
      <c r="F750">
        <v>91.06</v>
      </c>
      <c r="G750">
        <f>F750*1609.344</f>
        <v>146546.86464000001</v>
      </c>
      <c r="H750" s="32" t="s">
        <v>613</v>
      </c>
      <c r="I750">
        <v>5766</v>
      </c>
      <c r="J750">
        <v>0</v>
      </c>
      <c r="K750" s="26">
        <v>2012</v>
      </c>
      <c r="L750" t="s">
        <v>30</v>
      </c>
      <c r="M750" s="32">
        <v>300</v>
      </c>
      <c r="N750">
        <v>36.542166029999997</v>
      </c>
      <c r="P750" t="s">
        <v>17</v>
      </c>
      <c r="Q750">
        <v>100</v>
      </c>
      <c r="R750" t="s">
        <v>13</v>
      </c>
      <c r="S750" t="s">
        <v>16</v>
      </c>
      <c r="T750" t="s">
        <v>16</v>
      </c>
      <c r="U750" s="34">
        <v>0</v>
      </c>
      <c r="V750" s="34">
        <v>2</v>
      </c>
      <c r="W750" s="25">
        <v>1</v>
      </c>
      <c r="X750" s="25">
        <v>2</v>
      </c>
      <c r="Y750">
        <v>0.66369104999999995</v>
      </c>
      <c r="Z750" t="s">
        <v>1110</v>
      </c>
      <c r="AA750" t="s">
        <v>622</v>
      </c>
      <c r="AB750">
        <v>1</v>
      </c>
      <c r="AC750">
        <v>164</v>
      </c>
      <c r="AF750" t="s">
        <v>529</v>
      </c>
      <c r="AG750" s="32" t="s">
        <v>1876</v>
      </c>
      <c r="AH750" s="32" t="s">
        <v>1342</v>
      </c>
      <c r="AI750" s="32" t="s">
        <v>1877</v>
      </c>
      <c r="AJ750" s="31" t="s">
        <v>3070</v>
      </c>
      <c r="AK750" s="31">
        <v>0.75</v>
      </c>
      <c r="AL750" s="31">
        <v>37.065438806203574</v>
      </c>
      <c r="AM750" s="31">
        <v>12.355146268734529</v>
      </c>
      <c r="AN750" s="31">
        <v>1354.4514188310959</v>
      </c>
      <c r="AO750" s="31">
        <v>451.48380627703204</v>
      </c>
      <c r="AP750" s="31">
        <v>0.89893728433799969</v>
      </c>
      <c r="AQ750" s="31">
        <v>0.29964576144599997</v>
      </c>
      <c r="AR750" s="31">
        <v>4.1334663838396037E-4</v>
      </c>
    </row>
    <row r="751" spans="1:44" hidden="1" x14ac:dyDescent="0.5">
      <c r="A751" s="31">
        <v>750</v>
      </c>
      <c r="B751" s="31">
        <v>54</v>
      </c>
      <c r="C751" s="225" t="s">
        <v>43</v>
      </c>
      <c r="D751" s="41">
        <v>46.966944400000003</v>
      </c>
      <c r="E751" s="43">
        <v>154.546389</v>
      </c>
      <c r="F751">
        <v>86.22</v>
      </c>
      <c r="G751">
        <f>F751*1609.344</f>
        <v>138757.63967999999</v>
      </c>
      <c r="H751" s="32" t="s">
        <v>613</v>
      </c>
      <c r="I751">
        <v>5768</v>
      </c>
      <c r="J751">
        <v>0</v>
      </c>
      <c r="K751" s="26">
        <v>2012</v>
      </c>
      <c r="L751" t="s">
        <v>30</v>
      </c>
      <c r="M751" s="32">
        <v>300</v>
      </c>
      <c r="N751">
        <v>36.542166029999997</v>
      </c>
      <c r="P751" t="s">
        <v>17</v>
      </c>
      <c r="Q751">
        <v>100</v>
      </c>
      <c r="R751" t="s">
        <v>13</v>
      </c>
      <c r="S751" t="s">
        <v>16</v>
      </c>
      <c r="T751" t="s">
        <v>16</v>
      </c>
      <c r="U751" s="34">
        <v>2</v>
      </c>
      <c r="V751" s="34">
        <v>20</v>
      </c>
      <c r="W751" s="25">
        <v>11</v>
      </c>
      <c r="X751" s="25">
        <v>18</v>
      </c>
      <c r="Y751">
        <v>0.66369104999999995</v>
      </c>
      <c r="Z751" t="s">
        <v>1110</v>
      </c>
      <c r="AA751" t="s">
        <v>622</v>
      </c>
      <c r="AB751">
        <v>1</v>
      </c>
      <c r="AC751">
        <v>103</v>
      </c>
      <c r="AF751" t="s">
        <v>529</v>
      </c>
      <c r="AG751" s="32" t="s">
        <v>1878</v>
      </c>
      <c r="AH751" s="32" t="s">
        <v>1342</v>
      </c>
      <c r="AI751" s="32" t="s">
        <v>1879</v>
      </c>
      <c r="AJ751" s="31" t="s">
        <v>3071</v>
      </c>
      <c r="AK751" s="31">
        <v>0.75</v>
      </c>
      <c r="AL751" s="31">
        <v>2.586544848942391</v>
      </c>
      <c r="AM751" s="31">
        <v>0.86218161631413048</v>
      </c>
      <c r="AN751" s="31">
        <v>94.51795131409412</v>
      </c>
      <c r="AO751" s="31">
        <v>31.505983771364711</v>
      </c>
      <c r="AP751" s="31">
        <v>6.2730718351500001E-2</v>
      </c>
      <c r="AQ751" s="31">
        <v>2.0910239450500002E-2</v>
      </c>
      <c r="AR751" s="31">
        <v>4.1251920299245908E-4</v>
      </c>
    </row>
    <row r="752" spans="1:44" hidden="1" x14ac:dyDescent="0.5">
      <c r="A752" s="31">
        <v>751</v>
      </c>
      <c r="B752" s="31">
        <v>54</v>
      </c>
      <c r="C752" s="225" t="s">
        <v>43</v>
      </c>
      <c r="D752" s="41">
        <v>46.966944400000003</v>
      </c>
      <c r="E752" s="43">
        <v>154.546389</v>
      </c>
      <c r="F752">
        <v>86.22</v>
      </c>
      <c r="G752">
        <f>F752*1609.344</f>
        <v>138757.63967999999</v>
      </c>
      <c r="H752" s="32" t="s">
        <v>613</v>
      </c>
      <c r="I752">
        <v>5768</v>
      </c>
      <c r="J752">
        <v>0</v>
      </c>
      <c r="K752" s="26">
        <v>2012</v>
      </c>
      <c r="L752" t="s">
        <v>30</v>
      </c>
      <c r="M752" s="32">
        <v>300</v>
      </c>
      <c r="N752">
        <v>36.542166029999997</v>
      </c>
      <c r="P752" t="s">
        <v>17</v>
      </c>
      <c r="Q752">
        <v>100</v>
      </c>
      <c r="R752" t="s">
        <v>13</v>
      </c>
      <c r="S752" t="s">
        <v>16</v>
      </c>
      <c r="T752" t="s">
        <v>16</v>
      </c>
      <c r="U752" s="34">
        <v>0</v>
      </c>
      <c r="V752" s="34">
        <v>2</v>
      </c>
      <c r="W752" s="25">
        <v>1</v>
      </c>
      <c r="X752" s="25">
        <v>2</v>
      </c>
      <c r="Y752">
        <v>0.66369104999999995</v>
      </c>
      <c r="Z752" t="s">
        <v>1110</v>
      </c>
      <c r="AA752" t="s">
        <v>622</v>
      </c>
      <c r="AB752">
        <v>1</v>
      </c>
      <c r="AC752">
        <v>185</v>
      </c>
      <c r="AF752" t="s">
        <v>529</v>
      </c>
      <c r="AG752" s="32" t="s">
        <v>1880</v>
      </c>
      <c r="AH752" s="32" t="s">
        <v>1342</v>
      </c>
      <c r="AI752" s="32" t="s">
        <v>1881</v>
      </c>
      <c r="AJ752" s="31" t="s">
        <v>3072</v>
      </c>
      <c r="AK752" s="31">
        <v>0.75</v>
      </c>
      <c r="AL752" s="31">
        <v>41.81162304358331</v>
      </c>
      <c r="AM752" s="31">
        <v>13.937207681194437</v>
      </c>
      <c r="AN752" s="31">
        <v>1527.8872712423952</v>
      </c>
      <c r="AO752" s="31">
        <v>509.29575708079835</v>
      </c>
      <c r="AP752" s="31">
        <v>1.0140451073325001</v>
      </c>
      <c r="AQ752" s="31">
        <v>0.33801503577749997</v>
      </c>
      <c r="AR752" s="31">
        <v>4.1251920299245908E-4</v>
      </c>
    </row>
    <row r="753" spans="1:44" hidden="1" x14ac:dyDescent="0.5">
      <c r="A753" s="31">
        <v>1394</v>
      </c>
      <c r="B753" s="31">
        <v>98</v>
      </c>
      <c r="C753" s="225" t="s">
        <v>39</v>
      </c>
      <c r="D753" s="41">
        <v>50.418874000000002</v>
      </c>
      <c r="E753" s="43">
        <v>-5.080749</v>
      </c>
      <c r="G753">
        <f>F753*1609.344</f>
        <v>0</v>
      </c>
      <c r="H753" s="31" t="s">
        <v>614</v>
      </c>
      <c r="I753" s="7">
        <v>3</v>
      </c>
      <c r="J753">
        <v>187.709674918682</v>
      </c>
      <c r="K753" s="26">
        <v>2017</v>
      </c>
      <c r="L753" t="s">
        <v>40</v>
      </c>
      <c r="M753" s="32">
        <v>1000</v>
      </c>
      <c r="N753">
        <v>130.61708849999999</v>
      </c>
      <c r="P753" t="s">
        <v>17</v>
      </c>
      <c r="Q753">
        <v>100</v>
      </c>
      <c r="R753" t="s">
        <v>13</v>
      </c>
      <c r="S753" t="s">
        <v>16</v>
      </c>
      <c r="T753" t="s">
        <v>16</v>
      </c>
      <c r="U753" s="240">
        <v>0</v>
      </c>
      <c r="V753" s="240">
        <v>15</v>
      </c>
      <c r="W753" s="25">
        <v>7.5</v>
      </c>
      <c r="X753" s="25">
        <v>15</v>
      </c>
      <c r="Y753" s="244">
        <v>0.93194745000000001</v>
      </c>
      <c r="Z753" t="s">
        <v>1114</v>
      </c>
      <c r="AA753" t="s">
        <v>622</v>
      </c>
      <c r="AB753">
        <v>37</v>
      </c>
      <c r="AC753">
        <v>4.97</v>
      </c>
      <c r="AD753">
        <v>1.48</v>
      </c>
      <c r="AE753" t="s">
        <v>525</v>
      </c>
      <c r="AF753" t="s">
        <v>553</v>
      </c>
      <c r="AG753" s="32">
        <v>0.35552791451206106</v>
      </c>
      <c r="AH753" s="32">
        <v>0.31</v>
      </c>
      <c r="AI753" s="32">
        <v>0.11021365349873893</v>
      </c>
      <c r="AJ753" s="31">
        <v>0.24531426101332213</v>
      </c>
      <c r="AK753" s="31">
        <v>0.31</v>
      </c>
      <c r="AL753" s="31">
        <v>0.11021365349873893</v>
      </c>
      <c r="AM753" s="31">
        <v>0.24531426101332213</v>
      </c>
      <c r="AN753" s="31">
        <v>14.395786532953117</v>
      </c>
      <c r="AO753" s="31">
        <v>32.042234541089194</v>
      </c>
      <c r="AP753" s="31">
        <v>1.3416116550129999E-2</v>
      </c>
      <c r="AQ753" s="31">
        <v>2.9861678772869993E-2</v>
      </c>
      <c r="AR753" s="31">
        <v>0.13301817039062197</v>
      </c>
    </row>
    <row r="754" spans="1:44" hidden="1" x14ac:dyDescent="0.5">
      <c r="A754" s="31">
        <v>1141</v>
      </c>
      <c r="B754" s="31">
        <v>77</v>
      </c>
      <c r="C754" s="225" t="s">
        <v>20</v>
      </c>
      <c r="D754" s="46">
        <v>50.394407999999999</v>
      </c>
      <c r="E754" s="47">
        <v>1.5596129999999999</v>
      </c>
      <c r="F754">
        <v>0</v>
      </c>
      <c r="G754">
        <f>F754*1609.344</f>
        <v>0</v>
      </c>
      <c r="H754" s="31" t="s">
        <v>10</v>
      </c>
      <c r="I754">
        <v>0</v>
      </c>
      <c r="J754">
        <v>139.836003887261</v>
      </c>
      <c r="K754" s="26">
        <v>2017</v>
      </c>
      <c r="L754" t="s">
        <v>11</v>
      </c>
      <c r="N754">
        <v>1</v>
      </c>
      <c r="O754">
        <v>5</v>
      </c>
      <c r="P754" t="s">
        <v>12</v>
      </c>
      <c r="Q754">
        <v>89</v>
      </c>
      <c r="R754" t="s">
        <v>13</v>
      </c>
      <c r="S754" t="s">
        <v>21</v>
      </c>
      <c r="T754" t="s">
        <v>14</v>
      </c>
      <c r="U754" s="240">
        <v>0</v>
      </c>
      <c r="V754" s="240">
        <v>3</v>
      </c>
      <c r="W754" s="25">
        <v>1.5</v>
      </c>
      <c r="X754" s="25">
        <v>3</v>
      </c>
      <c r="Y754" s="244">
        <v>1.241026956</v>
      </c>
      <c r="Z754" t="s">
        <v>1114</v>
      </c>
      <c r="AA754" t="s">
        <v>622</v>
      </c>
      <c r="AB754">
        <v>9</v>
      </c>
      <c r="AC754">
        <v>3.5</v>
      </c>
      <c r="AD754">
        <v>5.3</v>
      </c>
      <c r="AE754" t="s">
        <v>519</v>
      </c>
      <c r="AF754" t="s">
        <v>532</v>
      </c>
      <c r="AG754" s="32">
        <v>3.5</v>
      </c>
      <c r="AH754" s="32" t="s">
        <v>671</v>
      </c>
      <c r="AI754" s="32" t="s">
        <v>1129</v>
      </c>
      <c r="AJ754" s="31" t="s">
        <v>1130</v>
      </c>
      <c r="AK754" s="31">
        <v>0.59524549999999998</v>
      </c>
      <c r="AL754" s="31">
        <v>2.08335925</v>
      </c>
      <c r="AM754" s="31">
        <v>1.41664075</v>
      </c>
      <c r="AN754" s="31">
        <v>2.3408530898876405</v>
      </c>
      <c r="AO754" s="31">
        <v>1.5917311797752809</v>
      </c>
      <c r="AP754" s="31">
        <v>2.9050617845864531E-3</v>
      </c>
      <c r="AQ754" s="31">
        <v>1.9753813008068057E-3</v>
      </c>
      <c r="AR754" s="31">
        <v>0.13341858489683281</v>
      </c>
    </row>
    <row r="755" spans="1:44" hidden="1" x14ac:dyDescent="0.5">
      <c r="A755" s="31">
        <v>1530</v>
      </c>
      <c r="B755" s="52">
        <v>114</v>
      </c>
      <c r="C755" s="225" t="s">
        <v>20</v>
      </c>
      <c r="D755" s="32">
        <v>50.354179000000002</v>
      </c>
      <c r="E755" s="32">
        <v>-4.1385930000000002</v>
      </c>
      <c r="G755">
        <f>F755*1609.344</f>
        <v>0</v>
      </c>
      <c r="H755" s="32" t="s">
        <v>614</v>
      </c>
      <c r="I755" s="7">
        <v>16</v>
      </c>
      <c r="J755">
        <v>168.81514804332599</v>
      </c>
      <c r="K755" s="26">
        <v>2018</v>
      </c>
      <c r="L755" t="s">
        <v>30</v>
      </c>
      <c r="M755" s="32">
        <v>25</v>
      </c>
      <c r="N755">
        <v>2.6364560099999998</v>
      </c>
      <c r="O755">
        <v>5</v>
      </c>
      <c r="P755" t="s">
        <v>23</v>
      </c>
      <c r="Q755">
        <v>95.5</v>
      </c>
      <c r="R755" t="s">
        <v>13</v>
      </c>
      <c r="S755" t="s">
        <v>16</v>
      </c>
      <c r="T755" t="s">
        <v>14</v>
      </c>
      <c r="U755" s="34">
        <v>0</v>
      </c>
      <c r="V755" s="34">
        <v>5</v>
      </c>
      <c r="W755" s="25">
        <v>2.5</v>
      </c>
      <c r="X755" s="25">
        <v>5</v>
      </c>
      <c r="Y755" s="244">
        <v>0.93194745000000001</v>
      </c>
      <c r="Z755" t="s">
        <v>1114</v>
      </c>
      <c r="AA755" t="s">
        <v>622</v>
      </c>
      <c r="AB755">
        <v>1</v>
      </c>
      <c r="AC755">
        <v>124</v>
      </c>
      <c r="AF755" t="s">
        <v>532</v>
      </c>
      <c r="AG755" s="32">
        <v>124</v>
      </c>
      <c r="AH755" s="32" t="s">
        <v>2630</v>
      </c>
      <c r="AI755" s="32" t="s">
        <v>2638</v>
      </c>
      <c r="AJ755" s="31" t="s">
        <v>3409</v>
      </c>
      <c r="AK755" s="31">
        <v>0.91800000000000004</v>
      </c>
      <c r="AL755" s="31">
        <v>113.83200000000001</v>
      </c>
      <c r="AM755" s="31">
        <v>10.167999999999992</v>
      </c>
      <c r="AN755" s="31">
        <v>314.25451364431416</v>
      </c>
      <c r="AO755" s="31">
        <v>28.070664617465944</v>
      </c>
      <c r="AP755" s="31">
        <v>0.29286869264180881</v>
      </c>
      <c r="AQ755" s="31">
        <v>2.6160384310052614E-2</v>
      </c>
      <c r="AR755" s="31">
        <v>0.13129688117966493</v>
      </c>
    </row>
    <row r="756" spans="1:44" hidden="1" x14ac:dyDescent="0.5">
      <c r="A756" s="31">
        <v>1535</v>
      </c>
      <c r="B756" s="52">
        <v>114</v>
      </c>
      <c r="C756" s="225" t="s">
        <v>20</v>
      </c>
      <c r="D756" s="32">
        <v>50.354179000000002</v>
      </c>
      <c r="E756" s="32">
        <v>-4.1385930000000002</v>
      </c>
      <c r="G756">
        <f>F756*1609.344</f>
        <v>0</v>
      </c>
      <c r="H756" s="32" t="s">
        <v>57</v>
      </c>
      <c r="I756" s="7">
        <v>16</v>
      </c>
      <c r="J756">
        <v>168.81514804332599</v>
      </c>
      <c r="K756" s="26">
        <v>2018</v>
      </c>
      <c r="L756" t="s">
        <v>30</v>
      </c>
      <c r="M756" s="32">
        <v>25</v>
      </c>
      <c r="N756">
        <v>2.6364560099999998</v>
      </c>
      <c r="O756">
        <v>5</v>
      </c>
      <c r="P756" t="s">
        <v>23</v>
      </c>
      <c r="Q756">
        <v>95.5</v>
      </c>
      <c r="R756" t="s">
        <v>13</v>
      </c>
      <c r="S756" t="s">
        <v>16</v>
      </c>
      <c r="T756" t="s">
        <v>14</v>
      </c>
      <c r="U756" s="34">
        <v>0</v>
      </c>
      <c r="V756" s="34">
        <v>5</v>
      </c>
      <c r="W756" s="25">
        <v>2.5</v>
      </c>
      <c r="X756" s="25">
        <v>5</v>
      </c>
      <c r="Y756" s="244">
        <v>0.77</v>
      </c>
      <c r="Z756" t="s">
        <v>781</v>
      </c>
      <c r="AA756" t="s">
        <v>653</v>
      </c>
      <c r="AB756">
        <v>1</v>
      </c>
      <c r="AC756">
        <v>137</v>
      </c>
      <c r="AF756" t="s">
        <v>532</v>
      </c>
      <c r="AG756" s="32">
        <v>137</v>
      </c>
      <c r="AH756" s="32" t="s">
        <v>2630</v>
      </c>
      <c r="AI756" s="32" t="s">
        <v>2642</v>
      </c>
      <c r="AJ756" s="31" t="s">
        <v>3413</v>
      </c>
      <c r="AK756" s="31">
        <v>0.91800000000000004</v>
      </c>
      <c r="AL756" s="31">
        <v>125.76600000000001</v>
      </c>
      <c r="AM756" s="31">
        <v>11.233999999999995</v>
      </c>
      <c r="AN756" s="31">
        <v>347.20055136508898</v>
      </c>
      <c r="AO756" s="31">
        <v>31.013556875748677</v>
      </c>
      <c r="AP756" s="31">
        <v>0.26734442455111851</v>
      </c>
      <c r="AQ756" s="31">
        <v>2.388043879432648E-2</v>
      </c>
      <c r="AR756" s="31">
        <v>0.20269999999999999</v>
      </c>
    </row>
    <row r="757" spans="1:44" hidden="1" x14ac:dyDescent="0.5">
      <c r="A757" s="31">
        <v>1381</v>
      </c>
      <c r="B757" s="31">
        <v>98</v>
      </c>
      <c r="C757" s="225" t="s">
        <v>39</v>
      </c>
      <c r="D757" s="46">
        <v>50.322507999999999</v>
      </c>
      <c r="E757" s="43">
        <v>-4.645111</v>
      </c>
      <c r="G757">
        <f>F757*1609.344</f>
        <v>0</v>
      </c>
      <c r="H757" s="31" t="s">
        <v>10</v>
      </c>
      <c r="I757">
        <v>0</v>
      </c>
      <c r="J757">
        <v>158.513189722113</v>
      </c>
      <c r="K757" s="26">
        <v>2018</v>
      </c>
      <c r="L757" t="s">
        <v>30</v>
      </c>
      <c r="M757" s="32">
        <v>500</v>
      </c>
      <c r="N757">
        <v>62.735052189999998</v>
      </c>
      <c r="P757" t="s">
        <v>17</v>
      </c>
      <c r="Q757">
        <v>100</v>
      </c>
      <c r="R757" t="s">
        <v>13</v>
      </c>
      <c r="S757" t="s">
        <v>16</v>
      </c>
      <c r="T757" t="s">
        <v>16</v>
      </c>
      <c r="U757" s="240">
        <v>0</v>
      </c>
      <c r="V757" s="240">
        <v>15</v>
      </c>
      <c r="W757" s="25">
        <v>7.5</v>
      </c>
      <c r="X757" s="25">
        <v>15</v>
      </c>
      <c r="Y757" s="244">
        <v>0.93194745000000001</v>
      </c>
      <c r="Z757" t="s">
        <v>1114</v>
      </c>
      <c r="AA757" t="s">
        <v>622</v>
      </c>
      <c r="AB757">
        <v>38</v>
      </c>
      <c r="AC757">
        <v>38.68</v>
      </c>
      <c r="AD757">
        <v>6.2</v>
      </c>
      <c r="AE757" t="s">
        <v>525</v>
      </c>
      <c r="AF757" t="s">
        <v>553</v>
      </c>
      <c r="AG757" s="32">
        <v>2.7669657411119757</v>
      </c>
      <c r="AH757" s="32">
        <v>0.31</v>
      </c>
      <c r="AI757" s="32">
        <v>0.8577593797447125</v>
      </c>
      <c r="AJ757" s="31">
        <v>1.9092063613672632</v>
      </c>
      <c r="AK757" s="31">
        <v>0.31</v>
      </c>
      <c r="AL757" s="31">
        <v>0.8577593797447125</v>
      </c>
      <c r="AM757" s="31">
        <v>1.9092063613672632</v>
      </c>
      <c r="AN757" s="31">
        <v>53.811579454746564</v>
      </c>
      <c r="AO757" s="31">
        <v>119.77416072185525</v>
      </c>
      <c r="AP757" s="31">
        <v>5.0149564253323453E-2</v>
      </c>
      <c r="AQ757" s="31">
        <v>0.11162322366062316</v>
      </c>
      <c r="AR757" s="31">
        <v>0.13341858489683281</v>
      </c>
    </row>
    <row r="758" spans="1:44" hidden="1" x14ac:dyDescent="0.5">
      <c r="A758" s="31">
        <v>1378</v>
      </c>
      <c r="B758" s="31">
        <v>98</v>
      </c>
      <c r="C758" s="225" t="s">
        <v>39</v>
      </c>
      <c r="D758" s="41">
        <v>50.145595</v>
      </c>
      <c r="E758" s="43">
        <v>-5.0300098999999996</v>
      </c>
      <c r="G758">
        <f>F758*1609.344</f>
        <v>0</v>
      </c>
      <c r="H758" s="31" t="s">
        <v>614</v>
      </c>
      <c r="I758" s="7">
        <v>9</v>
      </c>
      <c r="J758">
        <v>207.154375112228</v>
      </c>
      <c r="K758" s="26">
        <v>2016</v>
      </c>
      <c r="L758" t="s">
        <v>40</v>
      </c>
      <c r="M758" s="32">
        <v>1000</v>
      </c>
      <c r="N758">
        <v>130.61708849999999</v>
      </c>
      <c r="P758" t="s">
        <v>17</v>
      </c>
      <c r="Q758">
        <v>100</v>
      </c>
      <c r="R758" t="s">
        <v>13</v>
      </c>
      <c r="S758" t="s">
        <v>16</v>
      </c>
      <c r="T758" t="s">
        <v>16</v>
      </c>
      <c r="U758" s="240">
        <v>0</v>
      </c>
      <c r="V758" s="240">
        <v>15</v>
      </c>
      <c r="W758" s="25">
        <v>7.5</v>
      </c>
      <c r="X758" s="25">
        <v>15</v>
      </c>
      <c r="Y758" s="244">
        <v>0.93194745000000001</v>
      </c>
      <c r="Z758" t="s">
        <v>1114</v>
      </c>
      <c r="AA758" t="s">
        <v>622</v>
      </c>
      <c r="AB758">
        <v>35</v>
      </c>
      <c r="AE758" t="s">
        <v>525</v>
      </c>
      <c r="AF758" t="s">
        <v>553</v>
      </c>
      <c r="AH758" s="32" t="s">
        <v>671</v>
      </c>
      <c r="AI758" s="32" t="s">
        <v>1129</v>
      </c>
      <c r="AJ758" s="31" t="s">
        <v>1130</v>
      </c>
      <c r="AK758" s="31">
        <v>0.59524549999999998</v>
      </c>
      <c r="AL758" s="31">
        <v>0</v>
      </c>
      <c r="AM758" s="31">
        <v>0</v>
      </c>
      <c r="AN758" s="31">
        <v>0</v>
      </c>
      <c r="AO758" s="31">
        <v>0</v>
      </c>
      <c r="AP758" s="31">
        <v>0</v>
      </c>
      <c r="AQ758" s="31">
        <v>0</v>
      </c>
      <c r="AR758" s="31">
        <v>0.13222094293149678</v>
      </c>
    </row>
    <row r="759" spans="1:44" hidden="1" x14ac:dyDescent="0.5">
      <c r="A759" s="31">
        <v>1524</v>
      </c>
      <c r="B759" s="52">
        <v>114</v>
      </c>
      <c r="C759" s="225" t="s">
        <v>20</v>
      </c>
      <c r="D759" s="32">
        <v>50.123275999999997</v>
      </c>
      <c r="E759" s="32">
        <v>-5.0053239999999999</v>
      </c>
      <c r="G759">
        <f>F759*1609.344</f>
        <v>0</v>
      </c>
      <c r="H759" s="32" t="s">
        <v>614</v>
      </c>
      <c r="I759" s="7">
        <v>13</v>
      </c>
      <c r="J759">
        <v>208.48190243078599</v>
      </c>
      <c r="K759" s="26">
        <v>2018</v>
      </c>
      <c r="L759" t="s">
        <v>30</v>
      </c>
      <c r="M759" s="32">
        <v>25</v>
      </c>
      <c r="N759">
        <v>2.6364560099999998</v>
      </c>
      <c r="O759">
        <v>5</v>
      </c>
      <c r="P759" t="s">
        <v>23</v>
      </c>
      <c r="Q759">
        <v>95.5</v>
      </c>
      <c r="R759" t="s">
        <v>13</v>
      </c>
      <c r="S759" t="s">
        <v>16</v>
      </c>
      <c r="T759" t="s">
        <v>14</v>
      </c>
      <c r="U759" s="34">
        <v>0</v>
      </c>
      <c r="V759" s="34">
        <v>5</v>
      </c>
      <c r="W759" s="25">
        <v>2.5</v>
      </c>
      <c r="X759" s="25">
        <v>5</v>
      </c>
      <c r="Y759" s="244">
        <v>0.93194745000000001</v>
      </c>
      <c r="Z759" t="s">
        <v>1114</v>
      </c>
      <c r="AA759" t="s">
        <v>622</v>
      </c>
      <c r="AB759">
        <v>1</v>
      </c>
      <c r="AC759">
        <v>368</v>
      </c>
      <c r="AF759" t="s">
        <v>532</v>
      </c>
      <c r="AG759" s="32">
        <v>368</v>
      </c>
      <c r="AH759" s="32" t="s">
        <v>2630</v>
      </c>
      <c r="AI759" s="32" t="s">
        <v>2633</v>
      </c>
      <c r="AJ759" s="31" t="s">
        <v>3404</v>
      </c>
      <c r="AK759" s="31">
        <v>0.91800000000000004</v>
      </c>
      <c r="AL759" s="31">
        <v>337.82400000000001</v>
      </c>
      <c r="AM759" s="31">
        <v>30.175999999999988</v>
      </c>
      <c r="AN759" s="31">
        <v>932.62629855731939</v>
      </c>
      <c r="AO759" s="31">
        <v>83.306488542157027</v>
      </c>
      <c r="AP759" s="31">
        <v>0.86915870074343249</v>
      </c>
      <c r="AQ759" s="31">
        <v>7.7637269565317454E-2</v>
      </c>
      <c r="AR759" s="31">
        <v>0.13169211421955859</v>
      </c>
    </row>
    <row r="760" spans="1:44" hidden="1" x14ac:dyDescent="0.5">
      <c r="A760" s="31">
        <v>1527</v>
      </c>
      <c r="B760" s="52">
        <v>114</v>
      </c>
      <c r="C760" s="225" t="s">
        <v>20</v>
      </c>
      <c r="D760" s="32">
        <v>50.123275999999997</v>
      </c>
      <c r="E760" s="32">
        <v>-5.0053239999999999</v>
      </c>
      <c r="G760">
        <f>F760*1609.344</f>
        <v>0</v>
      </c>
      <c r="H760" s="32" t="s">
        <v>57</v>
      </c>
      <c r="I760" s="7">
        <v>13</v>
      </c>
      <c r="J760">
        <v>208.48190243078599</v>
      </c>
      <c r="K760" s="26">
        <v>2018</v>
      </c>
      <c r="L760" t="s">
        <v>30</v>
      </c>
      <c r="M760" s="32">
        <v>25</v>
      </c>
      <c r="N760">
        <v>2.6364560099999998</v>
      </c>
      <c r="O760">
        <v>5</v>
      </c>
      <c r="P760" t="s">
        <v>23</v>
      </c>
      <c r="Q760">
        <v>95.5</v>
      </c>
      <c r="R760" t="s">
        <v>13</v>
      </c>
      <c r="S760" t="s">
        <v>16</v>
      </c>
      <c r="T760" t="s">
        <v>14</v>
      </c>
      <c r="U760" s="34">
        <v>0</v>
      </c>
      <c r="V760" s="34">
        <v>5</v>
      </c>
      <c r="W760" s="25">
        <v>2.5</v>
      </c>
      <c r="X760" s="25">
        <v>5</v>
      </c>
      <c r="Y760" s="244">
        <v>1.1100000000000001</v>
      </c>
      <c r="Z760" t="s">
        <v>781</v>
      </c>
      <c r="AA760" t="s">
        <v>653</v>
      </c>
      <c r="AB760">
        <v>1</v>
      </c>
      <c r="AC760">
        <v>267</v>
      </c>
      <c r="AF760" t="s">
        <v>532</v>
      </c>
      <c r="AG760" s="32">
        <v>267</v>
      </c>
      <c r="AH760" s="32" t="s">
        <v>2630</v>
      </c>
      <c r="AI760" s="32" t="s">
        <v>2636</v>
      </c>
      <c r="AJ760" s="31" t="s">
        <v>3407</v>
      </c>
      <c r="AK760" s="31">
        <v>0.91800000000000004</v>
      </c>
      <c r="AL760" s="31">
        <v>245.10600000000002</v>
      </c>
      <c r="AM760" s="31">
        <v>21.893999999999977</v>
      </c>
      <c r="AN760" s="31">
        <v>676.66092857283763</v>
      </c>
      <c r="AO760" s="31">
        <v>60.442479458575846</v>
      </c>
      <c r="AP760" s="31">
        <v>0.75109363071584989</v>
      </c>
      <c r="AQ760" s="31">
        <v>6.7091152199019191E-2</v>
      </c>
      <c r="AR760" s="31">
        <v>0.20269999999999999</v>
      </c>
    </row>
    <row r="761" spans="1:44" hidden="1" x14ac:dyDescent="0.5">
      <c r="A761" s="31">
        <v>1393</v>
      </c>
      <c r="B761" s="31">
        <v>98</v>
      </c>
      <c r="C761" s="225" t="s">
        <v>39</v>
      </c>
      <c r="D761" s="41">
        <v>50.121569999999998</v>
      </c>
      <c r="E761" s="43">
        <v>-5.5100319999999998</v>
      </c>
      <c r="G761">
        <f>F761*1609.344</f>
        <v>0</v>
      </c>
      <c r="H761" s="31" t="s">
        <v>614</v>
      </c>
      <c r="I761" s="7">
        <v>1</v>
      </c>
      <c r="J761">
        <v>190.15877138786001</v>
      </c>
      <c r="K761" s="26">
        <v>2016</v>
      </c>
      <c r="L761" t="s">
        <v>40</v>
      </c>
      <c r="M761" s="32">
        <v>1000</v>
      </c>
      <c r="N761">
        <v>130.61708849999999</v>
      </c>
      <c r="P761" t="s">
        <v>17</v>
      </c>
      <c r="Q761">
        <v>100</v>
      </c>
      <c r="R761" t="s">
        <v>13</v>
      </c>
      <c r="S761" t="s">
        <v>16</v>
      </c>
      <c r="T761" t="s">
        <v>16</v>
      </c>
      <c r="U761" s="240">
        <v>0</v>
      </c>
      <c r="V761" s="240">
        <v>15</v>
      </c>
      <c r="W761" s="25">
        <v>7.5</v>
      </c>
      <c r="X761" s="25">
        <v>15</v>
      </c>
      <c r="Y761" s="244">
        <v>0.93194745000000001</v>
      </c>
      <c r="Z761" t="s">
        <v>1114</v>
      </c>
      <c r="AA761" t="s">
        <v>622</v>
      </c>
      <c r="AB761">
        <v>21</v>
      </c>
      <c r="AC761">
        <v>0.91</v>
      </c>
      <c r="AD761">
        <v>0.37</v>
      </c>
      <c r="AE761" t="s">
        <v>525</v>
      </c>
      <c r="AF761" t="s">
        <v>553</v>
      </c>
      <c r="AG761" s="32">
        <v>6.5096660403616807E-2</v>
      </c>
      <c r="AH761" s="32">
        <v>0.31</v>
      </c>
      <c r="AI761" s="32">
        <v>2.0179964725121211E-2</v>
      </c>
      <c r="AJ761" s="31">
        <v>4.49166956784956E-2</v>
      </c>
      <c r="AK761" s="31">
        <v>0.31</v>
      </c>
      <c r="AL761" s="31">
        <v>2.0179964725121211E-2</v>
      </c>
      <c r="AM761" s="31">
        <v>4.49166956784956E-2</v>
      </c>
      <c r="AN761" s="31">
        <v>2.6358482384280353</v>
      </c>
      <c r="AO761" s="31">
        <v>5.8668880145656273</v>
      </c>
      <c r="AP761" s="31">
        <v>2.4564720443899994E-3</v>
      </c>
      <c r="AQ761" s="31">
        <v>5.4676313246099992E-3</v>
      </c>
      <c r="AR761" s="31">
        <v>0.13328497964724689</v>
      </c>
    </row>
    <row r="762" spans="1:44" hidden="1" x14ac:dyDescent="0.5">
      <c r="A762" s="31">
        <v>1374</v>
      </c>
      <c r="B762" s="31">
        <v>98</v>
      </c>
      <c r="C762" s="225" t="s">
        <v>39</v>
      </c>
      <c r="D762" s="41">
        <v>50.033112000000003</v>
      </c>
      <c r="E762" s="43">
        <v>-5.66289</v>
      </c>
      <c r="G762">
        <f>F762*1609.344</f>
        <v>0</v>
      </c>
      <c r="H762" s="31" t="s">
        <v>614</v>
      </c>
      <c r="I762" s="7">
        <v>15</v>
      </c>
      <c r="J762">
        <v>211.87386711084801</v>
      </c>
      <c r="K762" s="26">
        <v>2018</v>
      </c>
      <c r="L762" t="s">
        <v>40</v>
      </c>
      <c r="M762" s="32">
        <v>1000</v>
      </c>
      <c r="N762">
        <v>130.61708849999999</v>
      </c>
      <c r="P762" t="s">
        <v>17</v>
      </c>
      <c r="Q762">
        <v>100</v>
      </c>
      <c r="R762" t="s">
        <v>13</v>
      </c>
      <c r="S762" t="s">
        <v>16</v>
      </c>
      <c r="T762" t="s">
        <v>16</v>
      </c>
      <c r="U762" s="240">
        <v>0</v>
      </c>
      <c r="V762" s="240">
        <v>15</v>
      </c>
      <c r="W762" s="25">
        <v>7.5</v>
      </c>
      <c r="X762" s="25">
        <v>15</v>
      </c>
      <c r="Y762" s="244">
        <v>0.93194745000000001</v>
      </c>
      <c r="Z762" t="s">
        <v>1114</v>
      </c>
      <c r="AA762" t="s">
        <v>622</v>
      </c>
      <c r="AB762">
        <v>23</v>
      </c>
      <c r="AC762">
        <v>0.26</v>
      </c>
      <c r="AD762">
        <v>0.14000000000000001</v>
      </c>
      <c r="AE762" t="s">
        <v>525</v>
      </c>
      <c r="AF762" t="s">
        <v>553</v>
      </c>
      <c r="AG762" s="32">
        <v>1.8599045829604803E-2</v>
      </c>
      <c r="AH762" s="32">
        <v>0.31</v>
      </c>
      <c r="AI762" s="32">
        <v>5.7657042071774887E-3</v>
      </c>
      <c r="AJ762" s="31">
        <v>1.2833341622427314E-2</v>
      </c>
      <c r="AK762" s="31">
        <v>0.31</v>
      </c>
      <c r="AL762" s="31">
        <v>5.7657042071774887E-3</v>
      </c>
      <c r="AM762" s="31">
        <v>1.2833341622427314E-2</v>
      </c>
      <c r="AN762" s="31">
        <v>0.75309949669372434</v>
      </c>
      <c r="AO762" s="31">
        <v>1.6762537184473223</v>
      </c>
      <c r="AP762" s="31">
        <v>7.0184915553999987E-4</v>
      </c>
      <c r="AQ762" s="31">
        <v>1.5621803784599999E-3</v>
      </c>
      <c r="AR762" s="31">
        <v>0.13142849355358946</v>
      </c>
    </row>
    <row r="763" spans="1:44" hidden="1" x14ac:dyDescent="0.5">
      <c r="A763" s="31">
        <v>772</v>
      </c>
      <c r="B763" s="31">
        <v>55</v>
      </c>
      <c r="C763" s="225" t="s">
        <v>42</v>
      </c>
      <c r="D763" s="35">
        <v>-35.521799999999999</v>
      </c>
      <c r="E763" s="33">
        <v>138.1866</v>
      </c>
      <c r="F763">
        <v>0</v>
      </c>
      <c r="G763">
        <f>F763*1609.344</f>
        <v>0</v>
      </c>
      <c r="H763" s="32" t="s">
        <v>614</v>
      </c>
      <c r="I763">
        <v>5.5</v>
      </c>
      <c r="J763">
        <v>123.58932653760699</v>
      </c>
      <c r="K763" s="26">
        <v>2015</v>
      </c>
      <c r="L763" t="s">
        <v>40</v>
      </c>
      <c r="M763" s="32">
        <v>38</v>
      </c>
      <c r="N763">
        <v>4.1059253030000002</v>
      </c>
      <c r="P763" t="s">
        <v>15</v>
      </c>
      <c r="Q763">
        <v>91.3</v>
      </c>
      <c r="R763" t="s">
        <v>13</v>
      </c>
      <c r="S763" t="s">
        <v>16</v>
      </c>
      <c r="T763" t="s">
        <v>16</v>
      </c>
      <c r="U763" s="34">
        <v>0</v>
      </c>
      <c r="V763" s="34">
        <v>7</v>
      </c>
      <c r="W763" s="25">
        <v>3.5</v>
      </c>
      <c r="X763" s="25">
        <v>7</v>
      </c>
      <c r="Y763">
        <v>0.82293429299999998</v>
      </c>
      <c r="Z763" t="s">
        <v>773</v>
      </c>
      <c r="AA763" t="s">
        <v>645</v>
      </c>
      <c r="AB763">
        <v>1</v>
      </c>
      <c r="AC763">
        <v>236</v>
      </c>
      <c r="AF763" t="s">
        <v>530</v>
      </c>
      <c r="AG763" s="32">
        <v>4096.83810737557</v>
      </c>
      <c r="AH763" s="32" t="s">
        <v>1921</v>
      </c>
      <c r="AI763" s="32" t="s">
        <v>1922</v>
      </c>
      <c r="AJ763" s="31" t="s">
        <v>3093</v>
      </c>
      <c r="AK763" s="31">
        <v>0.93640000000000001</v>
      </c>
      <c r="AL763" s="31">
        <v>3836.2792037464828</v>
      </c>
      <c r="AM763" s="31">
        <v>260.55890362908622</v>
      </c>
      <c r="AN763" s="31">
        <v>17252.437954036559</v>
      </c>
      <c r="AO763" s="31">
        <v>1171.7802796633118</v>
      </c>
      <c r="AP763" s="31">
        <v>14.197622830231442</v>
      </c>
      <c r="AQ763" s="31">
        <v>0.96429817599606982</v>
      </c>
      <c r="AR763" s="31">
        <v>0.13268540976916446</v>
      </c>
    </row>
    <row r="764" spans="1:44" hidden="1" x14ac:dyDescent="0.5">
      <c r="A764" s="31">
        <v>757</v>
      </c>
      <c r="B764" s="31">
        <v>55</v>
      </c>
      <c r="C764" s="225" t="s">
        <v>42</v>
      </c>
      <c r="D764" s="35">
        <v>-35.147500000000001</v>
      </c>
      <c r="E764" s="33">
        <v>138.3211</v>
      </c>
      <c r="F764">
        <v>9.39</v>
      </c>
      <c r="G764">
        <f>F764*1609.344</f>
        <v>15111.740160000001</v>
      </c>
      <c r="H764" s="32" t="s">
        <v>614</v>
      </c>
      <c r="I764">
        <v>3.75</v>
      </c>
      <c r="J764">
        <v>88.220884085514996</v>
      </c>
      <c r="K764" s="26">
        <v>2015</v>
      </c>
      <c r="L764" t="s">
        <v>40</v>
      </c>
      <c r="M764" s="32">
        <v>38</v>
      </c>
      <c r="N764">
        <v>4.1059253030000002</v>
      </c>
      <c r="P764" t="s">
        <v>15</v>
      </c>
      <c r="Q764">
        <v>91.3</v>
      </c>
      <c r="R764" t="s">
        <v>13</v>
      </c>
      <c r="S764" t="s">
        <v>16</v>
      </c>
      <c r="T764" t="s">
        <v>16</v>
      </c>
      <c r="U764" s="34">
        <v>0</v>
      </c>
      <c r="V764" s="34">
        <v>7</v>
      </c>
      <c r="W764" s="25">
        <v>3.5</v>
      </c>
      <c r="X764" s="25">
        <v>7</v>
      </c>
      <c r="Y764">
        <v>0.82293429299999998</v>
      </c>
      <c r="Z764" t="s">
        <v>773</v>
      </c>
      <c r="AA764" t="s">
        <v>645</v>
      </c>
      <c r="AB764">
        <v>1</v>
      </c>
      <c r="AC764">
        <v>426</v>
      </c>
      <c r="AF764" t="s">
        <v>530</v>
      </c>
      <c r="AG764" s="32">
        <v>7395.1399734830202</v>
      </c>
      <c r="AH764" s="32" t="s">
        <v>1892</v>
      </c>
      <c r="AI764" s="32" t="s">
        <v>1893</v>
      </c>
      <c r="AJ764" s="31" t="s">
        <v>3078</v>
      </c>
      <c r="AK764" s="31">
        <v>1.8641205000000001E-2</v>
      </c>
      <c r="AL764" s="31">
        <v>137.85432024939149</v>
      </c>
      <c r="AM764" s="31">
        <v>7257.2856532336264</v>
      </c>
      <c r="AN764" s="31">
        <v>619.95568635251027</v>
      </c>
      <c r="AO764" s="31">
        <v>32637.319599902334</v>
      </c>
      <c r="AP764" s="31">
        <v>0.51018279443983283</v>
      </c>
      <c r="AQ764" s="31">
        <v>26.858369530360669</v>
      </c>
      <c r="AR764" s="31">
        <v>0.13291825467388105</v>
      </c>
    </row>
    <row r="765" spans="1:44" hidden="1" x14ac:dyDescent="0.5">
      <c r="A765" s="31">
        <v>787</v>
      </c>
      <c r="B765" s="31">
        <v>55</v>
      </c>
      <c r="C765" s="225" t="s">
        <v>42</v>
      </c>
      <c r="D765" s="35">
        <v>-35.271999999999998</v>
      </c>
      <c r="E765" s="33">
        <v>138.434</v>
      </c>
      <c r="F765">
        <v>2.4700000000000002</v>
      </c>
      <c r="G765">
        <f>F765*1609.344</f>
        <v>3975.0796800000003</v>
      </c>
      <c r="H765" s="32" t="s">
        <v>614</v>
      </c>
      <c r="I765">
        <v>9.5</v>
      </c>
      <c r="J765">
        <v>96.1736288456229</v>
      </c>
      <c r="K765" s="26">
        <v>2015</v>
      </c>
      <c r="L765" t="s">
        <v>40</v>
      </c>
      <c r="M765" s="32">
        <v>38</v>
      </c>
      <c r="N765">
        <v>4.1059253030000002</v>
      </c>
      <c r="P765" t="s">
        <v>15</v>
      </c>
      <c r="Q765">
        <v>91.3</v>
      </c>
      <c r="R765" t="s">
        <v>13</v>
      </c>
      <c r="S765" t="s">
        <v>16</v>
      </c>
      <c r="T765" t="s">
        <v>16</v>
      </c>
      <c r="U765" s="34">
        <v>0</v>
      </c>
      <c r="V765" s="34">
        <v>7</v>
      </c>
      <c r="W765" s="25">
        <v>3.5</v>
      </c>
      <c r="X765" s="25">
        <v>7</v>
      </c>
      <c r="Y765">
        <v>0.82293429299999998</v>
      </c>
      <c r="Z765" t="s">
        <v>773</v>
      </c>
      <c r="AA765" t="s">
        <v>645</v>
      </c>
      <c r="AB765">
        <v>1</v>
      </c>
      <c r="AC765">
        <v>327</v>
      </c>
      <c r="AF765" t="s">
        <v>530</v>
      </c>
      <c r="AG765" s="32">
        <v>5676.5511064059801</v>
      </c>
      <c r="AH765" s="32" t="s">
        <v>1950</v>
      </c>
      <c r="AI765" s="32" t="s">
        <v>1951</v>
      </c>
      <c r="AJ765" s="31" t="s">
        <v>3107</v>
      </c>
      <c r="AK765" s="31">
        <v>0.70640000000000003</v>
      </c>
      <c r="AL765" s="31">
        <v>4009.915701565184</v>
      </c>
      <c r="AM765" s="31">
        <v>1666.6354048407952</v>
      </c>
      <c r="AN765" s="31">
        <v>18033.312532260119</v>
      </c>
      <c r="AO765" s="31">
        <v>7495.1593424002967</v>
      </c>
      <c r="AP765" s="31">
        <v>14.84023129918352</v>
      </c>
      <c r="AQ765" s="31">
        <v>6.1680236543605327</v>
      </c>
      <c r="AR765" s="31">
        <v>0.13215472338329007</v>
      </c>
    </row>
    <row r="766" spans="1:44" hidden="1" x14ac:dyDescent="0.5">
      <c r="A766" s="31">
        <v>781</v>
      </c>
      <c r="B766" s="31">
        <v>55</v>
      </c>
      <c r="C766" s="225" t="s">
        <v>42</v>
      </c>
      <c r="D766" s="35">
        <v>-35.110795000000003</v>
      </c>
      <c r="E766" s="33">
        <v>138.47098</v>
      </c>
      <c r="F766">
        <v>0</v>
      </c>
      <c r="G766">
        <f>F766*1609.344</f>
        <v>0</v>
      </c>
      <c r="H766" s="32" t="s">
        <v>614</v>
      </c>
      <c r="I766">
        <v>7.6</v>
      </c>
      <c r="J766">
        <v>82.116534948266604</v>
      </c>
      <c r="K766" s="26">
        <v>2015</v>
      </c>
      <c r="L766" t="s">
        <v>40</v>
      </c>
      <c r="M766" s="32">
        <v>38</v>
      </c>
      <c r="N766">
        <v>4.1059253030000002</v>
      </c>
      <c r="P766" t="s">
        <v>15</v>
      </c>
      <c r="Q766">
        <v>91.3</v>
      </c>
      <c r="R766" t="s">
        <v>13</v>
      </c>
      <c r="S766" t="s">
        <v>16</v>
      </c>
      <c r="T766" t="s">
        <v>16</v>
      </c>
      <c r="U766" s="34">
        <v>0</v>
      </c>
      <c r="V766" s="34">
        <v>7</v>
      </c>
      <c r="W766" s="25">
        <v>3.5</v>
      </c>
      <c r="X766" s="25">
        <v>7</v>
      </c>
      <c r="Y766">
        <v>0.82293429299999998</v>
      </c>
      <c r="Z766" t="s">
        <v>773</v>
      </c>
      <c r="AA766" t="s">
        <v>645</v>
      </c>
      <c r="AB766">
        <v>1</v>
      </c>
      <c r="AC766">
        <v>127</v>
      </c>
      <c r="AF766" t="s">
        <v>530</v>
      </c>
      <c r="AG766" s="32">
        <v>2204.6544052402401</v>
      </c>
      <c r="AH766" s="32" t="s">
        <v>1938</v>
      </c>
      <c r="AI766" s="32" t="s">
        <v>1939</v>
      </c>
      <c r="AJ766" s="31" t="s">
        <v>3101</v>
      </c>
      <c r="AK766" s="31">
        <v>0.92130000000000001</v>
      </c>
      <c r="AL766" s="31">
        <v>2031.1481035478353</v>
      </c>
      <c r="AM766" s="31">
        <v>173.50630169240708</v>
      </c>
      <c r="AN766" s="31">
        <v>9134.4385459994755</v>
      </c>
      <c r="AO766" s="31">
        <v>780.2890628135882</v>
      </c>
      <c r="AP766" s="31">
        <v>7.5170427268040267</v>
      </c>
      <c r="AQ766" s="31">
        <v>0.64212662824213285</v>
      </c>
      <c r="AR766" s="31">
        <v>0.13240653424258</v>
      </c>
    </row>
    <row r="767" spans="1:44" hidden="1" x14ac:dyDescent="0.5">
      <c r="A767" s="31">
        <v>754</v>
      </c>
      <c r="B767" s="31">
        <v>55</v>
      </c>
      <c r="C767" s="225" t="s">
        <v>42</v>
      </c>
      <c r="D767" s="35">
        <v>-34.787700000000001</v>
      </c>
      <c r="E767" s="33">
        <v>138.48217</v>
      </c>
      <c r="F767">
        <v>0</v>
      </c>
      <c r="G767">
        <f>F767*1609.344</f>
        <v>0</v>
      </c>
      <c r="H767" s="32" t="s">
        <v>614</v>
      </c>
      <c r="I767">
        <v>3.38</v>
      </c>
      <c r="J767">
        <v>63.940203286498502</v>
      </c>
      <c r="K767" s="26">
        <v>2015</v>
      </c>
      <c r="L767" t="s">
        <v>40</v>
      </c>
      <c r="M767" s="32">
        <v>38</v>
      </c>
      <c r="N767">
        <v>4.1059253030000002</v>
      </c>
      <c r="P767" t="s">
        <v>15</v>
      </c>
      <c r="Q767">
        <v>91.3</v>
      </c>
      <c r="R767" t="s">
        <v>13</v>
      </c>
      <c r="S767" t="s">
        <v>16</v>
      </c>
      <c r="T767" t="s">
        <v>16</v>
      </c>
      <c r="U767" s="34">
        <v>0</v>
      </c>
      <c r="V767" s="34">
        <v>7</v>
      </c>
      <c r="W767" s="25">
        <v>3.5</v>
      </c>
      <c r="X767" s="25">
        <v>7</v>
      </c>
      <c r="Y767">
        <v>0.82293429299999998</v>
      </c>
      <c r="Z767" t="s">
        <v>773</v>
      </c>
      <c r="AA767" t="s">
        <v>645</v>
      </c>
      <c r="AB767">
        <v>1</v>
      </c>
      <c r="AC767">
        <v>175</v>
      </c>
      <c r="AF767" t="s">
        <v>530</v>
      </c>
      <c r="AG767" s="32">
        <v>3037.9096135200198</v>
      </c>
      <c r="AH767" s="32" t="s">
        <v>1886</v>
      </c>
      <c r="AI767" s="32" t="s">
        <v>1887</v>
      </c>
      <c r="AJ767" s="31" t="s">
        <v>3075</v>
      </c>
      <c r="AK767" s="31">
        <v>0.51429999999999998</v>
      </c>
      <c r="AL767" s="31">
        <v>1562.3969142333456</v>
      </c>
      <c r="AM767" s="31">
        <v>1475.5126992866733</v>
      </c>
      <c r="AN767" s="31">
        <v>7026.3800914346275</v>
      </c>
      <c r="AO767" s="31">
        <v>6635.6461411817991</v>
      </c>
      <c r="AP767" s="31">
        <v>5.7822491328940302</v>
      </c>
      <c r="AQ767" s="31">
        <v>5.4607007657916222</v>
      </c>
      <c r="AR767" s="31">
        <v>0.13296753704425382</v>
      </c>
    </row>
    <row r="768" spans="1:44" hidden="1" x14ac:dyDescent="0.5">
      <c r="A768" s="31">
        <v>783</v>
      </c>
      <c r="B768" s="31">
        <v>55</v>
      </c>
      <c r="C768" s="225" t="s">
        <v>42</v>
      </c>
      <c r="D768" s="35">
        <v>-35.587967999999996</v>
      </c>
      <c r="E768" s="33">
        <v>138.60225299999999</v>
      </c>
      <c r="F768">
        <v>0</v>
      </c>
      <c r="G768">
        <f>F768*1609.344</f>
        <v>0</v>
      </c>
      <c r="H768" s="32" t="s">
        <v>614</v>
      </c>
      <c r="I768">
        <v>8.25</v>
      </c>
      <c r="J768">
        <v>117.044145987413</v>
      </c>
      <c r="K768" s="26">
        <v>2015</v>
      </c>
      <c r="L768" t="s">
        <v>40</v>
      </c>
      <c r="M768" s="32">
        <v>38</v>
      </c>
      <c r="N768">
        <v>4.1059253030000002</v>
      </c>
      <c r="P768" t="s">
        <v>15</v>
      </c>
      <c r="Q768">
        <v>91.3</v>
      </c>
      <c r="R768" t="s">
        <v>13</v>
      </c>
      <c r="S768" t="s">
        <v>16</v>
      </c>
      <c r="T768" t="s">
        <v>16</v>
      </c>
      <c r="U768" s="34">
        <v>0</v>
      </c>
      <c r="V768" s="34">
        <v>7</v>
      </c>
      <c r="W768" s="25">
        <v>3.5</v>
      </c>
      <c r="X768" s="25">
        <v>7</v>
      </c>
      <c r="Y768">
        <v>0.82293429299999998</v>
      </c>
      <c r="Z768" t="s">
        <v>773</v>
      </c>
      <c r="AA768" t="s">
        <v>645</v>
      </c>
      <c r="AB768">
        <v>1</v>
      </c>
      <c r="AC768">
        <v>357</v>
      </c>
      <c r="AF768" t="s">
        <v>530</v>
      </c>
      <c r="AG768" s="32">
        <v>6197.3356115808401</v>
      </c>
      <c r="AH768" s="32" t="s">
        <v>1942</v>
      </c>
      <c r="AI768" s="32" t="s">
        <v>1943</v>
      </c>
      <c r="AJ768" s="31" t="s">
        <v>3103</v>
      </c>
      <c r="AK768" s="31">
        <v>0.55179999999999996</v>
      </c>
      <c r="AL768" s="31">
        <v>3419.6897904703064</v>
      </c>
      <c r="AM768" s="31">
        <v>2777.6458211105319</v>
      </c>
      <c r="AN768" s="31">
        <v>15378.960393321797</v>
      </c>
      <c r="AO768" s="31">
        <v>12491.573121215713</v>
      </c>
      <c r="AP768" s="31">
        <v>12.655873898353276</v>
      </c>
      <c r="AQ768" s="31">
        <v>10.279743894965456</v>
      </c>
      <c r="AR768" s="31">
        <v>0.13232033447341537</v>
      </c>
    </row>
    <row r="769" spans="1:44" hidden="1" x14ac:dyDescent="0.5">
      <c r="A769" s="31">
        <v>771</v>
      </c>
      <c r="B769" s="31">
        <v>55</v>
      </c>
      <c r="C769" s="225" t="s">
        <v>42</v>
      </c>
      <c r="D769" s="35">
        <v>-38.097799999999999</v>
      </c>
      <c r="E769" s="33">
        <v>144.43899999999999</v>
      </c>
      <c r="F769">
        <v>1</v>
      </c>
      <c r="G769">
        <f>F769*1609.344</f>
        <v>1609.3440000000001</v>
      </c>
      <c r="H769" s="32" t="s">
        <v>614</v>
      </c>
      <c r="I769">
        <v>5.5</v>
      </c>
      <c r="J769">
        <v>218.916769510655</v>
      </c>
      <c r="K769" s="26">
        <v>2015</v>
      </c>
      <c r="L769" t="s">
        <v>40</v>
      </c>
      <c r="M769" s="32">
        <v>38</v>
      </c>
      <c r="N769">
        <v>4.1059253030000002</v>
      </c>
      <c r="P769" t="s">
        <v>15</v>
      </c>
      <c r="Q769">
        <v>91.3</v>
      </c>
      <c r="R769" t="s">
        <v>13</v>
      </c>
      <c r="S769" t="s">
        <v>16</v>
      </c>
      <c r="T769" t="s">
        <v>16</v>
      </c>
      <c r="U769" s="34">
        <v>0</v>
      </c>
      <c r="V769" s="34">
        <v>7</v>
      </c>
      <c r="W769" s="25">
        <v>3.5</v>
      </c>
      <c r="X769" s="25">
        <v>7</v>
      </c>
      <c r="Y769">
        <v>1.0774796689999999</v>
      </c>
      <c r="Z769" t="s">
        <v>773</v>
      </c>
      <c r="AA769" t="s">
        <v>644</v>
      </c>
      <c r="AB769">
        <v>1</v>
      </c>
      <c r="AC769">
        <v>216</v>
      </c>
      <c r="AF769" t="s">
        <v>530</v>
      </c>
      <c r="AG769" s="32">
        <v>2863.8259955086801</v>
      </c>
      <c r="AH769" s="32" t="s">
        <v>1919</v>
      </c>
      <c r="AI769" s="32" t="s">
        <v>1920</v>
      </c>
      <c r="AJ769" s="31" t="s">
        <v>3092</v>
      </c>
      <c r="AK769" s="31">
        <v>0.86570000000000003</v>
      </c>
      <c r="AL769" s="31">
        <v>2479.2141643118625</v>
      </c>
      <c r="AM769" s="31">
        <v>384.61183119681527</v>
      </c>
      <c r="AN769" s="31">
        <v>11149.472254988037</v>
      </c>
      <c r="AO769" s="31">
        <v>1729.6686194350152</v>
      </c>
      <c r="AP769" s="31">
        <v>12.013329674829192</v>
      </c>
      <c r="AQ769" s="31">
        <v>1.8636827715485271</v>
      </c>
      <c r="AR769" s="31">
        <v>0.13268540976916446</v>
      </c>
    </row>
    <row r="770" spans="1:44" hidden="1" x14ac:dyDescent="0.5">
      <c r="A770" s="31">
        <v>779</v>
      </c>
      <c r="B770" s="31">
        <v>55</v>
      </c>
      <c r="C770" s="225" t="s">
        <v>42</v>
      </c>
      <c r="D770" s="35">
        <v>-38.033299999999997</v>
      </c>
      <c r="E770" s="33">
        <v>144.58940000000001</v>
      </c>
      <c r="F770">
        <v>2.02</v>
      </c>
      <c r="G770">
        <f>F770*1609.344</f>
        <v>3250.8748800000003</v>
      </c>
      <c r="H770" s="32" t="s">
        <v>614</v>
      </c>
      <c r="I770">
        <v>7</v>
      </c>
      <c r="J770">
        <v>216.52967439605499</v>
      </c>
      <c r="K770" s="26">
        <v>2015</v>
      </c>
      <c r="L770" t="s">
        <v>40</v>
      </c>
      <c r="M770" s="32">
        <v>38</v>
      </c>
      <c r="N770">
        <v>4.1059253030000002</v>
      </c>
      <c r="P770" t="s">
        <v>15</v>
      </c>
      <c r="Q770">
        <v>91.3</v>
      </c>
      <c r="R770" t="s">
        <v>13</v>
      </c>
      <c r="S770" t="s">
        <v>16</v>
      </c>
      <c r="T770" t="s">
        <v>16</v>
      </c>
      <c r="U770" s="34">
        <v>0</v>
      </c>
      <c r="V770" s="34">
        <v>7</v>
      </c>
      <c r="W770" s="25">
        <v>3.5</v>
      </c>
      <c r="X770" s="25">
        <v>7</v>
      </c>
      <c r="Y770">
        <v>1.0774796689999999</v>
      </c>
      <c r="Z770" t="s">
        <v>773</v>
      </c>
      <c r="AA770" t="s">
        <v>644</v>
      </c>
      <c r="AB770">
        <v>1</v>
      </c>
      <c r="AC770">
        <v>46</v>
      </c>
      <c r="AF770" t="s">
        <v>530</v>
      </c>
      <c r="AG770" s="32">
        <v>609.888869413885</v>
      </c>
      <c r="AH770" s="32" t="s">
        <v>1934</v>
      </c>
      <c r="AI770" s="32" t="s">
        <v>1935</v>
      </c>
      <c r="AJ770" s="31" t="s">
        <v>3099</v>
      </c>
      <c r="AK770" s="31">
        <v>0.82609999999999995</v>
      </c>
      <c r="AL770" s="31">
        <v>503.82919502281044</v>
      </c>
      <c r="AM770" s="31">
        <v>106.05967439107468</v>
      </c>
      <c r="AN770" s="31">
        <v>2265.8105588546323</v>
      </c>
      <c r="AO770" s="31">
        <v>476.96944217990665</v>
      </c>
      <c r="AP770" s="31">
        <v>2.4413648109713941</v>
      </c>
      <c r="AQ770" s="31">
        <v>0.51392487668312048</v>
      </c>
      <c r="AR770" s="31">
        <v>0.13248615310083081</v>
      </c>
    </row>
    <row r="771" spans="1:44" hidden="1" x14ac:dyDescent="0.5">
      <c r="A771" s="31">
        <v>793</v>
      </c>
      <c r="B771" s="31">
        <v>55</v>
      </c>
      <c r="C771" s="225" t="s">
        <v>42</v>
      </c>
      <c r="D771" s="35">
        <v>-38.147199999999998</v>
      </c>
      <c r="E771" s="33">
        <v>144.72489999999999</v>
      </c>
      <c r="F771">
        <v>0.27</v>
      </c>
      <c r="G771">
        <f>F771*1609.344</f>
        <v>434.52288000000004</v>
      </c>
      <c r="H771" s="32" t="s">
        <v>614</v>
      </c>
      <c r="I771">
        <v>12</v>
      </c>
      <c r="J771">
        <v>235.23396090438001</v>
      </c>
      <c r="K771" s="26">
        <v>2015</v>
      </c>
      <c r="L771" t="s">
        <v>40</v>
      </c>
      <c r="M771" s="32">
        <v>38</v>
      </c>
      <c r="N771">
        <v>4.1059253030000002</v>
      </c>
      <c r="P771" t="s">
        <v>15</v>
      </c>
      <c r="Q771">
        <v>91.3</v>
      </c>
      <c r="R771" t="s">
        <v>13</v>
      </c>
      <c r="S771" t="s">
        <v>16</v>
      </c>
      <c r="T771" t="s">
        <v>16</v>
      </c>
      <c r="U771" s="34">
        <v>0</v>
      </c>
      <c r="V771" s="34">
        <v>7</v>
      </c>
      <c r="W771" s="25">
        <v>3.5</v>
      </c>
      <c r="X771" s="25">
        <v>7</v>
      </c>
      <c r="Y771">
        <v>1.0774796689999999</v>
      </c>
      <c r="Z771" t="s">
        <v>773</v>
      </c>
      <c r="AA771" t="s">
        <v>644</v>
      </c>
      <c r="AB771">
        <v>1</v>
      </c>
      <c r="AC771">
        <v>368</v>
      </c>
      <c r="AF771" t="s">
        <v>530</v>
      </c>
      <c r="AG771" s="32">
        <v>4879.11095531108</v>
      </c>
      <c r="AH771" s="32" t="s">
        <v>1962</v>
      </c>
      <c r="AI771" s="32" t="s">
        <v>1963</v>
      </c>
      <c r="AJ771" s="31" t="s">
        <v>3113</v>
      </c>
      <c r="AK771" s="31">
        <v>0.65759999999999996</v>
      </c>
      <c r="AL771" s="31">
        <v>3208.5033642125668</v>
      </c>
      <c r="AM771" s="31">
        <v>1670.6075910985141</v>
      </c>
      <c r="AN771" s="31">
        <v>14429.217029442501</v>
      </c>
      <c r="AO771" s="31">
        <v>7513.0229788338102</v>
      </c>
      <c r="AP771" s="31">
        <v>15.547187988812869</v>
      </c>
      <c r="AQ771" s="31">
        <v>8.095129512423247</v>
      </c>
      <c r="AR771" s="31">
        <v>0.1318241227762269</v>
      </c>
    </row>
    <row r="772" spans="1:44" hidden="1" x14ac:dyDescent="0.5">
      <c r="A772" s="31">
        <v>792</v>
      </c>
      <c r="B772" s="31">
        <v>55</v>
      </c>
      <c r="C772" s="225" t="s">
        <v>42</v>
      </c>
      <c r="D772" s="35">
        <v>-38.343200000000003</v>
      </c>
      <c r="E772" s="33">
        <v>144.7602</v>
      </c>
      <c r="F772">
        <v>2.0099999999999998</v>
      </c>
      <c r="G772">
        <f>F772*1609.344</f>
        <v>3234.7814399999997</v>
      </c>
      <c r="H772" s="32" t="s">
        <v>614</v>
      </c>
      <c r="I772">
        <v>12</v>
      </c>
      <c r="J772">
        <v>283.23676104265797</v>
      </c>
      <c r="K772" s="26">
        <v>2015</v>
      </c>
      <c r="L772" t="s">
        <v>40</v>
      </c>
      <c r="M772" s="32">
        <v>38</v>
      </c>
      <c r="N772">
        <v>4.1059253030000002</v>
      </c>
      <c r="P772" t="s">
        <v>15</v>
      </c>
      <c r="Q772">
        <v>91.3</v>
      </c>
      <c r="R772" t="s">
        <v>13</v>
      </c>
      <c r="S772" t="s">
        <v>16</v>
      </c>
      <c r="T772" t="s">
        <v>16</v>
      </c>
      <c r="U772" s="34">
        <v>0</v>
      </c>
      <c r="V772" s="34">
        <v>7</v>
      </c>
      <c r="W772" s="25">
        <v>3.5</v>
      </c>
      <c r="X772" s="25">
        <v>7</v>
      </c>
      <c r="Y772">
        <v>1.0774796689999999</v>
      </c>
      <c r="Z772" t="s">
        <v>773</v>
      </c>
      <c r="AA772" t="s">
        <v>644</v>
      </c>
      <c r="AB772">
        <v>1</v>
      </c>
      <c r="AC772">
        <v>229</v>
      </c>
      <c r="AF772" t="s">
        <v>530</v>
      </c>
      <c r="AG772" s="32">
        <v>3036.1858933865201</v>
      </c>
      <c r="AH772" s="32" t="s">
        <v>1960</v>
      </c>
      <c r="AI772" s="32" t="s">
        <v>1961</v>
      </c>
      <c r="AJ772" s="31" t="s">
        <v>3112</v>
      </c>
      <c r="AK772" s="31">
        <v>0.9214</v>
      </c>
      <c r="AL772" s="31">
        <v>2797.5416821663348</v>
      </c>
      <c r="AM772" s="31">
        <v>238.6442112201803</v>
      </c>
      <c r="AN772" s="31">
        <v>12581.048388832352</v>
      </c>
      <c r="AO772" s="31">
        <v>1073.2259641439373</v>
      </c>
      <c r="AP772" s="31">
        <v>13.555823853672065</v>
      </c>
      <c r="AQ772" s="31">
        <v>1.1563791566080153</v>
      </c>
      <c r="AR772" s="31">
        <v>0.1318241227762269</v>
      </c>
    </row>
    <row r="773" spans="1:44" hidden="1" x14ac:dyDescent="0.5">
      <c r="A773" s="31">
        <v>762</v>
      </c>
      <c r="B773" s="31">
        <v>55</v>
      </c>
      <c r="C773" s="225" t="s">
        <v>42</v>
      </c>
      <c r="D773" s="35">
        <v>-37.868899999999996</v>
      </c>
      <c r="E773" s="33">
        <v>144.88980000000001</v>
      </c>
      <c r="F773">
        <v>0.05</v>
      </c>
      <c r="G773">
        <f>F773*1609.344</f>
        <v>80.467200000000005</v>
      </c>
      <c r="H773" s="32" t="s">
        <v>614</v>
      </c>
      <c r="I773">
        <v>4.1500000000000004</v>
      </c>
      <c r="J773">
        <v>191.20715526665501</v>
      </c>
      <c r="K773" s="26">
        <v>2015</v>
      </c>
      <c r="L773" t="s">
        <v>40</v>
      </c>
      <c r="M773" s="32">
        <v>38</v>
      </c>
      <c r="N773">
        <v>4.1059253030000002</v>
      </c>
      <c r="P773" t="s">
        <v>15</v>
      </c>
      <c r="Q773">
        <v>91.3</v>
      </c>
      <c r="R773" t="s">
        <v>13</v>
      </c>
      <c r="S773" t="s">
        <v>16</v>
      </c>
      <c r="T773" t="s">
        <v>16</v>
      </c>
      <c r="U773" s="34">
        <v>0</v>
      </c>
      <c r="V773" s="34">
        <v>7</v>
      </c>
      <c r="W773" s="25">
        <v>3.5</v>
      </c>
      <c r="X773" s="25">
        <v>7</v>
      </c>
      <c r="Y773">
        <v>1.0774796689999999</v>
      </c>
      <c r="Z773" t="s">
        <v>773</v>
      </c>
      <c r="AA773" t="s">
        <v>644</v>
      </c>
      <c r="AB773">
        <v>1</v>
      </c>
      <c r="AC773">
        <v>314</v>
      </c>
      <c r="AF773" t="s">
        <v>530</v>
      </c>
      <c r="AG773" s="32">
        <v>4163.1544564339101</v>
      </c>
      <c r="AH773" s="32" t="s">
        <v>1902</v>
      </c>
      <c r="AI773" s="32" t="s">
        <v>1903</v>
      </c>
      <c r="AJ773" s="31" t="s">
        <v>3083</v>
      </c>
      <c r="AK773" s="31">
        <v>0.19109999999999999</v>
      </c>
      <c r="AL773" s="31">
        <v>795.57881662452053</v>
      </c>
      <c r="AM773" s="31">
        <v>3367.5756398093913</v>
      </c>
      <c r="AN773" s="31">
        <v>3577.8611103060421</v>
      </c>
      <c r="AO773" s="31">
        <v>15144.593679364507</v>
      </c>
      <c r="AP773" s="31">
        <v>3.8550726048605264</v>
      </c>
      <c r="AQ773" s="31">
        <v>16.31799178478116</v>
      </c>
      <c r="AR773" s="31">
        <v>0.1328649969827374</v>
      </c>
    </row>
    <row r="774" spans="1:44" hidden="1" x14ac:dyDescent="0.5">
      <c r="A774" s="31">
        <v>753</v>
      </c>
      <c r="B774" s="31">
        <v>55</v>
      </c>
      <c r="C774" s="225" t="s">
        <v>42</v>
      </c>
      <c r="D774" s="35">
        <v>-37.9193</v>
      </c>
      <c r="E774" s="33">
        <v>144.97739999999999</v>
      </c>
      <c r="F774">
        <v>0.51</v>
      </c>
      <c r="G774">
        <f>F774*1609.344</f>
        <v>820.76544000000001</v>
      </c>
      <c r="H774" s="32" t="s">
        <v>614</v>
      </c>
      <c r="I774">
        <v>3.38</v>
      </c>
      <c r="J774">
        <v>196.489320871769</v>
      </c>
      <c r="K774" s="26">
        <v>2015</v>
      </c>
      <c r="L774" t="s">
        <v>40</v>
      </c>
      <c r="M774" s="32">
        <v>38</v>
      </c>
      <c r="N774">
        <v>4.1059253030000002</v>
      </c>
      <c r="P774" t="s">
        <v>15</v>
      </c>
      <c r="Q774">
        <v>91.3</v>
      </c>
      <c r="R774" t="s">
        <v>13</v>
      </c>
      <c r="S774" t="s">
        <v>16</v>
      </c>
      <c r="T774" t="s">
        <v>16</v>
      </c>
      <c r="U774" s="34">
        <v>0</v>
      </c>
      <c r="V774" s="34">
        <v>7</v>
      </c>
      <c r="W774" s="25">
        <v>3.5</v>
      </c>
      <c r="X774" s="25">
        <v>7</v>
      </c>
      <c r="Y774">
        <v>1.0774796689999999</v>
      </c>
      <c r="Z774" t="s">
        <v>773</v>
      </c>
      <c r="AA774" t="s">
        <v>644</v>
      </c>
      <c r="AB774">
        <v>1</v>
      </c>
      <c r="AC774">
        <v>207</v>
      </c>
      <c r="AF774" t="s">
        <v>530</v>
      </c>
      <c r="AG774" s="32">
        <v>2744.4999123624798</v>
      </c>
      <c r="AH774" s="32" t="s">
        <v>1884</v>
      </c>
      <c r="AI774" s="32" t="s">
        <v>1885</v>
      </c>
      <c r="AJ774" s="31" t="s">
        <v>3074</v>
      </c>
      <c r="AK774" s="31">
        <v>0.85019999999999996</v>
      </c>
      <c r="AL774" s="31">
        <v>2333.3738254905829</v>
      </c>
      <c r="AM774" s="31">
        <v>411.12608687190004</v>
      </c>
      <c r="AN774" s="31">
        <v>10493.602005958041</v>
      </c>
      <c r="AO774" s="31">
        <v>1848.9079986973827</v>
      </c>
      <c r="AP774" s="31">
        <v>11.306642815997405</v>
      </c>
      <c r="AQ774" s="31">
        <v>1.9921607784479081</v>
      </c>
      <c r="AR774" s="31">
        <v>0.13296753704425382</v>
      </c>
    </row>
    <row r="775" spans="1:44" hidden="1" x14ac:dyDescent="0.5">
      <c r="A775" s="31">
        <v>768</v>
      </c>
      <c r="B775" s="31">
        <v>55</v>
      </c>
      <c r="C775" s="225" t="s">
        <v>42</v>
      </c>
      <c r="D775" s="35">
        <v>-37.994399999999999</v>
      </c>
      <c r="E775" s="33">
        <v>145.02590000000001</v>
      </c>
      <c r="F775">
        <v>1.42</v>
      </c>
      <c r="G775">
        <f>F775*1609.344</f>
        <v>2285.2684800000002</v>
      </c>
      <c r="H775" s="32" t="s">
        <v>614</v>
      </c>
      <c r="I775">
        <v>5.13</v>
      </c>
      <c r="J775">
        <v>206.17438615574699</v>
      </c>
      <c r="K775" s="26">
        <v>2015</v>
      </c>
      <c r="L775" t="s">
        <v>40</v>
      </c>
      <c r="M775" s="32">
        <v>38</v>
      </c>
      <c r="N775">
        <v>4.1059253030000002</v>
      </c>
      <c r="P775" t="s">
        <v>15</v>
      </c>
      <c r="Q775">
        <v>91.3</v>
      </c>
      <c r="R775" t="s">
        <v>13</v>
      </c>
      <c r="S775" t="s">
        <v>16</v>
      </c>
      <c r="T775" t="s">
        <v>16</v>
      </c>
      <c r="U775" s="34">
        <v>0</v>
      </c>
      <c r="V775" s="34">
        <v>7</v>
      </c>
      <c r="W775" s="25">
        <v>3.5</v>
      </c>
      <c r="X775" s="25">
        <v>7</v>
      </c>
      <c r="Y775">
        <v>1.0774796689999999</v>
      </c>
      <c r="Z775" t="s">
        <v>773</v>
      </c>
      <c r="AA775" t="s">
        <v>644</v>
      </c>
      <c r="AB775">
        <v>1</v>
      </c>
      <c r="AC775">
        <v>196</v>
      </c>
      <c r="AF775" t="s">
        <v>530</v>
      </c>
      <c r="AG775" s="32">
        <v>2598.6569218504701</v>
      </c>
      <c r="AH775" s="32" t="s">
        <v>1913</v>
      </c>
      <c r="AI775" s="32" t="s">
        <v>1914</v>
      </c>
      <c r="AJ775" s="31" t="s">
        <v>3089</v>
      </c>
      <c r="AK775" s="31">
        <v>0.93369999999999997</v>
      </c>
      <c r="AL775" s="31">
        <v>2426.3659679317811</v>
      </c>
      <c r="AM775" s="31">
        <v>172.29095391868623</v>
      </c>
      <c r="AN775" s="31">
        <v>10911.804405333172</v>
      </c>
      <c r="AO775" s="31">
        <v>774.82342516181916</v>
      </c>
      <c r="AP775" s="31">
        <v>11.757247398851126</v>
      </c>
      <c r="AQ775" s="31">
        <v>0.83485648767680309</v>
      </c>
      <c r="AR775" s="31">
        <v>0.13273460580716051</v>
      </c>
    </row>
    <row r="776" spans="1:44" hidden="1" x14ac:dyDescent="0.5">
      <c r="A776" s="31">
        <v>782</v>
      </c>
      <c r="B776" s="31">
        <v>55</v>
      </c>
      <c r="C776" s="225" t="s">
        <v>42</v>
      </c>
      <c r="D776" s="35">
        <v>-38.212800000000001</v>
      </c>
      <c r="E776" s="33">
        <v>145.03059999999999</v>
      </c>
      <c r="F776">
        <v>1.76</v>
      </c>
      <c r="G776">
        <f>F776*1609.344</f>
        <v>2832.44544</v>
      </c>
      <c r="H776" s="32" t="s">
        <v>614</v>
      </c>
      <c r="I776">
        <v>8</v>
      </c>
      <c r="J776">
        <v>246.31693974953001</v>
      </c>
      <c r="K776" s="26">
        <v>2015</v>
      </c>
      <c r="L776" t="s">
        <v>40</v>
      </c>
      <c r="M776" s="32">
        <v>38</v>
      </c>
      <c r="N776">
        <v>4.1059253030000002</v>
      </c>
      <c r="P776" t="s">
        <v>15</v>
      </c>
      <c r="Q776">
        <v>91.3</v>
      </c>
      <c r="R776" t="s">
        <v>13</v>
      </c>
      <c r="S776" t="s">
        <v>16</v>
      </c>
      <c r="T776" t="s">
        <v>16</v>
      </c>
      <c r="U776" s="34">
        <v>0</v>
      </c>
      <c r="V776" s="34">
        <v>7</v>
      </c>
      <c r="W776" s="25">
        <v>3.5</v>
      </c>
      <c r="X776" s="25">
        <v>7</v>
      </c>
      <c r="Y776">
        <v>1.0774796689999999</v>
      </c>
      <c r="Z776" t="s">
        <v>773</v>
      </c>
      <c r="AA776" t="s">
        <v>644</v>
      </c>
      <c r="AB776">
        <v>1</v>
      </c>
      <c r="AC776">
        <v>159</v>
      </c>
      <c r="AF776" t="s">
        <v>530</v>
      </c>
      <c r="AG776" s="32">
        <v>2108.0941355827799</v>
      </c>
      <c r="AH776" s="32" t="s">
        <v>1940</v>
      </c>
      <c r="AI776" s="32" t="s">
        <v>1941</v>
      </c>
      <c r="AJ776" s="31" t="s">
        <v>3102</v>
      </c>
      <c r="AK776" s="31">
        <v>0.88049999999999995</v>
      </c>
      <c r="AL776" s="31">
        <v>1856.1768863806349</v>
      </c>
      <c r="AM776" s="31">
        <v>251.91724920214187</v>
      </c>
      <c r="AN776" s="31">
        <v>8347.5614946703226</v>
      </c>
      <c r="AO776" s="31">
        <v>1132.9172045577557</v>
      </c>
      <c r="AP776" s="31">
        <v>8.9943277962345238</v>
      </c>
      <c r="AQ776" s="31">
        <v>1.2206952545712957</v>
      </c>
      <c r="AR776" s="31">
        <v>0.13235348158759747</v>
      </c>
    </row>
    <row r="777" spans="1:44" hidden="1" x14ac:dyDescent="0.5">
      <c r="A777" s="31">
        <v>790</v>
      </c>
      <c r="B777" s="31">
        <v>55</v>
      </c>
      <c r="C777" s="225" t="s">
        <v>42</v>
      </c>
      <c r="D777" s="35">
        <v>-43.292000000000002</v>
      </c>
      <c r="E777" s="33">
        <v>147.13810000000001</v>
      </c>
      <c r="F777">
        <v>0.03</v>
      </c>
      <c r="G777">
        <f>F777*1609.344</f>
        <v>48.280320000000003</v>
      </c>
      <c r="H777" s="32" t="s">
        <v>614</v>
      </c>
      <c r="I777">
        <v>10.75</v>
      </c>
      <c r="J777">
        <v>19.953033688780501</v>
      </c>
      <c r="K777" s="26">
        <v>2015</v>
      </c>
      <c r="L777" t="s">
        <v>40</v>
      </c>
      <c r="M777" s="32">
        <v>38</v>
      </c>
      <c r="N777">
        <v>4.1059253030000002</v>
      </c>
      <c r="P777" t="s">
        <v>15</v>
      </c>
      <c r="Q777">
        <v>91.3</v>
      </c>
      <c r="R777" t="s">
        <v>13</v>
      </c>
      <c r="S777" t="s">
        <v>16</v>
      </c>
      <c r="T777" t="s">
        <v>16</v>
      </c>
      <c r="U777" s="34">
        <v>0</v>
      </c>
      <c r="V777" s="34">
        <v>7</v>
      </c>
      <c r="W777" s="25">
        <v>3.5</v>
      </c>
      <c r="X777" s="25">
        <v>7</v>
      </c>
      <c r="Y777">
        <v>1.0774796689999999</v>
      </c>
      <c r="Z777" t="s">
        <v>773</v>
      </c>
      <c r="AA777" t="s">
        <v>644</v>
      </c>
      <c r="AB777">
        <v>1</v>
      </c>
      <c r="AC777">
        <v>112</v>
      </c>
      <c r="AF777" t="s">
        <v>530</v>
      </c>
      <c r="AG777" s="32">
        <v>1484.94681248598</v>
      </c>
      <c r="AH777" s="32" t="s">
        <v>1956</v>
      </c>
      <c r="AI777" s="32" t="s">
        <v>1957</v>
      </c>
      <c r="AJ777" s="31" t="s">
        <v>3110</v>
      </c>
      <c r="AK777" s="31">
        <v>0.95540000000000003</v>
      </c>
      <c r="AL777" s="31">
        <v>1418.7181846491067</v>
      </c>
      <c r="AM777" s="31">
        <v>66.228627836874693</v>
      </c>
      <c r="AN777" s="31">
        <v>6380.2309881456677</v>
      </c>
      <c r="AO777" s="31">
        <v>297.84205785147202</v>
      </c>
      <c r="AP777" s="31">
        <v>6.8745691732507366</v>
      </c>
      <c r="AQ777" s="31">
        <v>0.32091876190808288</v>
      </c>
      <c r="AR777" s="31">
        <v>0.13198931957070292</v>
      </c>
    </row>
    <row r="778" spans="1:44" hidden="1" x14ac:dyDescent="0.5">
      <c r="A778" s="31">
        <v>788</v>
      </c>
      <c r="B778" s="31">
        <v>55</v>
      </c>
      <c r="C778" s="225" t="s">
        <v>42</v>
      </c>
      <c r="D778" s="35">
        <v>-43.282699999999998</v>
      </c>
      <c r="E778" s="33">
        <v>147.1643</v>
      </c>
      <c r="F778">
        <v>0.35</v>
      </c>
      <c r="G778">
        <f>F778*1609.344</f>
        <v>563.2704</v>
      </c>
      <c r="H778" s="32" t="s">
        <v>614</v>
      </c>
      <c r="I778">
        <v>10</v>
      </c>
      <c r="J778">
        <v>20.041432400634999</v>
      </c>
      <c r="K778" s="26">
        <v>2015</v>
      </c>
      <c r="L778" t="s">
        <v>40</v>
      </c>
      <c r="M778" s="32">
        <v>38</v>
      </c>
      <c r="N778">
        <v>4.1059253030000002</v>
      </c>
      <c r="P778" t="s">
        <v>15</v>
      </c>
      <c r="Q778">
        <v>91.3</v>
      </c>
      <c r="R778" t="s">
        <v>13</v>
      </c>
      <c r="S778" t="s">
        <v>16</v>
      </c>
      <c r="T778" t="s">
        <v>16</v>
      </c>
      <c r="U778" s="34">
        <v>0</v>
      </c>
      <c r="V778" s="34">
        <v>7</v>
      </c>
      <c r="W778" s="25">
        <v>3.5</v>
      </c>
      <c r="X778" s="25">
        <v>7</v>
      </c>
      <c r="Y778">
        <v>1.0774796689999999</v>
      </c>
      <c r="Z778" t="s">
        <v>773</v>
      </c>
      <c r="AA778" t="s">
        <v>644</v>
      </c>
      <c r="AB778">
        <v>1</v>
      </c>
      <c r="AC778">
        <v>104</v>
      </c>
      <c r="AF778" t="s">
        <v>530</v>
      </c>
      <c r="AG778" s="32">
        <v>1378.8791830227001</v>
      </c>
      <c r="AH778" s="32" t="s">
        <v>1952</v>
      </c>
      <c r="AI778" s="32" t="s">
        <v>1953</v>
      </c>
      <c r="AJ778" s="31" t="s">
        <v>3108</v>
      </c>
      <c r="AK778" s="31">
        <v>0.87849999999999995</v>
      </c>
      <c r="AL778" s="31">
        <v>1211.3453622854393</v>
      </c>
      <c r="AM778" s="31">
        <v>167.53382073725766</v>
      </c>
      <c r="AN778" s="31">
        <v>5447.6380872721666</v>
      </c>
      <c r="AO778" s="31">
        <v>753.42974115374852</v>
      </c>
      <c r="AP778" s="31">
        <v>5.8697192831058072</v>
      </c>
      <c r="AQ778" s="31">
        <v>0.81180522811309652</v>
      </c>
      <c r="AR778" s="31">
        <v>0.13208853699948581</v>
      </c>
    </row>
    <row r="779" spans="1:44" hidden="1" x14ac:dyDescent="0.5">
      <c r="A779" s="31">
        <v>764</v>
      </c>
      <c r="B779" s="31">
        <v>55</v>
      </c>
      <c r="C779" s="225" t="s">
        <v>42</v>
      </c>
      <c r="D779" s="35">
        <v>-43.140036000000002</v>
      </c>
      <c r="E779" s="33">
        <v>147.29521700000001</v>
      </c>
      <c r="F779">
        <v>0</v>
      </c>
      <c r="G779">
        <f>F779*1609.344</f>
        <v>0</v>
      </c>
      <c r="H779" s="32" t="s">
        <v>614</v>
      </c>
      <c r="I779">
        <v>5</v>
      </c>
      <c r="J779">
        <v>18.8004111334999</v>
      </c>
      <c r="K779" s="26">
        <v>2015</v>
      </c>
      <c r="L779" t="s">
        <v>40</v>
      </c>
      <c r="M779" s="32">
        <v>38</v>
      </c>
      <c r="N779">
        <v>4.1059253030000002</v>
      </c>
      <c r="P779" t="s">
        <v>15</v>
      </c>
      <c r="Q779">
        <v>91.3</v>
      </c>
      <c r="R779" t="s">
        <v>13</v>
      </c>
      <c r="S779" t="s">
        <v>16</v>
      </c>
      <c r="T779" t="s">
        <v>16</v>
      </c>
      <c r="U779" s="34">
        <v>0</v>
      </c>
      <c r="V779" s="34">
        <v>7</v>
      </c>
      <c r="W779" s="25">
        <v>3.5</v>
      </c>
      <c r="X779" s="25">
        <v>7</v>
      </c>
      <c r="Y779">
        <v>1.0774796689999999</v>
      </c>
      <c r="Z779" t="s">
        <v>773</v>
      </c>
      <c r="AA779" t="s">
        <v>644</v>
      </c>
      <c r="AB779">
        <v>1</v>
      </c>
      <c r="AC779">
        <v>90</v>
      </c>
      <c r="AF779" t="s">
        <v>530</v>
      </c>
      <c r="AG779" s="32">
        <v>1193.2608314619499</v>
      </c>
      <c r="AH779" s="32" t="s">
        <v>1594</v>
      </c>
      <c r="AI779" s="32" t="s">
        <v>1906</v>
      </c>
      <c r="AJ779" s="31" t="s">
        <v>3085</v>
      </c>
      <c r="AK779" s="31">
        <v>0.9</v>
      </c>
      <c r="AL779" s="31">
        <v>1073.9347483157544</v>
      </c>
      <c r="AM779" s="31">
        <v>119.32608314619483</v>
      </c>
      <c r="AN779" s="31">
        <v>4829.6778279086457</v>
      </c>
      <c r="AO779" s="31">
        <v>536.63086976762679</v>
      </c>
      <c r="AP779" s="31">
        <v>5.2038796673916465</v>
      </c>
      <c r="AQ779" s="31">
        <v>0.57820885193240457</v>
      </c>
      <c r="AR779" s="31">
        <v>0.13275189523153463</v>
      </c>
    </row>
    <row r="780" spans="1:44" hidden="1" x14ac:dyDescent="0.5">
      <c r="A780" s="31">
        <v>755</v>
      </c>
      <c r="B780" s="31">
        <v>55</v>
      </c>
      <c r="C780" s="225" t="s">
        <v>42</v>
      </c>
      <c r="D780" s="35">
        <v>-43.089225999999996</v>
      </c>
      <c r="E780" s="33">
        <v>147.30115900000001</v>
      </c>
      <c r="F780">
        <v>0.03</v>
      </c>
      <c r="G780">
        <f>F780*1609.344</f>
        <v>48.280320000000003</v>
      </c>
      <c r="H780" s="32" t="s">
        <v>614</v>
      </c>
      <c r="I780">
        <v>3.5</v>
      </c>
      <c r="J780">
        <v>18.028768516352599</v>
      </c>
      <c r="K780" s="26">
        <v>2015</v>
      </c>
      <c r="L780" t="s">
        <v>40</v>
      </c>
      <c r="M780" s="32">
        <v>38</v>
      </c>
      <c r="N780">
        <v>4.1059253030000002</v>
      </c>
      <c r="P780" t="s">
        <v>15</v>
      </c>
      <c r="Q780">
        <v>91.3</v>
      </c>
      <c r="R780" t="s">
        <v>13</v>
      </c>
      <c r="S780" t="s">
        <v>16</v>
      </c>
      <c r="T780" t="s">
        <v>16</v>
      </c>
      <c r="U780" s="34">
        <v>0</v>
      </c>
      <c r="V780" s="34">
        <v>7</v>
      </c>
      <c r="W780" s="25">
        <v>3.5</v>
      </c>
      <c r="X780" s="25">
        <v>7</v>
      </c>
      <c r="Y780">
        <v>1.0774796689999999</v>
      </c>
      <c r="Z780" t="s">
        <v>773</v>
      </c>
      <c r="AA780" t="s">
        <v>644</v>
      </c>
      <c r="AB780">
        <v>1</v>
      </c>
      <c r="AC780">
        <v>177</v>
      </c>
      <c r="AF780" t="s">
        <v>530</v>
      </c>
      <c r="AG780" s="32">
        <v>2346.74630187517</v>
      </c>
      <c r="AH780" s="32" t="s">
        <v>1888</v>
      </c>
      <c r="AI780" s="32" t="s">
        <v>1889</v>
      </c>
      <c r="AJ780" s="31" t="s">
        <v>3076</v>
      </c>
      <c r="AK780" s="31">
        <v>0.80789999999999995</v>
      </c>
      <c r="AL780" s="31">
        <v>1895.9363372849473</v>
      </c>
      <c r="AM780" s="31">
        <v>450.80996459021958</v>
      </c>
      <c r="AN780" s="31">
        <v>8526.3669004768981</v>
      </c>
      <c r="AO780" s="31">
        <v>2027.3735382864365</v>
      </c>
      <c r="AP780" s="31">
        <v>9.1869869856984039</v>
      </c>
      <c r="AQ780" s="31">
        <v>2.1844537689722285</v>
      </c>
      <c r="AR780" s="31">
        <v>0.13295155157100644</v>
      </c>
    </row>
    <row r="781" spans="1:44" hidden="1" x14ac:dyDescent="0.5">
      <c r="A781" s="31">
        <v>769</v>
      </c>
      <c r="B781" s="31">
        <v>55</v>
      </c>
      <c r="C781" s="225" t="s">
        <v>42</v>
      </c>
      <c r="D781" s="35">
        <v>-42.830599999999997</v>
      </c>
      <c r="E781" s="33">
        <v>147.327</v>
      </c>
      <c r="F781">
        <v>0</v>
      </c>
      <c r="G781">
        <f>F781*1609.344</f>
        <v>0</v>
      </c>
      <c r="H781" s="32" t="s">
        <v>614</v>
      </c>
      <c r="I781">
        <v>5.5</v>
      </c>
      <c r="J781">
        <v>15.141784864124</v>
      </c>
      <c r="K781" s="26">
        <v>2015</v>
      </c>
      <c r="L781" t="s">
        <v>40</v>
      </c>
      <c r="M781" s="32">
        <v>38</v>
      </c>
      <c r="N781">
        <v>4.1059253030000002</v>
      </c>
      <c r="P781" t="s">
        <v>15</v>
      </c>
      <c r="Q781">
        <v>91.3</v>
      </c>
      <c r="R781" t="s">
        <v>13</v>
      </c>
      <c r="S781" t="s">
        <v>16</v>
      </c>
      <c r="T781" t="s">
        <v>16</v>
      </c>
      <c r="U781" s="34">
        <v>0</v>
      </c>
      <c r="V781" s="34">
        <v>7</v>
      </c>
      <c r="W781" s="25">
        <v>3.5</v>
      </c>
      <c r="X781" s="25">
        <v>7</v>
      </c>
      <c r="Y781">
        <v>1.0774796689999999</v>
      </c>
      <c r="Z781" t="s">
        <v>773</v>
      </c>
      <c r="AA781" t="s">
        <v>644</v>
      </c>
      <c r="AB781">
        <v>1</v>
      </c>
      <c r="AC781">
        <v>77</v>
      </c>
      <c r="AF781" t="s">
        <v>530</v>
      </c>
      <c r="AG781" s="32">
        <v>1020.90093358411</v>
      </c>
      <c r="AH781" s="32" t="s">
        <v>1915</v>
      </c>
      <c r="AI781" s="32" t="s">
        <v>1916</v>
      </c>
      <c r="AJ781" s="31" t="s">
        <v>3090</v>
      </c>
      <c r="AK781" s="31">
        <v>0.94810000000000005</v>
      </c>
      <c r="AL781" s="31">
        <v>967.91617513109679</v>
      </c>
      <c r="AM781" s="31">
        <v>52.984758453015388</v>
      </c>
      <c r="AN781" s="31">
        <v>4352.8932252505474</v>
      </c>
      <c r="AO781" s="31">
        <v>238.28199387248526</v>
      </c>
      <c r="AP781" s="31">
        <v>4.6901539515353017</v>
      </c>
      <c r="AQ781" s="31">
        <v>0.25674400388638541</v>
      </c>
      <c r="AR781" s="31">
        <v>0.13268540976916446</v>
      </c>
    </row>
    <row r="782" spans="1:44" hidden="1" x14ac:dyDescent="0.5">
      <c r="A782" s="31">
        <v>774</v>
      </c>
      <c r="B782" s="31">
        <v>55</v>
      </c>
      <c r="C782" s="225" t="s">
        <v>42</v>
      </c>
      <c r="D782" s="35">
        <v>-43.0595</v>
      </c>
      <c r="E782" s="33">
        <v>147.32980000000001</v>
      </c>
      <c r="F782">
        <v>0.6</v>
      </c>
      <c r="G782">
        <f>F782*1609.344</f>
        <v>965.60640000000001</v>
      </c>
      <c r="H782" s="32" t="s">
        <v>614</v>
      </c>
      <c r="I782">
        <v>5.75</v>
      </c>
      <c r="J782">
        <v>17.911938394368701</v>
      </c>
      <c r="K782" s="26">
        <v>2015</v>
      </c>
      <c r="L782" t="s">
        <v>40</v>
      </c>
      <c r="M782" s="32">
        <v>38</v>
      </c>
      <c r="N782">
        <v>4.1059253030000002</v>
      </c>
      <c r="P782" t="s">
        <v>15</v>
      </c>
      <c r="Q782">
        <v>91.3</v>
      </c>
      <c r="R782" t="s">
        <v>13</v>
      </c>
      <c r="S782" t="s">
        <v>16</v>
      </c>
      <c r="T782" t="s">
        <v>16</v>
      </c>
      <c r="U782" s="34">
        <v>0</v>
      </c>
      <c r="V782" s="34">
        <v>7</v>
      </c>
      <c r="W782" s="25">
        <v>3.5</v>
      </c>
      <c r="X782" s="25">
        <v>7</v>
      </c>
      <c r="Y782">
        <v>1.0774796689999999</v>
      </c>
      <c r="Z782" t="s">
        <v>773</v>
      </c>
      <c r="AA782" t="s">
        <v>644</v>
      </c>
      <c r="AB782">
        <v>1</v>
      </c>
      <c r="AC782">
        <v>111</v>
      </c>
      <c r="AF782" t="s">
        <v>530</v>
      </c>
      <c r="AG782" s="32">
        <v>1471.6883588030701</v>
      </c>
      <c r="AH782" s="32" t="s">
        <v>1925</v>
      </c>
      <c r="AI782" s="32" t="s">
        <v>1926</v>
      </c>
      <c r="AJ782" s="31" t="s">
        <v>3094</v>
      </c>
      <c r="AK782" s="31">
        <v>0.88290000000000002</v>
      </c>
      <c r="AL782" s="31">
        <v>1299.3536519872312</v>
      </c>
      <c r="AM782" s="31">
        <v>172.33470681583958</v>
      </c>
      <c r="AN782" s="31">
        <v>5843.4272039866692</v>
      </c>
      <c r="AO782" s="31">
        <v>775.02018981406616</v>
      </c>
      <c r="AP782" s="31">
        <v>6.2961740095771512</v>
      </c>
      <c r="AQ782" s="31">
        <v>0.83506849758917712</v>
      </c>
      <c r="AR782" s="31">
        <v>0.13265217952561392</v>
      </c>
    </row>
    <row r="783" spans="1:44" hidden="1" x14ac:dyDescent="0.5">
      <c r="A783" s="31">
        <v>765</v>
      </c>
      <c r="B783" s="31">
        <v>55</v>
      </c>
      <c r="C783" s="225" t="s">
        <v>42</v>
      </c>
      <c r="D783" s="35">
        <v>-43.012799999999999</v>
      </c>
      <c r="E783" s="33">
        <v>147.3322</v>
      </c>
      <c r="F783">
        <v>0.05</v>
      </c>
      <c r="G783">
        <f>F783*1609.344</f>
        <v>80.467200000000005</v>
      </c>
      <c r="H783" s="32" t="s">
        <v>614</v>
      </c>
      <c r="I783">
        <v>5</v>
      </c>
      <c r="J783">
        <v>17.250635905086899</v>
      </c>
      <c r="K783" s="26">
        <v>2015</v>
      </c>
      <c r="L783" t="s">
        <v>40</v>
      </c>
      <c r="M783" s="32">
        <v>38</v>
      </c>
      <c r="N783">
        <v>4.1059253030000002</v>
      </c>
      <c r="P783" t="s">
        <v>15</v>
      </c>
      <c r="Q783">
        <v>91.3</v>
      </c>
      <c r="R783" t="s">
        <v>13</v>
      </c>
      <c r="S783" t="s">
        <v>16</v>
      </c>
      <c r="T783" t="s">
        <v>16</v>
      </c>
      <c r="U783" s="34">
        <v>0</v>
      </c>
      <c r="V783" s="34">
        <v>7</v>
      </c>
      <c r="W783" s="25">
        <v>3.5</v>
      </c>
      <c r="X783" s="25">
        <v>7</v>
      </c>
      <c r="Y783">
        <v>1.0774796689999999</v>
      </c>
      <c r="Z783" t="s">
        <v>773</v>
      </c>
      <c r="AA783" t="s">
        <v>644</v>
      </c>
      <c r="AB783">
        <v>1</v>
      </c>
      <c r="AC783">
        <v>153</v>
      </c>
      <c r="AF783" t="s">
        <v>530</v>
      </c>
      <c r="AG783" s="32">
        <v>2028.5434134853101</v>
      </c>
      <c r="AH783" s="32" t="s">
        <v>1907</v>
      </c>
      <c r="AI783" s="32" t="s">
        <v>1908</v>
      </c>
      <c r="AJ783" s="31" t="s">
        <v>3086</v>
      </c>
      <c r="AK783" s="31">
        <v>0.83009999999999995</v>
      </c>
      <c r="AL783" s="31">
        <v>1683.8938875341587</v>
      </c>
      <c r="AM783" s="31">
        <v>344.64952595115483</v>
      </c>
      <c r="AN783" s="31">
        <v>7572.7738448998234</v>
      </c>
      <c r="AO783" s="31">
        <v>1549.9509411498377</v>
      </c>
      <c r="AP783" s="31">
        <v>8.1595098558145178</v>
      </c>
      <c r="AQ783" s="31">
        <v>1.6700406270363655</v>
      </c>
      <c r="AR783" s="31">
        <v>0.13275189523153463</v>
      </c>
    </row>
    <row r="784" spans="1:44" hidden="1" x14ac:dyDescent="0.5">
      <c r="A784" s="31">
        <v>756</v>
      </c>
      <c r="B784" s="31">
        <v>55</v>
      </c>
      <c r="C784" s="225" t="s">
        <v>42</v>
      </c>
      <c r="D784" s="35">
        <v>-42.905299999999997</v>
      </c>
      <c r="E784" s="33">
        <v>147.345</v>
      </c>
      <c r="F784">
        <v>0.13</v>
      </c>
      <c r="G784">
        <f>F784*1609.344</f>
        <v>209.21472</v>
      </c>
      <c r="H784" s="32" t="s">
        <v>614</v>
      </c>
      <c r="I784">
        <v>3.5</v>
      </c>
      <c r="J784">
        <v>16.077014604062501</v>
      </c>
      <c r="K784" s="26">
        <v>2015</v>
      </c>
      <c r="L784" t="s">
        <v>40</v>
      </c>
      <c r="M784" s="32">
        <v>38</v>
      </c>
      <c r="N784">
        <v>4.1059253030000002</v>
      </c>
      <c r="P784" t="s">
        <v>15</v>
      </c>
      <c r="Q784">
        <v>91.3</v>
      </c>
      <c r="R784" t="s">
        <v>13</v>
      </c>
      <c r="S784" t="s">
        <v>16</v>
      </c>
      <c r="T784" t="s">
        <v>16</v>
      </c>
      <c r="U784" s="34">
        <v>0</v>
      </c>
      <c r="V784" s="34">
        <v>7</v>
      </c>
      <c r="W784" s="25">
        <v>3.5</v>
      </c>
      <c r="X784" s="25">
        <v>7</v>
      </c>
      <c r="Y784">
        <v>1.0774796689999999</v>
      </c>
      <c r="Z784" t="s">
        <v>773</v>
      </c>
      <c r="AA784" t="s">
        <v>644</v>
      </c>
      <c r="AB784">
        <v>1</v>
      </c>
      <c r="AC784">
        <v>69</v>
      </c>
      <c r="AF784" t="s">
        <v>530</v>
      </c>
      <c r="AG784" s="32">
        <v>914.83330412082796</v>
      </c>
      <c r="AH784" s="32" t="s">
        <v>1890</v>
      </c>
      <c r="AI784" s="32" t="s">
        <v>1891</v>
      </c>
      <c r="AJ784" s="31" t="s">
        <v>3077</v>
      </c>
      <c r="AK784" s="31">
        <v>0.78259999999999996</v>
      </c>
      <c r="AL784" s="31">
        <v>715.94854380495974</v>
      </c>
      <c r="AM784" s="31">
        <v>198.88476031586799</v>
      </c>
      <c r="AN784" s="31">
        <v>3219.7494432144454</v>
      </c>
      <c r="AO784" s="31">
        <v>894.42055833736345</v>
      </c>
      <c r="AP784" s="31">
        <v>3.4692145643376344</v>
      </c>
      <c r="AQ784" s="31">
        <v>0.96371996714413743</v>
      </c>
      <c r="AR784" s="31">
        <v>0.13295155157100644</v>
      </c>
    </row>
    <row r="785" spans="1:44" hidden="1" x14ac:dyDescent="0.5">
      <c r="A785" s="31">
        <v>752</v>
      </c>
      <c r="B785" s="31">
        <v>55</v>
      </c>
      <c r="C785" s="225" t="s">
        <v>42</v>
      </c>
      <c r="D785" s="35">
        <v>-42.860999999999997</v>
      </c>
      <c r="E785" s="33">
        <v>147.3493</v>
      </c>
      <c r="F785">
        <v>0.06</v>
      </c>
      <c r="G785">
        <f>F785*1609.344</f>
        <v>96.560640000000006</v>
      </c>
      <c r="H785" s="32" t="s">
        <v>614</v>
      </c>
      <c r="I785">
        <v>3</v>
      </c>
      <c r="J785">
        <v>15.6659059697785</v>
      </c>
      <c r="K785" s="26">
        <v>2015</v>
      </c>
      <c r="L785" t="s">
        <v>40</v>
      </c>
      <c r="M785" s="32">
        <v>38</v>
      </c>
      <c r="N785">
        <v>4.1059253030000002</v>
      </c>
      <c r="P785" t="s">
        <v>15</v>
      </c>
      <c r="Q785">
        <v>91.3</v>
      </c>
      <c r="R785" t="s">
        <v>13</v>
      </c>
      <c r="S785" t="s">
        <v>16</v>
      </c>
      <c r="T785" t="s">
        <v>16</v>
      </c>
      <c r="U785" s="34">
        <v>0</v>
      </c>
      <c r="V785" s="34">
        <v>7</v>
      </c>
      <c r="W785" s="25">
        <v>3.5</v>
      </c>
      <c r="X785" s="25">
        <v>7</v>
      </c>
      <c r="Y785">
        <v>1.0774796689999999</v>
      </c>
      <c r="Z785" t="s">
        <v>773</v>
      </c>
      <c r="AA785" t="s">
        <v>644</v>
      </c>
      <c r="AB785">
        <v>1</v>
      </c>
      <c r="AC785">
        <v>304</v>
      </c>
      <c r="AF785" t="s">
        <v>530</v>
      </c>
      <c r="AG785" s="32">
        <v>4030.5699196048099</v>
      </c>
      <c r="AH785" s="32" t="s">
        <v>1882</v>
      </c>
      <c r="AI785" s="32" t="s">
        <v>1883</v>
      </c>
      <c r="AJ785" s="31" t="s">
        <v>3073</v>
      </c>
      <c r="AK785" s="31">
        <v>0.91779999999999995</v>
      </c>
      <c r="AL785" s="31">
        <v>3699.25707221329</v>
      </c>
      <c r="AM785" s="31">
        <v>331.31284739151533</v>
      </c>
      <c r="AN785" s="31">
        <v>16636.224770101038</v>
      </c>
      <c r="AO785" s="31">
        <v>1489.973497605477</v>
      </c>
      <c r="AP785" s="31">
        <v>17.925193958698067</v>
      </c>
      <c r="AQ785" s="31">
        <v>1.6054161510187215</v>
      </c>
      <c r="AR785" s="31">
        <v>0.13301817039062197</v>
      </c>
    </row>
    <row r="786" spans="1:44" hidden="1" x14ac:dyDescent="0.5">
      <c r="A786" s="31">
        <v>766</v>
      </c>
      <c r="B786" s="31">
        <v>55</v>
      </c>
      <c r="C786" s="225" t="s">
        <v>42</v>
      </c>
      <c r="D786" s="35">
        <v>-42.951700000000002</v>
      </c>
      <c r="E786" s="33">
        <v>147.35740000000001</v>
      </c>
      <c r="F786">
        <v>0.83</v>
      </c>
      <c r="G786">
        <f>F786*1609.344</f>
        <v>1335.7555199999999</v>
      </c>
      <c r="H786" s="32" t="s">
        <v>614</v>
      </c>
      <c r="I786">
        <v>5</v>
      </c>
      <c r="J786">
        <v>16.7429588169827</v>
      </c>
      <c r="K786" s="26">
        <v>2015</v>
      </c>
      <c r="L786" t="s">
        <v>40</v>
      </c>
      <c r="M786" s="32">
        <v>38</v>
      </c>
      <c r="N786">
        <v>4.1059253030000002</v>
      </c>
      <c r="P786" t="s">
        <v>15</v>
      </c>
      <c r="Q786">
        <v>91.3</v>
      </c>
      <c r="R786" t="s">
        <v>13</v>
      </c>
      <c r="S786" t="s">
        <v>16</v>
      </c>
      <c r="T786" t="s">
        <v>16</v>
      </c>
      <c r="U786" s="34">
        <v>0</v>
      </c>
      <c r="V786" s="34">
        <v>7</v>
      </c>
      <c r="W786" s="25">
        <v>3.5</v>
      </c>
      <c r="X786" s="25">
        <v>7</v>
      </c>
      <c r="Y786">
        <v>1.0774796689999999</v>
      </c>
      <c r="Z786" t="s">
        <v>773</v>
      </c>
      <c r="AA786" t="s">
        <v>644</v>
      </c>
      <c r="AB786">
        <v>1</v>
      </c>
      <c r="AC786">
        <v>150</v>
      </c>
      <c r="AF786" t="s">
        <v>530</v>
      </c>
      <c r="AG786" s="32">
        <v>1988.7680524365801</v>
      </c>
      <c r="AH786" s="32" t="s">
        <v>1909</v>
      </c>
      <c r="AI786" s="32" t="s">
        <v>1910</v>
      </c>
      <c r="AJ786" s="31" t="s">
        <v>3087</v>
      </c>
      <c r="AK786" s="31">
        <v>0.95330000000000004</v>
      </c>
      <c r="AL786" s="31">
        <v>1895.8925843877937</v>
      </c>
      <c r="AM786" s="31">
        <v>92.875468048788207</v>
      </c>
      <c r="AN786" s="31">
        <v>8526.1701358246501</v>
      </c>
      <c r="AO786" s="31">
        <v>417.67769363580243</v>
      </c>
      <c r="AP786" s="31">
        <v>9.1867749757860278</v>
      </c>
      <c r="AQ786" s="31">
        <v>0.45003922308738775</v>
      </c>
      <c r="AR786" s="31">
        <v>0.13275189523153463</v>
      </c>
    </row>
    <row r="787" spans="1:44" hidden="1" x14ac:dyDescent="0.5">
      <c r="A787" s="31">
        <v>784</v>
      </c>
      <c r="B787" s="31">
        <v>55</v>
      </c>
      <c r="C787" s="225" t="s">
        <v>42</v>
      </c>
      <c r="D787" s="35">
        <v>-42.582799999999999</v>
      </c>
      <c r="E787" s="33">
        <v>147.91650000000001</v>
      </c>
      <c r="F787">
        <v>0.1</v>
      </c>
      <c r="G787">
        <f>F787*1609.344</f>
        <v>160.93440000000001</v>
      </c>
      <c r="H787" s="32" t="s">
        <v>614</v>
      </c>
      <c r="I787">
        <v>9</v>
      </c>
      <c r="J787">
        <v>20.228177886400399</v>
      </c>
      <c r="K787" s="26">
        <v>2015</v>
      </c>
      <c r="L787" t="s">
        <v>40</v>
      </c>
      <c r="M787" s="32">
        <v>38</v>
      </c>
      <c r="N787">
        <v>4.1059253030000002</v>
      </c>
      <c r="P787" t="s">
        <v>15</v>
      </c>
      <c r="Q787">
        <v>91.3</v>
      </c>
      <c r="R787" t="s">
        <v>13</v>
      </c>
      <c r="S787" t="s">
        <v>16</v>
      </c>
      <c r="T787" t="s">
        <v>16</v>
      </c>
      <c r="U787" s="34">
        <v>0</v>
      </c>
      <c r="V787" s="34">
        <v>7</v>
      </c>
      <c r="W787" s="25">
        <v>3.5</v>
      </c>
      <c r="X787" s="25">
        <v>7</v>
      </c>
      <c r="Y787">
        <v>1.0774796689999999</v>
      </c>
      <c r="Z787" t="s">
        <v>773</v>
      </c>
      <c r="AA787" t="s">
        <v>644</v>
      </c>
      <c r="AB787">
        <v>1</v>
      </c>
      <c r="AC787">
        <v>226</v>
      </c>
      <c r="AF787" t="s">
        <v>530</v>
      </c>
      <c r="AG787" s="32">
        <v>2996.4105323377798</v>
      </c>
      <c r="AH787" s="32" t="s">
        <v>1944</v>
      </c>
      <c r="AI787" s="32" t="s">
        <v>1945</v>
      </c>
      <c r="AJ787" s="31" t="s">
        <v>3104</v>
      </c>
      <c r="AK787" s="31">
        <v>0.96460000000000001</v>
      </c>
      <c r="AL787" s="31">
        <v>2890.3375994930261</v>
      </c>
      <c r="AM787" s="31">
        <v>106.07293284475736</v>
      </c>
      <c r="AN787" s="31">
        <v>12998.36832855498</v>
      </c>
      <c r="AO787" s="31">
        <v>477.02906783210193</v>
      </c>
      <c r="AP787" s="31">
        <v>14.005477604191501</v>
      </c>
      <c r="AQ787" s="31">
        <v>0.5139891221111117</v>
      </c>
      <c r="AR787" s="31">
        <v>0.13222094293149678</v>
      </c>
    </row>
    <row r="788" spans="1:44" hidden="1" x14ac:dyDescent="0.5">
      <c r="A788" s="31">
        <v>770</v>
      </c>
      <c r="B788" s="31">
        <v>55</v>
      </c>
      <c r="C788" s="225" t="s">
        <v>42</v>
      </c>
      <c r="D788" s="35">
        <v>-42.551699999999997</v>
      </c>
      <c r="E788" s="33">
        <v>147.94579999999999</v>
      </c>
      <c r="F788">
        <v>0.3</v>
      </c>
      <c r="G788">
        <f>F788*1609.344</f>
        <v>482.8032</v>
      </c>
      <c r="H788" s="32" t="s">
        <v>614</v>
      </c>
      <c r="I788">
        <v>5.5</v>
      </c>
      <c r="J788">
        <v>20.191801160542699</v>
      </c>
      <c r="K788" s="26">
        <v>2015</v>
      </c>
      <c r="L788" t="s">
        <v>40</v>
      </c>
      <c r="M788" s="32">
        <v>38</v>
      </c>
      <c r="N788">
        <v>4.1059253030000002</v>
      </c>
      <c r="P788" t="s">
        <v>15</v>
      </c>
      <c r="Q788">
        <v>91.3</v>
      </c>
      <c r="R788" t="s">
        <v>13</v>
      </c>
      <c r="S788" t="s">
        <v>16</v>
      </c>
      <c r="T788" t="s">
        <v>16</v>
      </c>
      <c r="U788" s="34">
        <v>0</v>
      </c>
      <c r="V788" s="34">
        <v>7</v>
      </c>
      <c r="W788" s="25">
        <v>3.5</v>
      </c>
      <c r="X788" s="25">
        <v>7</v>
      </c>
      <c r="Y788">
        <v>1.0774796689999999</v>
      </c>
      <c r="Z788" t="s">
        <v>773</v>
      </c>
      <c r="AA788" t="s">
        <v>644</v>
      </c>
      <c r="AB788">
        <v>1</v>
      </c>
      <c r="AC788">
        <v>63</v>
      </c>
      <c r="AF788" t="s">
        <v>530</v>
      </c>
      <c r="AG788" s="32">
        <v>835.28258202336497</v>
      </c>
      <c r="AH788" s="32" t="s">
        <v>1917</v>
      </c>
      <c r="AI788" s="32" t="s">
        <v>1918</v>
      </c>
      <c r="AJ788" s="31" t="s">
        <v>3091</v>
      </c>
      <c r="AK788" s="31">
        <v>0.92059999999999997</v>
      </c>
      <c r="AL788" s="31">
        <v>768.9611450107094</v>
      </c>
      <c r="AM788" s="31">
        <v>66.32143701265511</v>
      </c>
      <c r="AN788" s="31">
        <v>3458.1566509565432</v>
      </c>
      <c r="AO788" s="31">
        <v>298.25943741684705</v>
      </c>
      <c r="AP788" s="31">
        <v>3.7260934836228041</v>
      </c>
      <c r="AQ788" s="31">
        <v>0.32136847990403056</v>
      </c>
      <c r="AR788" s="31">
        <v>0.13268540976916446</v>
      </c>
    </row>
    <row r="789" spans="1:44" hidden="1" x14ac:dyDescent="0.5">
      <c r="A789" s="31">
        <v>789</v>
      </c>
      <c r="B789" s="31">
        <v>55</v>
      </c>
      <c r="C789" s="225" t="s">
        <v>42</v>
      </c>
      <c r="D789" s="35">
        <v>-42.578499999999998</v>
      </c>
      <c r="E789" s="33">
        <v>148.06200000000001</v>
      </c>
      <c r="F789">
        <v>0.37</v>
      </c>
      <c r="G789">
        <f>F789*1609.344</f>
        <v>595.45727999999997</v>
      </c>
      <c r="H789" s="32" t="s">
        <v>614</v>
      </c>
      <c r="I789">
        <v>10</v>
      </c>
      <c r="J789">
        <v>22.507269660917402</v>
      </c>
      <c r="K789" s="26">
        <v>2015</v>
      </c>
      <c r="L789" t="s">
        <v>40</v>
      </c>
      <c r="M789" s="32">
        <v>38</v>
      </c>
      <c r="N789">
        <v>4.1059253030000002</v>
      </c>
      <c r="P789" t="s">
        <v>15</v>
      </c>
      <c r="Q789">
        <v>91.3</v>
      </c>
      <c r="R789" t="s">
        <v>13</v>
      </c>
      <c r="S789" t="s">
        <v>16</v>
      </c>
      <c r="T789" t="s">
        <v>16</v>
      </c>
      <c r="U789" s="34">
        <v>0</v>
      </c>
      <c r="V789" s="34">
        <v>7</v>
      </c>
      <c r="W789" s="25">
        <v>3.5</v>
      </c>
      <c r="X789" s="25">
        <v>7</v>
      </c>
      <c r="Y789">
        <v>1.0774796689999999</v>
      </c>
      <c r="Z789" t="s">
        <v>773</v>
      </c>
      <c r="AA789" t="s">
        <v>644</v>
      </c>
      <c r="AB789">
        <v>1</v>
      </c>
      <c r="AC789">
        <v>334</v>
      </c>
      <c r="AF789" t="s">
        <v>530</v>
      </c>
      <c r="AG789" s="32">
        <v>4428.3235300921197</v>
      </c>
      <c r="AH789" s="32" t="s">
        <v>1954</v>
      </c>
      <c r="AI789" s="32" t="s">
        <v>1955</v>
      </c>
      <c r="AJ789" s="31" t="s">
        <v>3109</v>
      </c>
      <c r="AK789" s="31">
        <v>0.93110000000000004</v>
      </c>
      <c r="AL789" s="31">
        <v>4123.2120388687763</v>
      </c>
      <c r="AM789" s="31">
        <v>305.111491223347</v>
      </c>
      <c r="AN789" s="31">
        <v>18542.826549863668</v>
      </c>
      <c r="AO789" s="31">
        <v>1372.141283734943</v>
      </c>
      <c r="AP789" s="31">
        <v>19.979518613271516</v>
      </c>
      <c r="AQ789" s="31">
        <v>1.4784543362199616</v>
      </c>
      <c r="AR789" s="31">
        <v>0.13208853699948581</v>
      </c>
    </row>
    <row r="790" spans="1:44" hidden="1" x14ac:dyDescent="0.5">
      <c r="A790" s="31">
        <v>785</v>
      </c>
      <c r="B790" s="31">
        <v>55</v>
      </c>
      <c r="C790" s="225" t="s">
        <v>42</v>
      </c>
      <c r="D790" s="35">
        <v>-41.870899999999999</v>
      </c>
      <c r="E790" s="33">
        <v>148.3015</v>
      </c>
      <c r="F790">
        <v>0.09</v>
      </c>
      <c r="G790">
        <f>F790*1609.344</f>
        <v>144.84096</v>
      </c>
      <c r="H790" s="32" t="s">
        <v>614</v>
      </c>
      <c r="I790">
        <v>9.25</v>
      </c>
      <c r="J790">
        <v>1.56055990002404</v>
      </c>
      <c r="K790" s="26">
        <v>2015</v>
      </c>
      <c r="L790" t="s">
        <v>40</v>
      </c>
      <c r="M790" s="32">
        <v>38</v>
      </c>
      <c r="N790">
        <v>4.1059253030000002</v>
      </c>
      <c r="P790" t="s">
        <v>15</v>
      </c>
      <c r="Q790">
        <v>91.3</v>
      </c>
      <c r="R790" t="s">
        <v>13</v>
      </c>
      <c r="S790" t="s">
        <v>16</v>
      </c>
      <c r="T790" t="s">
        <v>16</v>
      </c>
      <c r="U790" s="34">
        <v>0</v>
      </c>
      <c r="V790" s="34">
        <v>7</v>
      </c>
      <c r="W790" s="25">
        <v>3.5</v>
      </c>
      <c r="X790" s="25">
        <v>7</v>
      </c>
      <c r="Y790">
        <v>1.0774796689999999</v>
      </c>
      <c r="Z790" t="s">
        <v>773</v>
      </c>
      <c r="AA790" t="s">
        <v>644</v>
      </c>
      <c r="AB790">
        <v>1</v>
      </c>
      <c r="AC790">
        <v>274</v>
      </c>
      <c r="AF790" t="s">
        <v>530</v>
      </c>
      <c r="AG790" s="32">
        <v>3632.8163091174902</v>
      </c>
      <c r="AH790" s="32" t="s">
        <v>1946</v>
      </c>
      <c r="AI790" s="32" t="s">
        <v>1947</v>
      </c>
      <c r="AJ790" s="31" t="s">
        <v>3105</v>
      </c>
      <c r="AK790" s="31">
        <v>0.81389999999999996</v>
      </c>
      <c r="AL790" s="31">
        <v>2956.7491939907245</v>
      </c>
      <c r="AM790" s="31">
        <v>676.0671151267652</v>
      </c>
      <c r="AN790" s="31">
        <v>13297.03322040676</v>
      </c>
      <c r="AO790" s="31">
        <v>3040.3954814076665</v>
      </c>
      <c r="AP790" s="31">
        <v>14.327282953005879</v>
      </c>
      <c r="AQ790" s="31">
        <v>3.2759643169362276</v>
      </c>
      <c r="AR790" s="31">
        <v>0.1321878290108047</v>
      </c>
    </row>
    <row r="791" spans="1:44" hidden="1" x14ac:dyDescent="0.5">
      <c r="A791" s="31">
        <v>786</v>
      </c>
      <c r="B791" s="31">
        <v>55</v>
      </c>
      <c r="C791" s="225" t="s">
        <v>42</v>
      </c>
      <c r="D791" s="35">
        <v>-41.873699999999999</v>
      </c>
      <c r="E791" s="33">
        <v>148.3109</v>
      </c>
      <c r="F791">
        <v>0</v>
      </c>
      <c r="G791">
        <f>F791*1609.344</f>
        <v>0</v>
      </c>
      <c r="H791" s="32" t="s">
        <v>614</v>
      </c>
      <c r="I791">
        <v>9.5</v>
      </c>
      <c r="J791">
        <v>1.57010367431729</v>
      </c>
      <c r="K791" s="26">
        <v>2015</v>
      </c>
      <c r="L791" t="s">
        <v>40</v>
      </c>
      <c r="M791" s="32">
        <v>38</v>
      </c>
      <c r="N791">
        <v>4.1059253030000002</v>
      </c>
      <c r="P791" t="s">
        <v>15</v>
      </c>
      <c r="Q791">
        <v>91.3</v>
      </c>
      <c r="R791" t="s">
        <v>13</v>
      </c>
      <c r="S791" t="s">
        <v>16</v>
      </c>
      <c r="T791" t="s">
        <v>16</v>
      </c>
      <c r="U791" s="34">
        <v>0</v>
      </c>
      <c r="V791" s="34">
        <v>7</v>
      </c>
      <c r="W791" s="25">
        <v>3.5</v>
      </c>
      <c r="X791" s="25">
        <v>7</v>
      </c>
      <c r="Y791">
        <v>1.0774796689999999</v>
      </c>
      <c r="Z791" t="s">
        <v>773</v>
      </c>
      <c r="AA791" t="s">
        <v>644</v>
      </c>
      <c r="AB791">
        <v>1</v>
      </c>
      <c r="AC791">
        <v>189</v>
      </c>
      <c r="AF791" t="s">
        <v>530</v>
      </c>
      <c r="AG791" s="32">
        <v>2505.8477460700901</v>
      </c>
      <c r="AH791" s="32" t="s">
        <v>1948</v>
      </c>
      <c r="AI791" s="32" t="s">
        <v>1949</v>
      </c>
      <c r="AJ791" s="31" t="s">
        <v>3106</v>
      </c>
      <c r="AK791" s="31">
        <v>0.78839999999999999</v>
      </c>
      <c r="AL791" s="31">
        <v>1975.6103630016614</v>
      </c>
      <c r="AM791" s="31">
        <v>530.23738306843188</v>
      </c>
      <c r="AN791" s="31">
        <v>8884.6753322207423</v>
      </c>
      <c r="AO791" s="31">
        <v>2384.5729328994289</v>
      </c>
      <c r="AP791" s="31">
        <v>9.5730570361336706</v>
      </c>
      <c r="AQ791" s="31">
        <v>2.5693288544468356</v>
      </c>
      <c r="AR791" s="31">
        <v>0.13215472338329007</v>
      </c>
    </row>
    <row r="792" spans="1:44" hidden="1" x14ac:dyDescent="0.5">
      <c r="A792" s="31">
        <v>791</v>
      </c>
      <c r="B792" s="31">
        <v>55</v>
      </c>
      <c r="C792" s="225" t="s">
        <v>42</v>
      </c>
      <c r="D792" s="35">
        <v>-41.874600000000001</v>
      </c>
      <c r="E792" s="33">
        <v>148.31190000000001</v>
      </c>
      <c r="F792">
        <v>0.02</v>
      </c>
      <c r="G792">
        <f>F792*1609.344</f>
        <v>32.186880000000002</v>
      </c>
      <c r="H792" s="32" t="s">
        <v>614</v>
      </c>
      <c r="I792">
        <v>11</v>
      </c>
      <c r="J792">
        <v>1.5712145032129201</v>
      </c>
      <c r="K792" s="26">
        <v>2015</v>
      </c>
      <c r="L792" t="s">
        <v>40</v>
      </c>
      <c r="M792" s="32">
        <v>38</v>
      </c>
      <c r="N792">
        <v>4.1059253030000002</v>
      </c>
      <c r="P792" t="s">
        <v>15</v>
      </c>
      <c r="Q792">
        <v>91.3</v>
      </c>
      <c r="R792" t="s">
        <v>13</v>
      </c>
      <c r="S792" t="s">
        <v>16</v>
      </c>
      <c r="T792" t="s">
        <v>16</v>
      </c>
      <c r="U792" s="34">
        <v>0</v>
      </c>
      <c r="V792" s="34">
        <v>7</v>
      </c>
      <c r="W792" s="25">
        <v>3.5</v>
      </c>
      <c r="X792" s="25">
        <v>7</v>
      </c>
      <c r="Y792">
        <v>1.0774796689999999</v>
      </c>
      <c r="Z792" t="s">
        <v>773</v>
      </c>
      <c r="AA792" t="s">
        <v>644</v>
      </c>
      <c r="AB792">
        <v>1</v>
      </c>
      <c r="AC792">
        <v>827</v>
      </c>
      <c r="AF792" t="s">
        <v>530</v>
      </c>
      <c r="AG792" s="32">
        <v>10964.741195766999</v>
      </c>
      <c r="AH792" s="32" t="s">
        <v>1958</v>
      </c>
      <c r="AI792" s="32" t="s">
        <v>1959</v>
      </c>
      <c r="AJ792" s="31" t="s">
        <v>3111</v>
      </c>
      <c r="AK792" s="31">
        <v>0.96650000000000003</v>
      </c>
      <c r="AL792" s="31">
        <v>10597.422365708828</v>
      </c>
      <c r="AM792" s="31">
        <v>367.31883005819509</v>
      </c>
      <c r="AN792" s="31">
        <v>47658.515485150056</v>
      </c>
      <c r="AO792" s="31">
        <v>1651.8988812752468</v>
      </c>
      <c r="AP792" s="31">
        <v>51.351081489970852</v>
      </c>
      <c r="AQ792" s="31">
        <v>1.7798874598179231</v>
      </c>
      <c r="AR792" s="31">
        <v>0.13195626365865479</v>
      </c>
    </row>
    <row r="793" spans="1:44" hidden="1" x14ac:dyDescent="0.5">
      <c r="A793" s="31">
        <v>759</v>
      </c>
      <c r="B793" s="31">
        <v>55</v>
      </c>
      <c r="C793" s="225" t="s">
        <v>42</v>
      </c>
      <c r="D793" s="44">
        <v>-37.076300000000003</v>
      </c>
      <c r="E793" s="45">
        <v>149.90889999999999</v>
      </c>
      <c r="F793">
        <v>0.09</v>
      </c>
      <c r="G793">
        <f>F793*1609.344</f>
        <v>144.84096</v>
      </c>
      <c r="H793" s="32" t="s">
        <v>614</v>
      </c>
      <c r="I793">
        <v>4</v>
      </c>
      <c r="J793">
        <v>3.7984973069897601</v>
      </c>
      <c r="K793" s="26">
        <v>2015</v>
      </c>
      <c r="L793" t="s">
        <v>40</v>
      </c>
      <c r="M793" s="32">
        <v>38</v>
      </c>
      <c r="N793">
        <v>4.1059253030000002</v>
      </c>
      <c r="P793" t="s">
        <v>15</v>
      </c>
      <c r="Q793">
        <v>91.3</v>
      </c>
      <c r="R793" t="s">
        <v>13</v>
      </c>
      <c r="S793" t="s">
        <v>16</v>
      </c>
      <c r="T793" t="s">
        <v>16</v>
      </c>
      <c r="U793" s="34">
        <v>0</v>
      </c>
      <c r="V793" s="34">
        <v>7</v>
      </c>
      <c r="W793" s="25">
        <v>3.5</v>
      </c>
      <c r="X793" s="25">
        <v>7</v>
      </c>
      <c r="Y793">
        <v>1.0774796689999999</v>
      </c>
      <c r="Z793" t="s">
        <v>773</v>
      </c>
      <c r="AA793" t="s">
        <v>644</v>
      </c>
      <c r="AB793">
        <v>1</v>
      </c>
      <c r="AC793">
        <v>134</v>
      </c>
      <c r="AF793" t="s">
        <v>530</v>
      </c>
      <c r="AG793" s="32">
        <v>1776.6327935100101</v>
      </c>
      <c r="AH793" s="32" t="s">
        <v>1896</v>
      </c>
      <c r="AI793" s="32" t="s">
        <v>1897</v>
      </c>
      <c r="AJ793" s="31" t="s">
        <v>3080</v>
      </c>
      <c r="AK793" s="31">
        <v>0.94030000000000002</v>
      </c>
      <c r="AL793" s="31">
        <v>1670.5678157374655</v>
      </c>
      <c r="AM793" s="31">
        <v>106.06497777254776</v>
      </c>
      <c r="AN793" s="31">
        <v>7512.844101877221</v>
      </c>
      <c r="AO793" s="31">
        <v>476.99329244078467</v>
      </c>
      <c r="AP793" s="31">
        <v>8.094936776139269</v>
      </c>
      <c r="AQ793" s="31">
        <v>0.51395057485431683</v>
      </c>
      <c r="AR793" s="31">
        <v>0.13288496611575845</v>
      </c>
    </row>
    <row r="794" spans="1:44" hidden="1" x14ac:dyDescent="0.5">
      <c r="A794" s="31">
        <v>758</v>
      </c>
      <c r="B794" s="31">
        <v>55</v>
      </c>
      <c r="C794" s="225" t="s">
        <v>42</v>
      </c>
      <c r="D794" s="44">
        <v>-37.108899999999998</v>
      </c>
      <c r="E794" s="45">
        <v>149.92359999999999</v>
      </c>
      <c r="F794">
        <v>0.1</v>
      </c>
      <c r="G794">
        <f>F794*1609.344</f>
        <v>160.93440000000001</v>
      </c>
      <c r="H794" s="32" t="s">
        <v>614</v>
      </c>
      <c r="I794">
        <v>4</v>
      </c>
      <c r="J794">
        <v>3.9108162781769802</v>
      </c>
      <c r="K794" s="26">
        <v>2015</v>
      </c>
      <c r="L794" t="s">
        <v>40</v>
      </c>
      <c r="M794" s="32">
        <v>38</v>
      </c>
      <c r="N794">
        <v>4.1059253030000002</v>
      </c>
      <c r="P794" t="s">
        <v>15</v>
      </c>
      <c r="Q794">
        <v>91.3</v>
      </c>
      <c r="R794" t="s">
        <v>13</v>
      </c>
      <c r="S794" t="s">
        <v>16</v>
      </c>
      <c r="T794" t="s">
        <v>16</v>
      </c>
      <c r="U794" s="34">
        <v>0</v>
      </c>
      <c r="V794" s="34">
        <v>7</v>
      </c>
      <c r="W794" s="25">
        <v>3.5</v>
      </c>
      <c r="X794" s="25">
        <v>7</v>
      </c>
      <c r="Y794">
        <v>1.0774796689999999</v>
      </c>
      <c r="Z794" t="s">
        <v>773</v>
      </c>
      <c r="AA794" t="s">
        <v>644</v>
      </c>
      <c r="AB794">
        <v>1</v>
      </c>
      <c r="AC794">
        <v>291</v>
      </c>
      <c r="AF794" t="s">
        <v>530</v>
      </c>
      <c r="AG794" s="32">
        <v>3858.2100217269699</v>
      </c>
      <c r="AH794" s="32" t="s">
        <v>1894</v>
      </c>
      <c r="AI794" s="32" t="s">
        <v>1895</v>
      </c>
      <c r="AJ794" s="31" t="s">
        <v>3079</v>
      </c>
      <c r="AK794" s="31">
        <v>0.85909999999999997</v>
      </c>
      <c r="AL794" s="31">
        <v>3314.5882296656396</v>
      </c>
      <c r="AM794" s="31">
        <v>543.62179206132987</v>
      </c>
      <c r="AN794" s="31">
        <v>14906.299760361586</v>
      </c>
      <c r="AO794" s="31">
        <v>2444.7650287916967</v>
      </c>
      <c r="AP794" s="31">
        <v>16.061234931809178</v>
      </c>
      <c r="AQ794" s="31">
        <v>2.6341846140052527</v>
      </c>
      <c r="AR794" s="31">
        <v>0.13288496611575845</v>
      </c>
    </row>
    <row r="795" spans="1:44" hidden="1" x14ac:dyDescent="0.5">
      <c r="A795" s="31">
        <v>763</v>
      </c>
      <c r="B795" s="31">
        <v>55</v>
      </c>
      <c r="C795" s="225" t="s">
        <v>42</v>
      </c>
      <c r="D795" s="44">
        <v>-37.103200000000001</v>
      </c>
      <c r="E795" s="45">
        <v>149.9272</v>
      </c>
      <c r="F795">
        <v>0.06</v>
      </c>
      <c r="G795">
        <f>F795*1609.344</f>
        <v>96.560640000000006</v>
      </c>
      <c r="H795" s="32" t="s">
        <v>614</v>
      </c>
      <c r="I795">
        <v>4.75</v>
      </c>
      <c r="J795">
        <v>3.9161463415894202</v>
      </c>
      <c r="K795" s="26">
        <v>2015</v>
      </c>
      <c r="L795" t="s">
        <v>40</v>
      </c>
      <c r="M795" s="32">
        <v>38</v>
      </c>
      <c r="N795">
        <v>4.1059253030000002</v>
      </c>
      <c r="P795" t="s">
        <v>15</v>
      </c>
      <c r="Q795">
        <v>91.3</v>
      </c>
      <c r="R795" t="s">
        <v>13</v>
      </c>
      <c r="S795" t="s">
        <v>16</v>
      </c>
      <c r="T795" t="s">
        <v>16</v>
      </c>
      <c r="U795" s="34">
        <v>0</v>
      </c>
      <c r="V795" s="34">
        <v>7</v>
      </c>
      <c r="W795" s="25">
        <v>3.5</v>
      </c>
      <c r="X795" s="25">
        <v>7</v>
      </c>
      <c r="Y795">
        <v>1.0774796689999999</v>
      </c>
      <c r="Z795" t="s">
        <v>773</v>
      </c>
      <c r="AA795" t="s">
        <v>644</v>
      </c>
      <c r="AB795">
        <v>1</v>
      </c>
      <c r="AC795">
        <v>67</v>
      </c>
      <c r="AF795" t="s">
        <v>530</v>
      </c>
      <c r="AG795" s="32">
        <v>888.31639675500696</v>
      </c>
      <c r="AH795" s="32" t="s">
        <v>1904</v>
      </c>
      <c r="AI795" s="32" t="s">
        <v>1905</v>
      </c>
      <c r="AJ795" s="31" t="s">
        <v>3084</v>
      </c>
      <c r="AK795" s="31">
        <v>0.70150000000000001</v>
      </c>
      <c r="AL795" s="31">
        <v>623.1539523236371</v>
      </c>
      <c r="AM795" s="31">
        <v>265.16244443136952</v>
      </c>
      <c r="AN795" s="31">
        <v>2802.4354660570398</v>
      </c>
      <c r="AO795" s="31">
        <v>1192.4832311019625</v>
      </c>
      <c r="AP795" s="31">
        <v>3.0195672383609997</v>
      </c>
      <c r="AQ795" s="31">
        <v>1.2848764371357928</v>
      </c>
      <c r="AR795" s="31">
        <v>0.13278515045452541</v>
      </c>
    </row>
    <row r="796" spans="1:44" hidden="1" x14ac:dyDescent="0.5">
      <c r="A796" s="31">
        <v>760</v>
      </c>
      <c r="B796" s="31">
        <v>55</v>
      </c>
      <c r="C796" s="225" t="s">
        <v>42</v>
      </c>
      <c r="D796" s="44">
        <v>-35.073999999999998</v>
      </c>
      <c r="E796" s="45">
        <v>150.69800000000001</v>
      </c>
      <c r="F796">
        <v>0.15</v>
      </c>
      <c r="G796">
        <f>F796*1609.344</f>
        <v>241.4016</v>
      </c>
      <c r="H796" s="32" t="s">
        <v>614</v>
      </c>
      <c r="I796">
        <v>4</v>
      </c>
      <c r="J796">
        <v>39.988074774762701</v>
      </c>
      <c r="K796" s="26">
        <v>2015</v>
      </c>
      <c r="L796" t="s">
        <v>40</v>
      </c>
      <c r="M796" s="32">
        <v>38</v>
      </c>
      <c r="N796">
        <v>4.1059253030000002</v>
      </c>
      <c r="P796" t="s">
        <v>15</v>
      </c>
      <c r="Q796">
        <v>91.3</v>
      </c>
      <c r="R796" t="s">
        <v>13</v>
      </c>
      <c r="S796" t="s">
        <v>16</v>
      </c>
      <c r="T796" t="s">
        <v>16</v>
      </c>
      <c r="U796" s="34">
        <v>0</v>
      </c>
      <c r="V796" s="34">
        <v>7</v>
      </c>
      <c r="W796" s="25">
        <v>3.5</v>
      </c>
      <c r="X796" s="25">
        <v>7</v>
      </c>
      <c r="Y796">
        <v>1.0774796689999999</v>
      </c>
      <c r="Z796" t="s">
        <v>773</v>
      </c>
      <c r="AA796" t="s">
        <v>644</v>
      </c>
      <c r="AB796">
        <v>1</v>
      </c>
      <c r="AC796">
        <v>320</v>
      </c>
      <c r="AF796" t="s">
        <v>530</v>
      </c>
      <c r="AG796" s="32">
        <v>4242.7051785313697</v>
      </c>
      <c r="AH796" s="32" t="s">
        <v>1898</v>
      </c>
      <c r="AI796" s="32" t="s">
        <v>1899</v>
      </c>
      <c r="AJ796" s="31" t="s">
        <v>3081</v>
      </c>
      <c r="AK796" s="31">
        <v>0.87809999999999999</v>
      </c>
      <c r="AL796" s="31">
        <v>3725.5194172683996</v>
      </c>
      <c r="AM796" s="31">
        <v>517.18576126297467</v>
      </c>
      <c r="AN796" s="31">
        <v>16754.331261971674</v>
      </c>
      <c r="AO796" s="31">
        <v>2325.8774408772892</v>
      </c>
      <c r="AP796" s="31">
        <v>18.052451302465592</v>
      </c>
      <c r="AQ796" s="31">
        <v>2.5060856551310282</v>
      </c>
      <c r="AR796" s="31">
        <v>0.13288496611575845</v>
      </c>
    </row>
    <row r="797" spans="1:44" hidden="1" x14ac:dyDescent="0.5">
      <c r="A797" s="31">
        <v>767</v>
      </c>
      <c r="B797" s="31">
        <v>55</v>
      </c>
      <c r="C797" s="225" t="s">
        <v>42</v>
      </c>
      <c r="D797" s="44">
        <v>-35.120600000000003</v>
      </c>
      <c r="E797" s="45">
        <v>150.76259999999999</v>
      </c>
      <c r="F797">
        <v>0.1</v>
      </c>
      <c r="G797">
        <f>F797*1609.344</f>
        <v>160.93440000000001</v>
      </c>
      <c r="H797" s="32" t="s">
        <v>614</v>
      </c>
      <c r="I797">
        <v>5</v>
      </c>
      <c r="J797">
        <v>42.303034711180899</v>
      </c>
      <c r="K797" s="26">
        <v>2015</v>
      </c>
      <c r="L797" t="s">
        <v>40</v>
      </c>
      <c r="M797" s="32">
        <v>38</v>
      </c>
      <c r="N797">
        <v>4.1059253030000002</v>
      </c>
      <c r="P797" t="s">
        <v>15</v>
      </c>
      <c r="Q797">
        <v>91.3</v>
      </c>
      <c r="R797" t="s">
        <v>13</v>
      </c>
      <c r="S797" t="s">
        <v>16</v>
      </c>
      <c r="T797" t="s">
        <v>16</v>
      </c>
      <c r="U797" s="34">
        <v>0</v>
      </c>
      <c r="V797" s="34">
        <v>7</v>
      </c>
      <c r="W797" s="25">
        <v>3.5</v>
      </c>
      <c r="X797" s="25">
        <v>7</v>
      </c>
      <c r="Y797">
        <v>1.0774796689999999</v>
      </c>
      <c r="Z797" t="s">
        <v>773</v>
      </c>
      <c r="AA797" t="s">
        <v>644</v>
      </c>
      <c r="AB797">
        <v>1</v>
      </c>
      <c r="AC797">
        <v>300</v>
      </c>
      <c r="AF797" t="s">
        <v>530</v>
      </c>
      <c r="AG797" s="32">
        <v>3977.5361048731602</v>
      </c>
      <c r="AH797" s="32" t="s">
        <v>1911</v>
      </c>
      <c r="AI797" s="32" t="s">
        <v>1912</v>
      </c>
      <c r="AJ797" s="31" t="s">
        <v>3088</v>
      </c>
      <c r="AK797" s="31">
        <v>0.99329999999999996</v>
      </c>
      <c r="AL797" s="31">
        <v>3950.8866129705134</v>
      </c>
      <c r="AM797" s="31">
        <v>26.649491902650425</v>
      </c>
      <c r="AN797" s="31">
        <v>17767.848098006136</v>
      </c>
      <c r="AO797" s="31">
        <v>119.84756091477109</v>
      </c>
      <c r="AP797" s="31">
        <v>19.144495087481932</v>
      </c>
      <c r="AQ797" s="31">
        <v>0.12913331026490488</v>
      </c>
      <c r="AR797" s="31">
        <v>0.13275189523153463</v>
      </c>
    </row>
    <row r="798" spans="1:44" hidden="1" x14ac:dyDescent="0.5">
      <c r="A798" s="31">
        <v>775</v>
      </c>
      <c r="B798" s="31">
        <v>55</v>
      </c>
      <c r="C798" s="225" t="s">
        <v>42</v>
      </c>
      <c r="D798" s="44">
        <v>-35.058999999999997</v>
      </c>
      <c r="E798" s="45">
        <v>150.77440000000001</v>
      </c>
      <c r="F798">
        <v>0.06</v>
      </c>
      <c r="G798">
        <f>F798*1609.344</f>
        <v>96.560640000000006</v>
      </c>
      <c r="H798" s="32" t="s">
        <v>614</v>
      </c>
      <c r="I798">
        <v>6</v>
      </c>
      <c r="J798">
        <v>46.039284391138601</v>
      </c>
      <c r="K798" s="26">
        <v>2015</v>
      </c>
      <c r="L798" t="s">
        <v>40</v>
      </c>
      <c r="M798" s="32">
        <v>38</v>
      </c>
      <c r="N798">
        <v>4.1059253030000002</v>
      </c>
      <c r="P798" t="s">
        <v>15</v>
      </c>
      <c r="Q798">
        <v>91.3</v>
      </c>
      <c r="R798" t="s">
        <v>13</v>
      </c>
      <c r="S798" t="s">
        <v>16</v>
      </c>
      <c r="T798" t="s">
        <v>16</v>
      </c>
      <c r="U798" s="34">
        <v>0</v>
      </c>
      <c r="V798" s="34">
        <v>7</v>
      </c>
      <c r="W798" s="25">
        <v>3.5</v>
      </c>
      <c r="X798" s="25">
        <v>7</v>
      </c>
      <c r="Y798">
        <v>1.0774796689999999</v>
      </c>
      <c r="Z798" t="s">
        <v>773</v>
      </c>
      <c r="AA798" t="s">
        <v>644</v>
      </c>
      <c r="AB798">
        <v>1</v>
      </c>
      <c r="AC798">
        <v>613</v>
      </c>
      <c r="AF798" t="s">
        <v>530</v>
      </c>
      <c r="AG798" s="32">
        <v>8127.4321076241704</v>
      </c>
      <c r="AH798" s="32" t="s">
        <v>1927</v>
      </c>
      <c r="AI798" s="32" t="s">
        <v>1928</v>
      </c>
      <c r="AJ798" s="31" t="s">
        <v>3095</v>
      </c>
      <c r="AK798" s="31">
        <v>0.96409999999999996</v>
      </c>
      <c r="AL798" s="31">
        <v>7835.6572949604579</v>
      </c>
      <c r="AM798" s="31">
        <v>291.77481266370796</v>
      </c>
      <c r="AN798" s="31">
        <v>35238.360956204466</v>
      </c>
      <c r="AO798" s="31">
        <v>1312.1638401905841</v>
      </c>
      <c r="AP798" s="31">
        <v>37.968617499193712</v>
      </c>
      <c r="AQ798" s="31">
        <v>1.4138298602023194</v>
      </c>
      <c r="AR798" s="31">
        <v>0.13261895760437328</v>
      </c>
    </row>
    <row r="799" spans="1:44" hidden="1" x14ac:dyDescent="0.5">
      <c r="A799" s="31">
        <v>761</v>
      </c>
      <c r="B799" s="31">
        <v>55</v>
      </c>
      <c r="C799" s="225" t="s">
        <v>42</v>
      </c>
      <c r="D799" s="35">
        <v>-33.8459</v>
      </c>
      <c r="E799" s="33">
        <v>151.19300000000001</v>
      </c>
      <c r="F799">
        <v>0.06</v>
      </c>
      <c r="G799">
        <f>F799*1609.344</f>
        <v>96.560640000000006</v>
      </c>
      <c r="H799" s="32" t="s">
        <v>614</v>
      </c>
      <c r="I799">
        <v>4</v>
      </c>
      <c r="J799">
        <v>309.334955850271</v>
      </c>
      <c r="K799" s="26">
        <v>2015</v>
      </c>
      <c r="L799" t="s">
        <v>40</v>
      </c>
      <c r="M799" s="32">
        <v>38</v>
      </c>
      <c r="N799">
        <v>4.1059253030000002</v>
      </c>
      <c r="P799" t="s">
        <v>15</v>
      </c>
      <c r="Q799">
        <v>91.3</v>
      </c>
      <c r="R799" t="s">
        <v>13</v>
      </c>
      <c r="S799" t="s">
        <v>16</v>
      </c>
      <c r="T799" t="s">
        <v>16</v>
      </c>
      <c r="U799" s="34">
        <v>0</v>
      </c>
      <c r="V799" s="34">
        <v>7</v>
      </c>
      <c r="W799" s="25">
        <v>3.5</v>
      </c>
      <c r="X799" s="25">
        <v>7</v>
      </c>
      <c r="Y799">
        <v>1.0774796689999999</v>
      </c>
      <c r="Z799" t="s">
        <v>773</v>
      </c>
      <c r="AA799" t="s">
        <v>644</v>
      </c>
      <c r="AB799">
        <v>1</v>
      </c>
      <c r="AC799">
        <v>239</v>
      </c>
      <c r="AF799" t="s">
        <v>530</v>
      </c>
      <c r="AG799" s="32">
        <v>3168.7704302156199</v>
      </c>
      <c r="AH799" s="32" t="s">
        <v>1900</v>
      </c>
      <c r="AI799" s="32" t="s">
        <v>1901</v>
      </c>
      <c r="AJ799" s="31" t="s">
        <v>3082</v>
      </c>
      <c r="AK799" s="31">
        <v>0.62760000000000005</v>
      </c>
      <c r="AL799" s="31">
        <v>1988.7203220033234</v>
      </c>
      <c r="AM799" s="31">
        <v>1180.0501082122969</v>
      </c>
      <c r="AN799" s="31">
        <v>8943.633177112546</v>
      </c>
      <c r="AO799" s="31">
        <v>5306.8976978277742</v>
      </c>
      <c r="AP799" s="31">
        <v>9.6365829153326423</v>
      </c>
      <c r="AQ799" s="31">
        <v>5.7180743748723319</v>
      </c>
      <c r="AR799" s="31">
        <v>0.13288496611575845</v>
      </c>
    </row>
    <row r="800" spans="1:44" hidden="1" x14ac:dyDescent="0.5">
      <c r="A800" s="31">
        <v>773</v>
      </c>
      <c r="B800" s="31">
        <v>55</v>
      </c>
      <c r="C800" s="225" t="s">
        <v>42</v>
      </c>
      <c r="D800" s="44">
        <v>-33.851900000000001</v>
      </c>
      <c r="E800" s="45">
        <v>151.2199</v>
      </c>
      <c r="F800">
        <v>0.02</v>
      </c>
      <c r="G800">
        <f>F800*1609.344</f>
        <v>32.186880000000002</v>
      </c>
      <c r="H800" s="32" t="s">
        <v>614</v>
      </c>
      <c r="I800">
        <v>5.5</v>
      </c>
      <c r="J800">
        <v>319.33492677981297</v>
      </c>
      <c r="K800" s="26">
        <v>2015</v>
      </c>
      <c r="L800" t="s">
        <v>40</v>
      </c>
      <c r="M800" s="32">
        <v>38</v>
      </c>
      <c r="N800">
        <v>4.1059253030000002</v>
      </c>
      <c r="P800" t="s">
        <v>15</v>
      </c>
      <c r="Q800">
        <v>91.3</v>
      </c>
      <c r="R800" t="s">
        <v>13</v>
      </c>
      <c r="S800" t="s">
        <v>16</v>
      </c>
      <c r="T800" t="s">
        <v>16</v>
      </c>
      <c r="U800" s="34">
        <v>0</v>
      </c>
      <c r="V800" s="34">
        <v>7</v>
      </c>
      <c r="W800" s="25">
        <v>3.5</v>
      </c>
      <c r="X800" s="25">
        <v>7</v>
      </c>
      <c r="Y800">
        <v>1.0774796689999999</v>
      </c>
      <c r="Z800" t="s">
        <v>773</v>
      </c>
      <c r="AA800" t="s">
        <v>644</v>
      </c>
      <c r="AB800">
        <v>1</v>
      </c>
      <c r="AC800">
        <v>40</v>
      </c>
      <c r="AF800" t="s">
        <v>530</v>
      </c>
      <c r="AG800" s="32">
        <v>530.33814731642201</v>
      </c>
      <c r="AH800" s="32" t="s">
        <v>1923</v>
      </c>
      <c r="AI800" s="32" t="s">
        <v>1924</v>
      </c>
      <c r="AJ800" s="31" t="s">
        <v>3085</v>
      </c>
      <c r="AK800" s="31">
        <v>0.77500000000000002</v>
      </c>
      <c r="AL800" s="31">
        <v>411.01206417022689</v>
      </c>
      <c r="AM800" s="31">
        <v>119.32608314619489</v>
      </c>
      <c r="AN800" s="31">
        <v>1848.3952180884935</v>
      </c>
      <c r="AO800" s="31">
        <v>536.63086976762702</v>
      </c>
      <c r="AP800" s="31">
        <v>1.9916082677671727</v>
      </c>
      <c r="AQ800" s="31">
        <v>0.57820885193240479</v>
      </c>
      <c r="AR800" s="31">
        <v>0.13268540976916446</v>
      </c>
    </row>
    <row r="801" spans="1:44" hidden="1" x14ac:dyDescent="0.5">
      <c r="A801" s="31">
        <v>800</v>
      </c>
      <c r="B801" s="31">
        <v>56</v>
      </c>
      <c r="C801" s="225" t="s">
        <v>43</v>
      </c>
      <c r="D801" s="39">
        <v>54.723191</v>
      </c>
      <c r="E801" s="40">
        <v>19.449437</v>
      </c>
      <c r="F801">
        <v>17.96</v>
      </c>
      <c r="G801">
        <f>F801*1609.344</f>
        <v>28903.818240000001</v>
      </c>
      <c r="H801" s="32" t="s">
        <v>614</v>
      </c>
      <c r="I801">
        <v>30</v>
      </c>
      <c r="J801">
        <v>193.77339190673999</v>
      </c>
      <c r="K801" s="26">
        <v>2015</v>
      </c>
      <c r="L801" t="s">
        <v>40</v>
      </c>
      <c r="M801" s="32">
        <v>174</v>
      </c>
      <c r="N801">
        <v>20.53530245</v>
      </c>
      <c r="P801" t="s">
        <v>23</v>
      </c>
      <c r="Q801">
        <v>90</v>
      </c>
      <c r="R801" t="s">
        <v>13</v>
      </c>
      <c r="S801" t="s">
        <v>16</v>
      </c>
      <c r="T801" t="s">
        <v>14</v>
      </c>
      <c r="U801" s="34">
        <v>0</v>
      </c>
      <c r="V801" s="34">
        <v>10</v>
      </c>
      <c r="W801" s="25">
        <v>5</v>
      </c>
      <c r="X801" s="25">
        <v>10</v>
      </c>
      <c r="Y801">
        <v>0.54424737099999998</v>
      </c>
      <c r="Z801" t="s">
        <v>754</v>
      </c>
      <c r="AA801" t="s">
        <v>620</v>
      </c>
      <c r="AB801">
        <v>1</v>
      </c>
      <c r="AC801">
        <v>46.9</v>
      </c>
      <c r="AF801" t="s">
        <v>532</v>
      </c>
      <c r="AG801" s="32" t="s">
        <v>1977</v>
      </c>
      <c r="AH801" s="32" t="s">
        <v>1978</v>
      </c>
      <c r="AI801" s="32" t="s">
        <v>1979</v>
      </c>
      <c r="AJ801" s="31" t="s">
        <v>3118</v>
      </c>
      <c r="AK801" s="31">
        <v>0.29849999999999999</v>
      </c>
      <c r="AL801" s="31">
        <v>13.999649999999999</v>
      </c>
      <c r="AM801" s="31">
        <v>32.900350000000003</v>
      </c>
      <c r="AN801" s="31">
        <v>319.43005216015831</v>
      </c>
      <c r="AO801" s="31">
        <v>750.68737551206391</v>
      </c>
      <c r="AP801" s="31">
        <v>0.17384896610655901</v>
      </c>
      <c r="AQ801" s="31">
        <v>0.40855963056533051</v>
      </c>
      <c r="AR801" s="31">
        <v>0.12946808670713136</v>
      </c>
    </row>
    <row r="802" spans="1:44" hidden="1" x14ac:dyDescent="0.5">
      <c r="A802" s="31">
        <v>780</v>
      </c>
      <c r="B802" s="31">
        <v>55</v>
      </c>
      <c r="C802" s="225" t="s">
        <v>42</v>
      </c>
      <c r="D802" s="44">
        <v>-33.863300000000002</v>
      </c>
      <c r="E802" s="45">
        <v>151.24090000000001</v>
      </c>
      <c r="F802">
        <v>0.01</v>
      </c>
      <c r="G802">
        <f t="shared" ref="G784:G847" si="6">F802*1609.344</f>
        <v>16.093440000000001</v>
      </c>
      <c r="H802" s="32" t="s">
        <v>614</v>
      </c>
      <c r="I802">
        <v>7</v>
      </c>
      <c r="J802">
        <v>328.739594295605</v>
      </c>
      <c r="K802" s="26">
        <v>2015</v>
      </c>
      <c r="L802" t="s">
        <v>40</v>
      </c>
      <c r="M802" s="32">
        <v>38</v>
      </c>
      <c r="N802">
        <v>4.1059253030000002</v>
      </c>
      <c r="P802" t="s">
        <v>15</v>
      </c>
      <c r="Q802">
        <v>91.3</v>
      </c>
      <c r="R802" t="s">
        <v>13</v>
      </c>
      <c r="S802" t="s">
        <v>16</v>
      </c>
      <c r="T802" t="s">
        <v>16</v>
      </c>
      <c r="U802" s="34">
        <v>0</v>
      </c>
      <c r="V802" s="34">
        <v>7</v>
      </c>
      <c r="W802" s="25">
        <v>3.5</v>
      </c>
      <c r="X802" s="25">
        <v>7</v>
      </c>
      <c r="Y802">
        <v>1.0774796689999999</v>
      </c>
      <c r="Z802" t="s">
        <v>773</v>
      </c>
      <c r="AA802" t="s">
        <v>644</v>
      </c>
      <c r="AB802">
        <v>1</v>
      </c>
      <c r="AC802">
        <v>178</v>
      </c>
      <c r="AF802" t="s">
        <v>530</v>
      </c>
      <c r="AG802" s="32">
        <v>2360.00475555808</v>
      </c>
      <c r="AH802" s="32" t="s">
        <v>1936</v>
      </c>
      <c r="AI802" s="32" t="s">
        <v>1937</v>
      </c>
      <c r="AJ802" s="31" t="s">
        <v>3100</v>
      </c>
      <c r="AK802" s="31">
        <v>0.93820000000000003</v>
      </c>
      <c r="AL802" s="31">
        <v>2214.1564616645878</v>
      </c>
      <c r="AM802" s="31">
        <v>145.84829389348897</v>
      </c>
      <c r="AN802" s="31">
        <v>9957.4600665384241</v>
      </c>
      <c r="AO802" s="31">
        <v>655.9060244213108</v>
      </c>
      <c r="AP802" s="31">
        <v>10.728960776574539</v>
      </c>
      <c r="AQ802" s="31">
        <v>0.70672540608857992</v>
      </c>
      <c r="AR802" s="31">
        <v>0.13248615310083081</v>
      </c>
    </row>
    <row r="803" spans="1:44" hidden="1" x14ac:dyDescent="0.5">
      <c r="A803" s="31">
        <v>801</v>
      </c>
      <c r="B803" s="31">
        <v>57</v>
      </c>
      <c r="C803" s="225" t="s">
        <v>44</v>
      </c>
      <c r="D803" s="35">
        <v>74.727000000000004</v>
      </c>
      <c r="E803" s="33">
        <v>164.12722199999999</v>
      </c>
      <c r="F803">
        <v>239.75</v>
      </c>
      <c r="G803">
        <f>F803*1609.344</f>
        <v>385840.22399999999</v>
      </c>
      <c r="H803" s="32" t="s">
        <v>614</v>
      </c>
      <c r="I803">
        <v>25</v>
      </c>
      <c r="J803">
        <v>0</v>
      </c>
      <c r="K803" s="26">
        <v>2015</v>
      </c>
      <c r="L803" t="s">
        <v>40</v>
      </c>
      <c r="M803" s="32">
        <v>300</v>
      </c>
      <c r="N803">
        <v>36.542166029999997</v>
      </c>
      <c r="O803">
        <v>22</v>
      </c>
      <c r="P803" t="s">
        <v>17</v>
      </c>
      <c r="Q803">
        <v>100</v>
      </c>
      <c r="R803" t="s">
        <v>13</v>
      </c>
      <c r="S803" t="s">
        <v>14</v>
      </c>
      <c r="T803" t="s">
        <v>16</v>
      </c>
      <c r="U803" s="34">
        <v>0</v>
      </c>
      <c r="V803" s="34">
        <v>18</v>
      </c>
      <c r="W803" s="25">
        <v>9</v>
      </c>
      <c r="X803" s="25">
        <v>18</v>
      </c>
      <c r="Y803">
        <v>0.83342531099999995</v>
      </c>
      <c r="Z803" t="s">
        <v>814</v>
      </c>
      <c r="AA803" t="s">
        <v>646</v>
      </c>
      <c r="AB803">
        <v>3</v>
      </c>
      <c r="AC803">
        <v>109.67</v>
      </c>
      <c r="AD803">
        <v>168.36</v>
      </c>
      <c r="AE803" t="s">
        <v>519</v>
      </c>
      <c r="AF803" t="s">
        <v>521</v>
      </c>
      <c r="AG803" s="32" t="s">
        <v>1980</v>
      </c>
      <c r="AH803" s="32" t="s">
        <v>1981</v>
      </c>
      <c r="AI803" s="32" t="s">
        <v>1982</v>
      </c>
      <c r="AJ803" s="31" t="s">
        <v>3119</v>
      </c>
      <c r="AK803" s="31">
        <v>0.31080999999999998</v>
      </c>
      <c r="AL803" s="31">
        <v>0.22721847250342403</v>
      </c>
      <c r="AM803" s="31">
        <v>0.50383417221014382</v>
      </c>
      <c r="AN803" s="31">
        <v>8.3030551473031107</v>
      </c>
      <c r="AO803" s="31">
        <v>18.411191972490688</v>
      </c>
      <c r="AP803" s="31">
        <v>6.9199763183912452E-3</v>
      </c>
      <c r="AQ803" s="31">
        <v>1.5344353395553754E-2</v>
      </c>
      <c r="AR803" s="31">
        <v>0.13011828484737659</v>
      </c>
    </row>
    <row r="804" spans="1:44" hidden="1" x14ac:dyDescent="0.5">
      <c r="A804" s="31">
        <v>777</v>
      </c>
      <c r="B804" s="31">
        <v>55</v>
      </c>
      <c r="C804" s="225" t="s">
        <v>42</v>
      </c>
      <c r="D804" s="44">
        <v>-33.840800000000002</v>
      </c>
      <c r="E804" s="45">
        <v>151.25319999999999</v>
      </c>
      <c r="F804">
        <v>0.04</v>
      </c>
      <c r="G804">
        <f>F804*1609.344</f>
        <v>64.373760000000004</v>
      </c>
      <c r="H804" s="32" t="s">
        <v>614</v>
      </c>
      <c r="I804">
        <v>6.25</v>
      </c>
      <c r="J804">
        <v>331.414544078098</v>
      </c>
      <c r="K804" s="26">
        <v>2015</v>
      </c>
      <c r="L804" t="s">
        <v>40</v>
      </c>
      <c r="M804" s="32">
        <v>38</v>
      </c>
      <c r="N804">
        <v>4.1059253030000002</v>
      </c>
      <c r="P804" t="s">
        <v>15</v>
      </c>
      <c r="Q804">
        <v>91.3</v>
      </c>
      <c r="R804" t="s">
        <v>13</v>
      </c>
      <c r="S804" t="s">
        <v>16</v>
      </c>
      <c r="T804" t="s">
        <v>16</v>
      </c>
      <c r="U804" s="34">
        <v>0</v>
      </c>
      <c r="V804" s="34">
        <v>7</v>
      </c>
      <c r="W804" s="25">
        <v>3.5</v>
      </c>
      <c r="X804" s="25">
        <v>7</v>
      </c>
      <c r="Y804">
        <v>1.0774796689999999</v>
      </c>
      <c r="Z804" t="s">
        <v>773</v>
      </c>
      <c r="AA804" t="s">
        <v>644</v>
      </c>
      <c r="AB804">
        <v>1</v>
      </c>
      <c r="AC804">
        <v>78</v>
      </c>
      <c r="AF804" t="s">
        <v>530</v>
      </c>
      <c r="AG804" s="32">
        <v>1034.1593872670201</v>
      </c>
      <c r="AH804" s="32" t="s">
        <v>1931</v>
      </c>
      <c r="AI804" s="32" t="s">
        <v>1932</v>
      </c>
      <c r="AJ804" s="31" t="s">
        <v>3097</v>
      </c>
      <c r="AK804" s="31">
        <v>0.9103</v>
      </c>
      <c r="AL804" s="31">
        <v>941.39529022917088</v>
      </c>
      <c r="AM804" s="31">
        <v>92.764097037851911</v>
      </c>
      <c r="AN804" s="31">
        <v>4233.6240331620829</v>
      </c>
      <c r="AO804" s="31">
        <v>417.1768381573533</v>
      </c>
      <c r="AP804" s="31">
        <v>4.5616438219219253</v>
      </c>
      <c r="AQ804" s="31">
        <v>0.44949956149225156</v>
      </c>
      <c r="AR804" s="31">
        <v>0.13258574400335804</v>
      </c>
    </row>
    <row r="805" spans="1:44" hidden="1" x14ac:dyDescent="0.5">
      <c r="A805" s="31">
        <v>778</v>
      </c>
      <c r="B805" s="31">
        <v>55</v>
      </c>
      <c r="C805" s="225" t="s">
        <v>42</v>
      </c>
      <c r="D805" s="44">
        <v>-33.830800000000004</v>
      </c>
      <c r="E805" s="45">
        <v>151.26179999999999</v>
      </c>
      <c r="F805">
        <v>7.0000000000000007E-2</v>
      </c>
      <c r="G805">
        <f>F805*1609.344</f>
        <v>112.65408000000001</v>
      </c>
      <c r="H805" s="32" t="s">
        <v>614</v>
      </c>
      <c r="I805">
        <v>6.5</v>
      </c>
      <c r="J805">
        <v>334.35427689654898</v>
      </c>
      <c r="K805" s="26">
        <v>2015</v>
      </c>
      <c r="L805" t="s">
        <v>40</v>
      </c>
      <c r="M805" s="32">
        <v>38</v>
      </c>
      <c r="N805">
        <v>4.1059253030000002</v>
      </c>
      <c r="P805" t="s">
        <v>15</v>
      </c>
      <c r="Q805">
        <v>91.3</v>
      </c>
      <c r="R805" t="s">
        <v>13</v>
      </c>
      <c r="S805" t="s">
        <v>16</v>
      </c>
      <c r="T805" t="s">
        <v>16</v>
      </c>
      <c r="U805" s="34">
        <v>0</v>
      </c>
      <c r="V805" s="34">
        <v>7</v>
      </c>
      <c r="W805" s="25">
        <v>3.5</v>
      </c>
      <c r="X805" s="25">
        <v>7</v>
      </c>
      <c r="Y805">
        <v>1.0774796689999999</v>
      </c>
      <c r="Z805" t="s">
        <v>773</v>
      </c>
      <c r="AA805" t="s">
        <v>644</v>
      </c>
      <c r="AB805">
        <v>1</v>
      </c>
      <c r="AC805">
        <v>332</v>
      </c>
      <c r="AF805" t="s">
        <v>530</v>
      </c>
      <c r="AG805" s="32">
        <v>4401.8066227262998</v>
      </c>
      <c r="AH805" s="32" t="s">
        <v>1342</v>
      </c>
      <c r="AI805" s="32" t="s">
        <v>1933</v>
      </c>
      <c r="AJ805" s="31" t="s">
        <v>3098</v>
      </c>
      <c r="AK805" s="31">
        <v>0.75</v>
      </c>
      <c r="AL805" s="31">
        <v>3301.3549670447264</v>
      </c>
      <c r="AM805" s="31">
        <v>1100.4516556815752</v>
      </c>
      <c r="AN805" s="31">
        <v>14846.787396904352</v>
      </c>
      <c r="AO805" s="31">
        <v>4948.9291323014504</v>
      </c>
      <c r="AP805" s="31">
        <v>15.997111570129871</v>
      </c>
      <c r="AQ805" s="31">
        <v>5.3323705233766239</v>
      </c>
      <c r="AR805" s="31">
        <v>0.13255253872048464</v>
      </c>
    </row>
    <row r="806" spans="1:44" hidden="1" x14ac:dyDescent="0.5">
      <c r="A806" s="31">
        <v>776</v>
      </c>
      <c r="B806" s="31">
        <v>55</v>
      </c>
      <c r="C806" s="225" t="s">
        <v>42</v>
      </c>
      <c r="D806" s="35">
        <v>-33.852699999999999</v>
      </c>
      <c r="E806" s="33">
        <v>151.26419999999999</v>
      </c>
      <c r="F806">
        <v>0.75</v>
      </c>
      <c r="G806">
        <f>F806*1609.344</f>
        <v>1207.008</v>
      </c>
      <c r="H806" s="32" t="s">
        <v>614</v>
      </c>
      <c r="I806">
        <v>6</v>
      </c>
      <c r="J806">
        <v>337.00237738752901</v>
      </c>
      <c r="K806" s="26">
        <v>2015</v>
      </c>
      <c r="L806" t="s">
        <v>40</v>
      </c>
      <c r="M806" s="32">
        <v>38</v>
      </c>
      <c r="N806">
        <v>4.1059253030000002</v>
      </c>
      <c r="P806" t="s">
        <v>15</v>
      </c>
      <c r="Q806">
        <v>91.3</v>
      </c>
      <c r="R806" t="s">
        <v>13</v>
      </c>
      <c r="S806" t="s">
        <v>16</v>
      </c>
      <c r="T806" t="s">
        <v>16</v>
      </c>
      <c r="U806" s="34">
        <v>0</v>
      </c>
      <c r="V806" s="34">
        <v>7</v>
      </c>
      <c r="W806" s="25">
        <v>3.5</v>
      </c>
      <c r="X806" s="25">
        <v>7</v>
      </c>
      <c r="Y806">
        <v>1.0774796689999999</v>
      </c>
      <c r="Z806" t="s">
        <v>773</v>
      </c>
      <c r="AA806" t="s">
        <v>644</v>
      </c>
      <c r="AB806">
        <v>1</v>
      </c>
      <c r="AC806">
        <v>140</v>
      </c>
      <c r="AF806" t="s">
        <v>530</v>
      </c>
      <c r="AG806" s="32">
        <v>1856.1835156074801</v>
      </c>
      <c r="AH806" s="32" t="s">
        <v>1929</v>
      </c>
      <c r="AI806" s="32" t="s">
        <v>1930</v>
      </c>
      <c r="AJ806" s="31" t="s">
        <v>3096</v>
      </c>
      <c r="AK806" s="31">
        <v>0.92859999999999998</v>
      </c>
      <c r="AL806" s="31">
        <v>1723.6520125931029</v>
      </c>
      <c r="AM806" s="31">
        <v>132.53150301437381</v>
      </c>
      <c r="AN806" s="31">
        <v>7751.5732881411795</v>
      </c>
      <c r="AO806" s="31">
        <v>596.01801935524452</v>
      </c>
      <c r="AP806" s="31">
        <v>8.3521626207355997</v>
      </c>
      <c r="AQ806" s="31">
        <v>0.64219729821292448</v>
      </c>
      <c r="AR806" s="31">
        <v>0.13261895760437328</v>
      </c>
    </row>
    <row r="807" spans="1:44" hidden="1" x14ac:dyDescent="0.5">
      <c r="A807" s="31">
        <v>532</v>
      </c>
      <c r="B807" s="31">
        <v>35</v>
      </c>
      <c r="C807" s="225" t="s">
        <v>20</v>
      </c>
      <c r="D807" s="39">
        <v>50</v>
      </c>
      <c r="E807" s="40">
        <v>1.39</v>
      </c>
      <c r="F807">
        <v>0</v>
      </c>
      <c r="G807">
        <f>F807*1609.344</f>
        <v>0</v>
      </c>
      <c r="H807" s="32" t="s">
        <v>10</v>
      </c>
      <c r="I807">
        <v>0</v>
      </c>
      <c r="J807">
        <v>134.82984580460999</v>
      </c>
      <c r="K807" s="26">
        <v>2017</v>
      </c>
      <c r="L807" t="s">
        <v>11</v>
      </c>
      <c r="M807" s="32">
        <v>300</v>
      </c>
      <c r="N807">
        <v>36.542166029999997</v>
      </c>
      <c r="O807">
        <v>5</v>
      </c>
      <c r="P807" t="s">
        <v>12</v>
      </c>
      <c r="Q807">
        <v>83</v>
      </c>
      <c r="R807" t="s">
        <v>13</v>
      </c>
      <c r="S807" t="s">
        <v>14</v>
      </c>
      <c r="T807" t="s">
        <v>14</v>
      </c>
      <c r="U807" s="34">
        <v>0</v>
      </c>
      <c r="V807" s="34">
        <v>5</v>
      </c>
      <c r="W807" s="25">
        <v>2.5</v>
      </c>
      <c r="X807" s="25">
        <v>5</v>
      </c>
      <c r="Y807" s="244">
        <v>1.241026956</v>
      </c>
      <c r="Z807" t="s">
        <v>1114</v>
      </c>
      <c r="AA807" t="s">
        <v>622</v>
      </c>
      <c r="AB807">
        <v>5</v>
      </c>
      <c r="AC807">
        <v>143</v>
      </c>
      <c r="AD807">
        <v>13</v>
      </c>
      <c r="AE807" t="s">
        <v>525</v>
      </c>
      <c r="AF807" t="s">
        <v>532</v>
      </c>
      <c r="AG807" s="32">
        <v>143</v>
      </c>
      <c r="AH807" s="32" t="s">
        <v>1541</v>
      </c>
      <c r="AI807" s="32" t="s">
        <v>1554</v>
      </c>
      <c r="AJ807" s="31" t="s">
        <v>2937</v>
      </c>
      <c r="AK807" s="31">
        <v>0.98699999999999999</v>
      </c>
      <c r="AL807" s="31">
        <v>141.14099999999999</v>
      </c>
      <c r="AM807" s="31">
        <v>1.8590000000000089</v>
      </c>
      <c r="AN807" s="31">
        <v>6213.9733200484688</v>
      </c>
      <c r="AO807" s="31">
        <v>81.845646565988346</v>
      </c>
      <c r="AP807" s="31">
        <v>7.7117083940449653</v>
      </c>
      <c r="AQ807" s="31">
        <v>0.10157265361964038</v>
      </c>
      <c r="AR807" s="31">
        <v>0.13341858489683281</v>
      </c>
    </row>
    <row r="808" spans="1:44" hidden="1" x14ac:dyDescent="0.5">
      <c r="A808" s="31">
        <v>533</v>
      </c>
      <c r="B808" s="31">
        <v>35</v>
      </c>
      <c r="C808" s="225" t="s">
        <v>20</v>
      </c>
      <c r="D808" s="39">
        <v>50</v>
      </c>
      <c r="E808" s="40">
        <v>1.39</v>
      </c>
      <c r="F808">
        <v>0</v>
      </c>
      <c r="G808">
        <f>F808*1609.344</f>
        <v>0</v>
      </c>
      <c r="H808" s="32" t="s">
        <v>10</v>
      </c>
      <c r="I808">
        <v>0</v>
      </c>
      <c r="J808">
        <v>134.82984580460999</v>
      </c>
      <c r="K808" s="26">
        <v>2017</v>
      </c>
      <c r="L808" t="s">
        <v>11</v>
      </c>
      <c r="M808" s="32">
        <v>300</v>
      </c>
      <c r="N808">
        <v>36.542166029999997</v>
      </c>
      <c r="O808">
        <v>5</v>
      </c>
      <c r="P808" t="s">
        <v>12</v>
      </c>
      <c r="Q808">
        <v>83</v>
      </c>
      <c r="R808" t="s">
        <v>13</v>
      </c>
      <c r="S808" t="s">
        <v>14</v>
      </c>
      <c r="T808" t="s">
        <v>14</v>
      </c>
      <c r="U808" s="34">
        <v>0</v>
      </c>
      <c r="V808" s="34">
        <v>5</v>
      </c>
      <c r="W808" s="25">
        <v>2.5</v>
      </c>
      <c r="X808" s="25">
        <v>5</v>
      </c>
      <c r="Y808" s="244">
        <v>1.241026956</v>
      </c>
      <c r="Z808" t="s">
        <v>1114</v>
      </c>
      <c r="AA808" t="s">
        <v>622</v>
      </c>
      <c r="AB808">
        <v>5</v>
      </c>
      <c r="AC808">
        <v>156</v>
      </c>
      <c r="AD808">
        <v>29</v>
      </c>
      <c r="AE808" t="s">
        <v>525</v>
      </c>
      <c r="AF808" t="s">
        <v>532</v>
      </c>
      <c r="AG808" s="32">
        <v>156</v>
      </c>
      <c r="AH808" s="32" t="s">
        <v>1541</v>
      </c>
      <c r="AI808" s="32" t="s">
        <v>1545</v>
      </c>
      <c r="AJ808" s="31" t="s">
        <v>2928</v>
      </c>
      <c r="AK808" s="31">
        <v>0.98699999999999999</v>
      </c>
      <c r="AL808" s="31">
        <v>153.97200000000001</v>
      </c>
      <c r="AM808" s="31">
        <v>2.0279999999999916</v>
      </c>
      <c r="AN808" s="31">
        <v>6778.8799855074212</v>
      </c>
      <c r="AO808" s="31">
        <v>89.286159890168307</v>
      </c>
      <c r="AP808" s="31">
        <v>8.4127727935035992</v>
      </c>
      <c r="AQ808" s="31">
        <v>0.11080653122142486</v>
      </c>
      <c r="AR808" s="31">
        <v>0.13341858489683281</v>
      </c>
    </row>
    <row r="809" spans="1:44" hidden="1" x14ac:dyDescent="0.5">
      <c r="A809" s="31">
        <v>332</v>
      </c>
      <c r="B809" s="31">
        <v>23</v>
      </c>
      <c r="C809" s="225" t="s">
        <v>20</v>
      </c>
      <c r="D809" s="35">
        <v>45.62</v>
      </c>
      <c r="E809" s="33">
        <v>13.46</v>
      </c>
      <c r="F809">
        <v>3.03</v>
      </c>
      <c r="G809">
        <f>F809*1609.344</f>
        <v>4876.31232</v>
      </c>
      <c r="H809" s="31" t="s">
        <v>614</v>
      </c>
      <c r="I809">
        <v>22.2</v>
      </c>
      <c r="J809">
        <v>129.23777131328001</v>
      </c>
      <c r="K809" s="26">
        <v>2016</v>
      </c>
      <c r="L809" t="s">
        <v>40</v>
      </c>
      <c r="M809" s="32">
        <v>500</v>
      </c>
      <c r="N809">
        <v>62.735052189999998</v>
      </c>
      <c r="O809">
        <v>5</v>
      </c>
      <c r="P809" t="s">
        <v>12</v>
      </c>
      <c r="Q809">
        <v>89</v>
      </c>
      <c r="R809" t="s">
        <v>13</v>
      </c>
      <c r="S809" t="s">
        <v>16</v>
      </c>
      <c r="T809" t="s">
        <v>16</v>
      </c>
      <c r="U809" s="240">
        <v>0</v>
      </c>
      <c r="V809" s="240">
        <v>10</v>
      </c>
      <c r="W809" s="25">
        <v>5</v>
      </c>
      <c r="X809" s="25">
        <v>10</v>
      </c>
      <c r="Y809" s="244">
        <v>0.91868156199999995</v>
      </c>
      <c r="Z809" t="s">
        <v>1100</v>
      </c>
      <c r="AA809" t="s">
        <v>622</v>
      </c>
      <c r="AB809">
        <v>1</v>
      </c>
      <c r="AC809">
        <v>146</v>
      </c>
      <c r="AF809" t="s">
        <v>532</v>
      </c>
      <c r="AG809" s="32">
        <v>146</v>
      </c>
      <c r="AH809" s="32">
        <v>0.8821</v>
      </c>
      <c r="AI809" s="32">
        <v>128.78659999999999</v>
      </c>
      <c r="AJ809" s="31">
        <v>17.213400000000007</v>
      </c>
      <c r="AK809" s="31">
        <v>0.8821</v>
      </c>
      <c r="AL809" s="31">
        <v>128.78659999999999</v>
      </c>
      <c r="AM809" s="31">
        <v>17.213400000000007</v>
      </c>
      <c r="AN809" s="31">
        <v>9078.0158116546681</v>
      </c>
      <c r="AO809" s="31">
        <v>1213.3523004127487</v>
      </c>
      <c r="AP809" s="31">
        <v>8.3398057457116082</v>
      </c>
      <c r="AQ809" s="31">
        <v>1.1146843865994771</v>
      </c>
      <c r="AR809" s="31">
        <v>0.13048382105875869</v>
      </c>
    </row>
    <row r="810" spans="1:44" hidden="1" x14ac:dyDescent="0.5">
      <c r="A810" s="31">
        <v>331</v>
      </c>
      <c r="B810" s="31">
        <v>23</v>
      </c>
      <c r="C810" s="225" t="s">
        <v>20</v>
      </c>
      <c r="D810" s="35">
        <v>45.61</v>
      </c>
      <c r="E810" s="33">
        <v>13.38</v>
      </c>
      <c r="F810">
        <v>3.89</v>
      </c>
      <c r="G810">
        <f>F810*1609.344</f>
        <v>6260.3481600000005</v>
      </c>
      <c r="H810" s="31" t="s">
        <v>614</v>
      </c>
      <c r="I810">
        <v>19</v>
      </c>
      <c r="J810">
        <v>130.33593909991001</v>
      </c>
      <c r="K810" s="26">
        <v>2016</v>
      </c>
      <c r="L810" t="s">
        <v>40</v>
      </c>
      <c r="M810" s="32">
        <v>500</v>
      </c>
      <c r="N810">
        <v>62.735052189999998</v>
      </c>
      <c r="O810">
        <v>5</v>
      </c>
      <c r="P810" t="s">
        <v>12</v>
      </c>
      <c r="Q810">
        <v>89</v>
      </c>
      <c r="R810" t="s">
        <v>13</v>
      </c>
      <c r="S810" t="s">
        <v>16</v>
      </c>
      <c r="T810" t="s">
        <v>16</v>
      </c>
      <c r="U810" s="240">
        <v>0</v>
      </c>
      <c r="V810" s="240">
        <v>10</v>
      </c>
      <c r="W810" s="25">
        <v>5</v>
      </c>
      <c r="X810" s="25">
        <v>10</v>
      </c>
      <c r="Y810" s="244">
        <v>0.91868156199999995</v>
      </c>
      <c r="Z810" t="s">
        <v>1100</v>
      </c>
      <c r="AA810" t="s">
        <v>622</v>
      </c>
      <c r="AB810">
        <v>1</v>
      </c>
      <c r="AC810">
        <v>137</v>
      </c>
      <c r="AF810" t="s">
        <v>532</v>
      </c>
      <c r="AG810" s="32">
        <v>137</v>
      </c>
      <c r="AH810" s="32">
        <v>0.8821</v>
      </c>
      <c r="AI810" s="32">
        <v>120.8477</v>
      </c>
      <c r="AJ810" s="31">
        <v>16.152299999999997</v>
      </c>
      <c r="AK810" s="31">
        <v>0.8821</v>
      </c>
      <c r="AL810" s="31">
        <v>120.8477</v>
      </c>
      <c r="AM810" s="31">
        <v>16.152299999999997</v>
      </c>
      <c r="AN810" s="31">
        <v>8518.4120972375986</v>
      </c>
      <c r="AO810" s="31">
        <v>1138.5566106612773</v>
      </c>
      <c r="AP810" s="31">
        <v>7.8257081312499333</v>
      </c>
      <c r="AQ810" s="31">
        <v>1.0459709655077281</v>
      </c>
      <c r="AR810" s="31">
        <v>0.13090283430916907</v>
      </c>
    </row>
    <row r="811" spans="1:44" hidden="1" x14ac:dyDescent="0.5">
      <c r="A811" s="31">
        <v>1462</v>
      </c>
      <c r="B811" s="31">
        <v>106</v>
      </c>
      <c r="C811" s="225" t="s">
        <v>20</v>
      </c>
      <c r="D811" s="44">
        <v>45.593699999999998</v>
      </c>
      <c r="E811" s="45">
        <v>13.709199999999999</v>
      </c>
      <c r="F811">
        <v>0</v>
      </c>
      <c r="G811">
        <f>F811*1609.344</f>
        <v>0</v>
      </c>
      <c r="H811" s="32" t="s">
        <v>10</v>
      </c>
      <c r="I811">
        <v>0</v>
      </c>
      <c r="J811">
        <v>136.642967609604</v>
      </c>
      <c r="K811" s="26">
        <v>2017</v>
      </c>
      <c r="L811" t="s">
        <v>30</v>
      </c>
      <c r="M811" s="32">
        <v>63</v>
      </c>
      <c r="N811">
        <v>7.0097463050000002</v>
      </c>
      <c r="O811">
        <v>5</v>
      </c>
      <c r="P811" t="s">
        <v>12</v>
      </c>
      <c r="Q811">
        <v>89</v>
      </c>
      <c r="R811" t="s">
        <v>13</v>
      </c>
      <c r="S811" t="s">
        <v>14</v>
      </c>
      <c r="T811" t="s">
        <v>14</v>
      </c>
      <c r="U811" s="34">
        <v>0</v>
      </c>
      <c r="V811" s="34">
        <v>4</v>
      </c>
      <c r="W811" s="25">
        <v>2</v>
      </c>
      <c r="X811" s="25">
        <v>4</v>
      </c>
      <c r="Y811" s="244">
        <v>0.91868156199999995</v>
      </c>
      <c r="Z811" t="s">
        <v>1100</v>
      </c>
      <c r="AA811" t="s">
        <v>622</v>
      </c>
      <c r="AB811">
        <v>3</v>
      </c>
      <c r="AC811">
        <v>1.8082499999999999</v>
      </c>
      <c r="AD811">
        <v>1.7010000000000001</v>
      </c>
      <c r="AE811" t="s">
        <v>519</v>
      </c>
      <c r="AF811" t="s">
        <v>532</v>
      </c>
      <c r="AG811" s="32" t="s">
        <v>2528</v>
      </c>
      <c r="AH811" s="32" t="s">
        <v>2161</v>
      </c>
      <c r="AI811" s="32" t="s">
        <v>2529</v>
      </c>
      <c r="AJ811" s="31" t="s">
        <v>3361</v>
      </c>
      <c r="AK811" s="31">
        <v>0.19</v>
      </c>
      <c r="AL811" s="31">
        <v>0.34200000000000003</v>
      </c>
      <c r="AM811" s="31">
        <v>1.458</v>
      </c>
      <c r="AN811" s="31">
        <v>2.6936328497865172</v>
      </c>
      <c r="AO811" s="31">
        <v>11.483382149089886</v>
      </c>
      <c r="AP811" s="31">
        <v>2.474590833896389E-3</v>
      </c>
      <c r="AQ811" s="31">
        <v>1.0549571449768813E-2</v>
      </c>
      <c r="AR811" s="31">
        <v>0.13341858489683281</v>
      </c>
    </row>
    <row r="812" spans="1:44" hidden="1" x14ac:dyDescent="0.5">
      <c r="A812" s="31">
        <v>1463</v>
      </c>
      <c r="B812" s="31">
        <v>106</v>
      </c>
      <c r="C812" s="225" t="s">
        <v>20</v>
      </c>
      <c r="D812" s="44">
        <v>45.593699999999998</v>
      </c>
      <c r="E812" s="45">
        <v>13.709199999999999</v>
      </c>
      <c r="F812">
        <v>0</v>
      </c>
      <c r="G812">
        <f>F812*1609.344</f>
        <v>0</v>
      </c>
      <c r="H812" s="32" t="s">
        <v>10</v>
      </c>
      <c r="I812">
        <v>0</v>
      </c>
      <c r="J812">
        <v>136.642967609604</v>
      </c>
      <c r="K812" s="26">
        <v>2017</v>
      </c>
      <c r="L812" t="s">
        <v>30</v>
      </c>
      <c r="M812" s="32">
        <v>63</v>
      </c>
      <c r="N812">
        <v>7.0097463050000002</v>
      </c>
      <c r="O812">
        <v>5</v>
      </c>
      <c r="P812" t="s">
        <v>12</v>
      </c>
      <c r="Q812">
        <v>89</v>
      </c>
      <c r="R812" t="s">
        <v>13</v>
      </c>
      <c r="S812" t="s">
        <v>14</v>
      </c>
      <c r="T812" t="s">
        <v>14</v>
      </c>
      <c r="U812" s="34">
        <v>0</v>
      </c>
      <c r="V812" s="34">
        <v>4</v>
      </c>
      <c r="W812" s="25">
        <v>2</v>
      </c>
      <c r="X812" s="25">
        <v>4</v>
      </c>
      <c r="Y812" s="244">
        <v>0.91868156199999995</v>
      </c>
      <c r="Z812" t="s">
        <v>1100</v>
      </c>
      <c r="AA812" t="s">
        <v>622</v>
      </c>
      <c r="AB812">
        <v>3</v>
      </c>
      <c r="AC812">
        <v>2.0299877999999998</v>
      </c>
      <c r="AD812">
        <v>0</v>
      </c>
      <c r="AE812" t="s">
        <v>519</v>
      </c>
      <c r="AF812" t="s">
        <v>532</v>
      </c>
      <c r="AG812" s="32">
        <v>2</v>
      </c>
      <c r="AH812" s="32" t="s">
        <v>2161</v>
      </c>
      <c r="AI812" s="32" t="s">
        <v>1200</v>
      </c>
      <c r="AJ812" s="31" t="s">
        <v>3362</v>
      </c>
      <c r="AK812" s="31">
        <v>0.19</v>
      </c>
      <c r="AL812" s="31">
        <v>0.38</v>
      </c>
      <c r="AM812" s="31">
        <v>1.62</v>
      </c>
      <c r="AN812" s="31">
        <v>2.9929253886516851</v>
      </c>
      <c r="AO812" s="31">
        <v>12.759313498988764</v>
      </c>
      <c r="AP812" s="31">
        <v>2.7495453709959869E-3</v>
      </c>
      <c r="AQ812" s="31">
        <v>1.1721746055298682E-2</v>
      </c>
      <c r="AR812" s="31">
        <v>0.13341858489683281</v>
      </c>
    </row>
    <row r="813" spans="1:44" hidden="1" x14ac:dyDescent="0.5">
      <c r="A813" s="31">
        <v>802</v>
      </c>
      <c r="B813" s="31">
        <v>57</v>
      </c>
      <c r="C813" s="225" t="s">
        <v>43</v>
      </c>
      <c r="D813" s="35">
        <v>74.775999999999996</v>
      </c>
      <c r="E813" s="33">
        <v>164.143889</v>
      </c>
      <c r="F813">
        <v>178.32</v>
      </c>
      <c r="G813">
        <f>F813*1609.344</f>
        <v>286978.22207999998</v>
      </c>
      <c r="H813" s="32" t="s">
        <v>614</v>
      </c>
      <c r="I813">
        <v>25</v>
      </c>
      <c r="J813">
        <v>0</v>
      </c>
      <c r="K813" s="26">
        <v>2015</v>
      </c>
      <c r="L813" t="s">
        <v>40</v>
      </c>
      <c r="M813" s="32">
        <v>300</v>
      </c>
      <c r="N813">
        <v>36.542166029999997</v>
      </c>
      <c r="O813">
        <v>22</v>
      </c>
      <c r="P813" t="s">
        <v>17</v>
      </c>
      <c r="Q813">
        <v>100</v>
      </c>
      <c r="R813" t="s">
        <v>13</v>
      </c>
      <c r="S813" t="s">
        <v>14</v>
      </c>
      <c r="T813" t="s">
        <v>16</v>
      </c>
      <c r="U813" s="34">
        <v>0</v>
      </c>
      <c r="V813" s="34">
        <v>18</v>
      </c>
      <c r="W813" s="25">
        <v>9</v>
      </c>
      <c r="X813" s="25">
        <v>18</v>
      </c>
      <c r="Y813">
        <v>0.83342531099999995</v>
      </c>
      <c r="Z813" t="s">
        <v>814</v>
      </c>
      <c r="AA813" t="s">
        <v>646</v>
      </c>
      <c r="AB813">
        <v>2</v>
      </c>
      <c r="AC813">
        <v>108</v>
      </c>
      <c r="AD813">
        <v>57.98</v>
      </c>
      <c r="AE813" t="s">
        <v>519</v>
      </c>
      <c r="AF813" t="s">
        <v>521</v>
      </c>
      <c r="AG813" s="32" t="s">
        <v>1983</v>
      </c>
      <c r="AH813" s="32" t="s">
        <v>1984</v>
      </c>
      <c r="AI813" s="32" t="s">
        <v>1985</v>
      </c>
      <c r="AJ813" s="31" t="s">
        <v>3120</v>
      </c>
      <c r="AK813" s="31">
        <v>0.16700999999999999</v>
      </c>
      <c r="AL813" s="31">
        <v>0.12023392939646395</v>
      </c>
      <c r="AM813" s="31">
        <v>0.59968661066978335</v>
      </c>
      <c r="AN813" s="31">
        <v>4.3936082104448833</v>
      </c>
      <c r="AO813" s="31">
        <v>21.91384769306319</v>
      </c>
      <c r="AP813" s="31">
        <v>3.6617442892021798E-3</v>
      </c>
      <c r="AQ813" s="31">
        <v>1.826355532879782E-2</v>
      </c>
      <c r="AR813" s="31">
        <v>0.13011828484737659</v>
      </c>
    </row>
    <row r="814" spans="1:44" hidden="1" x14ac:dyDescent="0.5">
      <c r="A814" s="31">
        <v>803</v>
      </c>
      <c r="B814" s="31">
        <v>57</v>
      </c>
      <c r="C814" s="225" t="s">
        <v>44</v>
      </c>
      <c r="D814" s="35">
        <v>74.875</v>
      </c>
      <c r="E814" s="33">
        <v>164.22138899999999</v>
      </c>
      <c r="F814">
        <v>245.29</v>
      </c>
      <c r="G814">
        <f>F814*1609.344</f>
        <v>394755.98976000003</v>
      </c>
      <c r="H814" s="32" t="s">
        <v>614</v>
      </c>
      <c r="I814">
        <v>25</v>
      </c>
      <c r="J814">
        <v>0</v>
      </c>
      <c r="K814" s="26">
        <v>2015</v>
      </c>
      <c r="L814" t="s">
        <v>40</v>
      </c>
      <c r="M814" s="32">
        <v>300</v>
      </c>
      <c r="N814">
        <v>36.542166029999997</v>
      </c>
      <c r="O814">
        <v>22</v>
      </c>
      <c r="P814" t="s">
        <v>17</v>
      </c>
      <c r="Q814">
        <v>100</v>
      </c>
      <c r="R814" t="s">
        <v>13</v>
      </c>
      <c r="S814" t="s">
        <v>14</v>
      </c>
      <c r="T814" t="s">
        <v>16</v>
      </c>
      <c r="U814" s="34">
        <v>0</v>
      </c>
      <c r="V814" s="34">
        <v>18</v>
      </c>
      <c r="W814" s="25">
        <v>9</v>
      </c>
      <c r="X814" s="25">
        <v>18</v>
      </c>
      <c r="Y814">
        <v>0.83342531099999995</v>
      </c>
      <c r="Z814" t="s">
        <v>814</v>
      </c>
      <c r="AA814" t="s">
        <v>646</v>
      </c>
      <c r="AB814">
        <v>3</v>
      </c>
      <c r="AC814">
        <v>0.67</v>
      </c>
      <c r="AD814">
        <v>1.1499999999999999</v>
      </c>
      <c r="AE814" t="s">
        <v>519</v>
      </c>
      <c r="AF814" t="s">
        <v>521</v>
      </c>
      <c r="AG814" s="32" t="s">
        <v>1986</v>
      </c>
      <c r="AH814" s="32" t="s">
        <v>1987</v>
      </c>
      <c r="AI814" s="32" t="s">
        <v>1988</v>
      </c>
      <c r="AJ814" s="31" t="s">
        <v>3121</v>
      </c>
      <c r="AK814" s="31">
        <v>0.85665999999999998</v>
      </c>
      <c r="AL814" s="31">
        <v>3.8259923796445496E-3</v>
      </c>
      <c r="AM814" s="31">
        <v>6.4018134113679858E-4</v>
      </c>
      <c r="AN814" s="31">
        <v>0.13981004876648592</v>
      </c>
      <c r="AO814" s="31">
        <v>2.3393612857128959E-2</v>
      </c>
      <c r="AP814" s="31">
        <v>1.1652123337413369E-4</v>
      </c>
      <c r="AQ814" s="31">
        <v>1.9496829070866299E-5</v>
      </c>
      <c r="AR814" s="31">
        <v>0.13011828484737659</v>
      </c>
    </row>
    <row r="815" spans="1:44" hidden="1" x14ac:dyDescent="0.5">
      <c r="A815" s="31">
        <v>804</v>
      </c>
      <c r="B815" s="31">
        <v>57</v>
      </c>
      <c r="C815" s="225" t="s">
        <v>44</v>
      </c>
      <c r="D815" s="35">
        <v>74.914000000000001</v>
      </c>
      <c r="E815" s="33">
        <v>164.264444</v>
      </c>
      <c r="F815">
        <v>239.2</v>
      </c>
      <c r="G815">
        <f>F815*1609.344</f>
        <v>384955.08480000001</v>
      </c>
      <c r="H815" s="32" t="s">
        <v>614</v>
      </c>
      <c r="I815">
        <v>25</v>
      </c>
      <c r="J815">
        <v>0</v>
      </c>
      <c r="K815" s="26">
        <v>2015</v>
      </c>
      <c r="L815" t="s">
        <v>40</v>
      </c>
      <c r="M815" s="32">
        <v>300</v>
      </c>
      <c r="N815">
        <v>36.542166029999997</v>
      </c>
      <c r="O815">
        <v>22</v>
      </c>
      <c r="P815" t="s">
        <v>17</v>
      </c>
      <c r="Q815">
        <v>100</v>
      </c>
      <c r="R815" t="s">
        <v>13</v>
      </c>
      <c r="S815" t="s">
        <v>14</v>
      </c>
      <c r="T815" t="s">
        <v>16</v>
      </c>
      <c r="U815" s="34">
        <v>0</v>
      </c>
      <c r="V815" s="34">
        <v>18</v>
      </c>
      <c r="W815" s="25">
        <v>9</v>
      </c>
      <c r="X815" s="25">
        <v>18</v>
      </c>
      <c r="Y815">
        <v>0.83342531099999995</v>
      </c>
      <c r="Z815" t="s">
        <v>814</v>
      </c>
      <c r="AA815" t="s">
        <v>646</v>
      </c>
      <c r="AB815">
        <v>3</v>
      </c>
      <c r="AC815">
        <v>114</v>
      </c>
      <c r="AD815">
        <v>94.17</v>
      </c>
      <c r="AE815" t="s">
        <v>519</v>
      </c>
      <c r="AF815" t="s">
        <v>521</v>
      </c>
      <c r="AG815" s="32" t="s">
        <v>1989</v>
      </c>
      <c r="AH815" s="32" t="s">
        <v>1990</v>
      </c>
      <c r="AI815" s="32" t="s">
        <v>1991</v>
      </c>
      <c r="AJ815" s="31" t="s">
        <v>3122</v>
      </c>
      <c r="AK815" s="31">
        <v>0.19524</v>
      </c>
      <c r="AL815" s="31">
        <v>0.14836602436711932</v>
      </c>
      <c r="AM815" s="31">
        <v>0.61155010125836384</v>
      </c>
      <c r="AN815" s="31">
        <v>5.4216158956342992</v>
      </c>
      <c r="AO815" s="31">
        <v>22.34736533584644</v>
      </c>
      <c r="AP815" s="31">
        <v>4.5185119139415598E-3</v>
      </c>
      <c r="AQ815" s="31">
        <v>1.8624859905058438E-2</v>
      </c>
      <c r="AR815" s="31">
        <v>0.13011828484737659</v>
      </c>
    </row>
    <row r="816" spans="1:44" hidden="1" x14ac:dyDescent="0.5">
      <c r="A816" s="31">
        <v>805</v>
      </c>
      <c r="B816" s="31">
        <v>57</v>
      </c>
      <c r="C816" s="225" t="s">
        <v>44</v>
      </c>
      <c r="D816" s="35">
        <v>74.989999999999995</v>
      </c>
      <c r="E816" s="33">
        <v>164.15083300000001</v>
      </c>
      <c r="F816">
        <v>236.78</v>
      </c>
      <c r="G816">
        <f>F816*1609.344</f>
        <v>381060.47232</v>
      </c>
      <c r="H816" s="32" t="s">
        <v>614</v>
      </c>
      <c r="I816">
        <v>25</v>
      </c>
      <c r="J816">
        <v>0</v>
      </c>
      <c r="K816" s="26">
        <v>2015</v>
      </c>
      <c r="L816" t="s">
        <v>40</v>
      </c>
      <c r="M816" s="32">
        <v>300</v>
      </c>
      <c r="N816">
        <v>36.542166029999997</v>
      </c>
      <c r="O816">
        <v>22</v>
      </c>
      <c r="P816" t="s">
        <v>17</v>
      </c>
      <c r="Q816">
        <v>100</v>
      </c>
      <c r="R816" t="s">
        <v>13</v>
      </c>
      <c r="S816" t="s">
        <v>14</v>
      </c>
      <c r="T816" t="s">
        <v>16</v>
      </c>
      <c r="U816" s="34">
        <v>0</v>
      </c>
      <c r="V816" s="34">
        <v>18</v>
      </c>
      <c r="W816" s="25">
        <v>9</v>
      </c>
      <c r="X816" s="25">
        <v>18</v>
      </c>
      <c r="Y816">
        <v>0.83342531099999995</v>
      </c>
      <c r="Z816" t="s">
        <v>814</v>
      </c>
      <c r="AA816" t="s">
        <v>646</v>
      </c>
      <c r="AB816">
        <v>2</v>
      </c>
      <c r="AC816">
        <v>35</v>
      </c>
      <c r="AD816">
        <v>24.04</v>
      </c>
      <c r="AE816" t="s">
        <v>519</v>
      </c>
      <c r="AF816" t="s">
        <v>521</v>
      </c>
      <c r="AG816" s="32" t="s">
        <v>1992</v>
      </c>
      <c r="AH816" s="32" t="s">
        <v>1993</v>
      </c>
      <c r="AI816" s="32" t="s">
        <v>1994</v>
      </c>
      <c r="AJ816" s="31" t="s">
        <v>3123</v>
      </c>
      <c r="AK816" s="31">
        <v>0.72809999999999997</v>
      </c>
      <c r="AL816" s="31">
        <v>0.16987125076646492</v>
      </c>
      <c r="AM816" s="31">
        <v>6.3436331662411499E-2</v>
      </c>
      <c r="AN816" s="31">
        <v>6.2074634492319252</v>
      </c>
      <c r="AO816" s="31">
        <v>2.3181009639419869</v>
      </c>
      <c r="AP816" s="31">
        <v>5.1734571556972496E-3</v>
      </c>
      <c r="AQ816" s="31">
        <v>1.9319640168027502E-3</v>
      </c>
      <c r="AR816" s="31">
        <v>0.13011828484737659</v>
      </c>
    </row>
    <row r="817" spans="1:44" hidden="1" x14ac:dyDescent="0.5">
      <c r="A817" s="31">
        <v>806</v>
      </c>
      <c r="B817" s="31">
        <v>57</v>
      </c>
      <c r="C817" s="225" t="s">
        <v>44</v>
      </c>
      <c r="D817" s="35">
        <v>74.738</v>
      </c>
      <c r="E817" s="33">
        <v>164.326944</v>
      </c>
      <c r="F817">
        <v>248.98</v>
      </c>
      <c r="G817">
        <f>F817*1609.344</f>
        <v>400694.46912000002</v>
      </c>
      <c r="H817" s="32" t="s">
        <v>614</v>
      </c>
      <c r="I817">
        <v>70</v>
      </c>
      <c r="J817">
        <v>0</v>
      </c>
      <c r="K817" s="26">
        <v>2015</v>
      </c>
      <c r="L817" t="s">
        <v>40</v>
      </c>
      <c r="M817" s="32">
        <v>300</v>
      </c>
      <c r="N817">
        <v>36.542166029999997</v>
      </c>
      <c r="O817">
        <v>22</v>
      </c>
      <c r="P817" t="s">
        <v>17</v>
      </c>
      <c r="Q817">
        <v>100</v>
      </c>
      <c r="R817" t="s">
        <v>13</v>
      </c>
      <c r="S817" t="s">
        <v>14</v>
      </c>
      <c r="T817" t="s">
        <v>16</v>
      </c>
      <c r="U817" s="34">
        <v>0</v>
      </c>
      <c r="V817" s="34">
        <v>18</v>
      </c>
      <c r="W817" s="25">
        <v>9</v>
      </c>
      <c r="X817" s="25">
        <v>18</v>
      </c>
      <c r="Y817">
        <v>0.83342531099999995</v>
      </c>
      <c r="Z817" t="s">
        <v>814</v>
      </c>
      <c r="AA817" t="s">
        <v>646</v>
      </c>
      <c r="AB817">
        <v>3</v>
      </c>
      <c r="AC817">
        <v>2.33</v>
      </c>
      <c r="AD817">
        <v>1.1499999999999999</v>
      </c>
      <c r="AE817" t="s">
        <v>519</v>
      </c>
      <c r="AF817" t="s">
        <v>521</v>
      </c>
      <c r="AG817" s="32" t="s">
        <v>1995</v>
      </c>
      <c r="AH817" s="32" t="s">
        <v>1996</v>
      </c>
      <c r="AI817" s="32" t="s">
        <v>1997</v>
      </c>
      <c r="AJ817" s="31" t="s">
        <v>3124</v>
      </c>
      <c r="AK817" s="31">
        <v>0.74987000000000004</v>
      </c>
      <c r="AL817" s="31">
        <v>1.1646695183649825E-2</v>
      </c>
      <c r="AM817" s="31">
        <v>3.8849238751868069E-3</v>
      </c>
      <c r="AN817" s="31">
        <v>0.42559546910173318</v>
      </c>
      <c r="AO817" s="31">
        <v>0.14196353326098729</v>
      </c>
      <c r="AP817" s="31">
        <v>3.5470203619630282E-4</v>
      </c>
      <c r="AQ817" s="31">
        <v>1.1831600185869717E-4</v>
      </c>
      <c r="AR817" s="31">
        <v>0.12438211290744003</v>
      </c>
    </row>
    <row r="818" spans="1:44" hidden="1" x14ac:dyDescent="0.5">
      <c r="A818" s="31">
        <v>807</v>
      </c>
      <c r="B818" s="31">
        <v>57</v>
      </c>
      <c r="C818" s="225" t="s">
        <v>44</v>
      </c>
      <c r="D818" s="35">
        <v>74.896000000000001</v>
      </c>
      <c r="E818" s="33">
        <v>164.07388900000001</v>
      </c>
      <c r="F818">
        <v>237.73</v>
      </c>
      <c r="G818">
        <f>F818*1609.344</f>
        <v>382589.34911999997</v>
      </c>
      <c r="H818" s="32" t="s">
        <v>614</v>
      </c>
      <c r="I818">
        <v>70</v>
      </c>
      <c r="J818">
        <v>0</v>
      </c>
      <c r="K818" s="26">
        <v>2015</v>
      </c>
      <c r="L818" t="s">
        <v>40</v>
      </c>
      <c r="M818" s="32">
        <v>300</v>
      </c>
      <c r="N818">
        <v>36.542166029999997</v>
      </c>
      <c r="O818">
        <v>22</v>
      </c>
      <c r="P818" t="s">
        <v>17</v>
      </c>
      <c r="Q818">
        <v>100</v>
      </c>
      <c r="R818" t="s">
        <v>13</v>
      </c>
      <c r="S818" t="s">
        <v>14</v>
      </c>
      <c r="T818" t="s">
        <v>16</v>
      </c>
      <c r="U818" s="34">
        <v>0</v>
      </c>
      <c r="V818" s="34">
        <v>18</v>
      </c>
      <c r="W818" s="25">
        <v>9</v>
      </c>
      <c r="X818" s="25">
        <v>18</v>
      </c>
      <c r="Y818">
        <v>0.83342531099999995</v>
      </c>
      <c r="Z818" t="s">
        <v>814</v>
      </c>
      <c r="AA818" t="s">
        <v>646</v>
      </c>
      <c r="AB818">
        <v>3</v>
      </c>
      <c r="AC818">
        <v>10.33</v>
      </c>
      <c r="AD818">
        <v>7.23</v>
      </c>
      <c r="AE818" t="s">
        <v>519</v>
      </c>
      <c r="AF818" t="s">
        <v>521</v>
      </c>
      <c r="AG818" s="32" t="s">
        <v>1998</v>
      </c>
      <c r="AH818" s="32" t="s">
        <v>1999</v>
      </c>
      <c r="AI818" s="32" t="s">
        <v>2000</v>
      </c>
      <c r="AJ818" s="31" t="s">
        <v>3125</v>
      </c>
      <c r="AK818" s="31">
        <v>0.86190999999999995</v>
      </c>
      <c r="AL818" s="31">
        <v>5.9350317982149965E-2</v>
      </c>
      <c r="AM818" s="31">
        <v>9.5087484890012744E-3</v>
      </c>
      <c r="AN818" s="31">
        <v>2.1687891736370184</v>
      </c>
      <c r="AO818" s="31">
        <v>0.34747026602259617</v>
      </c>
      <c r="AP818" s="31">
        <v>1.8075237915318649E-3</v>
      </c>
      <c r="AQ818" s="31">
        <v>2.8959051452313492E-4</v>
      </c>
      <c r="AR818" s="31">
        <v>0.12438211290744003</v>
      </c>
    </row>
    <row r="819" spans="1:44" hidden="1" x14ac:dyDescent="0.5">
      <c r="A819" s="31">
        <v>808</v>
      </c>
      <c r="B819" s="31">
        <v>57</v>
      </c>
      <c r="C819" s="225" t="s">
        <v>44</v>
      </c>
      <c r="D819" s="35">
        <v>74.938000000000002</v>
      </c>
      <c r="E819" s="33">
        <v>164.365556</v>
      </c>
      <c r="F819">
        <v>236.94</v>
      </c>
      <c r="G819">
        <f>F819*1609.344</f>
        <v>381317.96736000001</v>
      </c>
      <c r="H819" s="32" t="s">
        <v>614</v>
      </c>
      <c r="I819">
        <v>70</v>
      </c>
      <c r="J819">
        <v>0</v>
      </c>
      <c r="K819" s="26">
        <v>2015</v>
      </c>
      <c r="L819" t="s">
        <v>40</v>
      </c>
      <c r="M819" s="32">
        <v>300</v>
      </c>
      <c r="N819">
        <v>36.542166029999997</v>
      </c>
      <c r="O819">
        <v>22</v>
      </c>
      <c r="P819" t="s">
        <v>17</v>
      </c>
      <c r="Q819">
        <v>100</v>
      </c>
      <c r="R819" t="s">
        <v>13</v>
      </c>
      <c r="S819" t="s">
        <v>14</v>
      </c>
      <c r="T819" t="s">
        <v>16</v>
      </c>
      <c r="U819" s="34">
        <v>0</v>
      </c>
      <c r="V819" s="34">
        <v>18</v>
      </c>
      <c r="W819" s="25">
        <v>9</v>
      </c>
      <c r="X819" s="25">
        <v>18</v>
      </c>
      <c r="Y819">
        <v>0.83342531099999995</v>
      </c>
      <c r="Z819" t="s">
        <v>814</v>
      </c>
      <c r="AA819" t="s">
        <v>646</v>
      </c>
      <c r="AB819">
        <v>3</v>
      </c>
      <c r="AC819">
        <v>37.67</v>
      </c>
      <c r="AD819">
        <v>33.65</v>
      </c>
      <c r="AE819" t="s">
        <v>519</v>
      </c>
      <c r="AF819" t="s">
        <v>521</v>
      </c>
      <c r="AG819" s="32" t="s">
        <v>2001</v>
      </c>
      <c r="AH819" s="32" t="s">
        <v>2002</v>
      </c>
      <c r="AI819" s="32" t="s">
        <v>2003</v>
      </c>
      <c r="AJ819" s="31" t="s">
        <v>3126</v>
      </c>
      <c r="AK819" s="31">
        <v>0.55803000000000003</v>
      </c>
      <c r="AL819" s="31">
        <v>0.140124468014067</v>
      </c>
      <c r="AM819" s="31">
        <v>0.1109811499886694</v>
      </c>
      <c r="AN819" s="31">
        <v>5.1204515750354602</v>
      </c>
      <c r="AO819" s="31">
        <v>4.0554916090862898</v>
      </c>
      <c r="AP819" s="31">
        <v>4.2675139463843681E-3</v>
      </c>
      <c r="AQ819" s="31">
        <v>3.379949355560631E-3</v>
      </c>
      <c r="AR819" s="31">
        <v>0.12438211290744003</v>
      </c>
    </row>
    <row r="820" spans="1:44" hidden="1" x14ac:dyDescent="0.5">
      <c r="A820" s="31">
        <v>809</v>
      </c>
      <c r="B820" s="31">
        <v>57</v>
      </c>
      <c r="C820" s="225" t="s">
        <v>44</v>
      </c>
      <c r="D820" s="35">
        <v>74.72</v>
      </c>
      <c r="E820" s="33">
        <v>164.244167</v>
      </c>
      <c r="F820">
        <v>244.31</v>
      </c>
      <c r="G820">
        <f>F820*1609.344</f>
        <v>393178.83264000004</v>
      </c>
      <c r="H820" s="32" t="s">
        <v>614</v>
      </c>
      <c r="I820">
        <v>140</v>
      </c>
      <c r="J820">
        <v>0</v>
      </c>
      <c r="K820" s="26">
        <v>2015</v>
      </c>
      <c r="L820" t="s">
        <v>40</v>
      </c>
      <c r="M820" s="32">
        <v>300</v>
      </c>
      <c r="N820">
        <v>36.542166029999997</v>
      </c>
      <c r="O820">
        <v>22</v>
      </c>
      <c r="P820" t="s">
        <v>17</v>
      </c>
      <c r="Q820">
        <v>100</v>
      </c>
      <c r="R820" t="s">
        <v>13</v>
      </c>
      <c r="S820" t="s">
        <v>14</v>
      </c>
      <c r="T820" t="s">
        <v>16</v>
      </c>
      <c r="U820" s="34">
        <v>0</v>
      </c>
      <c r="V820" s="34">
        <v>18</v>
      </c>
      <c r="W820" s="25">
        <v>9</v>
      </c>
      <c r="X820" s="25">
        <v>18</v>
      </c>
      <c r="Y820">
        <v>0.83342531099999995</v>
      </c>
      <c r="Z820" t="s">
        <v>814</v>
      </c>
      <c r="AA820" t="s">
        <v>646</v>
      </c>
      <c r="AB820">
        <v>3</v>
      </c>
      <c r="AC820">
        <v>25.33</v>
      </c>
      <c r="AD820">
        <v>24.58</v>
      </c>
      <c r="AE820" t="s">
        <v>519</v>
      </c>
      <c r="AF820" t="s">
        <v>521</v>
      </c>
      <c r="AG820" s="32" t="s">
        <v>2004</v>
      </c>
      <c r="AH820" s="32" t="s">
        <v>2005</v>
      </c>
      <c r="AI820" s="32" t="s">
        <v>2006</v>
      </c>
      <c r="AJ820" s="31" t="s">
        <v>3127</v>
      </c>
      <c r="AK820" s="31">
        <v>0.60268999999999995</v>
      </c>
      <c r="AL820" s="31">
        <v>0.10176301942323793</v>
      </c>
      <c r="AM820" s="31">
        <v>6.7085010946003193E-2</v>
      </c>
      <c r="AN820" s="31">
        <v>3.7186411514780748</v>
      </c>
      <c r="AO820" s="31">
        <v>2.4514316081132157</v>
      </c>
      <c r="AP820" s="31">
        <v>3.0992096581680126E-3</v>
      </c>
      <c r="AQ820" s="31">
        <v>2.0430851503869868E-3</v>
      </c>
      <c r="AR820" s="31">
        <v>0.11595768328139726</v>
      </c>
    </row>
    <row r="821" spans="1:44" hidden="1" x14ac:dyDescent="0.5">
      <c r="A821" s="31">
        <v>810</v>
      </c>
      <c r="B821" s="31">
        <v>57</v>
      </c>
      <c r="C821" s="225" t="s">
        <v>44</v>
      </c>
      <c r="D821" s="35">
        <v>74.938000000000002</v>
      </c>
      <c r="E821" s="33">
        <v>164.255</v>
      </c>
      <c r="F821">
        <v>243.85</v>
      </c>
      <c r="G821">
        <f>F821*1609.344</f>
        <v>392438.5344</v>
      </c>
      <c r="H821" s="32" t="s">
        <v>614</v>
      </c>
      <c r="I821">
        <v>140</v>
      </c>
      <c r="J821">
        <v>0</v>
      </c>
      <c r="K821" s="26">
        <v>2015</v>
      </c>
      <c r="L821" t="s">
        <v>40</v>
      </c>
      <c r="M821" s="32">
        <v>300</v>
      </c>
      <c r="N821">
        <v>36.542166029999997</v>
      </c>
      <c r="O821">
        <v>22</v>
      </c>
      <c r="P821" t="s">
        <v>17</v>
      </c>
      <c r="Q821">
        <v>100</v>
      </c>
      <c r="R821" t="s">
        <v>13</v>
      </c>
      <c r="S821" t="s">
        <v>14</v>
      </c>
      <c r="T821" t="s">
        <v>16</v>
      </c>
      <c r="U821" s="34">
        <v>0</v>
      </c>
      <c r="V821" s="34">
        <v>18</v>
      </c>
      <c r="W821" s="25">
        <v>9</v>
      </c>
      <c r="X821" s="25">
        <v>18</v>
      </c>
      <c r="Y821">
        <v>0.83342531099999995</v>
      </c>
      <c r="Z821" t="s">
        <v>814</v>
      </c>
      <c r="AA821" t="s">
        <v>646</v>
      </c>
      <c r="AB821">
        <v>3</v>
      </c>
      <c r="AC821">
        <v>17.670000000000002</v>
      </c>
      <c r="AD821">
        <v>6.43</v>
      </c>
      <c r="AE821" t="s">
        <v>519</v>
      </c>
      <c r="AF821" t="s">
        <v>521</v>
      </c>
      <c r="AG821" s="32" t="s">
        <v>2007</v>
      </c>
      <c r="AH821" s="32" t="s">
        <v>2008</v>
      </c>
      <c r="AI821" s="32" t="s">
        <v>2009</v>
      </c>
      <c r="AJ821" s="31" t="s">
        <v>3128</v>
      </c>
      <c r="AK821" s="31">
        <v>0.85258</v>
      </c>
      <c r="AL821" s="31">
        <v>0.10042284000979504</v>
      </c>
      <c r="AM821" s="31">
        <v>1.736415946215486E-2</v>
      </c>
      <c r="AN821" s="31">
        <v>3.6696680928420573</v>
      </c>
      <c r="AO821" s="31">
        <v>0.63452399803745829</v>
      </c>
      <c r="AP821" s="31">
        <v>3.0583942715436685E-3</v>
      </c>
      <c r="AQ821" s="31">
        <v>5.28828360401332E-4</v>
      </c>
      <c r="AR821" s="31">
        <v>0.11595768328139726</v>
      </c>
    </row>
    <row r="822" spans="1:44" hidden="1" x14ac:dyDescent="0.5">
      <c r="A822" s="31">
        <v>821</v>
      </c>
      <c r="B822" s="31">
        <v>58</v>
      </c>
      <c r="C822" s="225" t="s">
        <v>43</v>
      </c>
      <c r="D822" s="35">
        <v>52.029215999999998</v>
      </c>
      <c r="E822" s="33">
        <v>4.1325960000000004</v>
      </c>
      <c r="F822">
        <v>24.85</v>
      </c>
      <c r="G822">
        <f>F822*1609.344</f>
        <v>39992.198400000001</v>
      </c>
      <c r="H822" s="32" t="s">
        <v>614</v>
      </c>
      <c r="I822" s="7">
        <v>9</v>
      </c>
      <c r="J822">
        <v>787.23283443093396</v>
      </c>
      <c r="K822" s="26">
        <v>2012.5</v>
      </c>
      <c r="L822" t="s">
        <v>40</v>
      </c>
      <c r="M822" s="32">
        <v>10</v>
      </c>
      <c r="N822">
        <v>0.99999999799999995</v>
      </c>
      <c r="O822">
        <v>5</v>
      </c>
      <c r="P822" t="s">
        <v>12</v>
      </c>
      <c r="Q822">
        <v>89</v>
      </c>
      <c r="R822" t="s">
        <v>13</v>
      </c>
      <c r="S822" t="s">
        <v>14</v>
      </c>
      <c r="T822" t="s">
        <v>14</v>
      </c>
      <c r="U822" s="34">
        <v>0</v>
      </c>
      <c r="V822" s="34">
        <v>10</v>
      </c>
      <c r="W822" s="25">
        <v>5</v>
      </c>
      <c r="X822" s="25">
        <v>10</v>
      </c>
      <c r="Y822">
        <v>1.788789671</v>
      </c>
      <c r="Z822" t="s">
        <v>1104</v>
      </c>
      <c r="AA822" t="s">
        <v>622</v>
      </c>
      <c r="AB822">
        <v>1</v>
      </c>
      <c r="AC822">
        <v>100</v>
      </c>
      <c r="AF822" t="s">
        <v>532</v>
      </c>
      <c r="AG822" s="32">
        <v>100</v>
      </c>
      <c r="AH822" s="32" t="s">
        <v>2013</v>
      </c>
      <c r="AI822" s="32" t="s">
        <v>2023</v>
      </c>
      <c r="AJ822" s="31" t="s">
        <v>3139</v>
      </c>
      <c r="AK822" s="31">
        <v>0.13466</v>
      </c>
      <c r="AL822" s="31">
        <v>13.466000000000001</v>
      </c>
      <c r="AM822" s="31">
        <v>86.533999999999992</v>
      </c>
      <c r="AN822" s="31">
        <v>15.130337048391009</v>
      </c>
      <c r="AO822" s="31">
        <v>97.229213288687632</v>
      </c>
      <c r="AP822" s="31">
        <v>2.7064990630910463E-2</v>
      </c>
      <c r="AQ822" s="31">
        <v>0.17392261245026039</v>
      </c>
      <c r="AR822" s="31">
        <v>0.13222094293149678</v>
      </c>
    </row>
    <row r="823" spans="1:44" hidden="1" x14ac:dyDescent="0.5">
      <c r="A823" s="31">
        <v>822</v>
      </c>
      <c r="B823" s="31">
        <v>58</v>
      </c>
      <c r="C823" s="225" t="s">
        <v>43</v>
      </c>
      <c r="D823" s="35">
        <v>53.893574000000001</v>
      </c>
      <c r="E823" s="33">
        <v>4.3228850000000003</v>
      </c>
      <c r="F823">
        <v>62.14</v>
      </c>
      <c r="G823">
        <f>F823*1609.344</f>
        <v>100004.63616000001</v>
      </c>
      <c r="H823" s="32" t="s">
        <v>614</v>
      </c>
      <c r="I823" s="7">
        <v>42</v>
      </c>
      <c r="J823">
        <v>67.514479941064195</v>
      </c>
      <c r="K823" s="26">
        <v>2012.5</v>
      </c>
      <c r="L823" t="s">
        <v>40</v>
      </c>
      <c r="M823" s="32">
        <v>10</v>
      </c>
      <c r="N823">
        <v>0.99999999799999995</v>
      </c>
      <c r="O823">
        <v>5</v>
      </c>
      <c r="P823" t="s">
        <v>12</v>
      </c>
      <c r="Q823">
        <v>89</v>
      </c>
      <c r="R823" t="s">
        <v>13</v>
      </c>
      <c r="S823" t="s">
        <v>14</v>
      </c>
      <c r="T823" t="s">
        <v>14</v>
      </c>
      <c r="U823" s="34">
        <v>0</v>
      </c>
      <c r="V823" s="34">
        <v>10</v>
      </c>
      <c r="W823" s="25">
        <v>5</v>
      </c>
      <c r="X823" s="25">
        <v>10</v>
      </c>
      <c r="Y823">
        <v>1.092945329</v>
      </c>
      <c r="Z823" t="s">
        <v>1104</v>
      </c>
      <c r="AA823" t="s">
        <v>622</v>
      </c>
      <c r="AB823">
        <v>1</v>
      </c>
      <c r="AC823">
        <v>440</v>
      </c>
      <c r="AF823" t="s">
        <v>532</v>
      </c>
      <c r="AG823" s="32">
        <v>440</v>
      </c>
      <c r="AH823" s="32" t="s">
        <v>2013</v>
      </c>
      <c r="AI823" s="32" t="s">
        <v>2019</v>
      </c>
      <c r="AJ823" s="31" t="s">
        <v>3135</v>
      </c>
      <c r="AK823" s="31">
        <v>0.13466</v>
      </c>
      <c r="AL823" s="31">
        <v>59.250399999999999</v>
      </c>
      <c r="AM823" s="31">
        <v>380.74959999999999</v>
      </c>
      <c r="AN823" s="31">
        <v>66.573483012920448</v>
      </c>
      <c r="AO823" s="31">
        <v>427.80853847022559</v>
      </c>
      <c r="AP823" s="31">
        <v>7.2761177294232246E-2</v>
      </c>
      <c r="AQ823" s="31">
        <v>0.46757134382734988</v>
      </c>
      <c r="AR823" s="31">
        <v>0.12792083629789139</v>
      </c>
    </row>
    <row r="824" spans="1:44" hidden="1" x14ac:dyDescent="0.5">
      <c r="A824" s="31">
        <v>823</v>
      </c>
      <c r="B824" s="31">
        <v>58</v>
      </c>
      <c r="C824" s="225" t="s">
        <v>43</v>
      </c>
      <c r="D824" s="35">
        <v>54.104638999999999</v>
      </c>
      <c r="E824" s="33">
        <v>3.905923</v>
      </c>
      <c r="F824">
        <v>83.89</v>
      </c>
      <c r="G824">
        <f>F824*1609.344</f>
        <v>135007.86816000001</v>
      </c>
      <c r="H824" s="32" t="s">
        <v>614</v>
      </c>
      <c r="I824" s="7">
        <v>47</v>
      </c>
      <c r="J824">
        <v>0</v>
      </c>
      <c r="K824" s="26">
        <v>2012.5</v>
      </c>
      <c r="L824" t="s">
        <v>40</v>
      </c>
      <c r="M824" s="32">
        <v>10</v>
      </c>
      <c r="N824">
        <v>0.99999999799999995</v>
      </c>
      <c r="O824">
        <v>5</v>
      </c>
      <c r="P824" t="s">
        <v>12</v>
      </c>
      <c r="Q824">
        <v>89</v>
      </c>
      <c r="R824" t="s">
        <v>13</v>
      </c>
      <c r="S824" t="s">
        <v>14</v>
      </c>
      <c r="T824" t="s">
        <v>14</v>
      </c>
      <c r="U824" s="34">
        <v>0</v>
      </c>
      <c r="V824" s="34">
        <v>10</v>
      </c>
      <c r="W824" s="25">
        <v>5</v>
      </c>
      <c r="X824" s="25">
        <v>10</v>
      </c>
      <c r="Y824">
        <v>1.092945329</v>
      </c>
      <c r="Z824" t="s">
        <v>1104</v>
      </c>
      <c r="AA824" t="s">
        <v>622</v>
      </c>
      <c r="AB824">
        <v>1</v>
      </c>
      <c r="AC824">
        <v>520</v>
      </c>
      <c r="AF824" t="s">
        <v>532</v>
      </c>
      <c r="AG824" s="32">
        <v>520</v>
      </c>
      <c r="AH824" s="32" t="s">
        <v>2013</v>
      </c>
      <c r="AI824" s="32" t="s">
        <v>2015</v>
      </c>
      <c r="AJ824" s="31" t="s">
        <v>3131</v>
      </c>
      <c r="AK824" s="31">
        <v>0.13466</v>
      </c>
      <c r="AL824" s="31">
        <v>70.023200000000003</v>
      </c>
      <c r="AM824" s="31">
        <v>449.97680000000003</v>
      </c>
      <c r="AN824" s="31">
        <v>78.677752651633241</v>
      </c>
      <c r="AO824" s="31">
        <v>505.59190910117564</v>
      </c>
      <c r="AP824" s="31">
        <v>8.5990482256819906E-2</v>
      </c>
      <c r="AQ824" s="31">
        <v>0.55258431543232256</v>
      </c>
      <c r="AR824" s="31">
        <v>0.12728161875858038</v>
      </c>
    </row>
    <row r="825" spans="1:44" hidden="1" x14ac:dyDescent="0.5">
      <c r="A825" s="31">
        <v>824</v>
      </c>
      <c r="B825" s="31">
        <v>58</v>
      </c>
      <c r="C825" s="225" t="s">
        <v>43</v>
      </c>
      <c r="D825" s="35">
        <v>54.406646000000002</v>
      </c>
      <c r="E825" s="33">
        <v>3.4562369999999998</v>
      </c>
      <c r="F825">
        <v>108.74</v>
      </c>
      <c r="G825">
        <f>F825*1609.344</f>
        <v>175000.06656000001</v>
      </c>
      <c r="H825" s="32" t="s">
        <v>614</v>
      </c>
      <c r="I825" s="7">
        <v>44</v>
      </c>
      <c r="J825">
        <v>0</v>
      </c>
      <c r="K825" s="26">
        <v>2012.5</v>
      </c>
      <c r="L825" t="s">
        <v>40</v>
      </c>
      <c r="M825" s="32">
        <v>10</v>
      </c>
      <c r="N825">
        <v>0.99999999799999995</v>
      </c>
      <c r="O825">
        <v>5</v>
      </c>
      <c r="P825" t="s">
        <v>12</v>
      </c>
      <c r="Q825">
        <v>89</v>
      </c>
      <c r="R825" t="s">
        <v>13</v>
      </c>
      <c r="S825" t="s">
        <v>14</v>
      </c>
      <c r="T825" t="s">
        <v>14</v>
      </c>
      <c r="U825" s="34">
        <v>0</v>
      </c>
      <c r="V825" s="34">
        <v>10</v>
      </c>
      <c r="W825" s="25">
        <v>5</v>
      </c>
      <c r="X825" s="25">
        <v>10</v>
      </c>
      <c r="Y825">
        <v>1.092945329</v>
      </c>
      <c r="Z825" t="s">
        <v>1104</v>
      </c>
      <c r="AA825" t="s">
        <v>622</v>
      </c>
      <c r="AB825">
        <v>1</v>
      </c>
      <c r="AC825">
        <v>470</v>
      </c>
      <c r="AF825" t="s">
        <v>532</v>
      </c>
      <c r="AG825" s="32">
        <v>470</v>
      </c>
      <c r="AH825" s="32" t="s">
        <v>2013</v>
      </c>
      <c r="AI825" s="32" t="s">
        <v>2024</v>
      </c>
      <c r="AJ825" s="31" t="s">
        <v>3140</v>
      </c>
      <c r="AK825" s="31">
        <v>0.13466</v>
      </c>
      <c r="AL825" s="31">
        <v>63.290199999999999</v>
      </c>
      <c r="AM825" s="31">
        <v>406.70979999999997</v>
      </c>
      <c r="AN825" s="31">
        <v>71.112584127437756</v>
      </c>
      <c r="AO825" s="31">
        <v>456.97730245683186</v>
      </c>
      <c r="AP825" s="31">
        <v>7.7722166655202637E-2</v>
      </c>
      <c r="AQ825" s="31">
        <v>0.49945120817921462</v>
      </c>
      <c r="AR825" s="31">
        <v>0.12766476495864665</v>
      </c>
    </row>
    <row r="826" spans="1:44" hidden="1" x14ac:dyDescent="0.5">
      <c r="A826" s="31">
        <v>326</v>
      </c>
      <c r="B826" s="31">
        <v>23</v>
      </c>
      <c r="C826" s="225" t="s">
        <v>20</v>
      </c>
      <c r="D826" s="35">
        <v>45.59</v>
      </c>
      <c r="E826" s="33">
        <v>12.89</v>
      </c>
      <c r="F826">
        <v>0</v>
      </c>
      <c r="G826">
        <f>F826*1609.344</f>
        <v>0</v>
      </c>
      <c r="H826" s="31" t="s">
        <v>614</v>
      </c>
      <c r="I826">
        <v>1.3</v>
      </c>
      <c r="J826">
        <v>225.23325576745299</v>
      </c>
      <c r="K826" s="26">
        <v>2016</v>
      </c>
      <c r="L826" t="s">
        <v>40</v>
      </c>
      <c r="M826" s="32">
        <v>500</v>
      </c>
      <c r="N826">
        <v>62.735052189999998</v>
      </c>
      <c r="O826">
        <v>5</v>
      </c>
      <c r="P826" t="s">
        <v>12</v>
      </c>
      <c r="Q826">
        <v>89</v>
      </c>
      <c r="R826" t="s">
        <v>13</v>
      </c>
      <c r="S826" t="s">
        <v>16</v>
      </c>
      <c r="T826" t="s">
        <v>16</v>
      </c>
      <c r="U826" s="240">
        <v>0</v>
      </c>
      <c r="V826" s="240">
        <v>10</v>
      </c>
      <c r="W826" s="25">
        <v>5</v>
      </c>
      <c r="X826" s="25">
        <v>10</v>
      </c>
      <c r="Y826" s="244">
        <v>0.91868156199999995</v>
      </c>
      <c r="Z826" t="s">
        <v>1100</v>
      </c>
      <c r="AA826" t="s">
        <v>622</v>
      </c>
      <c r="AB826">
        <v>1</v>
      </c>
      <c r="AC826">
        <v>703</v>
      </c>
      <c r="AF826" t="s">
        <v>532</v>
      </c>
      <c r="AG826" s="32">
        <v>703</v>
      </c>
      <c r="AH826" s="32">
        <v>0.8821</v>
      </c>
      <c r="AI826" s="32">
        <v>620.11630000000002</v>
      </c>
      <c r="AJ826" s="31">
        <v>82.883699999999976</v>
      </c>
      <c r="AK826" s="31">
        <v>0.8821</v>
      </c>
      <c r="AL826" s="31">
        <v>620.11630000000002</v>
      </c>
      <c r="AM826" s="31">
        <v>82.883699999999976</v>
      </c>
      <c r="AN826" s="31">
        <v>43711.26791502213</v>
      </c>
      <c r="AO826" s="31">
        <v>5842.374432809328</v>
      </c>
      <c r="AP826" s="31">
        <v>40.156735885173006</v>
      </c>
      <c r="AQ826" s="31">
        <v>5.3672816697221375</v>
      </c>
      <c r="AR826" s="31">
        <v>0.13324492416794398</v>
      </c>
    </row>
    <row r="827" spans="1:44" hidden="1" x14ac:dyDescent="0.5">
      <c r="A827" s="31">
        <v>327</v>
      </c>
      <c r="B827" s="31">
        <v>23</v>
      </c>
      <c r="C827" s="225" t="s">
        <v>20</v>
      </c>
      <c r="D827" s="35">
        <v>45.59</v>
      </c>
      <c r="E827" s="33">
        <v>12.89</v>
      </c>
      <c r="F827">
        <v>7.0000000000000007E-2</v>
      </c>
      <c r="G827">
        <f>F827*1609.344</f>
        <v>112.65408000000001</v>
      </c>
      <c r="H827" s="32" t="s">
        <v>614</v>
      </c>
      <c r="I827">
        <v>3.5</v>
      </c>
      <c r="J827">
        <v>225.23325576745299</v>
      </c>
      <c r="K827" s="26">
        <v>2016</v>
      </c>
      <c r="L827" t="s">
        <v>40</v>
      </c>
      <c r="M827" s="32">
        <v>400</v>
      </c>
      <c r="N827">
        <v>49.542677019999999</v>
      </c>
      <c r="O827">
        <v>5</v>
      </c>
      <c r="P827" t="s">
        <v>12</v>
      </c>
      <c r="Q827">
        <v>89</v>
      </c>
      <c r="R827" t="s">
        <v>13</v>
      </c>
      <c r="S827" t="s">
        <v>16</v>
      </c>
      <c r="T827" t="s">
        <v>16</v>
      </c>
      <c r="U827" s="34">
        <v>0</v>
      </c>
      <c r="V827" s="34">
        <v>10</v>
      </c>
      <c r="W827" s="25">
        <v>5</v>
      </c>
      <c r="X827" s="25">
        <v>10</v>
      </c>
      <c r="Y827" s="244">
        <v>0.91868156199999995</v>
      </c>
      <c r="Z827" t="s">
        <v>1100</v>
      </c>
      <c r="AA827" t="s">
        <v>622</v>
      </c>
      <c r="AB827">
        <v>1</v>
      </c>
      <c r="AC827">
        <v>170</v>
      </c>
      <c r="AF827" t="s">
        <v>532</v>
      </c>
      <c r="AG827" s="32">
        <v>170</v>
      </c>
      <c r="AH827" s="32" t="s">
        <v>1344</v>
      </c>
      <c r="AI827" s="32" t="s">
        <v>1345</v>
      </c>
      <c r="AJ827" s="31" t="s">
        <v>2810</v>
      </c>
      <c r="AK827" s="31">
        <v>0.8821</v>
      </c>
      <c r="AL827" s="31">
        <v>149.95699999999999</v>
      </c>
      <c r="AM827" s="31">
        <v>20.043000000000006</v>
      </c>
      <c r="AN827" s="31">
        <v>8347.4957504361118</v>
      </c>
      <c r="AO827" s="31">
        <v>1115.7122196762475</v>
      </c>
      <c r="AP827" s="31">
        <v>7.668690434799009</v>
      </c>
      <c r="AQ827" s="31">
        <v>1.024984244714662</v>
      </c>
      <c r="AR827" s="31">
        <v>0.13295155157100644</v>
      </c>
    </row>
    <row r="828" spans="1:44" hidden="1" x14ac:dyDescent="0.5">
      <c r="A828" s="31">
        <v>811</v>
      </c>
      <c r="B828" s="31">
        <v>57</v>
      </c>
      <c r="C828" s="225" t="s">
        <v>44</v>
      </c>
      <c r="D828" s="35">
        <v>74.953000000000003</v>
      </c>
      <c r="E828" s="33">
        <v>164.141111</v>
      </c>
      <c r="F828">
        <v>237.16</v>
      </c>
      <c r="G828">
        <f>F828*1609.344</f>
        <v>381672.02304</v>
      </c>
      <c r="H828" s="32" t="s">
        <v>614</v>
      </c>
      <c r="I828">
        <v>140</v>
      </c>
      <c r="J828">
        <v>0</v>
      </c>
      <c r="K828" s="26">
        <v>2015</v>
      </c>
      <c r="L828" t="s">
        <v>40</v>
      </c>
      <c r="M828" s="32">
        <v>300</v>
      </c>
      <c r="N828">
        <v>36.542166029999997</v>
      </c>
      <c r="O828">
        <v>22</v>
      </c>
      <c r="P828" t="s">
        <v>17</v>
      </c>
      <c r="Q828">
        <v>100</v>
      </c>
      <c r="R828" t="s">
        <v>13</v>
      </c>
      <c r="S828" t="s">
        <v>14</v>
      </c>
      <c r="T828" t="s">
        <v>16</v>
      </c>
      <c r="U828" s="34">
        <v>0</v>
      </c>
      <c r="V828" s="34">
        <v>18</v>
      </c>
      <c r="W828" s="25">
        <v>9</v>
      </c>
      <c r="X828" s="25">
        <v>18</v>
      </c>
      <c r="Y828">
        <v>0.83342531099999995</v>
      </c>
      <c r="Z828" t="s">
        <v>814</v>
      </c>
      <c r="AA828" t="s">
        <v>646</v>
      </c>
      <c r="AB828">
        <v>3</v>
      </c>
      <c r="AC828">
        <v>18.670000000000002</v>
      </c>
      <c r="AD828">
        <v>8.6199999999999992</v>
      </c>
      <c r="AE828" t="s">
        <v>519</v>
      </c>
      <c r="AF828" t="s">
        <v>521</v>
      </c>
      <c r="AG828" s="32" t="s">
        <v>2010</v>
      </c>
      <c r="AH828" s="32" t="s">
        <v>2011</v>
      </c>
      <c r="AI828" s="32" t="s">
        <v>2012</v>
      </c>
      <c r="AJ828" s="31" t="s">
        <v>3129</v>
      </c>
      <c r="AK828" s="31">
        <v>0.89288000000000001</v>
      </c>
      <c r="AL828" s="31">
        <v>0.11112153249420306</v>
      </c>
      <c r="AM828" s="31">
        <v>1.3331397904286169E-2</v>
      </c>
      <c r="AN828" s="31">
        <v>4.0606214899112079</v>
      </c>
      <c r="AO828" s="31">
        <v>0.4871581556304192</v>
      </c>
      <c r="AP828" s="31">
        <v>3.3842247280825312E-3</v>
      </c>
      <c r="AQ828" s="31">
        <v>4.060099373624685E-4</v>
      </c>
      <c r="AR828" s="31">
        <v>0.11595768328139726</v>
      </c>
    </row>
    <row r="829" spans="1:44" hidden="1" x14ac:dyDescent="0.5">
      <c r="A829" s="31">
        <v>329</v>
      </c>
      <c r="B829" s="31">
        <v>23</v>
      </c>
      <c r="C829" s="225" t="s">
        <v>20</v>
      </c>
      <c r="D829" s="35">
        <v>45.59</v>
      </c>
      <c r="E829" s="33">
        <v>13.01</v>
      </c>
      <c r="F829">
        <v>2.61</v>
      </c>
      <c r="G829">
        <f t="shared" si="6"/>
        <v>4200.3878400000003</v>
      </c>
      <c r="H829" s="31" t="s">
        <v>614</v>
      </c>
      <c r="I829">
        <v>17.3</v>
      </c>
      <c r="J829">
        <v>204.38870426970601</v>
      </c>
      <c r="K829" s="26">
        <v>2016</v>
      </c>
      <c r="L829" t="s">
        <v>40</v>
      </c>
      <c r="M829" s="32">
        <v>500</v>
      </c>
      <c r="N829">
        <v>62.735052189999998</v>
      </c>
      <c r="O829">
        <v>5</v>
      </c>
      <c r="P829" t="s">
        <v>12</v>
      </c>
      <c r="Q829">
        <v>89</v>
      </c>
      <c r="R829" t="s">
        <v>13</v>
      </c>
      <c r="S829" t="s">
        <v>16</v>
      </c>
      <c r="T829" t="s">
        <v>16</v>
      </c>
      <c r="U829" s="240">
        <v>0</v>
      </c>
      <c r="V829" s="240">
        <v>10</v>
      </c>
      <c r="W829" s="25">
        <v>5</v>
      </c>
      <c r="X829" s="25">
        <v>10</v>
      </c>
      <c r="Y829" s="244">
        <v>0.91868156199999995</v>
      </c>
      <c r="Z829" t="s">
        <v>1100</v>
      </c>
      <c r="AA829" t="s">
        <v>622</v>
      </c>
      <c r="AB829">
        <v>1</v>
      </c>
      <c r="AC829">
        <v>194</v>
      </c>
      <c r="AF829" t="s">
        <v>532</v>
      </c>
      <c r="AG829" s="32">
        <v>194</v>
      </c>
      <c r="AH829" s="32">
        <v>0.8821</v>
      </c>
      <c r="AI829" s="32">
        <v>171.12739999999999</v>
      </c>
      <c r="AJ829" s="31">
        <v>22.872600000000006</v>
      </c>
      <c r="AK829" s="31">
        <v>0.8821</v>
      </c>
      <c r="AL829" s="31">
        <v>171.12739999999999</v>
      </c>
      <c r="AM829" s="31">
        <v>22.872600000000006</v>
      </c>
      <c r="AN829" s="31">
        <v>12062.568955212364</v>
      </c>
      <c r="AO829" s="31">
        <v>1612.2626457539261</v>
      </c>
      <c r="AP829" s="31">
        <v>11.081659689507202</v>
      </c>
      <c r="AQ829" s="31">
        <v>1.4811559657554696</v>
      </c>
      <c r="AR829" s="31">
        <v>0.13112598210961315</v>
      </c>
    </row>
    <row r="830" spans="1:44" hidden="1" x14ac:dyDescent="0.5">
      <c r="A830" s="31">
        <v>330</v>
      </c>
      <c r="B830" s="31">
        <v>23</v>
      </c>
      <c r="C830" s="225" t="s">
        <v>20</v>
      </c>
      <c r="D830" s="35">
        <v>45.59</v>
      </c>
      <c r="E830" s="33">
        <v>13.03</v>
      </c>
      <c r="F830">
        <v>2.71</v>
      </c>
      <c r="G830">
        <f t="shared" si="6"/>
        <v>4361.3222400000004</v>
      </c>
      <c r="H830" s="31" t="s">
        <v>614</v>
      </c>
      <c r="I830">
        <v>17.5</v>
      </c>
      <c r="J830">
        <v>200.47212472198601</v>
      </c>
      <c r="K830" s="26">
        <v>2016</v>
      </c>
      <c r="L830" t="s">
        <v>40</v>
      </c>
      <c r="M830" s="32">
        <v>500</v>
      </c>
      <c r="N830">
        <v>62.735052189999998</v>
      </c>
      <c r="O830">
        <v>5</v>
      </c>
      <c r="P830" t="s">
        <v>12</v>
      </c>
      <c r="Q830">
        <v>89</v>
      </c>
      <c r="R830" t="s">
        <v>13</v>
      </c>
      <c r="S830" t="s">
        <v>16</v>
      </c>
      <c r="T830" t="s">
        <v>16</v>
      </c>
      <c r="U830" s="240">
        <v>0</v>
      </c>
      <c r="V830" s="240">
        <v>10</v>
      </c>
      <c r="W830" s="25">
        <v>5</v>
      </c>
      <c r="X830" s="25">
        <v>10</v>
      </c>
      <c r="Y830" s="244">
        <v>0.91868156199999995</v>
      </c>
      <c r="Z830" t="s">
        <v>1100</v>
      </c>
      <c r="AA830" t="s">
        <v>622</v>
      </c>
      <c r="AB830">
        <v>1</v>
      </c>
      <c r="AC830">
        <v>233</v>
      </c>
      <c r="AF830" t="s">
        <v>532</v>
      </c>
      <c r="AG830" s="32">
        <v>233</v>
      </c>
      <c r="AH830" s="32">
        <v>0.8821</v>
      </c>
      <c r="AI830" s="32">
        <v>205.52930000000001</v>
      </c>
      <c r="AJ830" s="31">
        <v>27.470699999999994</v>
      </c>
      <c r="AK830" s="31">
        <v>0.8821</v>
      </c>
      <c r="AL830" s="31">
        <v>205.52930000000001</v>
      </c>
      <c r="AM830" s="31">
        <v>27.470699999999994</v>
      </c>
      <c r="AN830" s="31">
        <v>14487.518384352998</v>
      </c>
      <c r="AO830" s="31">
        <v>1936.3773013436319</v>
      </c>
      <c r="AP830" s="31">
        <v>13.309416018841127</v>
      </c>
      <c r="AQ830" s="31">
        <v>1.7789141238197124</v>
      </c>
      <c r="AR830" s="31">
        <v>0.131099709695988</v>
      </c>
    </row>
    <row r="831" spans="1:44" hidden="1" x14ac:dyDescent="0.5">
      <c r="A831" s="31">
        <v>328</v>
      </c>
      <c r="B831" s="31">
        <v>23</v>
      </c>
      <c r="C831" s="225" t="s">
        <v>20</v>
      </c>
      <c r="D831" s="35">
        <v>45.59</v>
      </c>
      <c r="E831" s="33">
        <v>13.13</v>
      </c>
      <c r="F831">
        <v>3.3</v>
      </c>
      <c r="G831">
        <f t="shared" si="6"/>
        <v>5310.8351999999995</v>
      </c>
      <c r="H831" s="31" t="s">
        <v>614</v>
      </c>
      <c r="I831">
        <v>14.8</v>
      </c>
      <c r="J831">
        <v>183.883964561049</v>
      </c>
      <c r="K831" s="26">
        <v>2016</v>
      </c>
      <c r="L831" t="s">
        <v>40</v>
      </c>
      <c r="M831" s="32">
        <v>500</v>
      </c>
      <c r="N831">
        <v>62.735052189999998</v>
      </c>
      <c r="O831">
        <v>5</v>
      </c>
      <c r="P831" t="s">
        <v>12</v>
      </c>
      <c r="Q831">
        <v>89</v>
      </c>
      <c r="R831" t="s">
        <v>13</v>
      </c>
      <c r="S831" t="s">
        <v>16</v>
      </c>
      <c r="T831" t="s">
        <v>16</v>
      </c>
      <c r="U831" s="240">
        <v>0</v>
      </c>
      <c r="V831" s="240">
        <v>10</v>
      </c>
      <c r="W831" s="25">
        <v>5</v>
      </c>
      <c r="X831" s="25">
        <v>10</v>
      </c>
      <c r="Y831" s="244">
        <v>0.91868156199999995</v>
      </c>
      <c r="Z831" t="s">
        <v>1100</v>
      </c>
      <c r="AA831" t="s">
        <v>622</v>
      </c>
      <c r="AB831">
        <v>1</v>
      </c>
      <c r="AC831">
        <v>199</v>
      </c>
      <c r="AF831" t="s">
        <v>532</v>
      </c>
      <c r="AG831" s="32">
        <v>199</v>
      </c>
      <c r="AH831" s="32">
        <v>0.8821</v>
      </c>
      <c r="AI831" s="32">
        <v>175.53790000000001</v>
      </c>
      <c r="AJ831" s="31">
        <v>23.462099999999992</v>
      </c>
      <c r="AK831" s="31">
        <v>0.8821</v>
      </c>
      <c r="AL831" s="31">
        <v>175.53790000000001</v>
      </c>
      <c r="AM831" s="31">
        <v>23.462099999999992</v>
      </c>
      <c r="AN831" s="31">
        <v>12373.459907666293</v>
      </c>
      <c r="AO831" s="31">
        <v>1653.8158067269644</v>
      </c>
      <c r="AP831" s="31">
        <v>11.367269475319246</v>
      </c>
      <c r="AQ831" s="31">
        <v>1.5193300885842176</v>
      </c>
      <c r="AR831" s="31">
        <v>0.13145483185557941</v>
      </c>
    </row>
    <row r="832" spans="1:44" hidden="1" x14ac:dyDescent="0.5">
      <c r="A832" s="31">
        <v>1460</v>
      </c>
      <c r="B832" s="31">
        <v>106</v>
      </c>
      <c r="C832" s="225" t="s">
        <v>20</v>
      </c>
      <c r="D832" s="44">
        <v>45.587699999999998</v>
      </c>
      <c r="E832" s="45">
        <v>13.7082</v>
      </c>
      <c r="F832">
        <v>0</v>
      </c>
      <c r="G832">
        <f t="shared" si="6"/>
        <v>0</v>
      </c>
      <c r="H832" s="32" t="s">
        <v>10</v>
      </c>
      <c r="I832">
        <v>0</v>
      </c>
      <c r="J832">
        <v>136.56099814985799</v>
      </c>
      <c r="K832" s="26">
        <v>2017</v>
      </c>
      <c r="L832" t="s">
        <v>30</v>
      </c>
      <c r="M832" s="32">
        <v>63</v>
      </c>
      <c r="N832">
        <v>7.0097463050000002</v>
      </c>
      <c r="O832">
        <v>5</v>
      </c>
      <c r="P832" t="s">
        <v>12</v>
      </c>
      <c r="Q832">
        <v>89</v>
      </c>
      <c r="R832" t="s">
        <v>13</v>
      </c>
      <c r="S832" t="s">
        <v>14</v>
      </c>
      <c r="T832" t="s">
        <v>14</v>
      </c>
      <c r="U832" s="34">
        <v>0</v>
      </c>
      <c r="V832" s="34">
        <v>4</v>
      </c>
      <c r="W832" s="25">
        <v>2</v>
      </c>
      <c r="X832" s="25">
        <v>4</v>
      </c>
      <c r="Y832" s="244">
        <v>0.91868156199999995</v>
      </c>
      <c r="Z832" t="s">
        <v>1100</v>
      </c>
      <c r="AA832" t="s">
        <v>622</v>
      </c>
      <c r="AB832">
        <v>3</v>
      </c>
      <c r="AC832">
        <v>0.59426369999999995</v>
      </c>
      <c r="AD832">
        <v>0.57797279999999995</v>
      </c>
      <c r="AE832" t="s">
        <v>519</v>
      </c>
      <c r="AF832" t="s">
        <v>532</v>
      </c>
      <c r="AG832" s="32" t="s">
        <v>2524</v>
      </c>
      <c r="AH832" s="32" t="s">
        <v>2161</v>
      </c>
      <c r="AI832" s="32" t="s">
        <v>2525</v>
      </c>
      <c r="AJ832" s="31" t="s">
        <v>3359</v>
      </c>
      <c r="AK832" s="31">
        <v>0.19</v>
      </c>
      <c r="AL832" s="31">
        <v>0.11399999999999999</v>
      </c>
      <c r="AM832" s="31">
        <v>0.48599999999999999</v>
      </c>
      <c r="AN832" s="31">
        <v>0.89787761659550558</v>
      </c>
      <c r="AO832" s="31">
        <v>3.827794049696629</v>
      </c>
      <c r="AP832" s="31">
        <v>8.248636112987962E-4</v>
      </c>
      <c r="AQ832" s="31">
        <v>3.5165238165896047E-3</v>
      </c>
      <c r="AR832" s="31">
        <v>0.13341858489683281</v>
      </c>
    </row>
    <row r="833" spans="1:44" hidden="1" x14ac:dyDescent="0.5">
      <c r="A833" s="31">
        <v>1461</v>
      </c>
      <c r="B833" s="31">
        <v>106</v>
      </c>
      <c r="C833" s="225" t="s">
        <v>20</v>
      </c>
      <c r="D833" s="44">
        <v>45.587699999999998</v>
      </c>
      <c r="E833" s="45">
        <v>13.7082</v>
      </c>
      <c r="F833">
        <v>0</v>
      </c>
      <c r="G833">
        <f t="shared" si="6"/>
        <v>0</v>
      </c>
      <c r="H833" s="32" t="s">
        <v>10</v>
      </c>
      <c r="I833">
        <v>0</v>
      </c>
      <c r="J833">
        <v>136.56099814985799</v>
      </c>
      <c r="K833" s="26">
        <v>2017</v>
      </c>
      <c r="L833" t="s">
        <v>30</v>
      </c>
      <c r="M833" s="32">
        <v>63</v>
      </c>
      <c r="N833">
        <v>7.0097463050000002</v>
      </c>
      <c r="O833">
        <v>5</v>
      </c>
      <c r="P833" t="s">
        <v>12</v>
      </c>
      <c r="Q833">
        <v>89</v>
      </c>
      <c r="R833" t="s">
        <v>13</v>
      </c>
      <c r="S833" t="s">
        <v>14</v>
      </c>
      <c r="T833" t="s">
        <v>14</v>
      </c>
      <c r="U833" s="34">
        <v>0</v>
      </c>
      <c r="V833" s="34">
        <v>4</v>
      </c>
      <c r="W833" s="25">
        <v>2</v>
      </c>
      <c r="X833" s="25">
        <v>4</v>
      </c>
      <c r="Y833" s="244">
        <v>0.91868156199999995</v>
      </c>
      <c r="Z833" t="s">
        <v>1100</v>
      </c>
      <c r="AA833" t="s">
        <v>622</v>
      </c>
      <c r="AB833">
        <v>3</v>
      </c>
      <c r="AC833">
        <v>1.4670000000000001</v>
      </c>
      <c r="AD833">
        <v>0.53100000000000003</v>
      </c>
      <c r="AE833" t="s">
        <v>519</v>
      </c>
      <c r="AF833" t="s">
        <v>532</v>
      </c>
      <c r="AG833" s="32" t="s">
        <v>2526</v>
      </c>
      <c r="AH833" s="32" t="s">
        <v>2161</v>
      </c>
      <c r="AI833" s="32" t="s">
        <v>2527</v>
      </c>
      <c r="AJ833" s="31" t="s">
        <v>3360</v>
      </c>
      <c r="AK833" s="31">
        <v>0.19</v>
      </c>
      <c r="AL833" s="31">
        <v>0.28500000000000003</v>
      </c>
      <c r="AM833" s="31">
        <v>1.2149999999999999</v>
      </c>
      <c r="AN833" s="31">
        <v>2.2446940414887644</v>
      </c>
      <c r="AO833" s="31">
        <v>9.5694851242415719</v>
      </c>
      <c r="AP833" s="31">
        <v>2.0621590282469907E-3</v>
      </c>
      <c r="AQ833" s="31">
        <v>8.7913095414740121E-3</v>
      </c>
      <c r="AR833" s="31">
        <v>0.13341858489683281</v>
      </c>
    </row>
    <row r="834" spans="1:44" hidden="1" x14ac:dyDescent="0.5">
      <c r="A834" s="31">
        <v>1458</v>
      </c>
      <c r="B834" s="31">
        <v>106</v>
      </c>
      <c r="C834" s="225" t="s">
        <v>20</v>
      </c>
      <c r="D834" s="44">
        <v>45.570099999999996</v>
      </c>
      <c r="E834" s="45">
        <v>13.742900000000001</v>
      </c>
      <c r="F834">
        <v>0</v>
      </c>
      <c r="G834">
        <f t="shared" si="6"/>
        <v>0</v>
      </c>
      <c r="H834" s="32" t="s">
        <v>10</v>
      </c>
      <c r="I834">
        <v>0</v>
      </c>
      <c r="J834">
        <v>138.12054651263901</v>
      </c>
      <c r="K834" s="26">
        <v>2017</v>
      </c>
      <c r="L834" t="s">
        <v>30</v>
      </c>
      <c r="M834" s="32">
        <v>63</v>
      </c>
      <c r="N834">
        <v>7.0097463050000002</v>
      </c>
      <c r="O834">
        <v>5</v>
      </c>
      <c r="P834" t="s">
        <v>12</v>
      </c>
      <c r="Q834">
        <v>89</v>
      </c>
      <c r="R834" t="s">
        <v>13</v>
      </c>
      <c r="S834" t="s">
        <v>14</v>
      </c>
      <c r="T834" t="s">
        <v>14</v>
      </c>
      <c r="U834" s="34">
        <v>0</v>
      </c>
      <c r="V834" s="34">
        <v>4</v>
      </c>
      <c r="W834" s="25">
        <v>2</v>
      </c>
      <c r="X834" s="25">
        <v>4</v>
      </c>
      <c r="Y834" s="244">
        <v>0.91868156199999995</v>
      </c>
      <c r="Z834" t="s">
        <v>1100</v>
      </c>
      <c r="AA834" t="s">
        <v>622</v>
      </c>
      <c r="AB834">
        <v>3</v>
      </c>
      <c r="AC834">
        <v>0</v>
      </c>
      <c r="AD834">
        <v>0</v>
      </c>
      <c r="AE834" t="s">
        <v>519</v>
      </c>
      <c r="AF834" t="s">
        <v>532</v>
      </c>
      <c r="AG834" s="32">
        <v>0</v>
      </c>
      <c r="AH834" s="32" t="s">
        <v>671</v>
      </c>
      <c r="AI834" s="32" t="s">
        <v>1129</v>
      </c>
      <c r="AJ834" s="31" t="s">
        <v>1130</v>
      </c>
      <c r="AK834" s="31">
        <v>0.59524549999999998</v>
      </c>
      <c r="AL834" s="31">
        <v>0</v>
      </c>
      <c r="AM834" s="31">
        <v>0</v>
      </c>
      <c r="AN834" s="31">
        <v>0</v>
      </c>
      <c r="AO834" s="31">
        <v>0</v>
      </c>
      <c r="AP834" s="31">
        <v>0</v>
      </c>
      <c r="AQ834" s="31">
        <v>0</v>
      </c>
      <c r="AR834" s="31">
        <v>0.13341858489683281</v>
      </c>
    </row>
    <row r="835" spans="1:44" hidden="1" x14ac:dyDescent="0.5">
      <c r="A835" s="31">
        <v>1459</v>
      </c>
      <c r="B835" s="31">
        <v>106</v>
      </c>
      <c r="C835" s="225" t="s">
        <v>20</v>
      </c>
      <c r="D835" s="44">
        <v>45.570099999999996</v>
      </c>
      <c r="E835" s="45">
        <v>13.742900000000001</v>
      </c>
      <c r="F835">
        <v>0</v>
      </c>
      <c r="G835">
        <f t="shared" si="6"/>
        <v>0</v>
      </c>
      <c r="H835" s="32" t="s">
        <v>10</v>
      </c>
      <c r="I835">
        <v>0</v>
      </c>
      <c r="J835">
        <v>138.12054651263901</v>
      </c>
      <c r="K835" s="26">
        <v>2017</v>
      </c>
      <c r="L835" t="s">
        <v>30</v>
      </c>
      <c r="M835" s="32">
        <v>63</v>
      </c>
      <c r="N835">
        <v>7.0097463050000002</v>
      </c>
      <c r="O835">
        <v>5</v>
      </c>
      <c r="P835" t="s">
        <v>12</v>
      </c>
      <c r="Q835">
        <v>89</v>
      </c>
      <c r="R835" t="s">
        <v>13</v>
      </c>
      <c r="S835" t="s">
        <v>14</v>
      </c>
      <c r="T835" t="s">
        <v>14</v>
      </c>
      <c r="U835" s="34">
        <v>0</v>
      </c>
      <c r="V835" s="34">
        <v>4</v>
      </c>
      <c r="W835" s="25">
        <v>2</v>
      </c>
      <c r="X835" s="25">
        <v>4</v>
      </c>
      <c r="Y835" s="244">
        <v>0.91868156199999995</v>
      </c>
      <c r="Z835" t="s">
        <v>1100</v>
      </c>
      <c r="AA835" t="s">
        <v>622</v>
      </c>
      <c r="AB835">
        <v>3</v>
      </c>
      <c r="AC835">
        <v>4.1617499999999996</v>
      </c>
      <c r="AD835">
        <v>1.10625</v>
      </c>
      <c r="AE835" t="s">
        <v>519</v>
      </c>
      <c r="AF835" t="s">
        <v>532</v>
      </c>
      <c r="AG835" s="32" t="s">
        <v>2522</v>
      </c>
      <c r="AH835" s="32" t="s">
        <v>2161</v>
      </c>
      <c r="AI835" s="32" t="s">
        <v>2523</v>
      </c>
      <c r="AJ835" s="31" t="s">
        <v>3358</v>
      </c>
      <c r="AK835" s="31">
        <v>0.19</v>
      </c>
      <c r="AL835" s="31">
        <v>0.79800000000000004</v>
      </c>
      <c r="AM835" s="31">
        <v>3.4020000000000001</v>
      </c>
      <c r="AN835" s="31">
        <v>6.2851433161685399</v>
      </c>
      <c r="AO835" s="31">
        <v>26.794558347876407</v>
      </c>
      <c r="AP835" s="31">
        <v>5.7740452790915739E-3</v>
      </c>
      <c r="AQ835" s="31">
        <v>2.4615666716127235E-2</v>
      </c>
      <c r="AR835" s="31">
        <v>0.13341858489683281</v>
      </c>
    </row>
    <row r="836" spans="1:44" hidden="1" x14ac:dyDescent="0.5">
      <c r="A836" s="31">
        <v>1456</v>
      </c>
      <c r="B836" s="31">
        <v>106</v>
      </c>
      <c r="C836" s="225" t="s">
        <v>20</v>
      </c>
      <c r="D836" s="44">
        <v>45.546900000000001</v>
      </c>
      <c r="E836" s="45">
        <v>13.707800000000001</v>
      </c>
      <c r="F836">
        <v>0</v>
      </c>
      <c r="G836">
        <f t="shared" si="6"/>
        <v>0</v>
      </c>
      <c r="H836" s="32" t="s">
        <v>10</v>
      </c>
      <c r="I836">
        <v>0</v>
      </c>
      <c r="J836">
        <v>136.124439663582</v>
      </c>
      <c r="K836" s="26">
        <v>2017</v>
      </c>
      <c r="L836" t="s">
        <v>30</v>
      </c>
      <c r="M836" s="32">
        <v>63</v>
      </c>
      <c r="N836">
        <v>7.0097463050000002</v>
      </c>
      <c r="O836">
        <v>5</v>
      </c>
      <c r="P836" t="s">
        <v>12</v>
      </c>
      <c r="Q836">
        <v>89</v>
      </c>
      <c r="R836" t="s">
        <v>13</v>
      </c>
      <c r="S836" t="s">
        <v>14</v>
      </c>
      <c r="T836" t="s">
        <v>14</v>
      </c>
      <c r="U836" s="34">
        <v>0</v>
      </c>
      <c r="V836" s="34">
        <v>4</v>
      </c>
      <c r="W836" s="25">
        <v>2</v>
      </c>
      <c r="X836" s="25">
        <v>4</v>
      </c>
      <c r="Y836" s="244">
        <v>0.91868156199999995</v>
      </c>
      <c r="Z836" t="s">
        <v>1100</v>
      </c>
      <c r="AA836" t="s">
        <v>622</v>
      </c>
      <c r="AB836">
        <v>3</v>
      </c>
      <c r="AC836">
        <v>0</v>
      </c>
      <c r="AD836">
        <v>0</v>
      </c>
      <c r="AE836" t="s">
        <v>519</v>
      </c>
      <c r="AF836" t="s">
        <v>532</v>
      </c>
      <c r="AG836" s="32">
        <v>0</v>
      </c>
      <c r="AH836" s="32" t="s">
        <v>671</v>
      </c>
      <c r="AI836" s="32" t="s">
        <v>1129</v>
      </c>
      <c r="AJ836" s="31" t="s">
        <v>1130</v>
      </c>
      <c r="AK836" s="31">
        <v>0.59524549999999998</v>
      </c>
      <c r="AL836" s="31">
        <v>0</v>
      </c>
      <c r="AM836" s="31">
        <v>0</v>
      </c>
      <c r="AN836" s="31">
        <v>0</v>
      </c>
      <c r="AO836" s="31">
        <v>0</v>
      </c>
      <c r="AP836" s="31">
        <v>0</v>
      </c>
      <c r="AQ836" s="31">
        <v>0</v>
      </c>
      <c r="AR836" s="31">
        <v>0.13341858489683281</v>
      </c>
    </row>
    <row r="837" spans="1:44" hidden="1" x14ac:dyDescent="0.5">
      <c r="A837" s="31">
        <v>1457</v>
      </c>
      <c r="B837" s="31">
        <v>106</v>
      </c>
      <c r="C837" s="225" t="s">
        <v>20</v>
      </c>
      <c r="D837" s="44">
        <v>45.546900000000001</v>
      </c>
      <c r="E837" s="45">
        <v>13.707800000000001</v>
      </c>
      <c r="F837">
        <v>0</v>
      </c>
      <c r="G837">
        <f t="shared" si="6"/>
        <v>0</v>
      </c>
      <c r="H837" s="32" t="s">
        <v>10</v>
      </c>
      <c r="I837">
        <v>0</v>
      </c>
      <c r="J837">
        <v>136.124439663582</v>
      </c>
      <c r="K837" s="26">
        <v>2017</v>
      </c>
      <c r="L837" t="s">
        <v>30</v>
      </c>
      <c r="M837" s="32">
        <v>63</v>
      </c>
      <c r="N837">
        <v>7.0097463050000002</v>
      </c>
      <c r="O837">
        <v>5</v>
      </c>
      <c r="P837" t="s">
        <v>12</v>
      </c>
      <c r="Q837">
        <v>89</v>
      </c>
      <c r="R837" t="s">
        <v>13</v>
      </c>
      <c r="S837" t="s">
        <v>14</v>
      </c>
      <c r="T837" t="s">
        <v>14</v>
      </c>
      <c r="U837" s="34">
        <v>0</v>
      </c>
      <c r="V837" s="34">
        <v>4</v>
      </c>
      <c r="W837" s="25">
        <v>2</v>
      </c>
      <c r="X837" s="25">
        <v>4</v>
      </c>
      <c r="Y837" s="244">
        <v>0.91868156199999995</v>
      </c>
      <c r="Z837" t="s">
        <v>1100</v>
      </c>
      <c r="AA837" t="s">
        <v>622</v>
      </c>
      <c r="AB837">
        <v>3</v>
      </c>
      <c r="AC837">
        <v>1.6267499999999999</v>
      </c>
      <c r="AD837">
        <v>0.77775000000000005</v>
      </c>
      <c r="AE837" t="s">
        <v>519</v>
      </c>
      <c r="AF837" t="s">
        <v>532</v>
      </c>
      <c r="AG837" s="32" t="s">
        <v>2520</v>
      </c>
      <c r="AH837" s="32" t="s">
        <v>2161</v>
      </c>
      <c r="AI837" s="32" t="s">
        <v>2521</v>
      </c>
      <c r="AJ837" s="31" t="s">
        <v>3357</v>
      </c>
      <c r="AK837" s="31">
        <v>0.19</v>
      </c>
      <c r="AL837" s="31">
        <v>0.30400000000000005</v>
      </c>
      <c r="AM837" s="31">
        <v>1.296</v>
      </c>
      <c r="AN837" s="31">
        <v>2.3943403109213488</v>
      </c>
      <c r="AO837" s="31">
        <v>10.207450799191014</v>
      </c>
      <c r="AP837" s="31">
        <v>2.1996362967967903E-3</v>
      </c>
      <c r="AQ837" s="31">
        <v>9.3773968442389475E-3</v>
      </c>
      <c r="AR837" s="31">
        <v>0.13341858489683281</v>
      </c>
    </row>
    <row r="838" spans="1:44" hidden="1" x14ac:dyDescent="0.5">
      <c r="A838" s="31">
        <v>1454</v>
      </c>
      <c r="B838" s="31">
        <v>106</v>
      </c>
      <c r="C838" s="225" t="s">
        <v>20</v>
      </c>
      <c r="D838" s="44">
        <v>45.542000000000002</v>
      </c>
      <c r="E838" s="45">
        <v>13.6601</v>
      </c>
      <c r="F838">
        <v>0</v>
      </c>
      <c r="G838">
        <f t="shared" si="6"/>
        <v>0</v>
      </c>
      <c r="H838" s="32" t="s">
        <v>10</v>
      </c>
      <c r="I838">
        <v>0</v>
      </c>
      <c r="J838">
        <v>132.50130120917001</v>
      </c>
      <c r="K838" s="26">
        <v>2017</v>
      </c>
      <c r="L838" t="s">
        <v>30</v>
      </c>
      <c r="M838" s="32">
        <v>63</v>
      </c>
      <c r="N838">
        <v>7.0097463050000002</v>
      </c>
      <c r="O838">
        <v>5</v>
      </c>
      <c r="P838" t="s">
        <v>12</v>
      </c>
      <c r="Q838">
        <v>89</v>
      </c>
      <c r="R838" t="s">
        <v>13</v>
      </c>
      <c r="S838" t="s">
        <v>14</v>
      </c>
      <c r="T838" t="s">
        <v>14</v>
      </c>
      <c r="U838" s="34">
        <v>0</v>
      </c>
      <c r="V838" s="34">
        <v>4</v>
      </c>
      <c r="W838" s="25">
        <v>2</v>
      </c>
      <c r="X838" s="25">
        <v>4</v>
      </c>
      <c r="Y838" s="244">
        <v>0.91868156199999995</v>
      </c>
      <c r="Z838" t="s">
        <v>1100</v>
      </c>
      <c r="AA838" t="s">
        <v>622</v>
      </c>
      <c r="AB838">
        <v>3</v>
      </c>
      <c r="AC838">
        <v>0.24374999999999999</v>
      </c>
      <c r="AD838">
        <v>0.47475000000000001</v>
      </c>
      <c r="AE838" t="s">
        <v>519</v>
      </c>
      <c r="AF838" t="s">
        <v>532</v>
      </c>
      <c r="AG838" s="32" t="s">
        <v>2159</v>
      </c>
      <c r="AH838" s="32" t="s">
        <v>2161</v>
      </c>
      <c r="AI838" s="32" t="s">
        <v>2517</v>
      </c>
      <c r="AJ838" s="31" t="s">
        <v>3355</v>
      </c>
      <c r="AK838" s="31">
        <v>0.19</v>
      </c>
      <c r="AL838" s="31">
        <v>3.8000000000000006E-2</v>
      </c>
      <c r="AM838" s="31">
        <v>0.16200000000000001</v>
      </c>
      <c r="AN838" s="31">
        <v>0.2992925388651686</v>
      </c>
      <c r="AO838" s="31">
        <v>1.2759313498988767</v>
      </c>
      <c r="AP838" s="31">
        <v>2.7495453709959879E-4</v>
      </c>
      <c r="AQ838" s="31">
        <v>1.1721746055298684E-3</v>
      </c>
      <c r="AR838" s="31">
        <v>0.13341858489683281</v>
      </c>
    </row>
    <row r="839" spans="1:44" hidden="1" x14ac:dyDescent="0.5">
      <c r="A839" s="31">
        <v>1455</v>
      </c>
      <c r="B839" s="31">
        <v>106</v>
      </c>
      <c r="C839" s="225" t="s">
        <v>20</v>
      </c>
      <c r="D839" s="44">
        <v>45.542000000000002</v>
      </c>
      <c r="E839" s="45">
        <v>13.6601</v>
      </c>
      <c r="F839">
        <v>0</v>
      </c>
      <c r="G839">
        <f t="shared" si="6"/>
        <v>0</v>
      </c>
      <c r="H839" s="32" t="s">
        <v>10</v>
      </c>
      <c r="I839">
        <v>0</v>
      </c>
      <c r="J839">
        <v>132.50130120917001</v>
      </c>
      <c r="K839" s="26">
        <v>2017</v>
      </c>
      <c r="L839" t="s">
        <v>30</v>
      </c>
      <c r="M839" s="32">
        <v>63</v>
      </c>
      <c r="N839">
        <v>7.0097463050000002</v>
      </c>
      <c r="O839">
        <v>5</v>
      </c>
      <c r="P839" t="s">
        <v>12</v>
      </c>
      <c r="Q839">
        <v>89</v>
      </c>
      <c r="R839" t="s">
        <v>13</v>
      </c>
      <c r="S839" t="s">
        <v>14</v>
      </c>
      <c r="T839" t="s">
        <v>14</v>
      </c>
      <c r="U839" s="34">
        <v>0</v>
      </c>
      <c r="V839" s="34">
        <v>4</v>
      </c>
      <c r="W839" s="25">
        <v>2</v>
      </c>
      <c r="X839" s="25">
        <v>4</v>
      </c>
      <c r="Y839" s="244">
        <v>0.91868156199999995</v>
      </c>
      <c r="Z839" t="s">
        <v>1100</v>
      </c>
      <c r="AA839" t="s">
        <v>622</v>
      </c>
      <c r="AB839">
        <v>3</v>
      </c>
      <c r="AC839">
        <v>2.1518153999999998</v>
      </c>
      <c r="AD839">
        <v>1.8224559</v>
      </c>
      <c r="AE839" t="s">
        <v>519</v>
      </c>
      <c r="AF839" t="s">
        <v>532</v>
      </c>
      <c r="AG839" s="32" t="s">
        <v>2518</v>
      </c>
      <c r="AH839" s="32" t="s">
        <v>2161</v>
      </c>
      <c r="AI839" s="32" t="s">
        <v>2519</v>
      </c>
      <c r="AJ839" s="31" t="s">
        <v>3356</v>
      </c>
      <c r="AK839" s="31">
        <v>0.19</v>
      </c>
      <c r="AL839" s="31">
        <v>0.41800000000000004</v>
      </c>
      <c r="AM839" s="31">
        <v>1.782</v>
      </c>
      <c r="AN839" s="31">
        <v>3.2922179275168544</v>
      </c>
      <c r="AO839" s="31">
        <v>14.03524484888764</v>
      </c>
      <c r="AP839" s="31">
        <v>3.0244999080955861E-3</v>
      </c>
      <c r="AQ839" s="31">
        <v>1.289392066082855E-2</v>
      </c>
      <c r="AR839" s="31">
        <v>0.13341858489683281</v>
      </c>
    </row>
    <row r="840" spans="1:44" hidden="1" x14ac:dyDescent="0.5">
      <c r="A840" s="31">
        <v>1452</v>
      </c>
      <c r="B840" s="31">
        <v>106</v>
      </c>
      <c r="C840" s="225" t="s">
        <v>20</v>
      </c>
      <c r="D840" s="44">
        <v>45.533999999999999</v>
      </c>
      <c r="E840" s="45">
        <v>13.628399999999999</v>
      </c>
      <c r="F840">
        <v>0</v>
      </c>
      <c r="G840">
        <f t="shared" si="6"/>
        <v>0</v>
      </c>
      <c r="H840" s="32" t="s">
        <v>10</v>
      </c>
      <c r="I840">
        <v>0</v>
      </c>
      <c r="J840">
        <v>130.14489301939099</v>
      </c>
      <c r="K840" s="26">
        <v>2017</v>
      </c>
      <c r="L840" t="s">
        <v>30</v>
      </c>
      <c r="M840" s="32">
        <v>63</v>
      </c>
      <c r="N840">
        <v>7.0097463050000002</v>
      </c>
      <c r="O840">
        <v>5</v>
      </c>
      <c r="P840" t="s">
        <v>12</v>
      </c>
      <c r="Q840">
        <v>89</v>
      </c>
      <c r="R840" t="s">
        <v>13</v>
      </c>
      <c r="S840" t="s">
        <v>14</v>
      </c>
      <c r="T840" t="s">
        <v>14</v>
      </c>
      <c r="U840" s="34">
        <v>0</v>
      </c>
      <c r="V840" s="34">
        <v>4</v>
      </c>
      <c r="W840" s="25">
        <v>2</v>
      </c>
      <c r="X840" s="25">
        <v>4</v>
      </c>
      <c r="Y840" s="244">
        <v>0.91868156199999995</v>
      </c>
      <c r="Z840" t="s">
        <v>1100</v>
      </c>
      <c r="AA840" t="s">
        <v>622</v>
      </c>
      <c r="AB840">
        <v>3</v>
      </c>
      <c r="AC840">
        <v>0</v>
      </c>
      <c r="AD840">
        <v>0</v>
      </c>
      <c r="AE840" t="s">
        <v>519</v>
      </c>
      <c r="AF840" t="s">
        <v>532</v>
      </c>
      <c r="AG840" s="32">
        <v>0</v>
      </c>
      <c r="AH840" s="32" t="s">
        <v>671</v>
      </c>
      <c r="AI840" s="32" t="s">
        <v>1129</v>
      </c>
      <c r="AJ840" s="31" t="s">
        <v>1130</v>
      </c>
      <c r="AK840" s="31">
        <v>0.59524549999999998</v>
      </c>
      <c r="AL840" s="31">
        <v>0</v>
      </c>
      <c r="AM840" s="31">
        <v>0</v>
      </c>
      <c r="AN840" s="31">
        <v>0</v>
      </c>
      <c r="AO840" s="31">
        <v>0</v>
      </c>
      <c r="AP840" s="31">
        <v>0</v>
      </c>
      <c r="AQ840" s="31">
        <v>0</v>
      </c>
      <c r="AR840" s="31">
        <v>0.13341858489683281</v>
      </c>
    </row>
    <row r="841" spans="1:44" hidden="1" x14ac:dyDescent="0.5">
      <c r="A841" s="31">
        <v>1453</v>
      </c>
      <c r="B841" s="31">
        <v>106</v>
      </c>
      <c r="C841" s="225" t="s">
        <v>20</v>
      </c>
      <c r="D841" s="44">
        <v>45.533999999999999</v>
      </c>
      <c r="E841" s="45">
        <v>13.628399999999999</v>
      </c>
      <c r="F841">
        <v>0</v>
      </c>
      <c r="G841">
        <f t="shared" si="6"/>
        <v>0</v>
      </c>
      <c r="H841" s="32" t="s">
        <v>10</v>
      </c>
      <c r="I841">
        <v>0</v>
      </c>
      <c r="J841">
        <v>130.14489301939099</v>
      </c>
      <c r="K841" s="26">
        <v>2017</v>
      </c>
      <c r="L841" t="s">
        <v>30</v>
      </c>
      <c r="M841" s="32">
        <v>63</v>
      </c>
      <c r="N841">
        <v>7.0097463050000002</v>
      </c>
      <c r="O841">
        <v>5</v>
      </c>
      <c r="P841" t="s">
        <v>12</v>
      </c>
      <c r="Q841">
        <v>89</v>
      </c>
      <c r="R841" t="s">
        <v>13</v>
      </c>
      <c r="S841" t="s">
        <v>14</v>
      </c>
      <c r="T841" t="s">
        <v>14</v>
      </c>
      <c r="U841" s="34">
        <v>0</v>
      </c>
      <c r="V841" s="34">
        <v>4</v>
      </c>
      <c r="W841" s="25">
        <v>2</v>
      </c>
      <c r="X841" s="25">
        <v>4</v>
      </c>
      <c r="Y841" s="244">
        <v>0.91868156199999995</v>
      </c>
      <c r="Z841" t="s">
        <v>1100</v>
      </c>
      <c r="AA841" t="s">
        <v>622</v>
      </c>
      <c r="AB841">
        <v>3</v>
      </c>
      <c r="AC841">
        <v>1.3854348000000001</v>
      </c>
      <c r="AD841">
        <v>0.59922180000000003</v>
      </c>
      <c r="AE841" t="s">
        <v>519</v>
      </c>
      <c r="AF841" t="s">
        <v>532</v>
      </c>
      <c r="AG841" s="32" t="s">
        <v>2515</v>
      </c>
      <c r="AH841" s="32" t="s">
        <v>2161</v>
      </c>
      <c r="AI841" s="32" t="s">
        <v>2516</v>
      </c>
      <c r="AJ841" s="31" t="s">
        <v>3354</v>
      </c>
      <c r="AK841" s="31">
        <v>0.19</v>
      </c>
      <c r="AL841" s="31">
        <v>0.26599999999999996</v>
      </c>
      <c r="AM841" s="31">
        <v>1.1339999999999999</v>
      </c>
      <c r="AN841" s="31">
        <v>2.0950477720561795</v>
      </c>
      <c r="AO841" s="31">
        <v>8.9315194492921339</v>
      </c>
      <c r="AP841" s="31">
        <v>1.9246817596971907E-3</v>
      </c>
      <c r="AQ841" s="31">
        <v>8.2052222387090767E-3</v>
      </c>
      <c r="AR841" s="31">
        <v>0.13341858489683281</v>
      </c>
    </row>
    <row r="842" spans="1:44" hidden="1" x14ac:dyDescent="0.5">
      <c r="A842" s="31">
        <v>1450</v>
      </c>
      <c r="B842" s="31">
        <v>106</v>
      </c>
      <c r="C842" s="225" t="s">
        <v>20</v>
      </c>
      <c r="D842" s="44">
        <v>45.5319</v>
      </c>
      <c r="E842" s="45">
        <v>13.6441</v>
      </c>
      <c r="F842">
        <v>0</v>
      </c>
      <c r="G842">
        <f t="shared" si="6"/>
        <v>0</v>
      </c>
      <c r="H842" s="32" t="s">
        <v>10</v>
      </c>
      <c r="I842">
        <v>0</v>
      </c>
      <c r="J842">
        <v>130.322813556874</v>
      </c>
      <c r="K842" s="26">
        <v>2017</v>
      </c>
      <c r="L842" t="s">
        <v>30</v>
      </c>
      <c r="M842" s="32">
        <v>63</v>
      </c>
      <c r="N842">
        <v>7.0097463050000002</v>
      </c>
      <c r="O842">
        <v>5</v>
      </c>
      <c r="P842" t="s">
        <v>12</v>
      </c>
      <c r="Q842">
        <v>89</v>
      </c>
      <c r="R842" t="s">
        <v>13</v>
      </c>
      <c r="S842" t="s">
        <v>14</v>
      </c>
      <c r="T842" t="s">
        <v>14</v>
      </c>
      <c r="U842" s="34">
        <v>0</v>
      </c>
      <c r="V842" s="34">
        <v>4</v>
      </c>
      <c r="W842" s="25">
        <v>2</v>
      </c>
      <c r="X842" s="25">
        <v>4</v>
      </c>
      <c r="Y842" s="244">
        <v>0.91868156199999995</v>
      </c>
      <c r="Z842" t="s">
        <v>1100</v>
      </c>
      <c r="AA842" t="s">
        <v>622</v>
      </c>
      <c r="AB842">
        <v>3</v>
      </c>
      <c r="AC842">
        <v>0.29775000000000001</v>
      </c>
      <c r="AD842">
        <v>0.42525000000000002</v>
      </c>
      <c r="AE842" t="s">
        <v>519</v>
      </c>
      <c r="AF842" t="s">
        <v>532</v>
      </c>
      <c r="AG842" s="32" t="s">
        <v>1209</v>
      </c>
      <c r="AH842" s="32" t="s">
        <v>2161</v>
      </c>
      <c r="AI842" s="32" t="s">
        <v>2513</v>
      </c>
      <c r="AJ842" s="31" t="s">
        <v>3352</v>
      </c>
      <c r="AK842" s="31">
        <v>0.19</v>
      </c>
      <c r="AL842" s="31">
        <v>5.6999999999999995E-2</v>
      </c>
      <c r="AM842" s="31">
        <v>0.24299999999999999</v>
      </c>
      <c r="AN842" s="31">
        <v>0.44893880829775279</v>
      </c>
      <c r="AO842" s="31">
        <v>1.9138970248483145</v>
      </c>
      <c r="AP842" s="31">
        <v>4.124318056493981E-4</v>
      </c>
      <c r="AQ842" s="31">
        <v>1.7582619082948023E-3</v>
      </c>
      <c r="AR842" s="31">
        <v>0.13341858489683281</v>
      </c>
    </row>
    <row r="843" spans="1:44" hidden="1" x14ac:dyDescent="0.5">
      <c r="A843" s="31">
        <v>842</v>
      </c>
      <c r="B843" s="31">
        <v>61</v>
      </c>
      <c r="C843" s="225" t="s">
        <v>9</v>
      </c>
      <c r="D843" s="44">
        <v>22.229279999999999</v>
      </c>
      <c r="E843" s="45">
        <v>114.072929</v>
      </c>
      <c r="F843">
        <v>0</v>
      </c>
      <c r="G843">
        <f t="shared" si="6"/>
        <v>0</v>
      </c>
      <c r="H843" s="32" t="s">
        <v>10</v>
      </c>
      <c r="I843">
        <v>0</v>
      </c>
      <c r="J843">
        <v>3013.0501540830901</v>
      </c>
      <c r="K843" s="26">
        <v>2014</v>
      </c>
      <c r="L843" t="s">
        <v>11</v>
      </c>
      <c r="M843" s="32">
        <v>315</v>
      </c>
      <c r="N843">
        <v>38.478006610000001</v>
      </c>
      <c r="O843">
        <v>5</v>
      </c>
      <c r="P843" t="s">
        <v>12</v>
      </c>
      <c r="Q843">
        <v>89</v>
      </c>
      <c r="R843" t="s">
        <v>31</v>
      </c>
      <c r="S843" t="s">
        <v>16</v>
      </c>
      <c r="T843" t="s">
        <v>16</v>
      </c>
      <c r="U843" s="34">
        <v>0</v>
      </c>
      <c r="V843" s="34">
        <v>4</v>
      </c>
      <c r="W843" s="25">
        <v>2</v>
      </c>
      <c r="X843" s="25">
        <v>4</v>
      </c>
      <c r="Y843">
        <v>0.64629065600000002</v>
      </c>
      <c r="Z843" t="s">
        <v>735</v>
      </c>
      <c r="AA843" t="s">
        <v>620</v>
      </c>
      <c r="AB843">
        <v>4</v>
      </c>
      <c r="AC843">
        <v>15554</v>
      </c>
      <c r="AD843">
        <v>50812</v>
      </c>
      <c r="AF843" t="s">
        <v>521</v>
      </c>
      <c r="AG843" s="32" t="s">
        <v>2065</v>
      </c>
      <c r="AH843" s="32" t="s">
        <v>671</v>
      </c>
      <c r="AI843" s="32" t="s">
        <v>1129</v>
      </c>
      <c r="AJ843" s="31" t="s">
        <v>1130</v>
      </c>
      <c r="AK843" s="31">
        <v>0.59524549999999998</v>
      </c>
      <c r="AL843" s="31">
        <v>358.13795314255634</v>
      </c>
      <c r="AM843" s="31">
        <v>243.52632343333772</v>
      </c>
      <c r="AN843" s="31">
        <v>15483.634301473208</v>
      </c>
      <c r="AO843" s="31">
        <v>10528.547733457266</v>
      </c>
      <c r="AP843" s="31">
        <v>10.006928169963221</v>
      </c>
      <c r="AQ843" s="31">
        <v>6.80450202138341</v>
      </c>
      <c r="AR843" s="31">
        <v>0.13341858489683281</v>
      </c>
    </row>
    <row r="844" spans="1:44" hidden="1" x14ac:dyDescent="0.5">
      <c r="A844" s="31">
        <v>843</v>
      </c>
      <c r="B844" s="31">
        <v>61</v>
      </c>
      <c r="C844" s="225" t="s">
        <v>9</v>
      </c>
      <c r="D844" s="49">
        <v>22.311941999999998</v>
      </c>
      <c r="E844" s="50">
        <v>114.106234</v>
      </c>
      <c r="F844">
        <v>0</v>
      </c>
      <c r="G844">
        <f t="shared" si="6"/>
        <v>0</v>
      </c>
      <c r="H844" s="32" t="s">
        <v>10</v>
      </c>
      <c r="I844">
        <v>0</v>
      </c>
      <c r="J844">
        <v>2878.3470915206599</v>
      </c>
      <c r="K844" s="26">
        <v>2014</v>
      </c>
      <c r="L844" t="s">
        <v>11</v>
      </c>
      <c r="M844" s="32">
        <v>315</v>
      </c>
      <c r="N844">
        <v>38.478006610000001</v>
      </c>
      <c r="O844">
        <v>5</v>
      </c>
      <c r="P844" t="s">
        <v>12</v>
      </c>
      <c r="Q844">
        <v>89</v>
      </c>
      <c r="R844" t="s">
        <v>31</v>
      </c>
      <c r="S844" t="s">
        <v>16</v>
      </c>
      <c r="T844" t="s">
        <v>16</v>
      </c>
      <c r="U844" s="34">
        <v>0</v>
      </c>
      <c r="V844" s="34">
        <v>4</v>
      </c>
      <c r="W844" s="25">
        <v>2</v>
      </c>
      <c r="X844" s="25">
        <v>4</v>
      </c>
      <c r="Y844">
        <v>0.64629065600000002</v>
      </c>
      <c r="Z844" t="s">
        <v>735</v>
      </c>
      <c r="AA844" t="s">
        <v>620</v>
      </c>
      <c r="AB844">
        <v>4</v>
      </c>
      <c r="AC844">
        <v>5399</v>
      </c>
      <c r="AD844">
        <v>6297</v>
      </c>
      <c r="AF844" t="s">
        <v>521</v>
      </c>
      <c r="AG844" s="32" t="s">
        <v>2066</v>
      </c>
      <c r="AH844" s="32" t="s">
        <v>671</v>
      </c>
      <c r="AI844" s="32" t="s">
        <v>1129</v>
      </c>
      <c r="AJ844" s="31" t="s">
        <v>1130</v>
      </c>
      <c r="AK844" s="31">
        <v>0.59524549999999998</v>
      </c>
      <c r="AL844" s="31">
        <v>124.31444059513061</v>
      </c>
      <c r="AM844" s="31">
        <v>84.53122156465156</v>
      </c>
      <c r="AN844" s="31">
        <v>5374.575131390885</v>
      </c>
      <c r="AO844" s="31">
        <v>3654.5987664225136</v>
      </c>
      <c r="AP844" s="31">
        <v>3.4735376873879011</v>
      </c>
      <c r="AQ844" s="31">
        <v>2.3619330341679969</v>
      </c>
      <c r="AR844" s="31">
        <v>0.13341858489683281</v>
      </c>
    </row>
    <row r="845" spans="1:44" hidden="1" x14ac:dyDescent="0.5">
      <c r="A845" s="31">
        <v>844</v>
      </c>
      <c r="B845" s="31">
        <v>61</v>
      </c>
      <c r="C845" s="225" t="s">
        <v>9</v>
      </c>
      <c r="D845" s="44">
        <v>22.342037000000001</v>
      </c>
      <c r="E845" s="45">
        <v>114.270679</v>
      </c>
      <c r="F845">
        <v>0</v>
      </c>
      <c r="G845">
        <f t="shared" si="6"/>
        <v>0</v>
      </c>
      <c r="H845" s="32" t="s">
        <v>10</v>
      </c>
      <c r="I845">
        <v>0</v>
      </c>
      <c r="J845">
        <v>2762.4785186198501</v>
      </c>
      <c r="K845" s="26">
        <v>2014</v>
      </c>
      <c r="L845" t="s">
        <v>11</v>
      </c>
      <c r="M845" s="32">
        <v>315</v>
      </c>
      <c r="N845">
        <v>38.478006610000001</v>
      </c>
      <c r="O845">
        <v>5</v>
      </c>
      <c r="P845" t="s">
        <v>12</v>
      </c>
      <c r="Q845">
        <v>89</v>
      </c>
      <c r="R845" t="s">
        <v>31</v>
      </c>
      <c r="S845" t="s">
        <v>16</v>
      </c>
      <c r="T845" t="s">
        <v>16</v>
      </c>
      <c r="U845" s="34">
        <v>0</v>
      </c>
      <c r="V845" s="34">
        <v>4</v>
      </c>
      <c r="W845" s="25">
        <v>2</v>
      </c>
      <c r="X845" s="25">
        <v>4</v>
      </c>
      <c r="Y845">
        <v>0.64629065600000002</v>
      </c>
      <c r="Z845" t="s">
        <v>735</v>
      </c>
      <c r="AA845" t="s">
        <v>620</v>
      </c>
      <c r="AB845">
        <v>4</v>
      </c>
      <c r="AC845">
        <v>400</v>
      </c>
      <c r="AD845">
        <v>394</v>
      </c>
      <c r="AF845" t="s">
        <v>521</v>
      </c>
      <c r="AG845" s="32" t="s">
        <v>2067</v>
      </c>
      <c r="AH845" s="32" t="s">
        <v>671</v>
      </c>
      <c r="AI845" s="32" t="s">
        <v>1129</v>
      </c>
      <c r="AJ845" s="31" t="s">
        <v>1130</v>
      </c>
      <c r="AK845" s="31">
        <v>0.59524549999999998</v>
      </c>
      <c r="AL845" s="31">
        <v>9.2101826705042136</v>
      </c>
      <c r="AM845" s="31">
        <v>6.262731732887687</v>
      </c>
      <c r="AN845" s="31">
        <v>398.19041536513328</v>
      </c>
      <c r="AO845" s="31">
        <v>270.76116069068451</v>
      </c>
      <c r="AP845" s="31">
        <v>0.25734674475924446</v>
      </c>
      <c r="AQ845" s="31">
        <v>0.1749904081621039</v>
      </c>
      <c r="AR845" s="31">
        <v>0.13341858489683281</v>
      </c>
    </row>
    <row r="846" spans="1:44" hidden="1" x14ac:dyDescent="0.5">
      <c r="A846" s="31">
        <v>845</v>
      </c>
      <c r="B846" s="31">
        <v>61</v>
      </c>
      <c r="C846" s="225" t="s">
        <v>9</v>
      </c>
      <c r="D846" s="44">
        <v>22.359642999999998</v>
      </c>
      <c r="E846" s="45">
        <v>114.012147</v>
      </c>
      <c r="F846">
        <v>0</v>
      </c>
      <c r="G846">
        <f t="shared" si="6"/>
        <v>0</v>
      </c>
      <c r="H846" s="32" t="s">
        <v>10</v>
      </c>
      <c r="I846">
        <v>0</v>
      </c>
      <c r="J846">
        <v>2851.4704332893102</v>
      </c>
      <c r="K846" s="26">
        <v>2014</v>
      </c>
      <c r="L846" t="s">
        <v>11</v>
      </c>
      <c r="M846" s="32">
        <v>315</v>
      </c>
      <c r="N846">
        <v>38.478006610000001</v>
      </c>
      <c r="O846">
        <v>5</v>
      </c>
      <c r="P846" t="s">
        <v>12</v>
      </c>
      <c r="Q846">
        <v>89</v>
      </c>
      <c r="R846" t="s">
        <v>31</v>
      </c>
      <c r="S846" t="s">
        <v>16</v>
      </c>
      <c r="T846" t="s">
        <v>16</v>
      </c>
      <c r="U846" s="34">
        <v>0</v>
      </c>
      <c r="V846" s="34">
        <v>4</v>
      </c>
      <c r="W846" s="25">
        <v>2</v>
      </c>
      <c r="X846" s="25">
        <v>4</v>
      </c>
      <c r="Y846">
        <v>0.64629065600000002</v>
      </c>
      <c r="Z846" t="s">
        <v>735</v>
      </c>
      <c r="AA846" t="s">
        <v>620</v>
      </c>
      <c r="AB846">
        <v>4</v>
      </c>
      <c r="AC846">
        <v>2349</v>
      </c>
      <c r="AD846">
        <v>1937</v>
      </c>
      <c r="AF846" t="s">
        <v>521</v>
      </c>
      <c r="AG846" s="32" t="s">
        <v>2068</v>
      </c>
      <c r="AH846" s="32" t="s">
        <v>671</v>
      </c>
      <c r="AI846" s="32" t="s">
        <v>1129</v>
      </c>
      <c r="AJ846" s="31" t="s">
        <v>1130</v>
      </c>
      <c r="AK846" s="31">
        <v>0.59524549999999998</v>
      </c>
      <c r="AL846" s="31">
        <v>54.086797732535992</v>
      </c>
      <c r="AM846" s="31">
        <v>36.777892101382939</v>
      </c>
      <c r="AN846" s="31">
        <v>2338.3732142317454</v>
      </c>
      <c r="AO846" s="31">
        <v>1590.0449161560446</v>
      </c>
      <c r="AP846" s="31">
        <v>1.5112687585986633</v>
      </c>
      <c r="AQ846" s="31">
        <v>1.0276311719319551</v>
      </c>
      <c r="AR846" s="31">
        <v>0.13341858489683281</v>
      </c>
    </row>
    <row r="847" spans="1:44" hidden="1" x14ac:dyDescent="0.5">
      <c r="A847" s="31">
        <v>846</v>
      </c>
      <c r="B847" s="31">
        <v>61</v>
      </c>
      <c r="C847" s="225" t="s">
        <v>9</v>
      </c>
      <c r="D847" s="44">
        <v>22.412054000000001</v>
      </c>
      <c r="E847" s="45">
        <v>114.380771</v>
      </c>
      <c r="F847">
        <v>0</v>
      </c>
      <c r="G847">
        <f t="shared" si="6"/>
        <v>0</v>
      </c>
      <c r="H847" s="32" t="s">
        <v>10</v>
      </c>
      <c r="I847">
        <v>0</v>
      </c>
      <c r="J847">
        <v>2583.5455356693501</v>
      </c>
      <c r="K847" s="26">
        <v>2014</v>
      </c>
      <c r="L847" t="s">
        <v>11</v>
      </c>
      <c r="M847" s="32">
        <v>315</v>
      </c>
      <c r="N847">
        <v>38.478006610000001</v>
      </c>
      <c r="O847">
        <v>5</v>
      </c>
      <c r="P847" t="s">
        <v>12</v>
      </c>
      <c r="Q847">
        <v>89</v>
      </c>
      <c r="R847" t="s">
        <v>31</v>
      </c>
      <c r="S847" t="s">
        <v>16</v>
      </c>
      <c r="T847" t="s">
        <v>16</v>
      </c>
      <c r="U847" s="34">
        <v>0</v>
      </c>
      <c r="V847" s="34">
        <v>4</v>
      </c>
      <c r="W847" s="25">
        <v>2</v>
      </c>
      <c r="X847" s="25">
        <v>4</v>
      </c>
      <c r="Y847">
        <v>0.64629065600000002</v>
      </c>
      <c r="Z847" t="s">
        <v>735</v>
      </c>
      <c r="AA847" t="s">
        <v>620</v>
      </c>
      <c r="AB847">
        <v>4</v>
      </c>
      <c r="AC847">
        <v>1834</v>
      </c>
      <c r="AD847">
        <v>3959</v>
      </c>
      <c r="AF847" t="s">
        <v>521</v>
      </c>
      <c r="AG847" s="32" t="s">
        <v>2069</v>
      </c>
      <c r="AH847" s="32" t="s">
        <v>671</v>
      </c>
      <c r="AI847" s="32" t="s">
        <v>1129</v>
      </c>
      <c r="AJ847" s="31" t="s">
        <v>1130</v>
      </c>
      <c r="AK847" s="31">
        <v>0.59524549999999998</v>
      </c>
      <c r="AL847" s="31">
        <v>42.228687544261824</v>
      </c>
      <c r="AM847" s="31">
        <v>28.714624995290045</v>
      </c>
      <c r="AN847" s="31">
        <v>1825.7030544491361</v>
      </c>
      <c r="AO847" s="31">
        <v>1241.4399217667883</v>
      </c>
      <c r="AP847" s="31">
        <v>1.1799348247211359</v>
      </c>
      <c r="AQ847" s="31">
        <v>0.80233102142324642</v>
      </c>
      <c r="AR847" s="31">
        <v>0.13341858489683281</v>
      </c>
    </row>
    <row r="848" spans="1:44" hidden="1" x14ac:dyDescent="0.5">
      <c r="A848" s="31">
        <v>847</v>
      </c>
      <c r="B848" s="31">
        <v>61</v>
      </c>
      <c r="C848" s="225" t="s">
        <v>9</v>
      </c>
      <c r="D848" s="44">
        <v>22.432742999999999</v>
      </c>
      <c r="E848" s="45">
        <v>113.94197200000001</v>
      </c>
      <c r="F848">
        <v>0</v>
      </c>
      <c r="G848">
        <f t="shared" ref="G848:G911" si="7">F848*1609.344</f>
        <v>0</v>
      </c>
      <c r="H848" s="32" t="s">
        <v>10</v>
      </c>
      <c r="I848">
        <v>0</v>
      </c>
      <c r="J848">
        <v>2951.9663268184099</v>
      </c>
      <c r="K848" s="26">
        <v>2014</v>
      </c>
      <c r="L848" t="s">
        <v>11</v>
      </c>
      <c r="M848" s="32">
        <v>315</v>
      </c>
      <c r="N848">
        <v>38.478006610000001</v>
      </c>
      <c r="O848">
        <v>5</v>
      </c>
      <c r="P848" t="s">
        <v>12</v>
      </c>
      <c r="Q848">
        <v>89</v>
      </c>
      <c r="R848" t="s">
        <v>31</v>
      </c>
      <c r="S848" t="s">
        <v>16</v>
      </c>
      <c r="T848" t="s">
        <v>16</v>
      </c>
      <c r="U848" s="34">
        <v>0</v>
      </c>
      <c r="V848" s="34">
        <v>4</v>
      </c>
      <c r="W848" s="25">
        <v>2</v>
      </c>
      <c r="X848" s="25">
        <v>4</v>
      </c>
      <c r="Y848">
        <v>0.64629065600000002</v>
      </c>
      <c r="Z848" t="s">
        <v>735</v>
      </c>
      <c r="AA848" t="s">
        <v>620</v>
      </c>
      <c r="AB848">
        <v>4</v>
      </c>
      <c r="AC848">
        <v>106</v>
      </c>
      <c r="AD848">
        <v>61</v>
      </c>
      <c r="AF848" t="s">
        <v>521</v>
      </c>
      <c r="AG848" s="32" t="s">
        <v>2070</v>
      </c>
      <c r="AH848" s="32" t="s">
        <v>671</v>
      </c>
      <c r="AI848" s="32" t="s">
        <v>1129</v>
      </c>
      <c r="AJ848" s="31" t="s">
        <v>1130</v>
      </c>
      <c r="AK848" s="31">
        <v>0.59524549999999998</v>
      </c>
      <c r="AL848" s="31">
        <v>2.4406984076836165</v>
      </c>
      <c r="AM848" s="31">
        <v>1.6596239092152367</v>
      </c>
      <c r="AN848" s="31">
        <v>105.5204600717603</v>
      </c>
      <c r="AO848" s="31">
        <v>71.751707583031376</v>
      </c>
      <c r="AP848" s="31">
        <v>6.8196887361199776E-2</v>
      </c>
      <c r="AQ848" s="31">
        <v>4.6372458162957521E-2</v>
      </c>
      <c r="AR848" s="31">
        <v>0.13341858489683281</v>
      </c>
    </row>
    <row r="849" spans="1:44" hidden="1" x14ac:dyDescent="0.5">
      <c r="A849" s="31">
        <v>848</v>
      </c>
      <c r="B849" s="31">
        <v>61</v>
      </c>
      <c r="C849" s="225" t="s">
        <v>9</v>
      </c>
      <c r="D849" s="44">
        <v>22.442974</v>
      </c>
      <c r="E849" s="45">
        <v>114.238766</v>
      </c>
      <c r="F849">
        <v>0</v>
      </c>
      <c r="G849">
        <f t="shared" si="7"/>
        <v>0</v>
      </c>
      <c r="H849" s="32" t="s">
        <v>10</v>
      </c>
      <c r="I849">
        <v>0</v>
      </c>
      <c r="J849">
        <v>2542.6769299245202</v>
      </c>
      <c r="K849" s="26">
        <v>2014</v>
      </c>
      <c r="L849" t="s">
        <v>11</v>
      </c>
      <c r="M849" s="32">
        <v>315</v>
      </c>
      <c r="N849">
        <v>38.478006610000001</v>
      </c>
      <c r="O849">
        <v>5</v>
      </c>
      <c r="P849" t="s">
        <v>12</v>
      </c>
      <c r="Q849">
        <v>89</v>
      </c>
      <c r="R849" t="s">
        <v>31</v>
      </c>
      <c r="S849" t="s">
        <v>16</v>
      </c>
      <c r="T849" t="s">
        <v>16</v>
      </c>
      <c r="U849" s="34">
        <v>0</v>
      </c>
      <c r="V849" s="34">
        <v>4</v>
      </c>
      <c r="W849" s="25">
        <v>2</v>
      </c>
      <c r="X849" s="25">
        <v>4</v>
      </c>
      <c r="Y849">
        <v>0.64629065600000002</v>
      </c>
      <c r="Z849" t="s">
        <v>735</v>
      </c>
      <c r="AA849" t="s">
        <v>620</v>
      </c>
      <c r="AB849">
        <v>4</v>
      </c>
      <c r="AC849">
        <v>382</v>
      </c>
      <c r="AD849">
        <v>344</v>
      </c>
      <c r="AF849" t="s">
        <v>521</v>
      </c>
      <c r="AG849" s="32" t="s">
        <v>2071</v>
      </c>
      <c r="AH849" s="32" t="s">
        <v>671</v>
      </c>
      <c r="AI849" s="32" t="s">
        <v>1129</v>
      </c>
      <c r="AJ849" s="31" t="s">
        <v>1130</v>
      </c>
      <c r="AK849" s="31">
        <v>0.59524549999999998</v>
      </c>
      <c r="AL849" s="31">
        <v>8.7957244503315248</v>
      </c>
      <c r="AM849" s="31">
        <v>5.9809088049077417</v>
      </c>
      <c r="AN849" s="31">
        <v>380.27184667370233</v>
      </c>
      <c r="AO849" s="31">
        <v>258.57690845960366</v>
      </c>
      <c r="AP849" s="31">
        <v>0.24576614124507851</v>
      </c>
      <c r="AQ849" s="31">
        <v>0.16711583979480921</v>
      </c>
      <c r="AR849" s="31">
        <v>0.13341858489683281</v>
      </c>
    </row>
    <row r="850" spans="1:44" customFormat="1" hidden="1" x14ac:dyDescent="0.5">
      <c r="A850">
        <v>849</v>
      </c>
      <c r="B850">
        <v>62</v>
      </c>
      <c r="C850" s="226" t="s">
        <v>9</v>
      </c>
      <c r="D850" s="227">
        <v>35.307126400000001</v>
      </c>
      <c r="E850" s="228">
        <v>119.443107</v>
      </c>
      <c r="F850">
        <v>0</v>
      </c>
      <c r="G850">
        <f t="shared" si="7"/>
        <v>0</v>
      </c>
      <c r="H850" t="s">
        <v>51</v>
      </c>
      <c r="I850">
        <v>0</v>
      </c>
      <c r="J850">
        <v>574.89575544592697</v>
      </c>
      <c r="K850" s="26">
        <v>2015</v>
      </c>
      <c r="L850" t="s">
        <v>11</v>
      </c>
      <c r="M850" s="30"/>
      <c r="N850">
        <v>1</v>
      </c>
      <c r="O850">
        <v>5</v>
      </c>
      <c r="P850" t="s">
        <v>18</v>
      </c>
      <c r="Q850">
        <v>81</v>
      </c>
      <c r="R850" t="s">
        <v>13</v>
      </c>
      <c r="S850" t="s">
        <v>21</v>
      </c>
      <c r="T850" t="s">
        <v>28</v>
      </c>
      <c r="U850" s="25">
        <v>0</v>
      </c>
      <c r="V850" s="25">
        <v>2</v>
      </c>
      <c r="W850" s="25">
        <v>1</v>
      </c>
      <c r="X850" s="25">
        <v>2</v>
      </c>
      <c r="Y850">
        <v>0.61037440899999995</v>
      </c>
      <c r="Z850" t="s">
        <v>812</v>
      </c>
      <c r="AA850" t="s">
        <v>619</v>
      </c>
      <c r="AB850">
        <v>1</v>
      </c>
      <c r="AC850">
        <v>631</v>
      </c>
      <c r="AF850" t="s">
        <v>531</v>
      </c>
      <c r="AG850" s="30">
        <v>631</v>
      </c>
      <c r="AH850" s="30" t="s">
        <v>671</v>
      </c>
      <c r="AI850" s="30" t="s">
        <v>1129</v>
      </c>
      <c r="AJ850" t="s">
        <v>1130</v>
      </c>
      <c r="AK850">
        <v>0.59524549999999998</v>
      </c>
      <c r="AL850">
        <v>927.96969644562319</v>
      </c>
      <c r="AM850">
        <v>631</v>
      </c>
      <c r="AN850">
        <v>1145.6416005501519</v>
      </c>
      <c r="AO850">
        <v>779.01234567901236</v>
      </c>
      <c r="AP850">
        <v>0.69927031486161306</v>
      </c>
      <c r="AQ850">
        <v>0.47548920009753082</v>
      </c>
      <c r="AR850">
        <v>0.13341858489683281</v>
      </c>
    </row>
    <row r="851" spans="1:44" customFormat="1" hidden="1" x14ac:dyDescent="0.5">
      <c r="A851">
        <v>850</v>
      </c>
      <c r="B851">
        <v>62</v>
      </c>
      <c r="C851" s="226" t="s">
        <v>9</v>
      </c>
      <c r="D851" s="232">
        <v>37.115546399999999</v>
      </c>
      <c r="E851" s="233">
        <v>119.50350899999999</v>
      </c>
      <c r="F851">
        <v>0</v>
      </c>
      <c r="G851">
        <f t="shared" si="7"/>
        <v>0</v>
      </c>
      <c r="H851" t="s">
        <v>51</v>
      </c>
      <c r="I851">
        <v>0</v>
      </c>
      <c r="J851">
        <v>532.45635365123906</v>
      </c>
      <c r="K851" s="26">
        <v>2015</v>
      </c>
      <c r="L851" t="s">
        <v>11</v>
      </c>
      <c r="M851" s="30"/>
      <c r="N851">
        <v>1</v>
      </c>
      <c r="O851">
        <v>5</v>
      </c>
      <c r="P851" t="s">
        <v>18</v>
      </c>
      <c r="Q851">
        <v>81</v>
      </c>
      <c r="R851" t="s">
        <v>13</v>
      </c>
      <c r="S851" t="s">
        <v>21</v>
      </c>
      <c r="T851" t="s">
        <v>28</v>
      </c>
      <c r="U851" s="25">
        <v>0</v>
      </c>
      <c r="V851" s="25">
        <v>2</v>
      </c>
      <c r="W851" s="25">
        <v>1</v>
      </c>
      <c r="X851" s="25">
        <v>2</v>
      </c>
      <c r="Y851">
        <v>0.61037440899999995</v>
      </c>
      <c r="Z851" t="s">
        <v>812</v>
      </c>
      <c r="AA851" t="s">
        <v>619</v>
      </c>
      <c r="AB851">
        <v>1</v>
      </c>
      <c r="AC851">
        <v>25</v>
      </c>
      <c r="AF851" t="s">
        <v>531</v>
      </c>
      <c r="AG851" s="30">
        <v>25</v>
      </c>
      <c r="AH851" s="30" t="s">
        <v>671</v>
      </c>
      <c r="AI851" s="30" t="s">
        <v>1129</v>
      </c>
      <c r="AJ851" t="s">
        <v>1130</v>
      </c>
      <c r="AK851">
        <v>0.59524549999999998</v>
      </c>
      <c r="AL851">
        <v>36.765835833820255</v>
      </c>
      <c r="AM851">
        <v>25</v>
      </c>
      <c r="AN851">
        <v>45.389920782494144</v>
      </c>
      <c r="AO851">
        <v>30.864197530864196</v>
      </c>
      <c r="AP851">
        <v>2.770484607217168E-2</v>
      </c>
      <c r="AQ851">
        <v>1.8838716327160492E-2</v>
      </c>
      <c r="AR851">
        <v>0.13341858489683281</v>
      </c>
    </row>
    <row r="852" spans="1:44" customFormat="1" hidden="1" x14ac:dyDescent="0.5">
      <c r="A852">
        <v>851</v>
      </c>
      <c r="B852">
        <v>62</v>
      </c>
      <c r="C852" s="226" t="s">
        <v>9</v>
      </c>
      <c r="D852" s="232">
        <v>37.115546399999999</v>
      </c>
      <c r="E852" s="233">
        <v>119.50350899999999</v>
      </c>
      <c r="F852">
        <v>0</v>
      </c>
      <c r="G852">
        <f t="shared" si="7"/>
        <v>0</v>
      </c>
      <c r="H852" t="s">
        <v>51</v>
      </c>
      <c r="I852">
        <v>0</v>
      </c>
      <c r="J852">
        <v>532.45635365123906</v>
      </c>
      <c r="K852" s="26">
        <v>2015</v>
      </c>
      <c r="L852" t="s">
        <v>11</v>
      </c>
      <c r="M852" s="30"/>
      <c r="N852">
        <v>1</v>
      </c>
      <c r="O852">
        <v>5</v>
      </c>
      <c r="P852" t="s">
        <v>18</v>
      </c>
      <c r="Q852">
        <v>81</v>
      </c>
      <c r="R852" t="s">
        <v>13</v>
      </c>
      <c r="S852" t="s">
        <v>21</v>
      </c>
      <c r="T852" t="s">
        <v>28</v>
      </c>
      <c r="U852" s="25">
        <v>0</v>
      </c>
      <c r="V852" s="25">
        <v>2</v>
      </c>
      <c r="W852" s="25">
        <v>1</v>
      </c>
      <c r="X852" s="25">
        <v>2</v>
      </c>
      <c r="Y852">
        <v>0.61037440899999995</v>
      </c>
      <c r="Z852" t="s">
        <v>812</v>
      </c>
      <c r="AA852" t="s">
        <v>619</v>
      </c>
      <c r="AB852">
        <v>1</v>
      </c>
      <c r="AC852">
        <v>72</v>
      </c>
      <c r="AF852" t="s">
        <v>531</v>
      </c>
      <c r="AG852" s="30">
        <v>72</v>
      </c>
      <c r="AH852" s="30" t="s">
        <v>671</v>
      </c>
      <c r="AI852" s="30" t="s">
        <v>1129</v>
      </c>
      <c r="AJ852" t="s">
        <v>1130</v>
      </c>
      <c r="AK852">
        <v>0.59524549999999998</v>
      </c>
      <c r="AL852">
        <v>105.88560720140234</v>
      </c>
      <c r="AM852">
        <v>72</v>
      </c>
      <c r="AN852">
        <v>130.72297185358312</v>
      </c>
      <c r="AO852">
        <v>88.888888888888886</v>
      </c>
      <c r="AP852">
        <v>7.9789956687854421E-2</v>
      </c>
      <c r="AQ852">
        <v>5.4255503022222221E-2</v>
      </c>
      <c r="AR852">
        <v>0.13341858489683281</v>
      </c>
    </row>
    <row r="853" spans="1:44" customFormat="1" hidden="1" x14ac:dyDescent="0.5">
      <c r="A853">
        <v>852</v>
      </c>
      <c r="B853">
        <v>62</v>
      </c>
      <c r="C853" s="226" t="s">
        <v>9</v>
      </c>
      <c r="D853" s="232">
        <v>37.115546399999999</v>
      </c>
      <c r="E853" s="233">
        <v>119.50350899999999</v>
      </c>
      <c r="F853">
        <v>0</v>
      </c>
      <c r="G853">
        <f t="shared" si="7"/>
        <v>0</v>
      </c>
      <c r="H853" t="s">
        <v>51</v>
      </c>
      <c r="I853">
        <v>0</v>
      </c>
      <c r="J853">
        <v>532.45635365123906</v>
      </c>
      <c r="K853" s="26">
        <v>2015</v>
      </c>
      <c r="L853" t="s">
        <v>11</v>
      </c>
      <c r="M853" s="30"/>
      <c r="N853">
        <v>1</v>
      </c>
      <c r="O853">
        <v>5</v>
      </c>
      <c r="P853" t="s">
        <v>18</v>
      </c>
      <c r="Q853">
        <v>81</v>
      </c>
      <c r="R853" t="s">
        <v>13</v>
      </c>
      <c r="S853" t="s">
        <v>21</v>
      </c>
      <c r="T853" t="s">
        <v>28</v>
      </c>
      <c r="U853" s="25">
        <v>0</v>
      </c>
      <c r="V853" s="25">
        <v>2</v>
      </c>
      <c r="W853" s="25">
        <v>1</v>
      </c>
      <c r="X853" s="25">
        <v>2</v>
      </c>
      <c r="Y853">
        <v>0.61037440899999995</v>
      </c>
      <c r="Z853" t="s">
        <v>812</v>
      </c>
      <c r="AA853" t="s">
        <v>619</v>
      </c>
      <c r="AB853">
        <v>1</v>
      </c>
      <c r="AC853">
        <v>192</v>
      </c>
      <c r="AF853" t="s">
        <v>531</v>
      </c>
      <c r="AG853" s="30">
        <v>192</v>
      </c>
      <c r="AH853" s="30" t="s">
        <v>671</v>
      </c>
      <c r="AI853" s="30" t="s">
        <v>1129</v>
      </c>
      <c r="AJ853" t="s">
        <v>1130</v>
      </c>
      <c r="AK853">
        <v>0.59524549999999998</v>
      </c>
      <c r="AL853">
        <v>282.36161920373951</v>
      </c>
      <c r="AM853">
        <v>192</v>
      </c>
      <c r="AN853">
        <v>348.59459160955493</v>
      </c>
      <c r="AO853">
        <v>237.03703703703701</v>
      </c>
      <c r="AP853">
        <v>0.21277321783427841</v>
      </c>
      <c r="AQ853">
        <v>0.14468134139259256</v>
      </c>
      <c r="AR853">
        <v>0.13341858489683281</v>
      </c>
    </row>
    <row r="854" spans="1:44" customFormat="1" hidden="1" x14ac:dyDescent="0.5">
      <c r="A854">
        <v>853</v>
      </c>
      <c r="B854">
        <v>62</v>
      </c>
      <c r="C854" s="226" t="s">
        <v>9</v>
      </c>
      <c r="D854" s="232">
        <v>37.1333628</v>
      </c>
      <c r="E854" s="233">
        <v>119.754677</v>
      </c>
      <c r="F854">
        <v>0</v>
      </c>
      <c r="G854">
        <f t="shared" si="7"/>
        <v>0</v>
      </c>
      <c r="H854" t="s">
        <v>51</v>
      </c>
      <c r="I854">
        <v>0</v>
      </c>
      <c r="J854">
        <v>563.27661004108904</v>
      </c>
      <c r="K854" s="26">
        <v>2015</v>
      </c>
      <c r="L854" t="s">
        <v>11</v>
      </c>
      <c r="M854" s="30"/>
      <c r="N854">
        <v>1</v>
      </c>
      <c r="O854">
        <v>5</v>
      </c>
      <c r="P854" t="s">
        <v>18</v>
      </c>
      <c r="Q854">
        <v>81</v>
      </c>
      <c r="R854" t="s">
        <v>13</v>
      </c>
      <c r="S854" t="s">
        <v>21</v>
      </c>
      <c r="T854" t="s">
        <v>28</v>
      </c>
      <c r="U854" s="25">
        <v>0</v>
      </c>
      <c r="V854" s="25">
        <v>2</v>
      </c>
      <c r="W854" s="25">
        <v>1</v>
      </c>
      <c r="X854" s="25">
        <v>2</v>
      </c>
      <c r="Y854">
        <v>0.61037440899999995</v>
      </c>
      <c r="Z854" t="s">
        <v>812</v>
      </c>
      <c r="AA854" t="s">
        <v>619</v>
      </c>
      <c r="AB854">
        <v>1</v>
      </c>
      <c r="AC854">
        <v>78</v>
      </c>
      <c r="AF854" t="s">
        <v>531</v>
      </c>
      <c r="AG854" s="30">
        <v>78</v>
      </c>
      <c r="AH854" s="30" t="s">
        <v>671</v>
      </c>
      <c r="AI854" s="30" t="s">
        <v>1129</v>
      </c>
      <c r="AJ854" t="s">
        <v>1130</v>
      </c>
      <c r="AK854">
        <v>0.59524549999999998</v>
      </c>
      <c r="AL854">
        <v>114.70940780151918</v>
      </c>
      <c r="AM854">
        <v>78</v>
      </c>
      <c r="AN854">
        <v>141.61655284138169</v>
      </c>
      <c r="AO854">
        <v>96.296296296296291</v>
      </c>
      <c r="AP854">
        <v>8.643911974517561E-2</v>
      </c>
      <c r="AQ854">
        <v>5.8776794940740736E-2</v>
      </c>
      <c r="AR854">
        <v>0.13341858489683281</v>
      </c>
    </row>
    <row r="855" spans="1:44" customFormat="1" hidden="1" x14ac:dyDescent="0.5">
      <c r="A855">
        <v>854</v>
      </c>
      <c r="B855">
        <v>62</v>
      </c>
      <c r="C855" s="226" t="s">
        <v>9</v>
      </c>
      <c r="D855" s="232">
        <v>37.173980899999997</v>
      </c>
      <c r="E855" s="233">
        <v>119.239456</v>
      </c>
      <c r="F855">
        <v>0</v>
      </c>
      <c r="G855">
        <f t="shared" si="7"/>
        <v>0</v>
      </c>
      <c r="H855" t="s">
        <v>51</v>
      </c>
      <c r="I855">
        <v>0</v>
      </c>
      <c r="J855">
        <v>541.56452103832498</v>
      </c>
      <c r="K855" s="26">
        <v>2015</v>
      </c>
      <c r="L855" t="s">
        <v>11</v>
      </c>
      <c r="M855" s="30"/>
      <c r="N855">
        <v>1</v>
      </c>
      <c r="O855">
        <v>5</v>
      </c>
      <c r="P855" t="s">
        <v>18</v>
      </c>
      <c r="Q855">
        <v>81</v>
      </c>
      <c r="R855" t="s">
        <v>13</v>
      </c>
      <c r="S855" t="s">
        <v>21</v>
      </c>
      <c r="T855" t="s">
        <v>28</v>
      </c>
      <c r="U855" s="25">
        <v>0</v>
      </c>
      <c r="V855" s="25">
        <v>2</v>
      </c>
      <c r="W855" s="25">
        <v>1</v>
      </c>
      <c r="X855" s="25">
        <v>2</v>
      </c>
      <c r="Y855">
        <v>0.61037440899999995</v>
      </c>
      <c r="Z855" t="s">
        <v>812</v>
      </c>
      <c r="AA855" t="s">
        <v>619</v>
      </c>
      <c r="AB855">
        <v>1</v>
      </c>
      <c r="AC855">
        <v>59</v>
      </c>
      <c r="AF855" t="s">
        <v>531</v>
      </c>
      <c r="AG855" s="30">
        <v>59</v>
      </c>
      <c r="AH855" s="30" t="s">
        <v>671</v>
      </c>
      <c r="AI855" s="30" t="s">
        <v>1129</v>
      </c>
      <c r="AJ855" t="s">
        <v>1130</v>
      </c>
      <c r="AK855">
        <v>0.59524549999999998</v>
      </c>
      <c r="AL855">
        <v>86.767372567815784</v>
      </c>
      <c r="AM855">
        <v>59</v>
      </c>
      <c r="AN855">
        <v>107.12021304668615</v>
      </c>
      <c r="AO855">
        <v>72.839506172839506</v>
      </c>
      <c r="AP855">
        <v>6.5383436730325137E-2</v>
      </c>
      <c r="AQ855">
        <v>4.4459370532098759E-2</v>
      </c>
      <c r="AR855">
        <v>0.13341858489683281</v>
      </c>
    </row>
    <row r="856" spans="1:44" customFormat="1" hidden="1" x14ac:dyDescent="0.5">
      <c r="A856">
        <v>855</v>
      </c>
      <c r="B856">
        <v>62</v>
      </c>
      <c r="C856" s="226" t="s">
        <v>9</v>
      </c>
      <c r="D856" s="232">
        <v>37.440387399999999</v>
      </c>
      <c r="E856" s="233">
        <v>121.558651</v>
      </c>
      <c r="F856">
        <v>0</v>
      </c>
      <c r="G856">
        <f t="shared" si="7"/>
        <v>0</v>
      </c>
      <c r="H856" t="s">
        <v>51</v>
      </c>
      <c r="I856">
        <v>0</v>
      </c>
      <c r="J856">
        <v>571.32525155210897</v>
      </c>
      <c r="K856" s="26">
        <v>2015</v>
      </c>
      <c r="L856" t="s">
        <v>11</v>
      </c>
      <c r="M856" s="30"/>
      <c r="N856">
        <v>1</v>
      </c>
      <c r="O856">
        <v>5</v>
      </c>
      <c r="P856" t="s">
        <v>18</v>
      </c>
      <c r="Q856">
        <v>81</v>
      </c>
      <c r="R856" t="s">
        <v>13</v>
      </c>
      <c r="S856" t="s">
        <v>21</v>
      </c>
      <c r="T856" t="s">
        <v>28</v>
      </c>
      <c r="U856" s="25">
        <v>0</v>
      </c>
      <c r="V856" s="25">
        <v>2</v>
      </c>
      <c r="W856" s="25">
        <v>1</v>
      </c>
      <c r="X856" s="25">
        <v>2</v>
      </c>
      <c r="Y856">
        <v>0.61037440899999995</v>
      </c>
      <c r="Z856" t="s">
        <v>812</v>
      </c>
      <c r="AA856" t="s">
        <v>619</v>
      </c>
      <c r="AB856">
        <v>1</v>
      </c>
      <c r="AC856">
        <v>9</v>
      </c>
      <c r="AF856" t="s">
        <v>531</v>
      </c>
      <c r="AG856" s="30">
        <v>9</v>
      </c>
      <c r="AH856" s="30" t="s">
        <v>671</v>
      </c>
      <c r="AI856" s="30" t="s">
        <v>1129</v>
      </c>
      <c r="AJ856" t="s">
        <v>1130</v>
      </c>
      <c r="AK856">
        <v>0.59524549999999998</v>
      </c>
      <c r="AL856">
        <v>13.235700900175292</v>
      </c>
      <c r="AM856">
        <v>9</v>
      </c>
      <c r="AN856">
        <v>16.34037148169789</v>
      </c>
      <c r="AO856">
        <v>11.111111111111111</v>
      </c>
      <c r="AP856">
        <v>9.9737445859818027E-3</v>
      </c>
      <c r="AQ856">
        <v>6.7819378777777776E-3</v>
      </c>
      <c r="AR856">
        <v>0.13341858489683281</v>
      </c>
    </row>
    <row r="857" spans="1:44" customFormat="1" hidden="1" x14ac:dyDescent="0.5">
      <c r="A857">
        <v>856</v>
      </c>
      <c r="B857">
        <v>62</v>
      </c>
      <c r="C857" s="226" t="s">
        <v>9</v>
      </c>
      <c r="D857" s="227">
        <v>35.522443799999998</v>
      </c>
      <c r="E857" s="228">
        <v>119.626419</v>
      </c>
      <c r="F857">
        <v>0</v>
      </c>
      <c r="G857">
        <f t="shared" si="7"/>
        <v>0</v>
      </c>
      <c r="H857" t="s">
        <v>10</v>
      </c>
      <c r="I857">
        <v>0</v>
      </c>
      <c r="J857">
        <v>742.75897886794996</v>
      </c>
      <c r="K857" s="26">
        <v>2015</v>
      </c>
      <c r="L857" t="s">
        <v>11</v>
      </c>
      <c r="M857" s="30"/>
      <c r="N857">
        <v>1</v>
      </c>
      <c r="O857">
        <v>5</v>
      </c>
      <c r="P857" t="s">
        <v>18</v>
      </c>
      <c r="Q857">
        <v>81</v>
      </c>
      <c r="R857" t="s">
        <v>13</v>
      </c>
      <c r="S857" t="s">
        <v>21</v>
      </c>
      <c r="T857" t="s">
        <v>28</v>
      </c>
      <c r="U857" s="25">
        <v>0</v>
      </c>
      <c r="V857" s="25">
        <v>2</v>
      </c>
      <c r="W857" s="25">
        <v>1</v>
      </c>
      <c r="X857" s="25">
        <v>2</v>
      </c>
      <c r="Y857">
        <v>0.61037440899999995</v>
      </c>
      <c r="Z857" t="s">
        <v>812</v>
      </c>
      <c r="AA857" t="s">
        <v>619</v>
      </c>
      <c r="AB857">
        <v>1</v>
      </c>
      <c r="AC857">
        <v>228</v>
      </c>
      <c r="AF857" t="s">
        <v>531</v>
      </c>
      <c r="AG857" s="30">
        <v>228</v>
      </c>
      <c r="AH857" s="30" t="s">
        <v>671</v>
      </c>
      <c r="AI857" s="30" t="s">
        <v>1129</v>
      </c>
      <c r="AJ857" t="s">
        <v>1130</v>
      </c>
      <c r="AK857">
        <v>0.59524549999999998</v>
      </c>
      <c r="AL857">
        <v>335.30442280444072</v>
      </c>
      <c r="AM857">
        <v>228</v>
      </c>
      <c r="AN857">
        <v>413.95607753634653</v>
      </c>
      <c r="AO857">
        <v>281.48148148148147</v>
      </c>
      <c r="AP857">
        <v>0.25266819617820563</v>
      </c>
      <c r="AQ857">
        <v>0.17180909290370366</v>
      </c>
      <c r="AR857">
        <v>0.13341858489683281</v>
      </c>
    </row>
    <row r="858" spans="1:44" customFormat="1" hidden="1" x14ac:dyDescent="0.5">
      <c r="A858">
        <v>857</v>
      </c>
      <c r="B858">
        <v>62</v>
      </c>
      <c r="C858" s="226" t="s">
        <v>9</v>
      </c>
      <c r="D858" s="227">
        <v>35.756579500000001</v>
      </c>
      <c r="E858" s="228">
        <v>119.917207</v>
      </c>
      <c r="F858">
        <v>0</v>
      </c>
      <c r="G858">
        <f t="shared" si="7"/>
        <v>0</v>
      </c>
      <c r="H858" t="s">
        <v>10</v>
      </c>
      <c r="I858">
        <v>0</v>
      </c>
      <c r="J858">
        <v>817.81392240661899</v>
      </c>
      <c r="K858" s="26">
        <v>2015</v>
      </c>
      <c r="L858" t="s">
        <v>11</v>
      </c>
      <c r="M858" s="30"/>
      <c r="N858">
        <v>1</v>
      </c>
      <c r="O858">
        <v>5</v>
      </c>
      <c r="P858" t="s">
        <v>18</v>
      </c>
      <c r="Q858">
        <v>81</v>
      </c>
      <c r="R858" t="s">
        <v>13</v>
      </c>
      <c r="S858" t="s">
        <v>21</v>
      </c>
      <c r="T858" t="s">
        <v>28</v>
      </c>
      <c r="U858" s="25">
        <v>0</v>
      </c>
      <c r="V858" s="25">
        <v>2</v>
      </c>
      <c r="W858" s="25">
        <v>1</v>
      </c>
      <c r="X858" s="25">
        <v>2</v>
      </c>
      <c r="Y858">
        <v>0.61037440899999995</v>
      </c>
      <c r="Z858" t="s">
        <v>812</v>
      </c>
      <c r="AA858" t="s">
        <v>619</v>
      </c>
      <c r="AB858">
        <v>1</v>
      </c>
      <c r="AC858">
        <v>158</v>
      </c>
      <c r="AF858" t="s">
        <v>531</v>
      </c>
      <c r="AG858" s="30">
        <v>158</v>
      </c>
      <c r="AH858" s="30" t="s">
        <v>671</v>
      </c>
      <c r="AI858" s="30" t="s">
        <v>1129</v>
      </c>
      <c r="AJ858" t="s">
        <v>1130</v>
      </c>
      <c r="AK858">
        <v>0.59524549999999998</v>
      </c>
      <c r="AL858">
        <v>232.36008246974399</v>
      </c>
      <c r="AM858">
        <v>158</v>
      </c>
      <c r="AN858">
        <v>286.86429934536295</v>
      </c>
      <c r="AO858">
        <v>195.06172839506172</v>
      </c>
      <c r="AP858">
        <v>0.17509462717612498</v>
      </c>
      <c r="AQ858">
        <v>0.11906068718765431</v>
      </c>
      <c r="AR858">
        <v>0.13341858489683281</v>
      </c>
    </row>
    <row r="859" spans="1:44" customFormat="1" hidden="1" x14ac:dyDescent="0.5">
      <c r="A859">
        <v>858</v>
      </c>
      <c r="B859">
        <v>62</v>
      </c>
      <c r="C859" s="226" t="s">
        <v>9</v>
      </c>
      <c r="D859" s="227">
        <v>35.957533300000001</v>
      </c>
      <c r="E859" s="228">
        <v>120.24695</v>
      </c>
      <c r="F859">
        <v>0</v>
      </c>
      <c r="G859">
        <f t="shared" si="7"/>
        <v>0</v>
      </c>
      <c r="H859" t="s">
        <v>10</v>
      </c>
      <c r="I859">
        <v>0</v>
      </c>
      <c r="J859">
        <v>853.54336938635504</v>
      </c>
      <c r="K859" s="26">
        <v>2015</v>
      </c>
      <c r="L859" t="s">
        <v>11</v>
      </c>
      <c r="M859" s="30"/>
      <c r="N859">
        <v>1</v>
      </c>
      <c r="O859">
        <v>5</v>
      </c>
      <c r="P859" t="s">
        <v>18</v>
      </c>
      <c r="Q859">
        <v>81</v>
      </c>
      <c r="R859" t="s">
        <v>13</v>
      </c>
      <c r="S859" t="s">
        <v>21</v>
      </c>
      <c r="T859" t="s">
        <v>28</v>
      </c>
      <c r="U859" s="25">
        <v>0</v>
      </c>
      <c r="V859" s="25">
        <v>2</v>
      </c>
      <c r="W859" s="25">
        <v>1</v>
      </c>
      <c r="X859" s="25">
        <v>2</v>
      </c>
      <c r="Y859">
        <v>0.61037440899999995</v>
      </c>
      <c r="Z859" t="s">
        <v>812</v>
      </c>
      <c r="AA859" t="s">
        <v>619</v>
      </c>
      <c r="AB859">
        <v>1</v>
      </c>
      <c r="AC859">
        <v>216</v>
      </c>
      <c r="AF859" t="s">
        <v>531</v>
      </c>
      <c r="AG859" s="30">
        <v>216</v>
      </c>
      <c r="AH859" s="30" t="s">
        <v>671</v>
      </c>
      <c r="AI859" s="30" t="s">
        <v>1129</v>
      </c>
      <c r="AJ859" t="s">
        <v>1130</v>
      </c>
      <c r="AK859">
        <v>0.59524549999999998</v>
      </c>
      <c r="AL859">
        <v>317.65682160420693</v>
      </c>
      <c r="AM859">
        <v>216</v>
      </c>
      <c r="AN859">
        <v>392.16891556074927</v>
      </c>
      <c r="AO859">
        <v>266.66666666666663</v>
      </c>
      <c r="AP859">
        <v>0.23936987006356322</v>
      </c>
      <c r="AQ859">
        <v>0.16276650906666662</v>
      </c>
      <c r="AR859">
        <v>0.13341858489683281</v>
      </c>
    </row>
    <row r="860" spans="1:44" customFormat="1" hidden="1" x14ac:dyDescent="0.5">
      <c r="A860">
        <v>859</v>
      </c>
      <c r="B860">
        <v>62</v>
      </c>
      <c r="C860" s="226" t="s">
        <v>9</v>
      </c>
      <c r="D860" s="227">
        <v>36.051011500000001</v>
      </c>
      <c r="E860" s="228">
        <v>120.36602600000001</v>
      </c>
      <c r="F860">
        <v>0</v>
      </c>
      <c r="G860">
        <f t="shared" si="7"/>
        <v>0</v>
      </c>
      <c r="H860" t="s">
        <v>10</v>
      </c>
      <c r="I860">
        <v>0</v>
      </c>
      <c r="J860">
        <v>820.41174487010403</v>
      </c>
      <c r="K860" s="26">
        <v>2015</v>
      </c>
      <c r="L860" t="s">
        <v>11</v>
      </c>
      <c r="M860" s="30"/>
      <c r="N860">
        <v>1</v>
      </c>
      <c r="O860">
        <v>5</v>
      </c>
      <c r="P860" t="s">
        <v>18</v>
      </c>
      <c r="Q860">
        <v>81</v>
      </c>
      <c r="R860" t="s">
        <v>13</v>
      </c>
      <c r="S860" t="s">
        <v>21</v>
      </c>
      <c r="T860" t="s">
        <v>28</v>
      </c>
      <c r="U860" s="25">
        <v>0</v>
      </c>
      <c r="V860" s="25">
        <v>2</v>
      </c>
      <c r="W860" s="25">
        <v>1</v>
      </c>
      <c r="X860" s="25">
        <v>2</v>
      </c>
      <c r="Y860">
        <v>0.61037440899999995</v>
      </c>
      <c r="Z860" t="s">
        <v>812</v>
      </c>
      <c r="AA860" t="s">
        <v>619</v>
      </c>
      <c r="AB860">
        <v>1</v>
      </c>
      <c r="AC860">
        <v>24</v>
      </c>
      <c r="AF860" t="s">
        <v>531</v>
      </c>
      <c r="AG860" s="30">
        <v>24</v>
      </c>
      <c r="AH860" s="30" t="s">
        <v>671</v>
      </c>
      <c r="AI860" s="30" t="s">
        <v>1129</v>
      </c>
      <c r="AJ860" t="s">
        <v>1130</v>
      </c>
      <c r="AK860">
        <v>0.59524549999999998</v>
      </c>
      <c r="AL860">
        <v>35.295202400467439</v>
      </c>
      <c r="AM860">
        <v>24</v>
      </c>
      <c r="AN860">
        <v>43.574323951194366</v>
      </c>
      <c r="AO860">
        <v>29.629629629629626</v>
      </c>
      <c r="AP860">
        <v>2.6596652229284801E-2</v>
      </c>
      <c r="AQ860">
        <v>1.808516767407407E-2</v>
      </c>
      <c r="AR860">
        <v>0.13341858489683281</v>
      </c>
    </row>
    <row r="861" spans="1:44" customFormat="1" hidden="1" x14ac:dyDescent="0.5">
      <c r="A861">
        <v>860</v>
      </c>
      <c r="B861">
        <v>62</v>
      </c>
      <c r="C861" s="226" t="s">
        <v>9</v>
      </c>
      <c r="D861" s="227">
        <v>36.051011500000001</v>
      </c>
      <c r="E861" s="228">
        <v>120.36602600000001</v>
      </c>
      <c r="F861">
        <v>0</v>
      </c>
      <c r="G861">
        <f t="shared" si="7"/>
        <v>0</v>
      </c>
      <c r="H861" t="s">
        <v>10</v>
      </c>
      <c r="I861">
        <v>0</v>
      </c>
      <c r="J861">
        <v>820.41174487010403</v>
      </c>
      <c r="K861" s="26">
        <v>2015</v>
      </c>
      <c r="L861" t="s">
        <v>11</v>
      </c>
      <c r="M861" s="30"/>
      <c r="N861">
        <v>1</v>
      </c>
      <c r="O861">
        <v>5</v>
      </c>
      <c r="P861" t="s">
        <v>18</v>
      </c>
      <c r="Q861">
        <v>81</v>
      </c>
      <c r="R861" t="s">
        <v>13</v>
      </c>
      <c r="S861" t="s">
        <v>21</v>
      </c>
      <c r="T861" t="s">
        <v>28</v>
      </c>
      <c r="U861" s="25">
        <v>0</v>
      </c>
      <c r="V861" s="25">
        <v>2</v>
      </c>
      <c r="W861" s="25">
        <v>1</v>
      </c>
      <c r="X861" s="25">
        <v>2</v>
      </c>
      <c r="Y861">
        <v>0.61037440899999995</v>
      </c>
      <c r="Z861" t="s">
        <v>812</v>
      </c>
      <c r="AA861" t="s">
        <v>619</v>
      </c>
      <c r="AB861">
        <v>1</v>
      </c>
      <c r="AC861">
        <v>710</v>
      </c>
      <c r="AF861" t="s">
        <v>531</v>
      </c>
      <c r="AG861" s="30">
        <v>710</v>
      </c>
      <c r="AH861" s="30" t="s">
        <v>671</v>
      </c>
      <c r="AI861" s="30" t="s">
        <v>1129</v>
      </c>
      <c r="AJ861" t="s">
        <v>1130</v>
      </c>
      <c r="AK861">
        <v>0.59524549999999998</v>
      </c>
      <c r="AL861">
        <v>1044.149737680495</v>
      </c>
      <c r="AM861">
        <v>710</v>
      </c>
      <c r="AN861">
        <v>1289.0737502228333</v>
      </c>
      <c r="AO861">
        <v>876.54320987654319</v>
      </c>
      <c r="AP861">
        <v>0.7868176284496754</v>
      </c>
      <c r="AQ861">
        <v>0.53501954369135796</v>
      </c>
      <c r="AR861">
        <v>0.13341858489683281</v>
      </c>
    </row>
    <row r="862" spans="1:44" customFormat="1" hidden="1" x14ac:dyDescent="0.5">
      <c r="A862">
        <v>861</v>
      </c>
      <c r="B862">
        <v>62</v>
      </c>
      <c r="C862" s="226" t="s">
        <v>9</v>
      </c>
      <c r="D862" s="227">
        <v>36.089444100000001</v>
      </c>
      <c r="E862" s="228">
        <v>120.466275</v>
      </c>
      <c r="F862">
        <v>0</v>
      </c>
      <c r="G862">
        <f t="shared" si="7"/>
        <v>0</v>
      </c>
      <c r="H862" t="s">
        <v>10</v>
      </c>
      <c r="I862">
        <v>0</v>
      </c>
      <c r="J862">
        <v>832.81187549548804</v>
      </c>
      <c r="K862" s="26">
        <v>2015</v>
      </c>
      <c r="L862" t="s">
        <v>11</v>
      </c>
      <c r="M862" s="30"/>
      <c r="N862">
        <v>1</v>
      </c>
      <c r="O862">
        <v>5</v>
      </c>
      <c r="P862" t="s">
        <v>18</v>
      </c>
      <c r="Q862">
        <v>81</v>
      </c>
      <c r="R862" t="s">
        <v>13</v>
      </c>
      <c r="S862" t="s">
        <v>21</v>
      </c>
      <c r="T862" t="s">
        <v>28</v>
      </c>
      <c r="U862" s="25">
        <v>0</v>
      </c>
      <c r="V862" s="25">
        <v>2</v>
      </c>
      <c r="W862" s="25">
        <v>1</v>
      </c>
      <c r="X862" s="25">
        <v>2</v>
      </c>
      <c r="Y862">
        <v>0.61037440899999995</v>
      </c>
      <c r="Z862" t="s">
        <v>812</v>
      </c>
      <c r="AA862" t="s">
        <v>619</v>
      </c>
      <c r="AB862">
        <v>1</v>
      </c>
      <c r="AC862">
        <v>11</v>
      </c>
      <c r="AF862" t="s">
        <v>531</v>
      </c>
      <c r="AG862" s="30">
        <v>11</v>
      </c>
      <c r="AH862" s="30" t="s">
        <v>671</v>
      </c>
      <c r="AI862" s="30" t="s">
        <v>1129</v>
      </c>
      <c r="AJ862" t="s">
        <v>1130</v>
      </c>
      <c r="AK862">
        <v>0.59524549999999998</v>
      </c>
      <c r="AL862">
        <v>16.17696776688091</v>
      </c>
      <c r="AM862">
        <v>11</v>
      </c>
      <c r="AN862">
        <v>19.971565144297422</v>
      </c>
      <c r="AO862">
        <v>13.580246913580247</v>
      </c>
      <c r="AP862">
        <v>1.2190132271755538E-2</v>
      </c>
      <c r="AQ862">
        <v>8.289035183950617E-3</v>
      </c>
      <c r="AR862">
        <v>0.13341858489683281</v>
      </c>
    </row>
    <row r="863" spans="1:44" customFormat="1" hidden="1" x14ac:dyDescent="0.5">
      <c r="A863">
        <v>862</v>
      </c>
      <c r="B863">
        <v>62</v>
      </c>
      <c r="C863" s="226" t="s">
        <v>9</v>
      </c>
      <c r="D863" s="227">
        <v>36.089444100000001</v>
      </c>
      <c r="E863" s="228">
        <v>120.466275</v>
      </c>
      <c r="F863">
        <v>0</v>
      </c>
      <c r="G863">
        <f t="shared" si="7"/>
        <v>0</v>
      </c>
      <c r="H863" t="s">
        <v>10</v>
      </c>
      <c r="I863">
        <v>0</v>
      </c>
      <c r="J863">
        <v>832.81187549548804</v>
      </c>
      <c r="K863" s="26">
        <v>2015</v>
      </c>
      <c r="L863" t="s">
        <v>11</v>
      </c>
      <c r="M863" s="30"/>
      <c r="N863">
        <v>1</v>
      </c>
      <c r="O863">
        <v>5</v>
      </c>
      <c r="P863" t="s">
        <v>18</v>
      </c>
      <c r="Q863">
        <v>81</v>
      </c>
      <c r="R863" t="s">
        <v>13</v>
      </c>
      <c r="S863" t="s">
        <v>21</v>
      </c>
      <c r="T863" t="s">
        <v>28</v>
      </c>
      <c r="U863" s="25">
        <v>0</v>
      </c>
      <c r="V863" s="25">
        <v>2</v>
      </c>
      <c r="W863" s="25">
        <v>1</v>
      </c>
      <c r="X863" s="25">
        <v>2</v>
      </c>
      <c r="Y863">
        <v>0.61037440899999995</v>
      </c>
      <c r="Z863" t="s">
        <v>812</v>
      </c>
      <c r="AA863" t="s">
        <v>619</v>
      </c>
      <c r="AB863">
        <v>1</v>
      </c>
      <c r="AC863">
        <v>27</v>
      </c>
      <c r="AF863" t="s">
        <v>531</v>
      </c>
      <c r="AG863" s="30">
        <v>27</v>
      </c>
      <c r="AH863" s="30" t="s">
        <v>671</v>
      </c>
      <c r="AI863" s="30" t="s">
        <v>1129</v>
      </c>
      <c r="AJ863" t="s">
        <v>1130</v>
      </c>
      <c r="AK863">
        <v>0.59524549999999998</v>
      </c>
      <c r="AL863">
        <v>39.707102700525866</v>
      </c>
      <c r="AM863">
        <v>27</v>
      </c>
      <c r="AN863">
        <v>49.021114445093659</v>
      </c>
      <c r="AO863">
        <v>33.333333333333329</v>
      </c>
      <c r="AP863">
        <v>2.9921233757945403E-2</v>
      </c>
      <c r="AQ863">
        <v>2.0345813633333328E-2</v>
      </c>
      <c r="AR863">
        <v>0.13341858489683281</v>
      </c>
    </row>
    <row r="864" spans="1:44" customFormat="1" hidden="1" x14ac:dyDescent="0.5">
      <c r="A864">
        <v>863</v>
      </c>
      <c r="B864">
        <v>62</v>
      </c>
      <c r="C864" s="226" t="s">
        <v>9</v>
      </c>
      <c r="D864" s="227">
        <v>36.089444100000001</v>
      </c>
      <c r="E864" s="228">
        <v>120.466275</v>
      </c>
      <c r="F864">
        <v>0</v>
      </c>
      <c r="G864">
        <f t="shared" si="7"/>
        <v>0</v>
      </c>
      <c r="H864" t="s">
        <v>10</v>
      </c>
      <c r="I864">
        <v>0</v>
      </c>
      <c r="J864">
        <v>832.81187549548804</v>
      </c>
      <c r="K864" s="26">
        <v>2015</v>
      </c>
      <c r="L864" t="s">
        <v>11</v>
      </c>
      <c r="M864" s="30"/>
      <c r="N864">
        <v>1</v>
      </c>
      <c r="O864">
        <v>5</v>
      </c>
      <c r="P864" t="s">
        <v>18</v>
      </c>
      <c r="Q864">
        <v>81</v>
      </c>
      <c r="R864" t="s">
        <v>13</v>
      </c>
      <c r="S864" t="s">
        <v>21</v>
      </c>
      <c r="T864" t="s">
        <v>28</v>
      </c>
      <c r="U864" s="25">
        <v>0</v>
      </c>
      <c r="V864" s="25">
        <v>2</v>
      </c>
      <c r="W864" s="25">
        <v>1</v>
      </c>
      <c r="X864" s="25">
        <v>2</v>
      </c>
      <c r="Y864">
        <v>0.61037440899999995</v>
      </c>
      <c r="Z864" t="s">
        <v>812</v>
      </c>
      <c r="AA864" t="s">
        <v>619</v>
      </c>
      <c r="AB864">
        <v>1</v>
      </c>
      <c r="AC864">
        <v>262</v>
      </c>
      <c r="AF864" t="s">
        <v>531</v>
      </c>
      <c r="AG864" s="30">
        <v>262</v>
      </c>
      <c r="AH864" s="30" t="s">
        <v>671</v>
      </c>
      <c r="AI864" s="30" t="s">
        <v>1129</v>
      </c>
      <c r="AJ864" t="s">
        <v>1130</v>
      </c>
      <c r="AK864">
        <v>0.59524549999999998</v>
      </c>
      <c r="AL864">
        <v>385.30595953843624</v>
      </c>
      <c r="AM864">
        <v>262</v>
      </c>
      <c r="AN864">
        <v>475.68636980053861</v>
      </c>
      <c r="AO864">
        <v>323.45679012345681</v>
      </c>
      <c r="AP864">
        <v>0.29034678683635917</v>
      </c>
      <c r="AQ864">
        <v>0.19742974710864197</v>
      </c>
      <c r="AR864">
        <v>0.13341858489683281</v>
      </c>
    </row>
    <row r="865" spans="1:44" customFormat="1" hidden="1" x14ac:dyDescent="0.5">
      <c r="A865">
        <v>864</v>
      </c>
      <c r="B865">
        <v>62</v>
      </c>
      <c r="C865" s="226" t="s">
        <v>9</v>
      </c>
      <c r="D865" s="227">
        <v>36.826448499999998</v>
      </c>
      <c r="E865" s="228">
        <v>121.70320700000001</v>
      </c>
      <c r="F865">
        <v>0</v>
      </c>
      <c r="G865">
        <f t="shared" si="7"/>
        <v>0</v>
      </c>
      <c r="H865" t="s">
        <v>10</v>
      </c>
      <c r="I865">
        <v>0</v>
      </c>
      <c r="J865">
        <v>591.16946066591197</v>
      </c>
      <c r="K865" s="26">
        <v>2015</v>
      </c>
      <c r="L865" t="s">
        <v>11</v>
      </c>
      <c r="M865" s="30"/>
      <c r="N865">
        <v>1</v>
      </c>
      <c r="O865">
        <v>5</v>
      </c>
      <c r="P865" t="s">
        <v>18</v>
      </c>
      <c r="Q865">
        <v>81</v>
      </c>
      <c r="R865" t="s">
        <v>13</v>
      </c>
      <c r="S865" t="s">
        <v>21</v>
      </c>
      <c r="T865" t="s">
        <v>28</v>
      </c>
      <c r="U865" s="25">
        <v>0</v>
      </c>
      <c r="V865" s="25">
        <v>2</v>
      </c>
      <c r="W865" s="25">
        <v>1</v>
      </c>
      <c r="X865" s="25">
        <v>2</v>
      </c>
      <c r="Y865">
        <v>0.61037440899999995</v>
      </c>
      <c r="Z865" t="s">
        <v>812</v>
      </c>
      <c r="AA865" t="s">
        <v>619</v>
      </c>
      <c r="AB865">
        <v>1</v>
      </c>
      <c r="AC865">
        <v>186</v>
      </c>
      <c r="AF865" t="s">
        <v>531</v>
      </c>
      <c r="AG865" s="30">
        <v>186</v>
      </c>
      <c r="AH865" s="30" t="s">
        <v>671</v>
      </c>
      <c r="AI865" s="30" t="s">
        <v>1129</v>
      </c>
      <c r="AJ865" t="s">
        <v>1130</v>
      </c>
      <c r="AK865">
        <v>0.59524549999999998</v>
      </c>
      <c r="AL865">
        <v>273.53781860362267</v>
      </c>
      <c r="AM865">
        <v>186</v>
      </c>
      <c r="AN865">
        <v>337.70101062175638</v>
      </c>
      <c r="AO865">
        <v>229.62962962962962</v>
      </c>
      <c r="AP865">
        <v>0.20612405477695728</v>
      </c>
      <c r="AQ865">
        <v>0.14016004947407407</v>
      </c>
      <c r="AR865">
        <v>0.13341858489683281</v>
      </c>
    </row>
    <row r="866" spans="1:44" customFormat="1" hidden="1" x14ac:dyDescent="0.5">
      <c r="A866">
        <v>865</v>
      </c>
      <c r="B866">
        <v>62</v>
      </c>
      <c r="C866" s="226" t="s">
        <v>9</v>
      </c>
      <c r="D866" s="227">
        <v>36.935678199999998</v>
      </c>
      <c r="E866" s="228">
        <v>121.92696599999999</v>
      </c>
      <c r="F866">
        <v>0</v>
      </c>
      <c r="G866">
        <f t="shared" si="7"/>
        <v>0</v>
      </c>
      <c r="H866" t="s">
        <v>10</v>
      </c>
      <c r="I866">
        <v>0</v>
      </c>
      <c r="J866">
        <v>620.81343739846898</v>
      </c>
      <c r="K866" s="26">
        <v>2015</v>
      </c>
      <c r="L866" t="s">
        <v>11</v>
      </c>
      <c r="M866" s="30"/>
      <c r="N866">
        <v>1</v>
      </c>
      <c r="O866">
        <v>5</v>
      </c>
      <c r="P866" t="s">
        <v>18</v>
      </c>
      <c r="Q866">
        <v>81</v>
      </c>
      <c r="R866" t="s">
        <v>13</v>
      </c>
      <c r="S866" t="s">
        <v>21</v>
      </c>
      <c r="T866" t="s">
        <v>28</v>
      </c>
      <c r="U866" s="25">
        <v>0</v>
      </c>
      <c r="V866" s="25">
        <v>2</v>
      </c>
      <c r="W866" s="25">
        <v>1</v>
      </c>
      <c r="X866" s="25">
        <v>2</v>
      </c>
      <c r="Y866">
        <v>0.61037440899999995</v>
      </c>
      <c r="Z866" t="s">
        <v>812</v>
      </c>
      <c r="AA866" t="s">
        <v>619</v>
      </c>
      <c r="AB866">
        <v>1</v>
      </c>
      <c r="AC866">
        <v>5</v>
      </c>
      <c r="AF866" t="s">
        <v>531</v>
      </c>
      <c r="AG866" s="30">
        <v>5</v>
      </c>
      <c r="AH866" s="30" t="s">
        <v>671</v>
      </c>
      <c r="AI866" s="30" t="s">
        <v>1129</v>
      </c>
      <c r="AJ866" t="s">
        <v>1130</v>
      </c>
      <c r="AK866">
        <v>0.59524549999999998</v>
      </c>
      <c r="AL866">
        <v>7.3531671667640506</v>
      </c>
      <c r="AM866">
        <v>5</v>
      </c>
      <c r="AN866">
        <v>9.0779841564988271</v>
      </c>
      <c r="AO866">
        <v>6.1728395061728394</v>
      </c>
      <c r="AP866">
        <v>5.5409692144343346E-3</v>
      </c>
      <c r="AQ866">
        <v>3.7677432654320982E-3</v>
      </c>
      <c r="AR866">
        <v>0.13341858489683281</v>
      </c>
    </row>
    <row r="867" spans="1:44" customFormat="1" hidden="1" x14ac:dyDescent="0.5">
      <c r="A867">
        <v>866</v>
      </c>
      <c r="B867">
        <v>62</v>
      </c>
      <c r="C867" s="226" t="s">
        <v>9</v>
      </c>
      <c r="D867" s="227">
        <v>37.1522638</v>
      </c>
      <c r="E867" s="228">
        <v>122.48855500000001</v>
      </c>
      <c r="F867">
        <v>0</v>
      </c>
      <c r="G867">
        <f t="shared" si="7"/>
        <v>0</v>
      </c>
      <c r="H867" t="s">
        <v>10</v>
      </c>
      <c r="I867">
        <v>0</v>
      </c>
      <c r="J867">
        <v>552.02178259577101</v>
      </c>
      <c r="K867" s="26">
        <v>2015</v>
      </c>
      <c r="L867" t="s">
        <v>11</v>
      </c>
      <c r="M867" s="30"/>
      <c r="N867">
        <v>1</v>
      </c>
      <c r="O867">
        <v>5</v>
      </c>
      <c r="P867" t="s">
        <v>18</v>
      </c>
      <c r="Q867">
        <v>81</v>
      </c>
      <c r="R867" t="s">
        <v>13</v>
      </c>
      <c r="S867" t="s">
        <v>21</v>
      </c>
      <c r="T867" t="s">
        <v>28</v>
      </c>
      <c r="U867" s="25">
        <v>0</v>
      </c>
      <c r="V867" s="25">
        <v>2</v>
      </c>
      <c r="W867" s="25">
        <v>1</v>
      </c>
      <c r="X867" s="25">
        <v>2</v>
      </c>
      <c r="Y867">
        <v>0.61037440899999995</v>
      </c>
      <c r="Z867" t="s">
        <v>812</v>
      </c>
      <c r="AA867" t="s">
        <v>619</v>
      </c>
      <c r="AB867">
        <v>1</v>
      </c>
      <c r="AC867">
        <v>5</v>
      </c>
      <c r="AF867" t="s">
        <v>531</v>
      </c>
      <c r="AG867" s="30">
        <v>5</v>
      </c>
      <c r="AH867" s="30" t="s">
        <v>671</v>
      </c>
      <c r="AI867" s="30" t="s">
        <v>1129</v>
      </c>
      <c r="AJ867" t="s">
        <v>1130</v>
      </c>
      <c r="AK867">
        <v>0.59524549999999998</v>
      </c>
      <c r="AL867">
        <v>7.3531671667640506</v>
      </c>
      <c r="AM867">
        <v>5</v>
      </c>
      <c r="AN867">
        <v>9.0779841564988271</v>
      </c>
      <c r="AO867">
        <v>6.1728395061728394</v>
      </c>
      <c r="AP867">
        <v>5.5409692144343346E-3</v>
      </c>
      <c r="AQ867">
        <v>3.7677432654320982E-3</v>
      </c>
      <c r="AR867">
        <v>0.13341858489683281</v>
      </c>
    </row>
    <row r="868" spans="1:44" customFormat="1" hidden="1" x14ac:dyDescent="0.5">
      <c r="A868">
        <v>867</v>
      </c>
      <c r="B868">
        <v>62</v>
      </c>
      <c r="C868" s="226" t="s">
        <v>9</v>
      </c>
      <c r="D868" s="234">
        <v>37.221743600000003</v>
      </c>
      <c r="E868" s="235">
        <v>119.215549</v>
      </c>
      <c r="F868">
        <v>0</v>
      </c>
      <c r="G868">
        <f t="shared" si="7"/>
        <v>0</v>
      </c>
      <c r="H868" t="s">
        <v>10</v>
      </c>
      <c r="I868">
        <v>0</v>
      </c>
      <c r="J868">
        <v>537.19195460536503</v>
      </c>
      <c r="K868" s="26">
        <v>2015</v>
      </c>
      <c r="L868" t="s">
        <v>11</v>
      </c>
      <c r="M868" s="30"/>
      <c r="N868">
        <v>1</v>
      </c>
      <c r="O868">
        <v>5</v>
      </c>
      <c r="P868" t="s">
        <v>18</v>
      </c>
      <c r="Q868">
        <v>81</v>
      </c>
      <c r="R868" t="s">
        <v>13</v>
      </c>
      <c r="S868" t="s">
        <v>21</v>
      </c>
      <c r="T868" t="s">
        <v>28</v>
      </c>
      <c r="U868" s="25">
        <v>0</v>
      </c>
      <c r="V868" s="25">
        <v>2</v>
      </c>
      <c r="W868" s="25">
        <v>1</v>
      </c>
      <c r="X868" s="25">
        <v>2</v>
      </c>
      <c r="Y868">
        <v>0.61037440899999995</v>
      </c>
      <c r="Z868" t="s">
        <v>812</v>
      </c>
      <c r="AA868" t="s">
        <v>619</v>
      </c>
      <c r="AB868">
        <v>1</v>
      </c>
      <c r="AC868">
        <v>79</v>
      </c>
      <c r="AF868" t="s">
        <v>531</v>
      </c>
      <c r="AG868" s="30">
        <v>79</v>
      </c>
      <c r="AH868" s="30" t="s">
        <v>671</v>
      </c>
      <c r="AI868" s="30" t="s">
        <v>1129</v>
      </c>
      <c r="AJ868" t="s">
        <v>1130</v>
      </c>
      <c r="AK868">
        <v>0.59524549999999998</v>
      </c>
      <c r="AL868">
        <v>116.18004123487199</v>
      </c>
      <c r="AM868">
        <v>79</v>
      </c>
      <c r="AN868">
        <v>143.43214967268148</v>
      </c>
      <c r="AO868">
        <v>97.53086419753086</v>
      </c>
      <c r="AP868">
        <v>8.7547313588062489E-2</v>
      </c>
      <c r="AQ868">
        <v>5.9530343593827154E-2</v>
      </c>
      <c r="AR868">
        <v>0.13341858489683281</v>
      </c>
    </row>
    <row r="869" spans="1:44" customFormat="1" hidden="1" x14ac:dyDescent="0.5">
      <c r="A869">
        <v>868</v>
      </c>
      <c r="B869">
        <v>62</v>
      </c>
      <c r="C869" s="226" t="s">
        <v>9</v>
      </c>
      <c r="D869" s="234">
        <v>37.385941699999997</v>
      </c>
      <c r="E869" s="235">
        <v>119.93647300000001</v>
      </c>
      <c r="F869">
        <v>0</v>
      </c>
      <c r="G869">
        <f t="shared" si="7"/>
        <v>0</v>
      </c>
      <c r="H869" t="s">
        <v>10</v>
      </c>
      <c r="I869">
        <v>0</v>
      </c>
      <c r="J869">
        <v>480.42795887286599</v>
      </c>
      <c r="K869" s="26">
        <v>2015</v>
      </c>
      <c r="L869" t="s">
        <v>11</v>
      </c>
      <c r="M869" s="30"/>
      <c r="N869">
        <v>1</v>
      </c>
      <c r="O869">
        <v>5</v>
      </c>
      <c r="P869" t="s">
        <v>18</v>
      </c>
      <c r="Q869">
        <v>81</v>
      </c>
      <c r="R869" t="s">
        <v>13</v>
      </c>
      <c r="S869" t="s">
        <v>21</v>
      </c>
      <c r="T869" t="s">
        <v>28</v>
      </c>
      <c r="U869" s="25">
        <v>0</v>
      </c>
      <c r="V869" s="25">
        <v>2</v>
      </c>
      <c r="W869" s="25">
        <v>1</v>
      </c>
      <c r="X869" s="25">
        <v>2</v>
      </c>
      <c r="Y869">
        <v>0.61037440899999995</v>
      </c>
      <c r="Z869" t="s">
        <v>812</v>
      </c>
      <c r="AA869" t="s">
        <v>619</v>
      </c>
      <c r="AB869">
        <v>1</v>
      </c>
      <c r="AC869">
        <v>11</v>
      </c>
      <c r="AF869" t="s">
        <v>531</v>
      </c>
      <c r="AG869" s="30">
        <v>11</v>
      </c>
      <c r="AH869" s="30" t="s">
        <v>671</v>
      </c>
      <c r="AI869" s="30" t="s">
        <v>1129</v>
      </c>
      <c r="AJ869" t="s">
        <v>1130</v>
      </c>
      <c r="AK869">
        <v>0.59524549999999998</v>
      </c>
      <c r="AL869">
        <v>16.17696776688091</v>
      </c>
      <c r="AM869">
        <v>11</v>
      </c>
      <c r="AN869">
        <v>19.971565144297422</v>
      </c>
      <c r="AO869">
        <v>13.580246913580247</v>
      </c>
      <c r="AP869">
        <v>1.2190132271755538E-2</v>
      </c>
      <c r="AQ869">
        <v>8.289035183950617E-3</v>
      </c>
      <c r="AR869">
        <v>0.13341858489683281</v>
      </c>
    </row>
    <row r="870" spans="1:44" customFormat="1" hidden="1" x14ac:dyDescent="0.5">
      <c r="A870">
        <v>869</v>
      </c>
      <c r="B870">
        <v>62</v>
      </c>
      <c r="C870" s="226" t="s">
        <v>9</v>
      </c>
      <c r="D870" s="234">
        <v>37.436483299999999</v>
      </c>
      <c r="E870" s="235">
        <v>118.921992</v>
      </c>
      <c r="F870">
        <v>0</v>
      </c>
      <c r="G870">
        <f t="shared" si="7"/>
        <v>0</v>
      </c>
      <c r="H870" t="s">
        <v>10</v>
      </c>
      <c r="I870">
        <v>0</v>
      </c>
      <c r="J870">
        <v>522.98350225335901</v>
      </c>
      <c r="K870" s="26">
        <v>2015</v>
      </c>
      <c r="L870" t="s">
        <v>11</v>
      </c>
      <c r="M870" s="30"/>
      <c r="N870">
        <v>1</v>
      </c>
      <c r="O870">
        <v>5</v>
      </c>
      <c r="P870" t="s">
        <v>18</v>
      </c>
      <c r="Q870">
        <v>81</v>
      </c>
      <c r="R870" t="s">
        <v>13</v>
      </c>
      <c r="S870" t="s">
        <v>21</v>
      </c>
      <c r="T870" t="s">
        <v>28</v>
      </c>
      <c r="U870" s="25">
        <v>0</v>
      </c>
      <c r="V870" s="25">
        <v>2</v>
      </c>
      <c r="W870" s="25">
        <v>1</v>
      </c>
      <c r="X870" s="25">
        <v>2</v>
      </c>
      <c r="Y870">
        <v>0.61037440899999995</v>
      </c>
      <c r="Z870" t="s">
        <v>812</v>
      </c>
      <c r="AA870" t="s">
        <v>619</v>
      </c>
      <c r="AB870">
        <v>1</v>
      </c>
      <c r="AC870">
        <v>870</v>
      </c>
      <c r="AF870" t="s">
        <v>531</v>
      </c>
      <c r="AG870" s="30">
        <v>870</v>
      </c>
      <c r="AH870" s="30" t="s">
        <v>671</v>
      </c>
      <c r="AI870" s="30" t="s">
        <v>1129</v>
      </c>
      <c r="AJ870" t="s">
        <v>1130</v>
      </c>
      <c r="AK870">
        <v>0.59524549999999998</v>
      </c>
      <c r="AL870">
        <v>1279.4510870169447</v>
      </c>
      <c r="AM870">
        <v>870</v>
      </c>
      <c r="AN870">
        <v>1579.569243230796</v>
      </c>
      <c r="AO870">
        <v>1074.0740740740741</v>
      </c>
      <c r="AP870">
        <v>0.96412864331157422</v>
      </c>
      <c r="AQ870">
        <v>0.65558732818518517</v>
      </c>
      <c r="AR870">
        <v>0.13341858489683281</v>
      </c>
    </row>
    <row r="871" spans="1:44" customFormat="1" hidden="1" x14ac:dyDescent="0.5">
      <c r="A871">
        <v>870</v>
      </c>
      <c r="B871">
        <v>62</v>
      </c>
      <c r="C871" s="226" t="s">
        <v>9</v>
      </c>
      <c r="D871" s="234">
        <v>37.4559657</v>
      </c>
      <c r="E871" s="235">
        <v>121.70822099999999</v>
      </c>
      <c r="F871">
        <v>0</v>
      </c>
      <c r="G871">
        <f t="shared" si="7"/>
        <v>0</v>
      </c>
      <c r="H871" t="s">
        <v>10</v>
      </c>
      <c r="I871">
        <v>0</v>
      </c>
      <c r="J871">
        <v>576.576733695862</v>
      </c>
      <c r="K871" s="26">
        <v>2015</v>
      </c>
      <c r="L871" t="s">
        <v>11</v>
      </c>
      <c r="M871" s="30"/>
      <c r="N871">
        <v>1</v>
      </c>
      <c r="O871">
        <v>5</v>
      </c>
      <c r="P871" t="s">
        <v>18</v>
      </c>
      <c r="Q871">
        <v>81</v>
      </c>
      <c r="R871" t="s">
        <v>13</v>
      </c>
      <c r="S871" t="s">
        <v>21</v>
      </c>
      <c r="T871" t="s">
        <v>28</v>
      </c>
      <c r="U871" s="25">
        <v>0</v>
      </c>
      <c r="V871" s="25">
        <v>2</v>
      </c>
      <c r="W871" s="25">
        <v>1</v>
      </c>
      <c r="X871" s="25">
        <v>2</v>
      </c>
      <c r="Y871">
        <v>0.61037440899999995</v>
      </c>
      <c r="Z871" t="s">
        <v>812</v>
      </c>
      <c r="AA871" t="s">
        <v>619</v>
      </c>
      <c r="AB871">
        <v>1</v>
      </c>
      <c r="AC871">
        <v>13</v>
      </c>
      <c r="AF871" t="s">
        <v>531</v>
      </c>
      <c r="AG871" s="30">
        <v>13</v>
      </c>
      <c r="AH871" s="30" t="s">
        <v>671</v>
      </c>
      <c r="AI871" s="30" t="s">
        <v>1129</v>
      </c>
      <c r="AJ871" t="s">
        <v>1130</v>
      </c>
      <c r="AK871">
        <v>0.59524549999999998</v>
      </c>
      <c r="AL871">
        <v>19.118234633586532</v>
      </c>
      <c r="AM871">
        <v>13</v>
      </c>
      <c r="AN871">
        <v>23.602758806896954</v>
      </c>
      <c r="AO871">
        <v>16.049382716049383</v>
      </c>
      <c r="AP871">
        <v>1.4406519957529272E-2</v>
      </c>
      <c r="AQ871">
        <v>9.7961324901234565E-3</v>
      </c>
      <c r="AR871">
        <v>0.13341858489683281</v>
      </c>
    </row>
    <row r="872" spans="1:44" customFormat="1" hidden="1" x14ac:dyDescent="0.5">
      <c r="A872">
        <v>871</v>
      </c>
      <c r="B872">
        <v>62</v>
      </c>
      <c r="C872" s="226" t="s">
        <v>9</v>
      </c>
      <c r="D872" s="234">
        <v>37.4559657</v>
      </c>
      <c r="E872" s="235">
        <v>121.70822099999999</v>
      </c>
      <c r="F872">
        <v>0</v>
      </c>
      <c r="G872">
        <f t="shared" si="7"/>
        <v>0</v>
      </c>
      <c r="H872" t="s">
        <v>10</v>
      </c>
      <c r="I872">
        <v>0</v>
      </c>
      <c r="J872">
        <v>576.576733695862</v>
      </c>
      <c r="K872" s="26">
        <v>2015</v>
      </c>
      <c r="L872" t="s">
        <v>11</v>
      </c>
      <c r="M872" s="30"/>
      <c r="N872">
        <v>1</v>
      </c>
      <c r="O872">
        <v>5</v>
      </c>
      <c r="P872" t="s">
        <v>18</v>
      </c>
      <c r="Q872">
        <v>81</v>
      </c>
      <c r="R872" t="s">
        <v>13</v>
      </c>
      <c r="S872" t="s">
        <v>21</v>
      </c>
      <c r="T872" t="s">
        <v>28</v>
      </c>
      <c r="U872" s="25">
        <v>0</v>
      </c>
      <c r="V872" s="25">
        <v>2</v>
      </c>
      <c r="W872" s="25">
        <v>1</v>
      </c>
      <c r="X872" s="25">
        <v>2</v>
      </c>
      <c r="Y872">
        <v>0.61037440899999995</v>
      </c>
      <c r="Z872" t="s">
        <v>812</v>
      </c>
      <c r="AA872" t="s">
        <v>619</v>
      </c>
      <c r="AB872">
        <v>1</v>
      </c>
      <c r="AC872">
        <v>38</v>
      </c>
      <c r="AF872" t="s">
        <v>531</v>
      </c>
      <c r="AG872" s="30">
        <v>38</v>
      </c>
      <c r="AH872" s="30" t="s">
        <v>671</v>
      </c>
      <c r="AI872" s="30" t="s">
        <v>1129</v>
      </c>
      <c r="AJ872" t="s">
        <v>1130</v>
      </c>
      <c r="AK872">
        <v>0.59524549999999998</v>
      </c>
      <c r="AL872">
        <v>55.884070467406787</v>
      </c>
      <c r="AM872">
        <v>38</v>
      </c>
      <c r="AN872">
        <v>68.992679589391088</v>
      </c>
      <c r="AO872">
        <v>46.913580246913575</v>
      </c>
      <c r="AP872">
        <v>4.2111366029700947E-2</v>
      </c>
      <c r="AQ872">
        <v>2.8634848817283946E-2</v>
      </c>
      <c r="AR872">
        <v>0.13341858489683281</v>
      </c>
    </row>
    <row r="873" spans="1:44" customFormat="1" hidden="1" x14ac:dyDescent="0.5">
      <c r="A873">
        <v>872</v>
      </c>
      <c r="B873">
        <v>62</v>
      </c>
      <c r="C873" s="226" t="s">
        <v>9</v>
      </c>
      <c r="D873" s="234">
        <v>37.4559657</v>
      </c>
      <c r="E873" s="235">
        <v>121.70822099999999</v>
      </c>
      <c r="F873">
        <v>0</v>
      </c>
      <c r="G873">
        <f t="shared" si="7"/>
        <v>0</v>
      </c>
      <c r="H873" t="s">
        <v>10</v>
      </c>
      <c r="I873">
        <v>0</v>
      </c>
      <c r="J873">
        <v>576.576733695862</v>
      </c>
      <c r="K873" s="26">
        <v>2015</v>
      </c>
      <c r="L873" t="s">
        <v>11</v>
      </c>
      <c r="M873" s="30"/>
      <c r="N873">
        <v>1</v>
      </c>
      <c r="O873">
        <v>5</v>
      </c>
      <c r="P873" t="s">
        <v>18</v>
      </c>
      <c r="Q873">
        <v>81</v>
      </c>
      <c r="R873" t="s">
        <v>13</v>
      </c>
      <c r="S873" t="s">
        <v>21</v>
      </c>
      <c r="T873" t="s">
        <v>28</v>
      </c>
      <c r="U873" s="25">
        <v>0</v>
      </c>
      <c r="V873" s="25">
        <v>2</v>
      </c>
      <c r="W873" s="25">
        <v>1</v>
      </c>
      <c r="X873" s="25">
        <v>2</v>
      </c>
      <c r="Y873">
        <v>0.61037440899999995</v>
      </c>
      <c r="Z873" t="s">
        <v>812</v>
      </c>
      <c r="AA873" t="s">
        <v>619</v>
      </c>
      <c r="AB873">
        <v>1</v>
      </c>
      <c r="AC873">
        <v>924</v>
      </c>
      <c r="AF873" t="s">
        <v>531</v>
      </c>
      <c r="AG873" s="30">
        <v>924</v>
      </c>
      <c r="AH873" s="30" t="s">
        <v>671</v>
      </c>
      <c r="AI873" s="30" t="s">
        <v>1129</v>
      </c>
      <c r="AJ873" t="s">
        <v>1130</v>
      </c>
      <c r="AK873">
        <v>0.59524549999999998</v>
      </c>
      <c r="AL873">
        <v>1358.8652924179964</v>
      </c>
      <c r="AM873">
        <v>924</v>
      </c>
      <c r="AN873">
        <v>1677.6114721209833</v>
      </c>
      <c r="AO873">
        <v>1140.7407407407406</v>
      </c>
      <c r="AP873">
        <v>1.0239711108274652</v>
      </c>
      <c r="AQ873">
        <v>0.6962789554518517</v>
      </c>
      <c r="AR873">
        <v>0.13341858489683281</v>
      </c>
    </row>
    <row r="874" spans="1:44" customFormat="1" hidden="1" x14ac:dyDescent="0.5">
      <c r="A874">
        <v>873</v>
      </c>
      <c r="B874">
        <v>62</v>
      </c>
      <c r="C874" s="226" t="s">
        <v>9</v>
      </c>
      <c r="D874" s="234">
        <v>37.521028600000001</v>
      </c>
      <c r="E874" s="235">
        <v>121.448701</v>
      </c>
      <c r="F874">
        <v>0</v>
      </c>
      <c r="G874">
        <f t="shared" si="7"/>
        <v>0</v>
      </c>
      <c r="H874" t="s">
        <v>10</v>
      </c>
      <c r="I874">
        <v>0</v>
      </c>
      <c r="J874">
        <v>570.12247790906099</v>
      </c>
      <c r="K874" s="26">
        <v>2015</v>
      </c>
      <c r="L874" t="s">
        <v>11</v>
      </c>
      <c r="M874" s="30"/>
      <c r="N874">
        <v>1</v>
      </c>
      <c r="O874">
        <v>5</v>
      </c>
      <c r="P874" t="s">
        <v>18</v>
      </c>
      <c r="Q874">
        <v>81</v>
      </c>
      <c r="R874" t="s">
        <v>13</v>
      </c>
      <c r="S874" t="s">
        <v>21</v>
      </c>
      <c r="T874" t="s">
        <v>28</v>
      </c>
      <c r="U874" s="25">
        <v>0</v>
      </c>
      <c r="V874" s="25">
        <v>2</v>
      </c>
      <c r="W874" s="25">
        <v>1</v>
      </c>
      <c r="X874" s="25">
        <v>2</v>
      </c>
      <c r="Y874">
        <v>0.61037440899999995</v>
      </c>
      <c r="Z874" t="s">
        <v>812</v>
      </c>
      <c r="AA874" t="s">
        <v>619</v>
      </c>
      <c r="AB874">
        <v>1</v>
      </c>
      <c r="AC874">
        <v>847</v>
      </c>
      <c r="AF874" t="s">
        <v>531</v>
      </c>
      <c r="AG874" s="30">
        <v>847</v>
      </c>
      <c r="AH874" s="30" t="s">
        <v>671</v>
      </c>
      <c r="AI874" s="30" t="s">
        <v>1129</v>
      </c>
      <c r="AJ874" t="s">
        <v>1130</v>
      </c>
      <c r="AK874">
        <v>0.59524549999999998</v>
      </c>
      <c r="AL874">
        <v>1245.6265180498303</v>
      </c>
      <c r="AM874">
        <v>847</v>
      </c>
      <c r="AN874">
        <v>1537.8105161109017</v>
      </c>
      <c r="AO874">
        <v>1045.679012345679</v>
      </c>
      <c r="AP874">
        <v>0.93864018492517654</v>
      </c>
      <c r="AQ874">
        <v>0.63825570916419749</v>
      </c>
      <c r="AR874">
        <v>0.13341858489683281</v>
      </c>
    </row>
    <row r="875" spans="1:44" customFormat="1" hidden="1" x14ac:dyDescent="0.5">
      <c r="A875">
        <v>874</v>
      </c>
      <c r="B875">
        <v>62</v>
      </c>
      <c r="C875" s="226" t="s">
        <v>9</v>
      </c>
      <c r="D875" s="227">
        <v>37.543891000000002</v>
      </c>
      <c r="E875" s="228">
        <v>122.111895</v>
      </c>
      <c r="F875">
        <v>0</v>
      </c>
      <c r="G875">
        <f t="shared" si="7"/>
        <v>0</v>
      </c>
      <c r="H875" t="s">
        <v>10</v>
      </c>
      <c r="I875">
        <v>0</v>
      </c>
      <c r="J875">
        <v>704.77886735816503</v>
      </c>
      <c r="K875" s="26">
        <v>2015</v>
      </c>
      <c r="L875" t="s">
        <v>11</v>
      </c>
      <c r="M875" s="30"/>
      <c r="N875">
        <v>1</v>
      </c>
      <c r="O875">
        <v>5</v>
      </c>
      <c r="P875" t="s">
        <v>18</v>
      </c>
      <c r="Q875">
        <v>81</v>
      </c>
      <c r="R875" t="s">
        <v>13</v>
      </c>
      <c r="S875" t="s">
        <v>21</v>
      </c>
      <c r="T875" t="s">
        <v>28</v>
      </c>
      <c r="U875" s="25">
        <v>0</v>
      </c>
      <c r="V875" s="25">
        <v>2</v>
      </c>
      <c r="W875" s="25">
        <v>1</v>
      </c>
      <c r="X875" s="25">
        <v>2</v>
      </c>
      <c r="Y875">
        <v>0.61037440899999995</v>
      </c>
      <c r="Z875" t="s">
        <v>812</v>
      </c>
      <c r="AA875" t="s">
        <v>619</v>
      </c>
      <c r="AB875">
        <v>1</v>
      </c>
      <c r="AC875">
        <v>6</v>
      </c>
      <c r="AF875" t="s">
        <v>531</v>
      </c>
      <c r="AG875" s="30">
        <v>6</v>
      </c>
      <c r="AH875" s="30" t="s">
        <v>671</v>
      </c>
      <c r="AI875" s="30" t="s">
        <v>1129</v>
      </c>
      <c r="AJ875" t="s">
        <v>1130</v>
      </c>
      <c r="AK875">
        <v>0.59524549999999998</v>
      </c>
      <c r="AL875">
        <v>8.8238006001168596</v>
      </c>
      <c r="AM875">
        <v>6</v>
      </c>
      <c r="AN875">
        <v>10.893580987798591</v>
      </c>
      <c r="AO875">
        <v>7.4074074074074066</v>
      </c>
      <c r="AP875">
        <v>6.6491630573212003E-3</v>
      </c>
      <c r="AQ875">
        <v>4.5212919185185175E-3</v>
      </c>
      <c r="AR875">
        <v>0.13341858489683281</v>
      </c>
    </row>
    <row r="876" spans="1:44" customFormat="1" hidden="1" x14ac:dyDescent="0.5">
      <c r="A876">
        <v>875</v>
      </c>
      <c r="B876">
        <v>62</v>
      </c>
      <c r="C876" s="226" t="s">
        <v>9</v>
      </c>
      <c r="D876" s="234">
        <v>37.543891000000002</v>
      </c>
      <c r="E876" s="235">
        <v>122.111895</v>
      </c>
      <c r="F876">
        <v>0</v>
      </c>
      <c r="G876">
        <f t="shared" si="7"/>
        <v>0</v>
      </c>
      <c r="H876" t="s">
        <v>10</v>
      </c>
      <c r="I876">
        <v>0</v>
      </c>
      <c r="J876">
        <v>704.77886735816503</v>
      </c>
      <c r="K876" s="26">
        <v>2015</v>
      </c>
      <c r="L876" t="s">
        <v>11</v>
      </c>
      <c r="M876" s="30"/>
      <c r="N876">
        <v>1</v>
      </c>
      <c r="O876">
        <v>5</v>
      </c>
      <c r="P876" t="s">
        <v>18</v>
      </c>
      <c r="Q876">
        <v>81</v>
      </c>
      <c r="R876" t="s">
        <v>13</v>
      </c>
      <c r="S876" t="s">
        <v>21</v>
      </c>
      <c r="T876" t="s">
        <v>28</v>
      </c>
      <c r="U876" s="25">
        <v>0</v>
      </c>
      <c r="V876" s="25">
        <v>2</v>
      </c>
      <c r="W876" s="25">
        <v>1</v>
      </c>
      <c r="X876" s="25">
        <v>2</v>
      </c>
      <c r="Y876">
        <v>0.61037440899999995</v>
      </c>
      <c r="Z876" t="s">
        <v>812</v>
      </c>
      <c r="AA876" t="s">
        <v>619</v>
      </c>
      <c r="AB876">
        <v>1</v>
      </c>
      <c r="AC876">
        <v>1090</v>
      </c>
      <c r="AF876" t="s">
        <v>531</v>
      </c>
      <c r="AG876" s="30">
        <v>1090</v>
      </c>
      <c r="AH876" s="30" t="s">
        <v>671</v>
      </c>
      <c r="AI876" s="30" t="s">
        <v>1129</v>
      </c>
      <c r="AJ876" t="s">
        <v>1130</v>
      </c>
      <c r="AK876">
        <v>0.59524549999999998</v>
      </c>
      <c r="AL876">
        <v>1602.9904423545631</v>
      </c>
      <c r="AM876">
        <v>1090</v>
      </c>
      <c r="AN876">
        <v>1979.0005461167445</v>
      </c>
      <c r="AO876">
        <v>1345.679012345679</v>
      </c>
      <c r="AP876">
        <v>1.2079312887466851</v>
      </c>
      <c r="AQ876">
        <v>0.82136803186419749</v>
      </c>
      <c r="AR876">
        <v>0.13341858489683281</v>
      </c>
    </row>
    <row r="877" spans="1:44" customFormat="1" hidden="1" x14ac:dyDescent="0.5">
      <c r="A877">
        <v>876</v>
      </c>
      <c r="B877">
        <v>62</v>
      </c>
      <c r="C877" s="226" t="s">
        <v>9</v>
      </c>
      <c r="D877" s="234">
        <v>37.574062400000003</v>
      </c>
      <c r="E877" s="235">
        <v>121.269396</v>
      </c>
      <c r="F877">
        <v>0</v>
      </c>
      <c r="G877">
        <f t="shared" si="7"/>
        <v>0</v>
      </c>
      <c r="H877" t="s">
        <v>10</v>
      </c>
      <c r="I877">
        <v>0</v>
      </c>
      <c r="J877">
        <v>589.49859459866298</v>
      </c>
      <c r="K877" s="26">
        <v>2015</v>
      </c>
      <c r="L877" t="s">
        <v>11</v>
      </c>
      <c r="M877" s="30"/>
      <c r="N877">
        <v>1</v>
      </c>
      <c r="O877">
        <v>5</v>
      </c>
      <c r="P877" t="s">
        <v>18</v>
      </c>
      <c r="Q877">
        <v>81</v>
      </c>
      <c r="R877" t="s">
        <v>13</v>
      </c>
      <c r="S877" t="s">
        <v>21</v>
      </c>
      <c r="T877" t="s">
        <v>28</v>
      </c>
      <c r="U877" s="25">
        <v>0</v>
      </c>
      <c r="V877" s="25">
        <v>2</v>
      </c>
      <c r="W877" s="25">
        <v>1</v>
      </c>
      <c r="X877" s="25">
        <v>2</v>
      </c>
      <c r="Y877">
        <v>0.61037440899999995</v>
      </c>
      <c r="Z877" t="s">
        <v>812</v>
      </c>
      <c r="AA877" t="s">
        <v>619</v>
      </c>
      <c r="AB877">
        <v>1</v>
      </c>
      <c r="AC877">
        <v>5</v>
      </c>
      <c r="AF877" t="s">
        <v>531</v>
      </c>
      <c r="AG877" s="30">
        <v>5</v>
      </c>
      <c r="AH877" s="30" t="s">
        <v>671</v>
      </c>
      <c r="AI877" s="30" t="s">
        <v>1129</v>
      </c>
      <c r="AJ877" t="s">
        <v>1130</v>
      </c>
      <c r="AK877">
        <v>0.59524549999999998</v>
      </c>
      <c r="AL877">
        <v>7.3531671667640506</v>
      </c>
      <c r="AM877">
        <v>5</v>
      </c>
      <c r="AN877">
        <v>9.0779841564988271</v>
      </c>
      <c r="AO877">
        <v>6.1728395061728394</v>
      </c>
      <c r="AP877">
        <v>5.5409692144343346E-3</v>
      </c>
      <c r="AQ877">
        <v>3.7677432654320982E-3</v>
      </c>
      <c r="AR877">
        <v>0.13341858489683281</v>
      </c>
    </row>
    <row r="878" spans="1:44" customFormat="1" hidden="1" x14ac:dyDescent="0.5">
      <c r="A878">
        <v>877</v>
      </c>
      <c r="B878">
        <v>62</v>
      </c>
      <c r="C878" s="226" t="s">
        <v>9</v>
      </c>
      <c r="D878" s="234">
        <v>37.5966466</v>
      </c>
      <c r="E878" s="235">
        <v>118.96463799999999</v>
      </c>
      <c r="F878">
        <v>0</v>
      </c>
      <c r="G878">
        <f t="shared" si="7"/>
        <v>0</v>
      </c>
      <c r="H878" t="s">
        <v>10</v>
      </c>
      <c r="I878">
        <v>0</v>
      </c>
      <c r="J878">
        <v>467.66565874218298</v>
      </c>
      <c r="K878" s="26">
        <v>2015</v>
      </c>
      <c r="L878" t="s">
        <v>11</v>
      </c>
      <c r="M878" s="30"/>
      <c r="N878">
        <v>1</v>
      </c>
      <c r="O878">
        <v>5</v>
      </c>
      <c r="P878" t="s">
        <v>18</v>
      </c>
      <c r="Q878">
        <v>81</v>
      </c>
      <c r="R878" t="s">
        <v>13</v>
      </c>
      <c r="S878" t="s">
        <v>21</v>
      </c>
      <c r="T878" t="s">
        <v>28</v>
      </c>
      <c r="U878" s="25">
        <v>0</v>
      </c>
      <c r="V878" s="25">
        <v>2</v>
      </c>
      <c r="W878" s="25">
        <v>1</v>
      </c>
      <c r="X878" s="25">
        <v>2</v>
      </c>
      <c r="Y878">
        <v>0.61037440899999995</v>
      </c>
      <c r="Z878" t="s">
        <v>812</v>
      </c>
      <c r="AA878" t="s">
        <v>619</v>
      </c>
      <c r="AB878">
        <v>1</v>
      </c>
      <c r="AC878">
        <v>44</v>
      </c>
      <c r="AF878" t="s">
        <v>531</v>
      </c>
      <c r="AG878" s="30">
        <v>44</v>
      </c>
      <c r="AH878" s="30" t="s">
        <v>671</v>
      </c>
      <c r="AI878" s="30" t="s">
        <v>1129</v>
      </c>
      <c r="AJ878" t="s">
        <v>1130</v>
      </c>
      <c r="AK878">
        <v>0.59524549999999998</v>
      </c>
      <c r="AL878">
        <v>64.707871067523641</v>
      </c>
      <c r="AM878">
        <v>44</v>
      </c>
      <c r="AN878">
        <v>79.886260577189688</v>
      </c>
      <c r="AO878">
        <v>54.320987654320987</v>
      </c>
      <c r="AP878">
        <v>4.876052908702215E-2</v>
      </c>
      <c r="AQ878">
        <v>3.3156140735802468E-2</v>
      </c>
      <c r="AR878">
        <v>0.13341858489683281</v>
      </c>
    </row>
    <row r="879" spans="1:44" customFormat="1" hidden="1" x14ac:dyDescent="0.5">
      <c r="A879">
        <v>878</v>
      </c>
      <c r="B879">
        <v>62</v>
      </c>
      <c r="C879" s="226" t="s">
        <v>9</v>
      </c>
      <c r="D879" s="234">
        <v>37.5966466</v>
      </c>
      <c r="E879" s="235">
        <v>118.96463799999999</v>
      </c>
      <c r="F879">
        <v>0</v>
      </c>
      <c r="G879">
        <f t="shared" si="7"/>
        <v>0</v>
      </c>
      <c r="H879" t="s">
        <v>10</v>
      </c>
      <c r="I879">
        <v>0</v>
      </c>
      <c r="J879">
        <v>467.66565874218298</v>
      </c>
      <c r="K879" s="26">
        <v>2015</v>
      </c>
      <c r="L879" t="s">
        <v>11</v>
      </c>
      <c r="M879" s="30"/>
      <c r="N879">
        <v>1</v>
      </c>
      <c r="O879">
        <v>5</v>
      </c>
      <c r="P879" t="s">
        <v>18</v>
      </c>
      <c r="Q879">
        <v>81</v>
      </c>
      <c r="R879" t="s">
        <v>13</v>
      </c>
      <c r="S879" t="s">
        <v>21</v>
      </c>
      <c r="T879" t="s">
        <v>28</v>
      </c>
      <c r="U879" s="25">
        <v>0</v>
      </c>
      <c r="V879" s="25">
        <v>2</v>
      </c>
      <c r="W879" s="25">
        <v>1</v>
      </c>
      <c r="X879" s="25">
        <v>2</v>
      </c>
      <c r="Y879">
        <v>0.61037440899999995</v>
      </c>
      <c r="Z879" t="s">
        <v>812</v>
      </c>
      <c r="AA879" t="s">
        <v>619</v>
      </c>
      <c r="AB879">
        <v>1</v>
      </c>
      <c r="AC879">
        <v>130</v>
      </c>
      <c r="AF879" t="s">
        <v>531</v>
      </c>
      <c r="AG879" s="30">
        <v>130</v>
      </c>
      <c r="AH879" s="30" t="s">
        <v>671</v>
      </c>
      <c r="AI879" s="30" t="s">
        <v>1129</v>
      </c>
      <c r="AJ879" t="s">
        <v>1130</v>
      </c>
      <c r="AK879">
        <v>0.59524549999999998</v>
      </c>
      <c r="AL879">
        <v>191.1823463358653</v>
      </c>
      <c r="AM879">
        <v>130</v>
      </c>
      <c r="AN879">
        <v>236.02758806896952</v>
      </c>
      <c r="AO879">
        <v>160.49382716049382</v>
      </c>
      <c r="AP879">
        <v>0.14406519957529271</v>
      </c>
      <c r="AQ879">
        <v>9.7961324901234548E-2</v>
      </c>
      <c r="AR879">
        <v>0.13341858489683281</v>
      </c>
    </row>
    <row r="880" spans="1:44" customFormat="1" hidden="1" x14ac:dyDescent="0.5">
      <c r="A880">
        <v>879</v>
      </c>
      <c r="B880">
        <v>62</v>
      </c>
      <c r="C880" s="226" t="s">
        <v>9</v>
      </c>
      <c r="D880" s="234">
        <v>37.689948999999999</v>
      </c>
      <c r="E880" s="235">
        <v>120.339163</v>
      </c>
      <c r="F880">
        <v>0</v>
      </c>
      <c r="G880">
        <f t="shared" si="7"/>
        <v>0</v>
      </c>
      <c r="H880" t="s">
        <v>10</v>
      </c>
      <c r="I880">
        <v>0</v>
      </c>
      <c r="J880">
        <v>503.74988472752801</v>
      </c>
      <c r="K880" s="26">
        <v>2015</v>
      </c>
      <c r="L880" t="s">
        <v>11</v>
      </c>
      <c r="M880" s="30"/>
      <c r="N880">
        <v>1</v>
      </c>
      <c r="O880">
        <v>5</v>
      </c>
      <c r="P880" t="s">
        <v>18</v>
      </c>
      <c r="Q880">
        <v>81</v>
      </c>
      <c r="R880" t="s">
        <v>13</v>
      </c>
      <c r="S880" t="s">
        <v>21</v>
      </c>
      <c r="T880" t="s">
        <v>28</v>
      </c>
      <c r="U880" s="25">
        <v>0</v>
      </c>
      <c r="V880" s="25">
        <v>2</v>
      </c>
      <c r="W880" s="25">
        <v>1</v>
      </c>
      <c r="X880" s="25">
        <v>2</v>
      </c>
      <c r="Y880">
        <v>0.61037440899999995</v>
      </c>
      <c r="Z880" t="s">
        <v>812</v>
      </c>
      <c r="AA880" t="s">
        <v>619</v>
      </c>
      <c r="AB880">
        <v>1</v>
      </c>
      <c r="AC880">
        <v>154</v>
      </c>
      <c r="AF880" t="s">
        <v>531</v>
      </c>
      <c r="AG880" s="30">
        <v>154</v>
      </c>
      <c r="AH880" s="30" t="s">
        <v>671</v>
      </c>
      <c r="AI880" s="30" t="s">
        <v>1129</v>
      </c>
      <c r="AJ880" t="s">
        <v>1130</v>
      </c>
      <c r="AK880">
        <v>0.59524549999999998</v>
      </c>
      <c r="AL880">
        <v>226.47754873633272</v>
      </c>
      <c r="AM880">
        <v>154</v>
      </c>
      <c r="AN880">
        <v>279.60191202016387</v>
      </c>
      <c r="AO880">
        <v>190.12345679012347</v>
      </c>
      <c r="AP880">
        <v>0.17066185180457752</v>
      </c>
      <c r="AQ880">
        <v>0.11604649257530864</v>
      </c>
      <c r="AR880">
        <v>0.13341858489683281</v>
      </c>
    </row>
    <row r="881" spans="1:44" customFormat="1" hidden="1" x14ac:dyDescent="0.5">
      <c r="A881">
        <v>880</v>
      </c>
      <c r="B881">
        <v>62</v>
      </c>
      <c r="C881" s="226" t="s">
        <v>9</v>
      </c>
      <c r="D881" s="234">
        <v>37.7498626</v>
      </c>
      <c r="E881" s="235">
        <v>120.526516</v>
      </c>
      <c r="F881">
        <v>0</v>
      </c>
      <c r="G881">
        <f t="shared" si="7"/>
        <v>0</v>
      </c>
      <c r="H881" t="s">
        <v>10</v>
      </c>
      <c r="I881">
        <v>0</v>
      </c>
      <c r="J881">
        <v>573.28138205739106</v>
      </c>
      <c r="K881" s="26">
        <v>2015</v>
      </c>
      <c r="L881" t="s">
        <v>11</v>
      </c>
      <c r="M881" s="30"/>
      <c r="N881">
        <v>1</v>
      </c>
      <c r="O881">
        <v>5</v>
      </c>
      <c r="P881" t="s">
        <v>18</v>
      </c>
      <c r="Q881">
        <v>81</v>
      </c>
      <c r="R881" t="s">
        <v>13</v>
      </c>
      <c r="S881" t="s">
        <v>21</v>
      </c>
      <c r="T881" t="s">
        <v>28</v>
      </c>
      <c r="U881" s="25">
        <v>0</v>
      </c>
      <c r="V881" s="25">
        <v>2</v>
      </c>
      <c r="W881" s="25">
        <v>1</v>
      </c>
      <c r="X881" s="25">
        <v>2</v>
      </c>
      <c r="Y881">
        <v>0.61037440899999995</v>
      </c>
      <c r="Z881" t="s">
        <v>812</v>
      </c>
      <c r="AA881" t="s">
        <v>619</v>
      </c>
      <c r="AB881">
        <v>1</v>
      </c>
      <c r="AC881">
        <v>94</v>
      </c>
      <c r="AF881" t="s">
        <v>531</v>
      </c>
      <c r="AG881" s="30">
        <v>94</v>
      </c>
      <c r="AH881" s="30" t="s">
        <v>671</v>
      </c>
      <c r="AI881" s="30" t="s">
        <v>1129</v>
      </c>
      <c r="AJ881" t="s">
        <v>1130</v>
      </c>
      <c r="AK881">
        <v>0.59524549999999998</v>
      </c>
      <c r="AL881">
        <v>138.23954273516415</v>
      </c>
      <c r="AM881">
        <v>94</v>
      </c>
      <c r="AN881">
        <v>170.66610214217798</v>
      </c>
      <c r="AO881">
        <v>116.04938271604939</v>
      </c>
      <c r="AP881">
        <v>0.1041702212313655</v>
      </c>
      <c r="AQ881">
        <v>7.0833573390123458E-2</v>
      </c>
      <c r="AR881">
        <v>0.13341858489683281</v>
      </c>
    </row>
    <row r="882" spans="1:44" customFormat="1" hidden="1" x14ac:dyDescent="0.5">
      <c r="A882">
        <v>881</v>
      </c>
      <c r="B882">
        <v>62</v>
      </c>
      <c r="C882" s="226" t="s">
        <v>9</v>
      </c>
      <c r="D882" s="234">
        <v>37.821472399999998</v>
      </c>
      <c r="E882" s="235">
        <v>120.76699600000001</v>
      </c>
      <c r="F882">
        <v>0</v>
      </c>
      <c r="G882">
        <f t="shared" si="7"/>
        <v>0</v>
      </c>
      <c r="H882" t="s">
        <v>10</v>
      </c>
      <c r="I882">
        <v>0</v>
      </c>
      <c r="J882">
        <v>593.30071750530897</v>
      </c>
      <c r="K882" s="26">
        <v>2015</v>
      </c>
      <c r="L882" t="s">
        <v>11</v>
      </c>
      <c r="M882" s="30"/>
      <c r="N882">
        <v>1</v>
      </c>
      <c r="O882">
        <v>5</v>
      </c>
      <c r="P882" t="s">
        <v>18</v>
      </c>
      <c r="Q882">
        <v>81</v>
      </c>
      <c r="R882" t="s">
        <v>13</v>
      </c>
      <c r="S882" t="s">
        <v>21</v>
      </c>
      <c r="T882" t="s">
        <v>28</v>
      </c>
      <c r="U882" s="25">
        <v>0</v>
      </c>
      <c r="V882" s="25">
        <v>2</v>
      </c>
      <c r="W882" s="25">
        <v>1</v>
      </c>
      <c r="X882" s="25">
        <v>2</v>
      </c>
      <c r="Y882">
        <v>0.61037440899999995</v>
      </c>
      <c r="Z882" t="s">
        <v>812</v>
      </c>
      <c r="AA882" t="s">
        <v>619</v>
      </c>
      <c r="AB882">
        <v>1</v>
      </c>
      <c r="AC882">
        <v>23</v>
      </c>
      <c r="AF882" t="s">
        <v>531</v>
      </c>
      <c r="AG882" s="30">
        <v>23</v>
      </c>
      <c r="AH882" s="30" t="s">
        <v>671</v>
      </c>
      <c r="AI882" s="30" t="s">
        <v>1129</v>
      </c>
      <c r="AJ882" t="s">
        <v>1130</v>
      </c>
      <c r="AK882">
        <v>0.59524549999999998</v>
      </c>
      <c r="AL882">
        <v>33.824568967114629</v>
      </c>
      <c r="AM882">
        <v>23</v>
      </c>
      <c r="AN882">
        <v>41.758727119894608</v>
      </c>
      <c r="AO882">
        <v>28.39506172839506</v>
      </c>
      <c r="AP882">
        <v>2.5488458386397943E-2</v>
      </c>
      <c r="AQ882">
        <v>1.7331619020987652E-2</v>
      </c>
      <c r="AR882">
        <v>0.13341858489683281</v>
      </c>
    </row>
    <row r="883" spans="1:44" customFormat="1" hidden="1" x14ac:dyDescent="0.5">
      <c r="A883">
        <v>882</v>
      </c>
      <c r="B883">
        <v>62</v>
      </c>
      <c r="C883" s="226" t="s">
        <v>9</v>
      </c>
      <c r="D883" s="234">
        <v>37.821472399999998</v>
      </c>
      <c r="E883" s="235">
        <v>120.76699600000001</v>
      </c>
      <c r="F883">
        <v>0</v>
      </c>
      <c r="G883">
        <f t="shared" si="7"/>
        <v>0</v>
      </c>
      <c r="H883" t="s">
        <v>10</v>
      </c>
      <c r="I883">
        <v>0</v>
      </c>
      <c r="J883">
        <v>593.30071750530897</v>
      </c>
      <c r="K883" s="26">
        <v>2015</v>
      </c>
      <c r="L883" t="s">
        <v>11</v>
      </c>
      <c r="M883" s="30"/>
      <c r="N883">
        <v>1</v>
      </c>
      <c r="O883">
        <v>5</v>
      </c>
      <c r="P883" t="s">
        <v>18</v>
      </c>
      <c r="Q883">
        <v>81</v>
      </c>
      <c r="R883" t="s">
        <v>13</v>
      </c>
      <c r="S883" t="s">
        <v>21</v>
      </c>
      <c r="T883" t="s">
        <v>28</v>
      </c>
      <c r="U883" s="25">
        <v>0</v>
      </c>
      <c r="V883" s="25">
        <v>2</v>
      </c>
      <c r="W883" s="25">
        <v>1</v>
      </c>
      <c r="X883" s="25">
        <v>2</v>
      </c>
      <c r="Y883">
        <v>0.61037440899999995</v>
      </c>
      <c r="Z883" t="s">
        <v>812</v>
      </c>
      <c r="AA883" t="s">
        <v>619</v>
      </c>
      <c r="AB883">
        <v>1</v>
      </c>
      <c r="AC883">
        <v>36</v>
      </c>
      <c r="AF883" t="s">
        <v>531</v>
      </c>
      <c r="AG883" s="30">
        <v>36</v>
      </c>
      <c r="AH883" s="30" t="s">
        <v>671</v>
      </c>
      <c r="AI883" s="30" t="s">
        <v>1129</v>
      </c>
      <c r="AJ883" t="s">
        <v>1130</v>
      </c>
      <c r="AK883">
        <v>0.59524549999999998</v>
      </c>
      <c r="AL883">
        <v>52.942803600701168</v>
      </c>
      <c r="AM883">
        <v>36</v>
      </c>
      <c r="AN883">
        <v>65.361485926791559</v>
      </c>
      <c r="AO883">
        <v>44.444444444444443</v>
      </c>
      <c r="AP883">
        <v>3.9894978343927211E-2</v>
      </c>
      <c r="AQ883">
        <v>2.712775151111111E-2</v>
      </c>
      <c r="AR883">
        <v>0.13341858489683281</v>
      </c>
    </row>
    <row r="884" spans="1:44" customFormat="1" hidden="1" x14ac:dyDescent="0.5">
      <c r="A884">
        <v>883</v>
      </c>
      <c r="B884">
        <v>62</v>
      </c>
      <c r="C884" s="226" t="s">
        <v>9</v>
      </c>
      <c r="D884" s="234">
        <v>37.821472399999998</v>
      </c>
      <c r="E884" s="235">
        <v>120.76699600000001</v>
      </c>
      <c r="F884">
        <v>0</v>
      </c>
      <c r="G884">
        <f t="shared" si="7"/>
        <v>0</v>
      </c>
      <c r="H884" t="s">
        <v>10</v>
      </c>
      <c r="I884">
        <v>0</v>
      </c>
      <c r="J884">
        <v>593.30071750530897</v>
      </c>
      <c r="K884" s="26">
        <v>2015</v>
      </c>
      <c r="L884" t="s">
        <v>11</v>
      </c>
      <c r="M884" s="30"/>
      <c r="N884">
        <v>1</v>
      </c>
      <c r="O884">
        <v>5</v>
      </c>
      <c r="P884" t="s">
        <v>18</v>
      </c>
      <c r="Q884">
        <v>81</v>
      </c>
      <c r="R884" t="s">
        <v>13</v>
      </c>
      <c r="S884" t="s">
        <v>21</v>
      </c>
      <c r="T884" t="s">
        <v>28</v>
      </c>
      <c r="U884" s="25">
        <v>0</v>
      </c>
      <c r="V884" s="25">
        <v>2</v>
      </c>
      <c r="W884" s="25">
        <v>1</v>
      </c>
      <c r="X884" s="25">
        <v>2</v>
      </c>
      <c r="Y884">
        <v>0.61037440899999995</v>
      </c>
      <c r="Z884" t="s">
        <v>812</v>
      </c>
      <c r="AA884" t="s">
        <v>619</v>
      </c>
      <c r="AB884">
        <v>1</v>
      </c>
      <c r="AC884">
        <v>362</v>
      </c>
      <c r="AF884" t="s">
        <v>531</v>
      </c>
      <c r="AG884" s="30">
        <v>362</v>
      </c>
      <c r="AH884" s="30" t="s">
        <v>671</v>
      </c>
      <c r="AI884" s="30" t="s">
        <v>1129</v>
      </c>
      <c r="AJ884" t="s">
        <v>1130</v>
      </c>
      <c r="AK884">
        <v>0.59524549999999998</v>
      </c>
      <c r="AL884">
        <v>532.36930287371729</v>
      </c>
      <c r="AM884">
        <v>362</v>
      </c>
      <c r="AN884">
        <v>657.24605293051525</v>
      </c>
      <c r="AO884">
        <v>446.91358024691363</v>
      </c>
      <c r="AP884">
        <v>0.40116617112504599</v>
      </c>
      <c r="AQ884">
        <v>0.27278461241728397</v>
      </c>
      <c r="AR884">
        <v>0.13341858489683281</v>
      </c>
    </row>
    <row r="885" spans="1:44" customFormat="1" hidden="1" x14ac:dyDescent="0.5">
      <c r="A885">
        <v>884</v>
      </c>
      <c r="B885">
        <v>62</v>
      </c>
      <c r="C885" s="226" t="s">
        <v>9</v>
      </c>
      <c r="D885" s="234">
        <v>37.853298299999999</v>
      </c>
      <c r="E885" s="235">
        <v>119.102808</v>
      </c>
      <c r="F885">
        <v>0</v>
      </c>
      <c r="G885">
        <f t="shared" si="7"/>
        <v>0</v>
      </c>
      <c r="H885" t="s">
        <v>10</v>
      </c>
      <c r="I885">
        <v>0</v>
      </c>
      <c r="J885">
        <v>284.48332761475399</v>
      </c>
      <c r="K885" s="26">
        <v>2015</v>
      </c>
      <c r="L885" t="s">
        <v>11</v>
      </c>
      <c r="M885" s="30"/>
      <c r="N885">
        <v>1</v>
      </c>
      <c r="O885">
        <v>5</v>
      </c>
      <c r="P885" t="s">
        <v>18</v>
      </c>
      <c r="Q885">
        <v>81</v>
      </c>
      <c r="R885" t="s">
        <v>13</v>
      </c>
      <c r="S885" t="s">
        <v>21</v>
      </c>
      <c r="T885" t="s">
        <v>28</v>
      </c>
      <c r="U885" s="25">
        <v>0</v>
      </c>
      <c r="V885" s="25">
        <v>2</v>
      </c>
      <c r="W885" s="25">
        <v>1</v>
      </c>
      <c r="X885" s="25">
        <v>2</v>
      </c>
      <c r="Y885">
        <v>0.61037440899999995</v>
      </c>
      <c r="Z885" t="s">
        <v>812</v>
      </c>
      <c r="AA885" t="s">
        <v>619</v>
      </c>
      <c r="AB885">
        <v>1</v>
      </c>
      <c r="AC885">
        <v>89</v>
      </c>
      <c r="AF885" t="s">
        <v>531</v>
      </c>
      <c r="AG885" s="30">
        <v>89</v>
      </c>
      <c r="AH885" s="30" t="s">
        <v>671</v>
      </c>
      <c r="AI885" s="30" t="s">
        <v>1129</v>
      </c>
      <c r="AJ885" t="s">
        <v>1130</v>
      </c>
      <c r="AK885">
        <v>0.59524549999999998</v>
      </c>
      <c r="AL885">
        <v>130.8863755684001</v>
      </c>
      <c r="AM885">
        <v>89</v>
      </c>
      <c r="AN885">
        <v>161.58811798567913</v>
      </c>
      <c r="AO885">
        <v>109.87654320987654</v>
      </c>
      <c r="AP885">
        <v>9.8629252016931165E-2</v>
      </c>
      <c r="AQ885">
        <v>6.7065830124691347E-2</v>
      </c>
      <c r="AR885">
        <v>0.13341858489683281</v>
      </c>
    </row>
    <row r="886" spans="1:44" customFormat="1" hidden="1" x14ac:dyDescent="0.5">
      <c r="A886">
        <v>885</v>
      </c>
      <c r="B886">
        <v>62</v>
      </c>
      <c r="C886" s="226" t="s">
        <v>9</v>
      </c>
      <c r="D886" s="234">
        <v>37.853298299999999</v>
      </c>
      <c r="E886" s="235">
        <v>119.102808</v>
      </c>
      <c r="F886">
        <v>0</v>
      </c>
      <c r="G886">
        <f t="shared" si="7"/>
        <v>0</v>
      </c>
      <c r="H886" t="s">
        <v>10</v>
      </c>
      <c r="I886">
        <v>0</v>
      </c>
      <c r="J886">
        <v>284.48332761475399</v>
      </c>
      <c r="K886" s="26">
        <v>2015</v>
      </c>
      <c r="L886" t="s">
        <v>11</v>
      </c>
      <c r="M886" s="30"/>
      <c r="N886">
        <v>1</v>
      </c>
      <c r="O886">
        <v>5</v>
      </c>
      <c r="P886" t="s">
        <v>18</v>
      </c>
      <c r="Q886">
        <v>81</v>
      </c>
      <c r="R886" t="s">
        <v>13</v>
      </c>
      <c r="S886" t="s">
        <v>21</v>
      </c>
      <c r="T886" t="s">
        <v>28</v>
      </c>
      <c r="U886" s="25">
        <v>0</v>
      </c>
      <c r="V886" s="25">
        <v>2</v>
      </c>
      <c r="W886" s="25">
        <v>1</v>
      </c>
      <c r="X886" s="25">
        <v>2</v>
      </c>
      <c r="Y886">
        <v>0.61037440899999995</v>
      </c>
      <c r="Z886" t="s">
        <v>812</v>
      </c>
      <c r="AA886" t="s">
        <v>619</v>
      </c>
      <c r="AB886">
        <v>1</v>
      </c>
      <c r="AC886">
        <v>186</v>
      </c>
      <c r="AF886" t="s">
        <v>531</v>
      </c>
      <c r="AG886" s="30">
        <v>186</v>
      </c>
      <c r="AH886" s="30" t="s">
        <v>671</v>
      </c>
      <c r="AI886" s="30" t="s">
        <v>1129</v>
      </c>
      <c r="AJ886" t="s">
        <v>1130</v>
      </c>
      <c r="AK886">
        <v>0.59524549999999998</v>
      </c>
      <c r="AL886">
        <v>273.53781860362267</v>
      </c>
      <c r="AM886">
        <v>186</v>
      </c>
      <c r="AN886">
        <v>337.70101062175638</v>
      </c>
      <c r="AO886">
        <v>229.62962962962962</v>
      </c>
      <c r="AP886">
        <v>0.20612405477695728</v>
      </c>
      <c r="AQ886">
        <v>0.14016004947407407</v>
      </c>
      <c r="AR886">
        <v>0.13341858489683281</v>
      </c>
    </row>
    <row r="887" spans="1:44" customFormat="1" hidden="1" x14ac:dyDescent="0.5">
      <c r="A887">
        <v>886</v>
      </c>
      <c r="B887">
        <v>62</v>
      </c>
      <c r="C887" s="226" t="s">
        <v>9</v>
      </c>
      <c r="D887" s="234">
        <v>37.853298299999999</v>
      </c>
      <c r="E887" s="235">
        <v>119.102808</v>
      </c>
      <c r="F887">
        <v>0</v>
      </c>
      <c r="G887">
        <f t="shared" si="7"/>
        <v>0</v>
      </c>
      <c r="H887" t="s">
        <v>10</v>
      </c>
      <c r="I887">
        <v>0</v>
      </c>
      <c r="J887">
        <v>284.48332761475399</v>
      </c>
      <c r="K887" s="26">
        <v>2015</v>
      </c>
      <c r="L887" t="s">
        <v>11</v>
      </c>
      <c r="M887" s="30"/>
      <c r="N887">
        <v>1</v>
      </c>
      <c r="O887">
        <v>5</v>
      </c>
      <c r="P887" t="s">
        <v>18</v>
      </c>
      <c r="Q887">
        <v>81</v>
      </c>
      <c r="R887" t="s">
        <v>13</v>
      </c>
      <c r="S887" t="s">
        <v>21</v>
      </c>
      <c r="T887" t="s">
        <v>28</v>
      </c>
      <c r="U887" s="25">
        <v>0</v>
      </c>
      <c r="V887" s="25">
        <v>2</v>
      </c>
      <c r="W887" s="25">
        <v>1</v>
      </c>
      <c r="X887" s="25">
        <v>2</v>
      </c>
      <c r="Y887">
        <v>0.61037440899999995</v>
      </c>
      <c r="Z887" t="s">
        <v>812</v>
      </c>
      <c r="AA887" t="s">
        <v>619</v>
      </c>
      <c r="AB887">
        <v>1</v>
      </c>
      <c r="AC887">
        <v>304</v>
      </c>
      <c r="AF887" t="s">
        <v>531</v>
      </c>
      <c r="AG887" s="30">
        <v>304</v>
      </c>
      <c r="AH887" s="30" t="s">
        <v>671</v>
      </c>
      <c r="AI887" s="30" t="s">
        <v>1129</v>
      </c>
      <c r="AJ887" t="s">
        <v>1130</v>
      </c>
      <c r="AK887">
        <v>0.59524549999999998</v>
      </c>
      <c r="AL887">
        <v>447.07256373925429</v>
      </c>
      <c r="AM887">
        <v>304</v>
      </c>
      <c r="AN887">
        <v>551.9414367151287</v>
      </c>
      <c r="AO887">
        <v>375.3086419753086</v>
      </c>
      <c r="AP887">
        <v>0.33689092823760758</v>
      </c>
      <c r="AQ887">
        <v>0.22907879053827157</v>
      </c>
      <c r="AR887">
        <v>0.13341858489683281</v>
      </c>
    </row>
    <row r="888" spans="1:44" customFormat="1" hidden="1" x14ac:dyDescent="0.5">
      <c r="A888">
        <v>887</v>
      </c>
      <c r="B888">
        <v>62</v>
      </c>
      <c r="C888" s="226" t="s">
        <v>9</v>
      </c>
      <c r="D888" s="234">
        <v>38.035890199999997</v>
      </c>
      <c r="E888" s="235">
        <v>118.61460700000001</v>
      </c>
      <c r="F888">
        <v>0</v>
      </c>
      <c r="G888">
        <f t="shared" si="7"/>
        <v>0</v>
      </c>
      <c r="H888" t="s">
        <v>10</v>
      </c>
      <c r="I888">
        <v>0</v>
      </c>
      <c r="J888">
        <v>286.58474595657299</v>
      </c>
      <c r="K888" s="26">
        <v>2015</v>
      </c>
      <c r="L888" t="s">
        <v>11</v>
      </c>
      <c r="M888" s="30"/>
      <c r="N888">
        <v>1</v>
      </c>
      <c r="O888">
        <v>5</v>
      </c>
      <c r="P888" t="s">
        <v>18</v>
      </c>
      <c r="Q888">
        <v>81</v>
      </c>
      <c r="R888" t="s">
        <v>13</v>
      </c>
      <c r="S888" t="s">
        <v>21</v>
      </c>
      <c r="T888" t="s">
        <v>28</v>
      </c>
      <c r="U888" s="25">
        <v>0</v>
      </c>
      <c r="V888" s="25">
        <v>2</v>
      </c>
      <c r="W888" s="25">
        <v>1</v>
      </c>
      <c r="X888" s="25">
        <v>2</v>
      </c>
      <c r="Y888">
        <v>0.61037440899999995</v>
      </c>
      <c r="Z888" t="s">
        <v>812</v>
      </c>
      <c r="AA888" t="s">
        <v>619</v>
      </c>
      <c r="AB888">
        <v>1</v>
      </c>
      <c r="AC888">
        <v>980</v>
      </c>
      <c r="AF888" t="s">
        <v>531</v>
      </c>
      <c r="AG888" s="30">
        <v>980</v>
      </c>
      <c r="AH888" s="30" t="s">
        <v>671</v>
      </c>
      <c r="AI888" s="30" t="s">
        <v>1129</v>
      </c>
      <c r="AJ888" t="s">
        <v>1130</v>
      </c>
      <c r="AK888">
        <v>0.59524549999999998</v>
      </c>
      <c r="AL888">
        <v>1441.2207646857537</v>
      </c>
      <c r="AM888">
        <v>980</v>
      </c>
      <c r="AN888">
        <v>1779.2848946737699</v>
      </c>
      <c r="AO888">
        <v>1209.8765432098767</v>
      </c>
      <c r="AP888">
        <v>1.0860299660291295</v>
      </c>
      <c r="AQ888">
        <v>0.73847768002469127</v>
      </c>
      <c r="AR888">
        <v>0.13341858489683281</v>
      </c>
    </row>
    <row r="889" spans="1:44" customFormat="1" hidden="1" x14ac:dyDescent="0.5">
      <c r="A889">
        <v>888</v>
      </c>
      <c r="B889">
        <v>62</v>
      </c>
      <c r="C889" s="226" t="s">
        <v>9</v>
      </c>
      <c r="D889" s="234">
        <v>38.122563200000002</v>
      </c>
      <c r="E889" s="235">
        <v>118.04468300000001</v>
      </c>
      <c r="F889">
        <v>0</v>
      </c>
      <c r="G889">
        <f t="shared" si="7"/>
        <v>0</v>
      </c>
      <c r="H889" t="s">
        <v>51</v>
      </c>
      <c r="I889">
        <v>0</v>
      </c>
      <c r="J889">
        <v>492.42553602756499</v>
      </c>
      <c r="K889" s="26">
        <v>2015</v>
      </c>
      <c r="L889" t="s">
        <v>11</v>
      </c>
      <c r="M889" s="30"/>
      <c r="N889">
        <v>1</v>
      </c>
      <c r="O889">
        <v>5</v>
      </c>
      <c r="P889" t="s">
        <v>18</v>
      </c>
      <c r="Q889">
        <v>81</v>
      </c>
      <c r="R889" t="s">
        <v>13</v>
      </c>
      <c r="S889" t="s">
        <v>21</v>
      </c>
      <c r="T889" t="s">
        <v>28</v>
      </c>
      <c r="U889" s="25">
        <v>0</v>
      </c>
      <c r="V889" s="25">
        <v>2</v>
      </c>
      <c r="W889" s="25">
        <v>1</v>
      </c>
      <c r="X889" s="25">
        <v>2</v>
      </c>
      <c r="Y889">
        <v>0.61037440899999995</v>
      </c>
      <c r="Z889" t="s">
        <v>812</v>
      </c>
      <c r="AA889" t="s">
        <v>619</v>
      </c>
      <c r="AB889">
        <v>1</v>
      </c>
      <c r="AC889">
        <v>26</v>
      </c>
      <c r="AF889" t="s">
        <v>532</v>
      </c>
      <c r="AG889" s="30">
        <v>26</v>
      </c>
      <c r="AH889" s="30" t="s">
        <v>671</v>
      </c>
      <c r="AI889" s="30" t="s">
        <v>1129</v>
      </c>
      <c r="AJ889" t="s">
        <v>1130</v>
      </c>
      <c r="AK889">
        <v>0.59524549999999998</v>
      </c>
      <c r="AL889">
        <v>38.236469267173064</v>
      </c>
      <c r="AM889">
        <v>26</v>
      </c>
      <c r="AN889">
        <v>47.205517613793909</v>
      </c>
      <c r="AO889">
        <v>32.098765432098766</v>
      </c>
      <c r="AP889">
        <v>2.8813039915058545E-2</v>
      </c>
      <c r="AQ889">
        <v>1.9592264980246913E-2</v>
      </c>
      <c r="AR889">
        <v>0.13341858489683281</v>
      </c>
    </row>
    <row r="890" spans="1:44" customFormat="1" hidden="1" x14ac:dyDescent="0.5">
      <c r="A890">
        <v>889</v>
      </c>
      <c r="B890">
        <v>62</v>
      </c>
      <c r="C890" s="226" t="s">
        <v>9</v>
      </c>
      <c r="D890" s="234">
        <v>38.044825199999998</v>
      </c>
      <c r="E890" s="235">
        <v>118.583449</v>
      </c>
      <c r="F890">
        <v>0</v>
      </c>
      <c r="G890">
        <f t="shared" si="7"/>
        <v>0</v>
      </c>
      <c r="H890" t="s">
        <v>10</v>
      </c>
      <c r="I890">
        <v>0</v>
      </c>
      <c r="J890">
        <v>295.37824494506498</v>
      </c>
      <c r="K890" s="26">
        <v>2015</v>
      </c>
      <c r="L890" t="s">
        <v>11</v>
      </c>
      <c r="M890" s="30"/>
      <c r="N890">
        <v>1</v>
      </c>
      <c r="O890">
        <v>5</v>
      </c>
      <c r="P890" t="s">
        <v>18</v>
      </c>
      <c r="Q890">
        <v>81</v>
      </c>
      <c r="R890" t="s">
        <v>13</v>
      </c>
      <c r="S890" t="s">
        <v>21</v>
      </c>
      <c r="T890" t="s">
        <v>28</v>
      </c>
      <c r="U890" s="25">
        <v>0</v>
      </c>
      <c r="V890" s="25">
        <v>2</v>
      </c>
      <c r="W890" s="25">
        <v>1</v>
      </c>
      <c r="X890" s="25">
        <v>2</v>
      </c>
      <c r="Y890">
        <v>0.61037440899999995</v>
      </c>
      <c r="Z890" t="s">
        <v>812</v>
      </c>
      <c r="AA890" t="s">
        <v>619</v>
      </c>
      <c r="AB890">
        <v>1</v>
      </c>
      <c r="AC890">
        <v>596</v>
      </c>
      <c r="AF890" t="s">
        <v>532</v>
      </c>
      <c r="AG890" s="30">
        <v>596</v>
      </c>
      <c r="AH890" s="30" t="s">
        <v>671</v>
      </c>
      <c r="AI890" s="30" t="s">
        <v>1129</v>
      </c>
      <c r="AJ890" t="s">
        <v>1130</v>
      </c>
      <c r="AK890">
        <v>0.59524549999999998</v>
      </c>
      <c r="AL890">
        <v>876.49752627827479</v>
      </c>
      <c r="AM890">
        <v>596</v>
      </c>
      <c r="AN890">
        <v>1082.0957114546602</v>
      </c>
      <c r="AO890">
        <v>735.80246913580243</v>
      </c>
      <c r="AP890">
        <v>0.66048353036057261</v>
      </c>
      <c r="AQ890">
        <v>0.4491149972395061</v>
      </c>
      <c r="AR890">
        <v>0.13341858489683281</v>
      </c>
    </row>
    <row r="891" spans="1:44" customFormat="1" hidden="1" x14ac:dyDescent="0.5">
      <c r="A891">
        <v>890</v>
      </c>
      <c r="B891">
        <v>63</v>
      </c>
      <c r="C891" s="226" t="s">
        <v>9</v>
      </c>
      <c r="D891" s="227">
        <v>34.730367999999999</v>
      </c>
      <c r="E891" s="228">
        <v>128.60443599999999</v>
      </c>
      <c r="F891">
        <v>0</v>
      </c>
      <c r="G891">
        <f t="shared" si="7"/>
        <v>0</v>
      </c>
      <c r="H891" t="s">
        <v>10</v>
      </c>
      <c r="I891">
        <v>0</v>
      </c>
      <c r="J891">
        <v>631.30765258485599</v>
      </c>
      <c r="K891" s="26">
        <v>2012</v>
      </c>
      <c r="L891" t="s">
        <v>11</v>
      </c>
      <c r="M891" s="30">
        <v>1000</v>
      </c>
      <c r="N891">
        <v>130.61708849999999</v>
      </c>
      <c r="O891">
        <v>5</v>
      </c>
      <c r="P891" t="s">
        <v>17</v>
      </c>
      <c r="Q891">
        <v>100</v>
      </c>
      <c r="R891" t="s">
        <v>31</v>
      </c>
      <c r="S891" t="s">
        <v>16</v>
      </c>
      <c r="T891" t="s">
        <v>28</v>
      </c>
      <c r="U891" s="25">
        <v>0</v>
      </c>
      <c r="V891" s="25">
        <v>5</v>
      </c>
      <c r="W891" s="25">
        <v>2.5</v>
      </c>
      <c r="X891" s="25">
        <v>5</v>
      </c>
      <c r="Y891">
        <v>1.3089407900000001</v>
      </c>
      <c r="Z891" t="s">
        <v>1110</v>
      </c>
      <c r="AA891" t="s">
        <v>622</v>
      </c>
      <c r="AB891">
        <v>1</v>
      </c>
      <c r="AC891">
        <v>2298.4</v>
      </c>
      <c r="AF891" t="s">
        <v>521</v>
      </c>
      <c r="AG891" s="30">
        <v>35.118471630790879</v>
      </c>
      <c r="AH891" s="30" t="s">
        <v>671</v>
      </c>
      <c r="AI891" s="30" t="s">
        <v>1129</v>
      </c>
      <c r="AJ891" t="s">
        <v>1130</v>
      </c>
      <c r="AK891">
        <v>0.59524549999999998</v>
      </c>
      <c r="AL891">
        <v>51.646398508493249</v>
      </c>
      <c r="AM891">
        <v>35.118471630790879</v>
      </c>
      <c r="AN891">
        <v>6745.90220469013</v>
      </c>
      <c r="AO891">
        <v>4587.0725169837515</v>
      </c>
      <c r="AP891">
        <v>8.8299865610698411</v>
      </c>
      <c r="AQ891">
        <v>6.0042063241680008</v>
      </c>
      <c r="AR891">
        <v>0.13341858489683281</v>
      </c>
    </row>
    <row r="892" spans="1:44" customFormat="1" hidden="1" x14ac:dyDescent="0.5">
      <c r="A892">
        <v>891</v>
      </c>
      <c r="B892">
        <v>63</v>
      </c>
      <c r="C892" s="226" t="s">
        <v>9</v>
      </c>
      <c r="D892" s="227">
        <v>34.730367999999999</v>
      </c>
      <c r="E892" s="228">
        <v>128.60443599999999</v>
      </c>
      <c r="F892">
        <v>0</v>
      </c>
      <c r="G892">
        <f t="shared" si="7"/>
        <v>0</v>
      </c>
      <c r="H892" t="s">
        <v>10</v>
      </c>
      <c r="I892">
        <v>0</v>
      </c>
      <c r="J892">
        <v>631.30765258485599</v>
      </c>
      <c r="K892" s="26">
        <v>2012</v>
      </c>
      <c r="L892" t="s">
        <v>11</v>
      </c>
      <c r="M892" s="30">
        <v>1000</v>
      </c>
      <c r="N892">
        <v>130.61708849999999</v>
      </c>
      <c r="O892">
        <v>5</v>
      </c>
      <c r="P892" t="s">
        <v>17</v>
      </c>
      <c r="Q892">
        <v>100</v>
      </c>
      <c r="R892" t="s">
        <v>31</v>
      </c>
      <c r="S892" t="s">
        <v>16</v>
      </c>
      <c r="T892" t="s">
        <v>28</v>
      </c>
      <c r="U892" s="25">
        <v>0</v>
      </c>
      <c r="V892" s="25">
        <v>5</v>
      </c>
      <c r="W892" s="25">
        <v>2.5</v>
      </c>
      <c r="X892" s="25">
        <v>5</v>
      </c>
      <c r="Y892">
        <v>1.3089407900000001</v>
      </c>
      <c r="Z892" t="s">
        <v>1110</v>
      </c>
      <c r="AA892" t="s">
        <v>622</v>
      </c>
      <c r="AB892">
        <v>1</v>
      </c>
      <c r="AC892">
        <v>5599.2</v>
      </c>
      <c r="AF892" t="s">
        <v>521</v>
      </c>
      <c r="AG892" s="30">
        <v>85.55314408071888</v>
      </c>
      <c r="AH892" s="30" t="s">
        <v>671</v>
      </c>
      <c r="AI892" s="30" t="s">
        <v>1129</v>
      </c>
      <c r="AJ892" t="s">
        <v>1130</v>
      </c>
      <c r="AK892">
        <v>0.59524549999999998</v>
      </c>
      <c r="AL892">
        <v>125.81731401355523</v>
      </c>
      <c r="AM892">
        <v>85.55314408071888</v>
      </c>
      <c r="AN892">
        <v>16433.891239340832</v>
      </c>
      <c r="AO892">
        <v>11174.702591844509</v>
      </c>
      <c r="AP892">
        <v>21.510990581596868</v>
      </c>
      <c r="AQ892">
        <v>14.627024038584</v>
      </c>
      <c r="AR892">
        <v>0.13341858489683281</v>
      </c>
    </row>
    <row r="893" spans="1:44" customFormat="1" hidden="1" x14ac:dyDescent="0.5">
      <c r="A893">
        <v>892</v>
      </c>
      <c r="B893">
        <v>63</v>
      </c>
      <c r="C893" s="226" t="s">
        <v>9</v>
      </c>
      <c r="D893" s="227">
        <v>34.809671000000002</v>
      </c>
      <c r="E893" s="228">
        <v>128.70395099999999</v>
      </c>
      <c r="F893">
        <v>0</v>
      </c>
      <c r="G893">
        <f t="shared" si="7"/>
        <v>0</v>
      </c>
      <c r="H893" t="s">
        <v>10</v>
      </c>
      <c r="I893">
        <v>0</v>
      </c>
      <c r="J893">
        <v>666.26719596062901</v>
      </c>
      <c r="K893" s="26">
        <v>2012</v>
      </c>
      <c r="L893" t="s">
        <v>11</v>
      </c>
      <c r="M893" s="30">
        <v>1000</v>
      </c>
      <c r="N893">
        <v>130.61708849999999</v>
      </c>
      <c r="O893">
        <v>5</v>
      </c>
      <c r="P893" t="s">
        <v>17</v>
      </c>
      <c r="Q893">
        <v>100</v>
      </c>
      <c r="R893" t="s">
        <v>31</v>
      </c>
      <c r="S893" t="s">
        <v>16</v>
      </c>
      <c r="T893" t="s">
        <v>28</v>
      </c>
      <c r="U893" s="25">
        <v>0</v>
      </c>
      <c r="V893" s="25">
        <v>5</v>
      </c>
      <c r="W893" s="25">
        <v>2.5</v>
      </c>
      <c r="X893" s="25">
        <v>5</v>
      </c>
      <c r="Y893">
        <v>1.3089407900000001</v>
      </c>
      <c r="Z893" t="s">
        <v>1110</v>
      </c>
      <c r="AA893" t="s">
        <v>622</v>
      </c>
      <c r="AB893">
        <v>1</v>
      </c>
      <c r="AC893">
        <v>491.2</v>
      </c>
      <c r="AF893" t="s">
        <v>521</v>
      </c>
      <c r="AG893" s="30">
        <v>7.5053051100959269</v>
      </c>
      <c r="AH893" s="30" t="s">
        <v>671</v>
      </c>
      <c r="AI893" s="30" t="s">
        <v>1129</v>
      </c>
      <c r="AJ893" t="s">
        <v>1130</v>
      </c>
      <c r="AK893">
        <v>0.59524549999999998</v>
      </c>
      <c r="AL893">
        <v>11.037552622420764</v>
      </c>
      <c r="AM893">
        <v>7.5053051100959269</v>
      </c>
      <c r="AN893">
        <v>1441.69298770614</v>
      </c>
      <c r="AO893">
        <v>980.32110178490188</v>
      </c>
      <c r="AP893">
        <v>1.8870907582655352</v>
      </c>
      <c r="AQ893">
        <v>1.2831822774239998</v>
      </c>
      <c r="AR893">
        <v>0.13341858489683281</v>
      </c>
    </row>
    <row r="894" spans="1:44" customFormat="1" hidden="1" x14ac:dyDescent="0.5">
      <c r="A894">
        <v>893</v>
      </c>
      <c r="B894">
        <v>63</v>
      </c>
      <c r="C894" s="226" t="s">
        <v>9</v>
      </c>
      <c r="D894" s="227">
        <v>34.809671000000002</v>
      </c>
      <c r="E894" s="228">
        <v>128.70395099999999</v>
      </c>
      <c r="F894">
        <v>0</v>
      </c>
      <c r="G894">
        <f t="shared" si="7"/>
        <v>0</v>
      </c>
      <c r="H894" t="s">
        <v>10</v>
      </c>
      <c r="I894">
        <v>0</v>
      </c>
      <c r="J894">
        <v>666.26719596062901</v>
      </c>
      <c r="K894" s="26">
        <v>2012</v>
      </c>
      <c r="L894" t="s">
        <v>11</v>
      </c>
      <c r="M894" s="30">
        <v>1000</v>
      </c>
      <c r="N894">
        <v>130.61708849999999</v>
      </c>
      <c r="O894">
        <v>5</v>
      </c>
      <c r="P894" t="s">
        <v>17</v>
      </c>
      <c r="Q894">
        <v>100</v>
      </c>
      <c r="R894" t="s">
        <v>31</v>
      </c>
      <c r="S894" t="s">
        <v>16</v>
      </c>
      <c r="T894" t="s">
        <v>28</v>
      </c>
      <c r="U894" s="25">
        <v>0</v>
      </c>
      <c r="V894" s="25">
        <v>5</v>
      </c>
      <c r="W894" s="25">
        <v>2.5</v>
      </c>
      <c r="X894" s="25">
        <v>5</v>
      </c>
      <c r="Y894">
        <v>1.3089407900000001</v>
      </c>
      <c r="Z894" t="s">
        <v>1110</v>
      </c>
      <c r="AA894" t="s">
        <v>622</v>
      </c>
      <c r="AB894">
        <v>1</v>
      </c>
      <c r="AC894">
        <v>4850.6000000000004</v>
      </c>
      <c r="AF894" t="s">
        <v>521</v>
      </c>
      <c r="AG894" s="30">
        <v>74.114887962197287</v>
      </c>
      <c r="AH894" s="30" t="s">
        <v>671</v>
      </c>
      <c r="AI894" s="30" t="s">
        <v>1129</v>
      </c>
      <c r="AJ894" t="s">
        <v>1130</v>
      </c>
      <c r="AK894">
        <v>0.59524549999999998</v>
      </c>
      <c r="AL894">
        <v>108.99583214640504</v>
      </c>
      <c r="AM894">
        <v>74.114887962197287</v>
      </c>
      <c r="AN894">
        <v>14236.71825359813</v>
      </c>
      <c r="AO894">
        <v>9680.6708801259065</v>
      </c>
      <c r="AP894">
        <v>18.635021237872159</v>
      </c>
      <c r="AQ894">
        <v>12.671424989561999</v>
      </c>
      <c r="AR894">
        <v>0.13341858489683281</v>
      </c>
    </row>
    <row r="895" spans="1:44" customFormat="1" hidden="1" x14ac:dyDescent="0.5">
      <c r="A895">
        <v>894</v>
      </c>
      <c r="B895">
        <v>63</v>
      </c>
      <c r="C895" s="226" t="s">
        <v>9</v>
      </c>
      <c r="D895" s="227">
        <v>34.924143000000001</v>
      </c>
      <c r="E895" s="228">
        <v>128.71833899999999</v>
      </c>
      <c r="F895">
        <v>0</v>
      </c>
      <c r="G895">
        <f t="shared" si="7"/>
        <v>0</v>
      </c>
      <c r="H895" t="s">
        <v>10</v>
      </c>
      <c r="I895">
        <v>0</v>
      </c>
      <c r="J895">
        <v>736.73226297307201</v>
      </c>
      <c r="K895" s="26">
        <v>2012</v>
      </c>
      <c r="L895" t="s">
        <v>11</v>
      </c>
      <c r="M895" s="30">
        <v>1000</v>
      </c>
      <c r="N895">
        <v>130.61708849999999</v>
      </c>
      <c r="O895">
        <v>5</v>
      </c>
      <c r="P895" t="s">
        <v>17</v>
      </c>
      <c r="Q895">
        <v>100</v>
      </c>
      <c r="R895" t="s">
        <v>31</v>
      </c>
      <c r="S895" t="s">
        <v>16</v>
      </c>
      <c r="T895" t="s">
        <v>28</v>
      </c>
      <c r="U895" s="25">
        <v>0</v>
      </c>
      <c r="V895" s="25">
        <v>5</v>
      </c>
      <c r="W895" s="25">
        <v>2.5</v>
      </c>
      <c r="X895" s="25">
        <v>5</v>
      </c>
      <c r="Y895">
        <v>1.3089407900000001</v>
      </c>
      <c r="Z895" t="s">
        <v>1110</v>
      </c>
      <c r="AA895" t="s">
        <v>622</v>
      </c>
      <c r="AB895">
        <v>1</v>
      </c>
      <c r="AC895">
        <v>14464.8</v>
      </c>
      <c r="AF895" t="s">
        <v>521</v>
      </c>
      <c r="AG895" s="30">
        <v>221.01534478117989</v>
      </c>
      <c r="AH895" s="30" t="s">
        <v>671</v>
      </c>
      <c r="AI895" s="30" t="s">
        <v>1129</v>
      </c>
      <c r="AJ895" t="s">
        <v>1130</v>
      </c>
      <c r="AK895">
        <v>0.59524549999999998</v>
      </c>
      <c r="AL895">
        <v>325.03255531920166</v>
      </c>
      <c r="AM895">
        <v>221.01534478117989</v>
      </c>
      <c r="AN895">
        <v>42454.806043509307</v>
      </c>
      <c r="AO895">
        <v>28868.380849141387</v>
      </c>
      <c r="AP895">
        <v>55.570827361887851</v>
      </c>
      <c r="AQ895">
        <v>37.787001234696</v>
      </c>
      <c r="AR895">
        <v>0.13341858489683281</v>
      </c>
    </row>
    <row r="896" spans="1:44" customFormat="1" hidden="1" x14ac:dyDescent="0.5">
      <c r="A896">
        <v>895</v>
      </c>
      <c r="B896">
        <v>63</v>
      </c>
      <c r="C896" s="226" t="s">
        <v>9</v>
      </c>
      <c r="D896" s="227">
        <v>34.924143000000001</v>
      </c>
      <c r="E896" s="228">
        <v>128.71833899999999</v>
      </c>
      <c r="F896">
        <v>0</v>
      </c>
      <c r="G896">
        <f t="shared" si="7"/>
        <v>0</v>
      </c>
      <c r="H896" t="s">
        <v>10</v>
      </c>
      <c r="I896">
        <v>0</v>
      </c>
      <c r="J896">
        <v>736.73226297307201</v>
      </c>
      <c r="K896" s="26">
        <v>2012</v>
      </c>
      <c r="L896" t="s">
        <v>11</v>
      </c>
      <c r="M896" s="30">
        <v>1000</v>
      </c>
      <c r="N896">
        <v>130.61708849999999</v>
      </c>
      <c r="O896">
        <v>5</v>
      </c>
      <c r="P896" t="s">
        <v>17</v>
      </c>
      <c r="Q896">
        <v>100</v>
      </c>
      <c r="R896" t="s">
        <v>31</v>
      </c>
      <c r="S896" t="s">
        <v>16</v>
      </c>
      <c r="T896" t="s">
        <v>28</v>
      </c>
      <c r="U896" s="25">
        <v>0</v>
      </c>
      <c r="V896" s="25">
        <v>5</v>
      </c>
      <c r="W896" s="25">
        <v>2.5</v>
      </c>
      <c r="X896" s="25">
        <v>5</v>
      </c>
      <c r="Y896">
        <v>1.3089407900000001</v>
      </c>
      <c r="Z896" t="s">
        <v>1110</v>
      </c>
      <c r="AA896" t="s">
        <v>622</v>
      </c>
      <c r="AB896">
        <v>1</v>
      </c>
      <c r="AC896">
        <v>17065.599999999999</v>
      </c>
      <c r="AF896" t="s">
        <v>521</v>
      </c>
      <c r="AG896" s="30">
        <v>260.75434626802331</v>
      </c>
      <c r="AH896" s="30" t="s">
        <v>671</v>
      </c>
      <c r="AI896" s="30" t="s">
        <v>1129</v>
      </c>
      <c r="AJ896" t="s">
        <v>1130</v>
      </c>
      <c r="AK896">
        <v>0.59524549999999998</v>
      </c>
      <c r="AL896">
        <v>383.47405951381057</v>
      </c>
      <c r="AM896">
        <v>260.75434626802331</v>
      </c>
      <c r="AN896">
        <v>50088.265168969658</v>
      </c>
      <c r="AO896">
        <v>34058.973523250046</v>
      </c>
      <c r="AP896">
        <v>65.562573380000629</v>
      </c>
      <c r="AQ896">
        <v>44.581179710112004</v>
      </c>
      <c r="AR896">
        <v>0.13341858489683281</v>
      </c>
    </row>
    <row r="897" spans="1:44" customFormat="1" hidden="1" x14ac:dyDescent="0.5">
      <c r="A897">
        <v>896</v>
      </c>
      <c r="B897">
        <v>63</v>
      </c>
      <c r="C897" s="226" t="s">
        <v>9</v>
      </c>
      <c r="D897" s="227">
        <v>34.966332000000001</v>
      </c>
      <c r="E897" s="228">
        <v>128.70907299999999</v>
      </c>
      <c r="F897">
        <v>0</v>
      </c>
      <c r="G897">
        <f t="shared" si="7"/>
        <v>0</v>
      </c>
      <c r="H897" t="s">
        <v>10</v>
      </c>
      <c r="I897">
        <v>0</v>
      </c>
      <c r="J897">
        <v>730.09789070145905</v>
      </c>
      <c r="K897" s="26">
        <v>2012</v>
      </c>
      <c r="L897" t="s">
        <v>11</v>
      </c>
      <c r="M897" s="30">
        <v>1000</v>
      </c>
      <c r="N897">
        <v>130.61708849999999</v>
      </c>
      <c r="O897">
        <v>5</v>
      </c>
      <c r="P897" t="s">
        <v>17</v>
      </c>
      <c r="Q897">
        <v>100</v>
      </c>
      <c r="R897" t="s">
        <v>31</v>
      </c>
      <c r="S897" t="s">
        <v>16</v>
      </c>
      <c r="T897" t="s">
        <v>28</v>
      </c>
      <c r="U897" s="25">
        <v>0</v>
      </c>
      <c r="V897" s="25">
        <v>5</v>
      </c>
      <c r="W897" s="25">
        <v>2.5</v>
      </c>
      <c r="X897" s="25">
        <v>5</v>
      </c>
      <c r="Y897">
        <v>1.3089407900000001</v>
      </c>
      <c r="Z897" t="s">
        <v>1110</v>
      </c>
      <c r="AA897" t="s">
        <v>622</v>
      </c>
      <c r="AB897">
        <v>1</v>
      </c>
      <c r="AC897">
        <v>1837.6</v>
      </c>
      <c r="AF897" t="s">
        <v>521</v>
      </c>
      <c r="AG897" s="30">
        <v>28.077664231091763</v>
      </c>
      <c r="AH897" s="30" t="s">
        <v>671</v>
      </c>
      <c r="AI897" s="30" t="s">
        <v>1129</v>
      </c>
      <c r="AJ897" t="s">
        <v>1130</v>
      </c>
      <c r="AK897">
        <v>0.59524549999999998</v>
      </c>
      <c r="AL897">
        <v>41.291951748697869</v>
      </c>
      <c r="AM897">
        <v>28.077664231091763</v>
      </c>
      <c r="AN897">
        <v>5393.4345158973993</v>
      </c>
      <c r="AO897">
        <v>3667.4227537457973</v>
      </c>
      <c r="AP897">
        <v>7.0596864360520097</v>
      </c>
      <c r="AQ897">
        <v>4.8004392365520001</v>
      </c>
      <c r="AR897">
        <v>0.13341858489683281</v>
      </c>
    </row>
    <row r="898" spans="1:44" customFormat="1" hidden="1" x14ac:dyDescent="0.5">
      <c r="A898">
        <v>897</v>
      </c>
      <c r="B898">
        <v>63</v>
      </c>
      <c r="C898" s="226" t="s">
        <v>9</v>
      </c>
      <c r="D898" s="227">
        <v>34.966332000000001</v>
      </c>
      <c r="E898" s="228">
        <v>128.70907299999999</v>
      </c>
      <c r="F898">
        <v>0</v>
      </c>
      <c r="G898">
        <f t="shared" si="7"/>
        <v>0</v>
      </c>
      <c r="H898" t="s">
        <v>10</v>
      </c>
      <c r="I898">
        <v>0</v>
      </c>
      <c r="J898">
        <v>730.09789070145905</v>
      </c>
      <c r="K898" s="26">
        <v>2012</v>
      </c>
      <c r="L898" t="s">
        <v>11</v>
      </c>
      <c r="M898" s="30">
        <v>1000</v>
      </c>
      <c r="N898">
        <v>130.61708849999999</v>
      </c>
      <c r="O898">
        <v>5</v>
      </c>
      <c r="P898" t="s">
        <v>17</v>
      </c>
      <c r="Q898">
        <v>100</v>
      </c>
      <c r="R898" t="s">
        <v>31</v>
      </c>
      <c r="S898" t="s">
        <v>16</v>
      </c>
      <c r="T898" t="s">
        <v>28</v>
      </c>
      <c r="U898" s="25">
        <v>0</v>
      </c>
      <c r="V898" s="25">
        <v>5</v>
      </c>
      <c r="W898" s="25">
        <v>2.5</v>
      </c>
      <c r="X898" s="25">
        <v>5</v>
      </c>
      <c r="Y898">
        <v>1.3089407900000001</v>
      </c>
      <c r="Z898" t="s">
        <v>1110</v>
      </c>
      <c r="AA898" t="s">
        <v>622</v>
      </c>
      <c r="AB898">
        <v>1</v>
      </c>
      <c r="AC898">
        <v>4315.2</v>
      </c>
      <c r="AF898" t="s">
        <v>521</v>
      </c>
      <c r="AG898" s="30">
        <v>65.934227628432296</v>
      </c>
      <c r="AH898" s="30" t="s">
        <v>671</v>
      </c>
      <c r="AI898" s="30" t="s">
        <v>1129</v>
      </c>
      <c r="AJ898" t="s">
        <v>1130</v>
      </c>
      <c r="AK898">
        <v>0.59524549999999998</v>
      </c>
      <c r="AL898">
        <v>96.965079552667106</v>
      </c>
      <c r="AM898">
        <v>65.934227628432296</v>
      </c>
      <c r="AN898">
        <v>12665.296377340259</v>
      </c>
      <c r="AO898">
        <v>8612.1368453220857</v>
      </c>
      <c r="AP898">
        <v>16.578123045739897</v>
      </c>
      <c r="AQ898">
        <v>11.272777205903999</v>
      </c>
      <c r="AR898">
        <v>0.13341858489683281</v>
      </c>
    </row>
    <row r="899" spans="1:44" customFormat="1" hidden="1" x14ac:dyDescent="0.5">
      <c r="A899">
        <v>898</v>
      </c>
      <c r="B899">
        <v>63</v>
      </c>
      <c r="C899" s="226" t="s">
        <v>9</v>
      </c>
      <c r="D899" s="227">
        <v>35.034295</v>
      </c>
      <c r="E899" s="228">
        <v>128.694489</v>
      </c>
      <c r="F899">
        <v>0</v>
      </c>
      <c r="G899">
        <f t="shared" si="7"/>
        <v>0</v>
      </c>
      <c r="H899" t="s">
        <v>10</v>
      </c>
      <c r="I899">
        <v>0</v>
      </c>
      <c r="J899">
        <v>703.28277194687803</v>
      </c>
      <c r="K899" s="26">
        <v>2012</v>
      </c>
      <c r="L899" t="s">
        <v>11</v>
      </c>
      <c r="M899" s="30">
        <v>1000</v>
      </c>
      <c r="N899">
        <v>130.61708849999999</v>
      </c>
      <c r="O899">
        <v>5</v>
      </c>
      <c r="P899" t="s">
        <v>17</v>
      </c>
      <c r="Q899">
        <v>100</v>
      </c>
      <c r="R899" t="s">
        <v>31</v>
      </c>
      <c r="S899" t="s">
        <v>16</v>
      </c>
      <c r="T899" t="s">
        <v>28</v>
      </c>
      <c r="U899" s="25">
        <v>0</v>
      </c>
      <c r="V899" s="25">
        <v>5</v>
      </c>
      <c r="W899" s="25">
        <v>2.5</v>
      </c>
      <c r="X899" s="25">
        <v>5</v>
      </c>
      <c r="Y899">
        <v>1.3089407900000001</v>
      </c>
      <c r="Z899" t="s">
        <v>1110</v>
      </c>
      <c r="AA899" t="s">
        <v>622</v>
      </c>
      <c r="AB899">
        <v>1</v>
      </c>
      <c r="AC899">
        <v>4353.6000000000004</v>
      </c>
      <c r="AF899" t="s">
        <v>521</v>
      </c>
      <c r="AG899" s="30">
        <v>66.520961578407224</v>
      </c>
      <c r="AH899" s="30" t="s">
        <v>671</v>
      </c>
      <c r="AI899" s="30" t="s">
        <v>1129</v>
      </c>
      <c r="AJ899" t="s">
        <v>1130</v>
      </c>
      <c r="AK899">
        <v>0.59524549999999998</v>
      </c>
      <c r="AL899">
        <v>97.827950115983384</v>
      </c>
      <c r="AM899">
        <v>66.520961578407224</v>
      </c>
      <c r="AN899">
        <v>12778.002018072986</v>
      </c>
      <c r="AO899">
        <v>8688.7743255919158</v>
      </c>
      <c r="AP899">
        <v>16.72564805615805</v>
      </c>
      <c r="AQ899">
        <v>11.373091129872002</v>
      </c>
      <c r="AR899">
        <v>0.13341858489683281</v>
      </c>
    </row>
    <row r="900" spans="1:44" customFormat="1" hidden="1" x14ac:dyDescent="0.5">
      <c r="A900">
        <v>899</v>
      </c>
      <c r="B900">
        <v>63</v>
      </c>
      <c r="C900" s="226" t="s">
        <v>9</v>
      </c>
      <c r="D900" s="227">
        <v>35.034295</v>
      </c>
      <c r="E900" s="228">
        <v>128.694489</v>
      </c>
      <c r="F900">
        <v>0</v>
      </c>
      <c r="G900">
        <f t="shared" si="7"/>
        <v>0</v>
      </c>
      <c r="H900" t="s">
        <v>10</v>
      </c>
      <c r="I900">
        <v>0</v>
      </c>
      <c r="J900">
        <v>703.28277194687803</v>
      </c>
      <c r="K900" s="26">
        <v>2012</v>
      </c>
      <c r="L900" t="s">
        <v>11</v>
      </c>
      <c r="M900" s="30">
        <v>1000</v>
      </c>
      <c r="N900">
        <v>130.61708849999999</v>
      </c>
      <c r="O900">
        <v>5</v>
      </c>
      <c r="P900" t="s">
        <v>17</v>
      </c>
      <c r="Q900">
        <v>100</v>
      </c>
      <c r="R900" t="s">
        <v>31</v>
      </c>
      <c r="S900" t="s">
        <v>16</v>
      </c>
      <c r="T900" t="s">
        <v>28</v>
      </c>
      <c r="U900" s="25">
        <v>0</v>
      </c>
      <c r="V900" s="25">
        <v>5</v>
      </c>
      <c r="W900" s="25">
        <v>2.5</v>
      </c>
      <c r="X900" s="25">
        <v>5</v>
      </c>
      <c r="Y900">
        <v>1.3089407900000001</v>
      </c>
      <c r="Z900" t="s">
        <v>1110</v>
      </c>
      <c r="AA900" t="s">
        <v>622</v>
      </c>
      <c r="AB900">
        <v>1</v>
      </c>
      <c r="AC900">
        <v>42844</v>
      </c>
      <c r="AF900" t="s">
        <v>521</v>
      </c>
      <c r="AG900" s="30">
        <v>654.6361810605656</v>
      </c>
      <c r="AH900" s="30" t="s">
        <v>671</v>
      </c>
      <c r="AI900" s="30" t="s">
        <v>1129</v>
      </c>
      <c r="AJ900" t="s">
        <v>1130</v>
      </c>
      <c r="AK900">
        <v>0.59524549999999998</v>
      </c>
      <c r="AL900">
        <v>962.72985455007142</v>
      </c>
      <c r="AM900">
        <v>654.6361810605656</v>
      </c>
      <c r="AN900">
        <v>125748.9706133588</v>
      </c>
      <c r="AO900">
        <v>85506.671996889912</v>
      </c>
      <c r="AP900">
        <v>164.59795693633666</v>
      </c>
      <c r="AQ900">
        <v>111.92317079387996</v>
      </c>
      <c r="AR900">
        <v>0.13341858489683281</v>
      </c>
    </row>
    <row r="901" spans="1:44" customFormat="1" hidden="1" x14ac:dyDescent="0.5">
      <c r="A901">
        <v>900</v>
      </c>
      <c r="B901">
        <v>63</v>
      </c>
      <c r="C901" s="226" t="s">
        <v>9</v>
      </c>
      <c r="D901" s="227">
        <v>35.066986999999997</v>
      </c>
      <c r="E901" s="228">
        <v>128.85914299999999</v>
      </c>
      <c r="F901">
        <v>0</v>
      </c>
      <c r="G901">
        <f t="shared" si="7"/>
        <v>0</v>
      </c>
      <c r="H901" t="s">
        <v>10</v>
      </c>
      <c r="I901">
        <v>0</v>
      </c>
      <c r="J901">
        <v>742.84121262947804</v>
      </c>
      <c r="K901" s="26">
        <v>2012</v>
      </c>
      <c r="L901" t="s">
        <v>11</v>
      </c>
      <c r="M901" s="30">
        <v>1000</v>
      </c>
      <c r="N901">
        <v>130.61708849999999</v>
      </c>
      <c r="O901">
        <v>5</v>
      </c>
      <c r="P901" t="s">
        <v>17</v>
      </c>
      <c r="Q901">
        <v>100</v>
      </c>
      <c r="R901" t="s">
        <v>31</v>
      </c>
      <c r="S901" t="s">
        <v>16</v>
      </c>
      <c r="T901" t="s">
        <v>28</v>
      </c>
      <c r="U901" s="25">
        <v>0</v>
      </c>
      <c r="V901" s="25">
        <v>5</v>
      </c>
      <c r="W901" s="25">
        <v>2.5</v>
      </c>
      <c r="X901" s="25">
        <v>5</v>
      </c>
      <c r="Y901">
        <v>1.3089407900000001</v>
      </c>
      <c r="Z901" t="s">
        <v>1110</v>
      </c>
      <c r="AA901" t="s">
        <v>622</v>
      </c>
      <c r="AB901">
        <v>1</v>
      </c>
      <c r="AC901">
        <v>1.6</v>
      </c>
      <c r="AF901" t="s">
        <v>521</v>
      </c>
      <c r="AG901" s="30">
        <v>2.4447247915621913E-2</v>
      </c>
      <c r="AH901" s="30" t="s">
        <v>671</v>
      </c>
      <c r="AI901" s="30" t="s">
        <v>1129</v>
      </c>
      <c r="AJ901" t="s">
        <v>1130</v>
      </c>
      <c r="AK901">
        <v>0.59524549999999998</v>
      </c>
      <c r="AL901">
        <v>3.5952940138178381E-2</v>
      </c>
      <c r="AM901">
        <v>2.4447247915621913E-2</v>
      </c>
      <c r="AN901">
        <v>4.696068363863648</v>
      </c>
      <c r="AO901">
        <v>3.193228344576228</v>
      </c>
      <c r="AP901">
        <v>6.1468754340896908E-3</v>
      </c>
      <c r="AQ901">
        <v>4.179746832E-3</v>
      </c>
      <c r="AR901">
        <v>0.13341858489683281</v>
      </c>
    </row>
    <row r="902" spans="1:44" customFormat="1" hidden="1" x14ac:dyDescent="0.5">
      <c r="A902">
        <v>901</v>
      </c>
      <c r="B902">
        <v>63</v>
      </c>
      <c r="C902" s="226" t="s">
        <v>9</v>
      </c>
      <c r="D902" s="227">
        <v>35.066986999999997</v>
      </c>
      <c r="E902" s="228">
        <v>128.85914299999999</v>
      </c>
      <c r="F902">
        <v>0</v>
      </c>
      <c r="G902">
        <f t="shared" si="7"/>
        <v>0</v>
      </c>
      <c r="H902" t="s">
        <v>10</v>
      </c>
      <c r="I902">
        <v>0</v>
      </c>
      <c r="J902">
        <v>742.84121262947804</v>
      </c>
      <c r="K902" s="26">
        <v>2012</v>
      </c>
      <c r="L902" t="s">
        <v>11</v>
      </c>
      <c r="M902" s="30">
        <v>1000</v>
      </c>
      <c r="N902">
        <v>130.61708849999999</v>
      </c>
      <c r="O902">
        <v>5</v>
      </c>
      <c r="P902" t="s">
        <v>17</v>
      </c>
      <c r="Q902">
        <v>100</v>
      </c>
      <c r="R902" t="s">
        <v>31</v>
      </c>
      <c r="S902" t="s">
        <v>16</v>
      </c>
      <c r="T902" t="s">
        <v>28</v>
      </c>
      <c r="U902" s="25">
        <v>0</v>
      </c>
      <c r="V902" s="25">
        <v>5</v>
      </c>
      <c r="W902" s="25">
        <v>2.5</v>
      </c>
      <c r="X902" s="25">
        <v>5</v>
      </c>
      <c r="Y902">
        <v>1.3089407900000001</v>
      </c>
      <c r="Z902" t="s">
        <v>1110</v>
      </c>
      <c r="AA902" t="s">
        <v>622</v>
      </c>
      <c r="AB902">
        <v>1</v>
      </c>
      <c r="AC902">
        <v>343.2</v>
      </c>
      <c r="AF902" t="s">
        <v>521</v>
      </c>
      <c r="AG902" s="30">
        <v>5.2439346779009002</v>
      </c>
      <c r="AH902" s="30" t="s">
        <v>671</v>
      </c>
      <c r="AI902" s="30" t="s">
        <v>1129</v>
      </c>
      <c r="AJ902" t="s">
        <v>1130</v>
      </c>
      <c r="AK902">
        <v>0.59524549999999998</v>
      </c>
      <c r="AL902">
        <v>7.711905659639263</v>
      </c>
      <c r="AM902">
        <v>5.2439346779009002</v>
      </c>
      <c r="AN902">
        <v>1007.3066640487523</v>
      </c>
      <c r="AO902">
        <v>684.94747991160079</v>
      </c>
      <c r="AP902">
        <v>1.3185047806122385</v>
      </c>
      <c r="AQ902">
        <v>0.89655569546399994</v>
      </c>
      <c r="AR902">
        <v>0.13341858489683281</v>
      </c>
    </row>
    <row r="903" spans="1:44" customFormat="1" hidden="1" x14ac:dyDescent="0.5">
      <c r="A903">
        <v>902</v>
      </c>
      <c r="B903">
        <v>64</v>
      </c>
      <c r="C903" s="226" t="s">
        <v>9</v>
      </c>
      <c r="D903" s="227">
        <v>21.061779999999999</v>
      </c>
      <c r="E903" s="228">
        <v>109.1011</v>
      </c>
      <c r="F903">
        <v>0</v>
      </c>
      <c r="G903">
        <f t="shared" si="7"/>
        <v>0</v>
      </c>
      <c r="H903" t="s">
        <v>10</v>
      </c>
      <c r="I903">
        <v>0</v>
      </c>
      <c r="J903">
        <v>394.47791444352401</v>
      </c>
      <c r="K903" s="26">
        <v>2014</v>
      </c>
      <c r="L903" t="s">
        <v>11</v>
      </c>
      <c r="M903" s="30">
        <v>1000</v>
      </c>
      <c r="N903">
        <v>130.61708849999999</v>
      </c>
      <c r="O903">
        <v>20</v>
      </c>
      <c r="P903" t="s">
        <v>35</v>
      </c>
      <c r="Q903">
        <v>93</v>
      </c>
      <c r="R903" t="s">
        <v>31</v>
      </c>
      <c r="S903" t="s">
        <v>14</v>
      </c>
      <c r="T903" t="s">
        <v>16</v>
      </c>
      <c r="U903" s="25">
        <v>0</v>
      </c>
      <c r="V903" s="25">
        <v>5</v>
      </c>
      <c r="W903" s="25">
        <v>2.5</v>
      </c>
      <c r="X903" s="25">
        <v>5</v>
      </c>
      <c r="Y903">
        <v>0.64629065600000002</v>
      </c>
      <c r="Z903" t="s">
        <v>735</v>
      </c>
      <c r="AA903" t="s">
        <v>620</v>
      </c>
      <c r="AB903">
        <v>4</v>
      </c>
      <c r="AC903">
        <v>178</v>
      </c>
      <c r="AD903">
        <v>137.1</v>
      </c>
      <c r="AF903" t="s">
        <v>521</v>
      </c>
      <c r="AG903" s="30">
        <v>5.5083575276075161</v>
      </c>
      <c r="AH903" s="30">
        <v>0.89319999999999999</v>
      </c>
      <c r="AI903" s="30">
        <v>4.9200649436590336</v>
      </c>
      <c r="AJ903">
        <v>0.58829258394848249</v>
      </c>
      <c r="AK903">
        <v>0.89319999999999999</v>
      </c>
      <c r="AL903">
        <v>4.9200649436590336</v>
      </c>
      <c r="AM903">
        <v>0.58829258394848249</v>
      </c>
      <c r="AN903">
        <v>691.01565394802094</v>
      </c>
      <c r="AO903">
        <v>82.624800539239359</v>
      </c>
      <c r="AP903">
        <v>0.44659696029633544</v>
      </c>
      <c r="AQ903">
        <v>5.339963654237416E-2</v>
      </c>
      <c r="AR903">
        <v>0.13341858489683281</v>
      </c>
    </row>
    <row r="904" spans="1:44" customFormat="1" hidden="1" x14ac:dyDescent="0.5">
      <c r="A904">
        <v>903</v>
      </c>
      <c r="B904">
        <v>64</v>
      </c>
      <c r="C904" s="226" t="s">
        <v>9</v>
      </c>
      <c r="D904" s="227">
        <v>21.407229999999998</v>
      </c>
      <c r="E904" s="228">
        <v>109.1647</v>
      </c>
      <c r="F904">
        <v>0</v>
      </c>
      <c r="G904">
        <f t="shared" si="7"/>
        <v>0</v>
      </c>
      <c r="H904" t="s">
        <v>10</v>
      </c>
      <c r="I904">
        <v>0</v>
      </c>
      <c r="J904">
        <v>369.36633969290102</v>
      </c>
      <c r="K904" s="26">
        <v>2014</v>
      </c>
      <c r="L904" t="s">
        <v>11</v>
      </c>
      <c r="M904" s="30">
        <v>1000</v>
      </c>
      <c r="N904">
        <v>130.61708849999999</v>
      </c>
      <c r="O904">
        <v>20</v>
      </c>
      <c r="P904" t="s">
        <v>35</v>
      </c>
      <c r="Q904">
        <v>93</v>
      </c>
      <c r="R904" t="s">
        <v>31</v>
      </c>
      <c r="S904" t="s">
        <v>14</v>
      </c>
      <c r="T904" t="s">
        <v>16</v>
      </c>
      <c r="U904" s="25">
        <v>0</v>
      </c>
      <c r="V904" s="25">
        <v>5</v>
      </c>
      <c r="W904" s="25">
        <v>2.5</v>
      </c>
      <c r="X904" s="25">
        <v>5</v>
      </c>
      <c r="Y904">
        <v>0.64629065600000002</v>
      </c>
      <c r="Z904" t="s">
        <v>735</v>
      </c>
      <c r="AA904" t="s">
        <v>620</v>
      </c>
      <c r="AB904">
        <v>4</v>
      </c>
      <c r="AC904">
        <v>30</v>
      </c>
      <c r="AD904">
        <v>10.1</v>
      </c>
      <c r="AF904" t="s">
        <v>521</v>
      </c>
      <c r="AG904" s="30">
        <v>0.92837486420351401</v>
      </c>
      <c r="AH904" s="30">
        <v>3.3300000000000003E-2</v>
      </c>
      <c r="AI904" s="30">
        <v>3.091488297797702E-2</v>
      </c>
      <c r="AJ904">
        <v>0.89745998122553694</v>
      </c>
      <c r="AK904">
        <v>3.3300000000000003E-2</v>
      </c>
      <c r="AL904">
        <v>3.091488297797702E-2</v>
      </c>
      <c r="AM904">
        <v>0.89745998122553694</v>
      </c>
      <c r="AN904">
        <v>4.3419483934425456</v>
      </c>
      <c r="AO904">
        <v>126.04689225047774</v>
      </c>
      <c r="AP904">
        <v>2.806160675516129E-3</v>
      </c>
      <c r="AQ904">
        <v>8.1462928679322574E-2</v>
      </c>
      <c r="AR904">
        <v>0.13341858489683281</v>
      </c>
    </row>
    <row r="905" spans="1:44" customFormat="1" hidden="1" x14ac:dyDescent="0.5">
      <c r="A905">
        <v>904</v>
      </c>
      <c r="B905">
        <v>64</v>
      </c>
      <c r="C905" s="226" t="s">
        <v>9</v>
      </c>
      <c r="D905" s="227">
        <v>21.623819999999998</v>
      </c>
      <c r="E905" s="228">
        <v>108.77979999999999</v>
      </c>
      <c r="F905">
        <v>0</v>
      </c>
      <c r="G905">
        <f t="shared" si="7"/>
        <v>0</v>
      </c>
      <c r="H905" t="s">
        <v>10</v>
      </c>
      <c r="I905">
        <v>0</v>
      </c>
      <c r="J905">
        <v>292.82874923545</v>
      </c>
      <c r="K905" s="26">
        <v>2014</v>
      </c>
      <c r="L905" t="s">
        <v>11</v>
      </c>
      <c r="M905" s="30">
        <v>1000</v>
      </c>
      <c r="N905">
        <v>130.61708849999999</v>
      </c>
      <c r="O905">
        <v>20</v>
      </c>
      <c r="P905" t="s">
        <v>35</v>
      </c>
      <c r="Q905">
        <v>93</v>
      </c>
      <c r="R905" t="s">
        <v>31</v>
      </c>
      <c r="S905" t="s">
        <v>14</v>
      </c>
      <c r="T905" t="s">
        <v>16</v>
      </c>
      <c r="U905" s="25">
        <v>0</v>
      </c>
      <c r="V905" s="25">
        <v>5</v>
      </c>
      <c r="W905" s="25">
        <v>2.5</v>
      </c>
      <c r="X905" s="25">
        <v>5</v>
      </c>
      <c r="Y905">
        <v>0.64629065600000002</v>
      </c>
      <c r="Z905" t="s">
        <v>735</v>
      </c>
      <c r="AA905" t="s">
        <v>620</v>
      </c>
      <c r="AB905">
        <v>4</v>
      </c>
      <c r="AC905">
        <v>14</v>
      </c>
      <c r="AD905">
        <v>5.2</v>
      </c>
      <c r="AF905" t="s">
        <v>521</v>
      </c>
      <c r="AG905" s="30">
        <v>0.43324160329497313</v>
      </c>
      <c r="AH905" s="30">
        <v>0.3125</v>
      </c>
      <c r="AI905" s="30">
        <v>0.1353880010296791</v>
      </c>
      <c r="AJ905">
        <v>0.297853602265294</v>
      </c>
      <c r="AK905">
        <v>0.3125</v>
      </c>
      <c r="AL905">
        <v>0.1353880010296791</v>
      </c>
      <c r="AM905">
        <v>0.297853602265294</v>
      </c>
      <c r="AN905">
        <v>19.015039260571704</v>
      </c>
      <c r="AO905">
        <v>41.833086373257743</v>
      </c>
      <c r="AP905">
        <v>1.2289242197580642E-2</v>
      </c>
      <c r="AQ905">
        <v>2.7036332834677407E-2</v>
      </c>
      <c r="AR905">
        <v>0.13341858489683281</v>
      </c>
    </row>
    <row r="906" spans="1:44" customFormat="1" hidden="1" x14ac:dyDescent="0.5">
      <c r="A906">
        <v>905</v>
      </c>
      <c r="B906">
        <v>64</v>
      </c>
      <c r="C906" s="226" t="s">
        <v>9</v>
      </c>
      <c r="D906" s="227">
        <v>22.11797</v>
      </c>
      <c r="E906" s="228">
        <v>113.5698</v>
      </c>
      <c r="F906">
        <v>0</v>
      </c>
      <c r="G906">
        <f t="shared" si="7"/>
        <v>0</v>
      </c>
      <c r="H906" t="s">
        <v>10</v>
      </c>
      <c r="I906">
        <v>0</v>
      </c>
      <c r="J906">
        <v>2873.58504026224</v>
      </c>
      <c r="K906" s="26">
        <v>2014</v>
      </c>
      <c r="L906" t="s">
        <v>11</v>
      </c>
      <c r="M906" s="30">
        <v>1000</v>
      </c>
      <c r="N906">
        <v>130.61708849999999</v>
      </c>
      <c r="O906">
        <v>20</v>
      </c>
      <c r="P906" t="s">
        <v>35</v>
      </c>
      <c r="Q906">
        <v>93</v>
      </c>
      <c r="R906" t="s">
        <v>31</v>
      </c>
      <c r="S906" t="s">
        <v>14</v>
      </c>
      <c r="T906" t="s">
        <v>16</v>
      </c>
      <c r="U906" s="25">
        <v>0</v>
      </c>
      <c r="V906" s="25">
        <v>5</v>
      </c>
      <c r="W906" s="25">
        <v>2.5</v>
      </c>
      <c r="X906" s="25">
        <v>5</v>
      </c>
      <c r="Y906">
        <v>0.64629065600000002</v>
      </c>
      <c r="Z906" t="s">
        <v>735</v>
      </c>
      <c r="AA906" t="s">
        <v>620</v>
      </c>
      <c r="AB906">
        <v>4</v>
      </c>
      <c r="AC906">
        <v>13</v>
      </c>
      <c r="AD906">
        <v>17.100000000000001</v>
      </c>
      <c r="AF906" t="s">
        <v>521</v>
      </c>
      <c r="AG906" s="30">
        <v>0.40229577448818943</v>
      </c>
      <c r="AH906" s="30">
        <v>0.15379999999999999</v>
      </c>
      <c r="AI906" s="30">
        <v>6.187309011628353E-2</v>
      </c>
      <c r="AJ906">
        <v>0.34042268437190593</v>
      </c>
      <c r="AK906">
        <v>0.15379999999999999</v>
      </c>
      <c r="AL906">
        <v>6.187309011628353E-2</v>
      </c>
      <c r="AM906">
        <v>0.34042268437190593</v>
      </c>
      <c r="AN906">
        <v>8.6899815994484744</v>
      </c>
      <c r="AO906">
        <v>47.81184934625032</v>
      </c>
      <c r="AP906">
        <v>5.6162539085354837E-3</v>
      </c>
      <c r="AQ906">
        <v>3.0900351478561291E-2</v>
      </c>
      <c r="AR906">
        <v>0.13341858489683281</v>
      </c>
    </row>
    <row r="907" spans="1:44" customFormat="1" hidden="1" x14ac:dyDescent="0.5">
      <c r="A907">
        <v>906</v>
      </c>
      <c r="B907">
        <v>64</v>
      </c>
      <c r="C907" s="226" t="s">
        <v>9</v>
      </c>
      <c r="D907" s="227">
        <v>22.233529999999998</v>
      </c>
      <c r="E907" s="228">
        <v>113.94929999999999</v>
      </c>
      <c r="F907">
        <v>0</v>
      </c>
      <c r="G907">
        <f t="shared" si="7"/>
        <v>0</v>
      </c>
      <c r="H907" t="s">
        <v>10</v>
      </c>
      <c r="I907">
        <v>0</v>
      </c>
      <c r="J907">
        <v>3071.8873021327599</v>
      </c>
      <c r="K907" s="26">
        <v>2014</v>
      </c>
      <c r="L907" t="s">
        <v>11</v>
      </c>
      <c r="M907" s="30">
        <v>1000</v>
      </c>
      <c r="N907">
        <v>130.61708849999999</v>
      </c>
      <c r="O907">
        <v>20</v>
      </c>
      <c r="P907" t="s">
        <v>35</v>
      </c>
      <c r="Q907">
        <v>93</v>
      </c>
      <c r="R907" t="s">
        <v>31</v>
      </c>
      <c r="S907" t="s">
        <v>14</v>
      </c>
      <c r="T907" t="s">
        <v>16</v>
      </c>
      <c r="U907" s="25">
        <v>0</v>
      </c>
      <c r="V907" s="25">
        <v>5</v>
      </c>
      <c r="W907" s="25">
        <v>2.5</v>
      </c>
      <c r="X907" s="25">
        <v>5</v>
      </c>
      <c r="Y907">
        <v>0.64629065600000002</v>
      </c>
      <c r="Z907" t="s">
        <v>735</v>
      </c>
      <c r="AA907" t="s">
        <v>620</v>
      </c>
      <c r="AB907">
        <v>4</v>
      </c>
      <c r="AC907">
        <v>3</v>
      </c>
      <c r="AD907">
        <v>2</v>
      </c>
      <c r="AF907" t="s">
        <v>521</v>
      </c>
      <c r="AG907" s="30">
        <v>9.2837486420351403E-2</v>
      </c>
      <c r="AH907" s="30">
        <v>0.33329999999999999</v>
      </c>
      <c r="AI907" s="30">
        <v>3.0942734223903121E-2</v>
      </c>
      <c r="AJ907">
        <v>6.1894752196448286E-2</v>
      </c>
      <c r="AK907">
        <v>0.33329999999999999</v>
      </c>
      <c r="AL907">
        <v>3.0942734223903121E-2</v>
      </c>
      <c r="AM907">
        <v>6.1894752196448286E-2</v>
      </c>
      <c r="AN907">
        <v>4.345860058661863</v>
      </c>
      <c r="AO907">
        <v>8.693024005730166</v>
      </c>
      <c r="AP907">
        <v>2.8086887481967738E-3</v>
      </c>
      <c r="AQ907">
        <v>5.6182201872870966E-3</v>
      </c>
      <c r="AR907">
        <v>0.13341858489683281</v>
      </c>
    </row>
    <row r="908" spans="1:44" customFormat="1" hidden="1" x14ac:dyDescent="0.5">
      <c r="A908">
        <v>907</v>
      </c>
      <c r="B908">
        <v>64</v>
      </c>
      <c r="C908" s="226" t="s">
        <v>9</v>
      </c>
      <c r="D908" s="227">
        <v>22.261109999999999</v>
      </c>
      <c r="E908" s="228">
        <v>113.5973</v>
      </c>
      <c r="F908">
        <v>0</v>
      </c>
      <c r="G908">
        <f t="shared" si="7"/>
        <v>0</v>
      </c>
      <c r="H908" t="s">
        <v>10</v>
      </c>
      <c r="I908">
        <v>0</v>
      </c>
      <c r="J908">
        <v>3146.7819299155799</v>
      </c>
      <c r="K908" s="26">
        <v>2014</v>
      </c>
      <c r="L908" t="s">
        <v>11</v>
      </c>
      <c r="M908" s="30">
        <v>1000</v>
      </c>
      <c r="N908">
        <v>130.61708849999999</v>
      </c>
      <c r="O908">
        <v>20</v>
      </c>
      <c r="P908" t="s">
        <v>35</v>
      </c>
      <c r="Q908">
        <v>93</v>
      </c>
      <c r="R908" t="s">
        <v>31</v>
      </c>
      <c r="S908" t="s">
        <v>14</v>
      </c>
      <c r="T908" t="s">
        <v>16</v>
      </c>
      <c r="U908" s="25">
        <v>0</v>
      </c>
      <c r="V908" s="25">
        <v>5</v>
      </c>
      <c r="W908" s="25">
        <v>2.5</v>
      </c>
      <c r="X908" s="25">
        <v>5</v>
      </c>
      <c r="Y908">
        <v>0.64629065600000002</v>
      </c>
      <c r="Z908" t="s">
        <v>735</v>
      </c>
      <c r="AA908" t="s">
        <v>620</v>
      </c>
      <c r="AB908">
        <v>4</v>
      </c>
      <c r="AC908">
        <v>347</v>
      </c>
      <c r="AD908">
        <v>205.9</v>
      </c>
      <c r="AF908" t="s">
        <v>521</v>
      </c>
      <c r="AG908" s="30">
        <v>10.738202595953979</v>
      </c>
      <c r="AH908" s="30">
        <v>5.7599999999999998E-2</v>
      </c>
      <c r="AI908" s="30">
        <v>0.61852046952694917</v>
      </c>
      <c r="AJ908">
        <v>10.11968212642703</v>
      </c>
      <c r="AK908">
        <v>5.7599999999999998E-2</v>
      </c>
      <c r="AL908">
        <v>0.61852046952694917</v>
      </c>
      <c r="AM908">
        <v>10.11968212642703</v>
      </c>
      <c r="AN908">
        <v>86.870261190605447</v>
      </c>
      <c r="AO908">
        <v>1421.2939955907393</v>
      </c>
      <c r="AP908">
        <v>5.6143438091767743E-2</v>
      </c>
      <c r="AQ908">
        <v>0.9185690287792001</v>
      </c>
      <c r="AR908">
        <v>0.13341858489683281</v>
      </c>
    </row>
    <row r="909" spans="1:44" hidden="1" x14ac:dyDescent="0.5">
      <c r="A909" s="31">
        <v>908</v>
      </c>
      <c r="B909" s="31">
        <v>65</v>
      </c>
      <c r="C909" s="225" t="s">
        <v>9</v>
      </c>
      <c r="D909" s="43">
        <v>22.2822222</v>
      </c>
      <c r="E909" s="43">
        <v>39.084444400000002</v>
      </c>
      <c r="F909">
        <v>0</v>
      </c>
      <c r="G909">
        <f t="shared" si="7"/>
        <v>0</v>
      </c>
      <c r="H909" s="32" t="s">
        <v>49</v>
      </c>
      <c r="I909">
        <v>0</v>
      </c>
      <c r="J909">
        <v>182.56246630023</v>
      </c>
      <c r="K909" s="26">
        <v>2015</v>
      </c>
      <c r="L909" t="s">
        <v>30</v>
      </c>
      <c r="M909" s="32">
        <v>130</v>
      </c>
      <c r="N909">
        <v>15.0852345</v>
      </c>
      <c r="O909">
        <v>24</v>
      </c>
      <c r="P909" t="s">
        <v>23</v>
      </c>
      <c r="Q909">
        <v>91</v>
      </c>
      <c r="R909" t="s">
        <v>13</v>
      </c>
      <c r="S909" t="s">
        <v>21</v>
      </c>
      <c r="T909" t="s">
        <v>28</v>
      </c>
      <c r="U909" s="34">
        <v>5</v>
      </c>
      <c r="V909" s="34">
        <v>6</v>
      </c>
      <c r="W909" s="25">
        <v>5.5</v>
      </c>
      <c r="X909" s="25">
        <v>1</v>
      </c>
      <c r="Y909">
        <v>1.31678571428571</v>
      </c>
      <c r="Z909" t="s">
        <v>821</v>
      </c>
      <c r="AA909" t="s">
        <v>647</v>
      </c>
      <c r="AB909">
        <v>1</v>
      </c>
      <c r="AC909">
        <v>0</v>
      </c>
      <c r="AF909" t="s">
        <v>531</v>
      </c>
      <c r="AH909" s="32" t="s">
        <v>671</v>
      </c>
      <c r="AI909" s="32" t="s">
        <v>1129</v>
      </c>
      <c r="AJ909" s="31" t="s">
        <v>1130</v>
      </c>
      <c r="AK909" s="31">
        <v>0.59524549999999998</v>
      </c>
      <c r="AL909" s="31">
        <v>0</v>
      </c>
      <c r="AM909" s="31">
        <v>0</v>
      </c>
      <c r="AN909" s="31">
        <v>0</v>
      </c>
      <c r="AO909" s="31">
        <v>0</v>
      </c>
      <c r="AP909" s="31">
        <v>0</v>
      </c>
      <c r="AQ909" s="31">
        <v>0</v>
      </c>
      <c r="AR909" s="31">
        <v>0.55269999999999997</v>
      </c>
    </row>
    <row r="910" spans="1:44" hidden="1" x14ac:dyDescent="0.5">
      <c r="A910" s="31">
        <v>909</v>
      </c>
      <c r="B910" s="31">
        <v>65</v>
      </c>
      <c r="C910" s="225" t="s">
        <v>9</v>
      </c>
      <c r="D910" s="43">
        <v>22.2822222</v>
      </c>
      <c r="E910" s="43">
        <v>39.084444400000002</v>
      </c>
      <c r="F910">
        <v>0</v>
      </c>
      <c r="G910">
        <f t="shared" si="7"/>
        <v>0</v>
      </c>
      <c r="H910" s="32" t="s">
        <v>49</v>
      </c>
      <c r="I910">
        <v>0</v>
      </c>
      <c r="J910">
        <v>182.56246630023</v>
      </c>
      <c r="K910" s="26">
        <v>2015</v>
      </c>
      <c r="L910" t="s">
        <v>30</v>
      </c>
      <c r="M910" s="32">
        <v>130</v>
      </c>
      <c r="N910">
        <v>15.0852345</v>
      </c>
      <c r="O910">
        <v>24</v>
      </c>
      <c r="P910" t="s">
        <v>23</v>
      </c>
      <c r="Q910">
        <v>91</v>
      </c>
      <c r="R910" t="s">
        <v>13</v>
      </c>
      <c r="S910" t="s">
        <v>21</v>
      </c>
      <c r="T910" t="s">
        <v>28</v>
      </c>
      <c r="U910" s="34">
        <v>10</v>
      </c>
      <c r="V910" s="34">
        <v>11</v>
      </c>
      <c r="W910" s="25">
        <v>10.5</v>
      </c>
      <c r="X910" s="25">
        <v>1</v>
      </c>
      <c r="Y910">
        <v>1.31678571428571</v>
      </c>
      <c r="Z910" t="s">
        <v>821</v>
      </c>
      <c r="AA910" t="s">
        <v>647</v>
      </c>
      <c r="AB910">
        <v>1</v>
      </c>
      <c r="AC910">
        <v>0</v>
      </c>
      <c r="AF910" t="s">
        <v>531</v>
      </c>
      <c r="AH910" s="32" t="s">
        <v>671</v>
      </c>
      <c r="AI910" s="32" t="s">
        <v>1129</v>
      </c>
      <c r="AJ910" s="31" t="s">
        <v>1130</v>
      </c>
      <c r="AK910" s="31">
        <v>0.59524549999999998</v>
      </c>
      <c r="AL910" s="31">
        <v>0</v>
      </c>
      <c r="AM910" s="31">
        <v>0</v>
      </c>
      <c r="AN910" s="31">
        <v>0</v>
      </c>
      <c r="AO910" s="31">
        <v>0</v>
      </c>
      <c r="AP910" s="31">
        <v>0</v>
      </c>
      <c r="AQ910" s="31">
        <v>0</v>
      </c>
      <c r="AR910" s="31">
        <v>0.55269999999999997</v>
      </c>
    </row>
    <row r="911" spans="1:44" hidden="1" x14ac:dyDescent="0.5">
      <c r="A911" s="31">
        <v>910</v>
      </c>
      <c r="B911" s="31">
        <v>65</v>
      </c>
      <c r="C911" s="225" t="s">
        <v>9</v>
      </c>
      <c r="D911" s="43">
        <v>22.2822222</v>
      </c>
      <c r="E911" s="43">
        <v>39.084444400000002</v>
      </c>
      <c r="F911">
        <v>0</v>
      </c>
      <c r="G911">
        <f t="shared" si="7"/>
        <v>0</v>
      </c>
      <c r="H911" s="32" t="s">
        <v>49</v>
      </c>
      <c r="I911">
        <v>0</v>
      </c>
      <c r="J911">
        <v>182.56246630023</v>
      </c>
      <c r="K911" s="26">
        <v>2015</v>
      </c>
      <c r="L911" t="s">
        <v>30</v>
      </c>
      <c r="M911" s="32">
        <v>130</v>
      </c>
      <c r="N911">
        <v>15.0852345</v>
      </c>
      <c r="O911">
        <v>24</v>
      </c>
      <c r="P911" t="s">
        <v>23</v>
      </c>
      <c r="Q911">
        <v>91</v>
      </c>
      <c r="R911" t="s">
        <v>13</v>
      </c>
      <c r="S911" t="s">
        <v>21</v>
      </c>
      <c r="T911" t="s">
        <v>28</v>
      </c>
      <c r="U911" s="34">
        <v>14</v>
      </c>
      <c r="V911" s="34">
        <v>15</v>
      </c>
      <c r="W911" s="25">
        <v>14.5</v>
      </c>
      <c r="X911" s="25">
        <v>1</v>
      </c>
      <c r="Y911">
        <v>1.31678571428571</v>
      </c>
      <c r="Z911" t="s">
        <v>821</v>
      </c>
      <c r="AA911" t="s">
        <v>647</v>
      </c>
      <c r="AB911">
        <v>1</v>
      </c>
      <c r="AC911">
        <v>0</v>
      </c>
      <c r="AF911" t="s">
        <v>531</v>
      </c>
      <c r="AH911" s="32" t="s">
        <v>671</v>
      </c>
      <c r="AI911" s="32" t="s">
        <v>1129</v>
      </c>
      <c r="AJ911" s="31" t="s">
        <v>1130</v>
      </c>
      <c r="AK911" s="31">
        <v>0.59524549999999998</v>
      </c>
      <c r="AL911" s="31">
        <v>0</v>
      </c>
      <c r="AM911" s="31">
        <v>0</v>
      </c>
      <c r="AN911" s="31">
        <v>0</v>
      </c>
      <c r="AO911" s="31">
        <v>0</v>
      </c>
      <c r="AP911" s="31">
        <v>0</v>
      </c>
      <c r="AQ911" s="31">
        <v>0</v>
      </c>
      <c r="AR911" s="31">
        <v>0.55269999999999997</v>
      </c>
    </row>
    <row r="912" spans="1:44" hidden="1" x14ac:dyDescent="0.5">
      <c r="A912" s="31">
        <v>911</v>
      </c>
      <c r="B912" s="31">
        <v>65</v>
      </c>
      <c r="C912" s="225" t="s">
        <v>9</v>
      </c>
      <c r="D912" s="43">
        <v>22.2822222</v>
      </c>
      <c r="E912" s="43">
        <v>39.084444400000002</v>
      </c>
      <c r="F912">
        <v>0</v>
      </c>
      <c r="G912">
        <f t="shared" ref="G912:G975" si="8">F912*1609.344</f>
        <v>0</v>
      </c>
      <c r="H912" s="32" t="s">
        <v>49</v>
      </c>
      <c r="I912">
        <v>0</v>
      </c>
      <c r="J912">
        <v>182.56246630023</v>
      </c>
      <c r="K912" s="26">
        <v>2015</v>
      </c>
      <c r="L912" t="s">
        <v>30</v>
      </c>
      <c r="M912" s="32">
        <v>130</v>
      </c>
      <c r="N912">
        <v>15.0852345</v>
      </c>
      <c r="O912">
        <v>24</v>
      </c>
      <c r="P912" t="s">
        <v>23</v>
      </c>
      <c r="Q912">
        <v>91</v>
      </c>
      <c r="R912" t="s">
        <v>13</v>
      </c>
      <c r="S912" t="s">
        <v>21</v>
      </c>
      <c r="T912" t="s">
        <v>28</v>
      </c>
      <c r="U912" s="34">
        <v>19</v>
      </c>
      <c r="V912" s="34">
        <v>20</v>
      </c>
      <c r="W912" s="25">
        <v>19.5</v>
      </c>
      <c r="X912" s="25">
        <v>1</v>
      </c>
      <c r="Y912">
        <v>1.31678571428571</v>
      </c>
      <c r="Z912" t="s">
        <v>821</v>
      </c>
      <c r="AA912" t="s">
        <v>647</v>
      </c>
      <c r="AB912">
        <v>1</v>
      </c>
      <c r="AC912">
        <v>0</v>
      </c>
      <c r="AF912" t="s">
        <v>531</v>
      </c>
      <c r="AH912" s="32" t="s">
        <v>671</v>
      </c>
      <c r="AI912" s="32" t="s">
        <v>1129</v>
      </c>
      <c r="AJ912" s="31" t="s">
        <v>1130</v>
      </c>
      <c r="AK912" s="31">
        <v>0.59524549999999998</v>
      </c>
      <c r="AL912" s="31">
        <v>0</v>
      </c>
      <c r="AM912" s="31">
        <v>0</v>
      </c>
      <c r="AN912" s="31">
        <v>0</v>
      </c>
      <c r="AO912" s="31">
        <v>0</v>
      </c>
      <c r="AP912" s="31">
        <v>0</v>
      </c>
      <c r="AQ912" s="31">
        <v>0</v>
      </c>
      <c r="AR912" s="31">
        <v>0.55269999999999997</v>
      </c>
    </row>
    <row r="913" spans="1:44" hidden="1" x14ac:dyDescent="0.5">
      <c r="A913" s="31">
        <v>912</v>
      </c>
      <c r="B913" s="31">
        <v>65</v>
      </c>
      <c r="C913" s="225" t="s">
        <v>9</v>
      </c>
      <c r="D913" s="43">
        <v>22.2822222</v>
      </c>
      <c r="E913" s="43">
        <v>39.084444400000002</v>
      </c>
      <c r="F913">
        <v>0</v>
      </c>
      <c r="G913">
        <f t="shared" si="8"/>
        <v>0</v>
      </c>
      <c r="H913" s="32" t="s">
        <v>49</v>
      </c>
      <c r="I913">
        <v>0</v>
      </c>
      <c r="J913">
        <v>182.56246630023</v>
      </c>
      <c r="K913" s="26">
        <v>2015</v>
      </c>
      <c r="L913" t="s">
        <v>30</v>
      </c>
      <c r="M913" s="32">
        <v>130</v>
      </c>
      <c r="N913">
        <v>15.0852345</v>
      </c>
      <c r="O913">
        <v>24</v>
      </c>
      <c r="P913" t="s">
        <v>23</v>
      </c>
      <c r="Q913">
        <v>91</v>
      </c>
      <c r="R913" t="s">
        <v>13</v>
      </c>
      <c r="S913" t="s">
        <v>21</v>
      </c>
      <c r="T913" t="s">
        <v>28</v>
      </c>
      <c r="U913" s="34">
        <v>25</v>
      </c>
      <c r="V913" s="34">
        <v>26</v>
      </c>
      <c r="W913" s="25">
        <v>25.5</v>
      </c>
      <c r="X913" s="25">
        <v>1</v>
      </c>
      <c r="Y913">
        <v>1.31678571428571</v>
      </c>
      <c r="Z913" t="s">
        <v>821</v>
      </c>
      <c r="AA913" t="s">
        <v>647</v>
      </c>
      <c r="AB913">
        <v>1</v>
      </c>
      <c r="AC913">
        <v>0</v>
      </c>
      <c r="AF913" t="s">
        <v>531</v>
      </c>
      <c r="AH913" s="32" t="s">
        <v>671</v>
      </c>
      <c r="AI913" s="32" t="s">
        <v>1129</v>
      </c>
      <c r="AJ913" s="31" t="s">
        <v>1130</v>
      </c>
      <c r="AK913" s="31">
        <v>0.59524549999999998</v>
      </c>
      <c r="AL913" s="31">
        <v>0</v>
      </c>
      <c r="AM913" s="31">
        <v>0</v>
      </c>
      <c r="AN913" s="31">
        <v>0</v>
      </c>
      <c r="AO913" s="31">
        <v>0</v>
      </c>
      <c r="AP913" s="31">
        <v>0</v>
      </c>
      <c r="AQ913" s="31">
        <v>0</v>
      </c>
      <c r="AR913" s="31">
        <v>0.55269999999999997</v>
      </c>
    </row>
    <row r="914" spans="1:44" hidden="1" x14ac:dyDescent="0.5">
      <c r="A914" s="31">
        <v>913</v>
      </c>
      <c r="B914" s="31">
        <v>65</v>
      </c>
      <c r="C914" s="225" t="s">
        <v>9</v>
      </c>
      <c r="D914" s="43">
        <v>22.2822222</v>
      </c>
      <c r="E914" s="43">
        <v>39.084444400000002</v>
      </c>
      <c r="F914">
        <v>0</v>
      </c>
      <c r="G914">
        <f t="shared" si="8"/>
        <v>0</v>
      </c>
      <c r="H914" s="32" t="s">
        <v>49</v>
      </c>
      <c r="I914">
        <v>0</v>
      </c>
      <c r="J914">
        <v>182.56246630023</v>
      </c>
      <c r="K914" s="26">
        <v>2015</v>
      </c>
      <c r="L914" t="s">
        <v>30</v>
      </c>
      <c r="M914" s="32">
        <v>130</v>
      </c>
      <c r="N914">
        <v>15.0852345</v>
      </c>
      <c r="O914">
        <v>24</v>
      </c>
      <c r="P914" t="s">
        <v>23</v>
      </c>
      <c r="Q914">
        <v>91</v>
      </c>
      <c r="R914" t="s">
        <v>13</v>
      </c>
      <c r="S914" t="s">
        <v>21</v>
      </c>
      <c r="T914" t="s">
        <v>28</v>
      </c>
      <c r="U914" s="34">
        <v>0</v>
      </c>
      <c r="V914" s="34">
        <v>1</v>
      </c>
      <c r="W914" s="25">
        <v>0.5</v>
      </c>
      <c r="X914" s="25">
        <v>1</v>
      </c>
      <c r="Y914">
        <v>1.31678571428571</v>
      </c>
      <c r="Z914" t="s">
        <v>821</v>
      </c>
      <c r="AA914" t="s">
        <v>647</v>
      </c>
      <c r="AB914">
        <v>1</v>
      </c>
      <c r="AC914">
        <v>47.846890000000002</v>
      </c>
      <c r="AF914" t="s">
        <v>531</v>
      </c>
      <c r="AG914" s="32" t="s">
        <v>2072</v>
      </c>
      <c r="AH914" s="32" t="s">
        <v>671</v>
      </c>
      <c r="AI914" s="32" t="s">
        <v>1129</v>
      </c>
      <c r="AJ914" s="31" t="s">
        <v>1130</v>
      </c>
      <c r="AK914" s="31">
        <v>0.59524549999999998</v>
      </c>
      <c r="AL914" s="31">
        <v>70.365236115954232</v>
      </c>
      <c r="AM914" s="31">
        <v>47.846890000000002</v>
      </c>
      <c r="AN914" s="31">
        <v>1166.457238963779</v>
      </c>
      <c r="AO914" s="31">
        <v>793.16654477550003</v>
      </c>
      <c r="AP914" s="31">
        <v>1.535974228592657</v>
      </c>
      <c r="AQ914" s="31">
        <v>1.0444303752097355</v>
      </c>
      <c r="AR914" s="31">
        <v>0.55269999999999997</v>
      </c>
    </row>
    <row r="915" spans="1:44" hidden="1" x14ac:dyDescent="0.5">
      <c r="A915" s="31">
        <v>914</v>
      </c>
      <c r="B915" s="31">
        <v>65</v>
      </c>
      <c r="C915" s="225" t="s">
        <v>9</v>
      </c>
      <c r="D915" s="43">
        <v>22.2822222</v>
      </c>
      <c r="E915" s="43">
        <v>39.084444400000002</v>
      </c>
      <c r="F915">
        <v>0</v>
      </c>
      <c r="G915">
        <f t="shared" si="8"/>
        <v>0</v>
      </c>
      <c r="H915" s="32" t="s">
        <v>49</v>
      </c>
      <c r="I915">
        <v>0</v>
      </c>
      <c r="J915">
        <v>182.56246630023</v>
      </c>
      <c r="K915" s="26">
        <v>2015</v>
      </c>
      <c r="L915" t="s">
        <v>30</v>
      </c>
      <c r="M915" s="32">
        <v>130</v>
      </c>
      <c r="N915">
        <v>15.0852345</v>
      </c>
      <c r="O915">
        <v>24</v>
      </c>
      <c r="P915" t="s">
        <v>23</v>
      </c>
      <c r="Q915">
        <v>91</v>
      </c>
      <c r="R915" t="s">
        <v>13</v>
      </c>
      <c r="S915" t="s">
        <v>21</v>
      </c>
      <c r="T915" t="s">
        <v>28</v>
      </c>
      <c r="U915" s="34">
        <v>2</v>
      </c>
      <c r="V915" s="34">
        <v>3</v>
      </c>
      <c r="W915" s="25">
        <v>2.5</v>
      </c>
      <c r="X915" s="25">
        <v>1</v>
      </c>
      <c r="Y915">
        <v>1.31678571428571</v>
      </c>
      <c r="Z915" t="s">
        <v>821</v>
      </c>
      <c r="AA915" t="s">
        <v>647</v>
      </c>
      <c r="AB915">
        <v>1</v>
      </c>
      <c r="AC915">
        <v>117.647059</v>
      </c>
      <c r="AF915" t="s">
        <v>531</v>
      </c>
      <c r="AG915" s="32" t="s">
        <v>2073</v>
      </c>
      <c r="AH915" s="32" t="s">
        <v>671</v>
      </c>
      <c r="AI915" s="32" t="s">
        <v>1129</v>
      </c>
      <c r="AJ915" s="31" t="s">
        <v>1130</v>
      </c>
      <c r="AK915" s="31">
        <v>0.59524549999999998</v>
      </c>
      <c r="AL915" s="31">
        <v>173.0156983010306</v>
      </c>
      <c r="AM915" s="31">
        <v>117.647059</v>
      </c>
      <c r="AN915" s="31">
        <v>2868.1125066508771</v>
      </c>
      <c r="AO915" s="31">
        <v>1950.2565640113578</v>
      </c>
      <c r="AP915" s="31">
        <v>3.7766895757220538</v>
      </c>
      <c r="AQ915" s="31">
        <v>2.5680699826820903</v>
      </c>
      <c r="AR915" s="31">
        <v>0.55269999999999997</v>
      </c>
    </row>
    <row r="916" spans="1:44" hidden="1" x14ac:dyDescent="0.5">
      <c r="A916" s="31">
        <v>915</v>
      </c>
      <c r="B916" s="31">
        <v>65</v>
      </c>
      <c r="C916" s="225" t="s">
        <v>9</v>
      </c>
      <c r="D916" s="43">
        <v>22.752500000000001</v>
      </c>
      <c r="E916" s="43">
        <v>38.997500000000002</v>
      </c>
      <c r="F916">
        <v>0</v>
      </c>
      <c r="G916">
        <f t="shared" si="8"/>
        <v>0</v>
      </c>
      <c r="H916" s="32" t="s">
        <v>49</v>
      </c>
      <c r="I916">
        <v>0</v>
      </c>
      <c r="J916">
        <v>99.975059025916096</v>
      </c>
      <c r="K916" s="26">
        <v>2015</v>
      </c>
      <c r="L916" t="s">
        <v>30</v>
      </c>
      <c r="M916" s="32">
        <v>130</v>
      </c>
      <c r="N916">
        <v>15.0852345</v>
      </c>
      <c r="O916">
        <v>24</v>
      </c>
      <c r="P916" t="s">
        <v>23</v>
      </c>
      <c r="Q916">
        <v>91</v>
      </c>
      <c r="R916" t="s">
        <v>13</v>
      </c>
      <c r="S916" t="s">
        <v>21</v>
      </c>
      <c r="T916" t="s">
        <v>28</v>
      </c>
      <c r="U916" s="34">
        <v>4</v>
      </c>
      <c r="V916" s="34">
        <v>5</v>
      </c>
      <c r="W916" s="25">
        <v>4.5</v>
      </c>
      <c r="X916" s="25">
        <v>1</v>
      </c>
      <c r="Y916">
        <v>0.91818181818181799</v>
      </c>
      <c r="Z916" t="s">
        <v>821</v>
      </c>
      <c r="AA916" t="s">
        <v>647</v>
      </c>
      <c r="AB916">
        <v>1</v>
      </c>
      <c r="AC916">
        <v>0</v>
      </c>
      <c r="AF916" t="s">
        <v>531</v>
      </c>
      <c r="AH916" s="32" t="s">
        <v>671</v>
      </c>
      <c r="AI916" s="32" t="s">
        <v>1129</v>
      </c>
      <c r="AJ916" s="31" t="s">
        <v>1130</v>
      </c>
      <c r="AK916" s="31">
        <v>0.59524549999999998</v>
      </c>
      <c r="AL916" s="31">
        <v>0</v>
      </c>
      <c r="AM916" s="31">
        <v>0</v>
      </c>
      <c r="AN916" s="31">
        <v>0</v>
      </c>
      <c r="AO916" s="31">
        <v>0</v>
      </c>
      <c r="AP916" s="31">
        <v>0</v>
      </c>
      <c r="AQ916" s="31">
        <v>0</v>
      </c>
      <c r="AR916" s="31">
        <v>0.55269999999999997</v>
      </c>
    </row>
    <row r="917" spans="1:44" hidden="1" x14ac:dyDescent="0.5">
      <c r="A917" s="31">
        <v>916</v>
      </c>
      <c r="B917" s="31">
        <v>65</v>
      </c>
      <c r="C917" s="225" t="s">
        <v>9</v>
      </c>
      <c r="D917" s="43">
        <v>22.752500000000001</v>
      </c>
      <c r="E917" s="43">
        <v>38.997500000000002</v>
      </c>
      <c r="F917">
        <v>0</v>
      </c>
      <c r="G917">
        <f t="shared" si="8"/>
        <v>0</v>
      </c>
      <c r="H917" s="32" t="s">
        <v>49</v>
      </c>
      <c r="I917">
        <v>0</v>
      </c>
      <c r="J917">
        <v>99.975059025916096</v>
      </c>
      <c r="K917" s="26">
        <v>2015</v>
      </c>
      <c r="L917" t="s">
        <v>30</v>
      </c>
      <c r="M917" s="32">
        <v>130</v>
      </c>
      <c r="N917">
        <v>15.0852345</v>
      </c>
      <c r="O917">
        <v>24</v>
      </c>
      <c r="P917" t="s">
        <v>23</v>
      </c>
      <c r="Q917">
        <v>91</v>
      </c>
      <c r="R917" t="s">
        <v>13</v>
      </c>
      <c r="S917" t="s">
        <v>21</v>
      </c>
      <c r="T917" t="s">
        <v>28</v>
      </c>
      <c r="U917" s="34">
        <v>6</v>
      </c>
      <c r="V917" s="34">
        <v>7</v>
      </c>
      <c r="W917" s="25">
        <v>6.5</v>
      </c>
      <c r="X917" s="25">
        <v>1</v>
      </c>
      <c r="Y917">
        <v>0.91818181818181799</v>
      </c>
      <c r="Z917" t="s">
        <v>821</v>
      </c>
      <c r="AA917" t="s">
        <v>647</v>
      </c>
      <c r="AB917">
        <v>1</v>
      </c>
      <c r="AC917">
        <v>0</v>
      </c>
      <c r="AF917" t="s">
        <v>531</v>
      </c>
      <c r="AH917" s="32" t="s">
        <v>671</v>
      </c>
      <c r="AI917" s="32" t="s">
        <v>1129</v>
      </c>
      <c r="AJ917" s="31" t="s">
        <v>1130</v>
      </c>
      <c r="AK917" s="31">
        <v>0.59524549999999998</v>
      </c>
      <c r="AL917" s="31">
        <v>0</v>
      </c>
      <c r="AM917" s="31">
        <v>0</v>
      </c>
      <c r="AN917" s="31">
        <v>0</v>
      </c>
      <c r="AO917" s="31">
        <v>0</v>
      </c>
      <c r="AP917" s="31">
        <v>0</v>
      </c>
      <c r="AQ917" s="31">
        <v>0</v>
      </c>
      <c r="AR917" s="31">
        <v>0.55269999999999997</v>
      </c>
    </row>
    <row r="918" spans="1:44" hidden="1" x14ac:dyDescent="0.5">
      <c r="A918" s="31">
        <v>917</v>
      </c>
      <c r="B918" s="31">
        <v>65</v>
      </c>
      <c r="C918" s="225" t="s">
        <v>9</v>
      </c>
      <c r="D918" s="43">
        <v>22.752500000000001</v>
      </c>
      <c r="E918" s="43">
        <v>38.997500000000002</v>
      </c>
      <c r="F918">
        <v>0</v>
      </c>
      <c r="G918">
        <f t="shared" si="8"/>
        <v>0</v>
      </c>
      <c r="H918" s="32" t="s">
        <v>49</v>
      </c>
      <c r="I918">
        <v>0</v>
      </c>
      <c r="J918">
        <v>99.975059025916096</v>
      </c>
      <c r="K918" s="26">
        <v>2015</v>
      </c>
      <c r="L918" t="s">
        <v>30</v>
      </c>
      <c r="M918" s="32">
        <v>130</v>
      </c>
      <c r="N918">
        <v>15.0852345</v>
      </c>
      <c r="O918">
        <v>24</v>
      </c>
      <c r="P918" t="s">
        <v>23</v>
      </c>
      <c r="Q918">
        <v>91</v>
      </c>
      <c r="R918" t="s">
        <v>13</v>
      </c>
      <c r="S918" t="s">
        <v>21</v>
      </c>
      <c r="T918" t="s">
        <v>28</v>
      </c>
      <c r="U918" s="34">
        <v>8</v>
      </c>
      <c r="V918" s="34">
        <v>9</v>
      </c>
      <c r="W918" s="25">
        <v>8.5</v>
      </c>
      <c r="X918" s="25">
        <v>1</v>
      </c>
      <c r="Y918">
        <v>0.91818181818181799</v>
      </c>
      <c r="Z918" t="s">
        <v>821</v>
      </c>
      <c r="AA918" t="s">
        <v>647</v>
      </c>
      <c r="AB918">
        <v>1</v>
      </c>
      <c r="AC918">
        <v>0</v>
      </c>
      <c r="AF918" t="s">
        <v>531</v>
      </c>
      <c r="AH918" s="32" t="s">
        <v>671</v>
      </c>
      <c r="AI918" s="32" t="s">
        <v>1129</v>
      </c>
      <c r="AJ918" s="31" t="s">
        <v>1130</v>
      </c>
      <c r="AK918" s="31">
        <v>0.59524549999999998</v>
      </c>
      <c r="AL918" s="31">
        <v>0</v>
      </c>
      <c r="AM918" s="31">
        <v>0</v>
      </c>
      <c r="AN918" s="31">
        <v>0</v>
      </c>
      <c r="AO918" s="31">
        <v>0</v>
      </c>
      <c r="AP918" s="31">
        <v>0</v>
      </c>
      <c r="AQ918" s="31">
        <v>0</v>
      </c>
      <c r="AR918" s="31">
        <v>0.55269999999999997</v>
      </c>
    </row>
    <row r="919" spans="1:44" hidden="1" x14ac:dyDescent="0.5">
      <c r="A919" s="31">
        <v>918</v>
      </c>
      <c r="B919" s="31">
        <v>65</v>
      </c>
      <c r="C919" s="225" t="s">
        <v>9</v>
      </c>
      <c r="D919" s="43">
        <v>22.752500000000001</v>
      </c>
      <c r="E919" s="43">
        <v>38.997500000000002</v>
      </c>
      <c r="F919">
        <v>0</v>
      </c>
      <c r="G919">
        <f t="shared" si="8"/>
        <v>0</v>
      </c>
      <c r="H919" s="32" t="s">
        <v>49</v>
      </c>
      <c r="I919">
        <v>0</v>
      </c>
      <c r="J919">
        <v>99.975059025916096</v>
      </c>
      <c r="K919" s="26">
        <v>2015</v>
      </c>
      <c r="L919" t="s">
        <v>30</v>
      </c>
      <c r="M919" s="32">
        <v>130</v>
      </c>
      <c r="N919">
        <v>15.0852345</v>
      </c>
      <c r="O919">
        <v>24</v>
      </c>
      <c r="P919" t="s">
        <v>23</v>
      </c>
      <c r="Q919">
        <v>91</v>
      </c>
      <c r="R919" t="s">
        <v>13</v>
      </c>
      <c r="S919" t="s">
        <v>21</v>
      </c>
      <c r="T919" t="s">
        <v>28</v>
      </c>
      <c r="U919" s="34">
        <v>9</v>
      </c>
      <c r="V919" s="34">
        <v>10</v>
      </c>
      <c r="W919" s="25">
        <v>9.5</v>
      </c>
      <c r="X919" s="25">
        <v>1</v>
      </c>
      <c r="Y919">
        <v>0.91818181818181799</v>
      </c>
      <c r="Z919" t="s">
        <v>821</v>
      </c>
      <c r="AA919" t="s">
        <v>647</v>
      </c>
      <c r="AB919">
        <v>1</v>
      </c>
      <c r="AC919">
        <v>0</v>
      </c>
      <c r="AF919" t="s">
        <v>531</v>
      </c>
      <c r="AH919" s="32" t="s">
        <v>671</v>
      </c>
      <c r="AI919" s="32" t="s">
        <v>1129</v>
      </c>
      <c r="AJ919" s="31" t="s">
        <v>1130</v>
      </c>
      <c r="AK919" s="31">
        <v>0.59524549999999998</v>
      </c>
      <c r="AL919" s="31">
        <v>0</v>
      </c>
      <c r="AM919" s="31">
        <v>0</v>
      </c>
      <c r="AN919" s="31">
        <v>0</v>
      </c>
      <c r="AO919" s="31">
        <v>0</v>
      </c>
      <c r="AP919" s="31">
        <v>0</v>
      </c>
      <c r="AQ919" s="31">
        <v>0</v>
      </c>
      <c r="AR919" s="31">
        <v>0.55269999999999997</v>
      </c>
    </row>
    <row r="920" spans="1:44" hidden="1" x14ac:dyDescent="0.5">
      <c r="A920" s="31">
        <v>919</v>
      </c>
      <c r="B920" s="31">
        <v>65</v>
      </c>
      <c r="C920" s="225" t="s">
        <v>9</v>
      </c>
      <c r="D920" s="43">
        <v>22.752500000000001</v>
      </c>
      <c r="E920" s="43">
        <v>38.997500000000002</v>
      </c>
      <c r="F920">
        <v>0</v>
      </c>
      <c r="G920">
        <f t="shared" si="8"/>
        <v>0</v>
      </c>
      <c r="H920" s="32" t="s">
        <v>49</v>
      </c>
      <c r="I920">
        <v>0</v>
      </c>
      <c r="J920">
        <v>99.975059025916096</v>
      </c>
      <c r="K920" s="26">
        <v>2015</v>
      </c>
      <c r="L920" t="s">
        <v>30</v>
      </c>
      <c r="M920" s="32">
        <v>130</v>
      </c>
      <c r="N920">
        <v>15.0852345</v>
      </c>
      <c r="O920">
        <v>24</v>
      </c>
      <c r="P920" t="s">
        <v>23</v>
      </c>
      <c r="Q920">
        <v>91</v>
      </c>
      <c r="R920" t="s">
        <v>13</v>
      </c>
      <c r="S920" t="s">
        <v>21</v>
      </c>
      <c r="T920" t="s">
        <v>28</v>
      </c>
      <c r="U920" s="34">
        <v>10</v>
      </c>
      <c r="V920" s="34">
        <v>11</v>
      </c>
      <c r="W920" s="25">
        <v>10.5</v>
      </c>
      <c r="X920" s="25">
        <v>1</v>
      </c>
      <c r="Y920">
        <v>0.91818181818181799</v>
      </c>
      <c r="Z920" t="s">
        <v>821</v>
      </c>
      <c r="AA920" t="s">
        <v>647</v>
      </c>
      <c r="AB920">
        <v>1</v>
      </c>
      <c r="AC920">
        <v>0</v>
      </c>
      <c r="AF920" t="s">
        <v>531</v>
      </c>
      <c r="AH920" s="32" t="s">
        <v>671</v>
      </c>
      <c r="AI920" s="32" t="s">
        <v>1129</v>
      </c>
      <c r="AJ920" s="31" t="s">
        <v>1130</v>
      </c>
      <c r="AK920" s="31">
        <v>0.59524549999999998</v>
      </c>
      <c r="AL920" s="31">
        <v>0</v>
      </c>
      <c r="AM920" s="31">
        <v>0</v>
      </c>
      <c r="AN920" s="31">
        <v>0</v>
      </c>
      <c r="AO920" s="31">
        <v>0</v>
      </c>
      <c r="AP920" s="31">
        <v>0</v>
      </c>
      <c r="AQ920" s="31">
        <v>0</v>
      </c>
      <c r="AR920" s="31">
        <v>0.55269999999999997</v>
      </c>
    </row>
    <row r="921" spans="1:44" hidden="1" x14ac:dyDescent="0.5">
      <c r="A921" s="31">
        <v>920</v>
      </c>
      <c r="B921" s="31">
        <v>65</v>
      </c>
      <c r="C921" s="225" t="s">
        <v>9</v>
      </c>
      <c r="D921" s="43">
        <v>22.752500000000001</v>
      </c>
      <c r="E921" s="43">
        <v>38.997500000000002</v>
      </c>
      <c r="F921">
        <v>0</v>
      </c>
      <c r="G921">
        <f t="shared" si="8"/>
        <v>0</v>
      </c>
      <c r="H921" s="32" t="s">
        <v>49</v>
      </c>
      <c r="I921">
        <v>0</v>
      </c>
      <c r="J921">
        <v>99.975059025916096</v>
      </c>
      <c r="K921" s="26">
        <v>2015</v>
      </c>
      <c r="L921" t="s">
        <v>30</v>
      </c>
      <c r="M921" s="32">
        <v>130</v>
      </c>
      <c r="N921">
        <v>15.0852345</v>
      </c>
      <c r="O921">
        <v>24</v>
      </c>
      <c r="P921" t="s">
        <v>23</v>
      </c>
      <c r="Q921">
        <v>91</v>
      </c>
      <c r="R921" t="s">
        <v>13</v>
      </c>
      <c r="S921" t="s">
        <v>21</v>
      </c>
      <c r="T921" t="s">
        <v>28</v>
      </c>
      <c r="U921" s="34">
        <v>12</v>
      </c>
      <c r="V921" s="34">
        <v>13</v>
      </c>
      <c r="W921" s="25">
        <v>12.5</v>
      </c>
      <c r="X921" s="25">
        <v>1</v>
      </c>
      <c r="Y921">
        <v>0.91818181818181799</v>
      </c>
      <c r="Z921" t="s">
        <v>821</v>
      </c>
      <c r="AA921" t="s">
        <v>647</v>
      </c>
      <c r="AB921">
        <v>1</v>
      </c>
      <c r="AC921">
        <v>0</v>
      </c>
      <c r="AF921" t="s">
        <v>531</v>
      </c>
      <c r="AH921" s="32" t="s">
        <v>671</v>
      </c>
      <c r="AI921" s="32" t="s">
        <v>1129</v>
      </c>
      <c r="AJ921" s="31" t="s">
        <v>1130</v>
      </c>
      <c r="AK921" s="31">
        <v>0.59524549999999998</v>
      </c>
      <c r="AL921" s="31">
        <v>0</v>
      </c>
      <c r="AM921" s="31">
        <v>0</v>
      </c>
      <c r="AN921" s="31">
        <v>0</v>
      </c>
      <c r="AO921" s="31">
        <v>0</v>
      </c>
      <c r="AP921" s="31">
        <v>0</v>
      </c>
      <c r="AQ921" s="31">
        <v>0</v>
      </c>
      <c r="AR921" s="31">
        <v>0.55269999999999997</v>
      </c>
    </row>
    <row r="922" spans="1:44" hidden="1" x14ac:dyDescent="0.5">
      <c r="A922" s="31">
        <v>921</v>
      </c>
      <c r="B922" s="31">
        <v>65</v>
      </c>
      <c r="C922" s="225" t="s">
        <v>9</v>
      </c>
      <c r="D922" s="43">
        <v>22.752500000000001</v>
      </c>
      <c r="E922" s="43">
        <v>38.997500000000002</v>
      </c>
      <c r="F922">
        <v>0</v>
      </c>
      <c r="G922">
        <f t="shared" si="8"/>
        <v>0</v>
      </c>
      <c r="H922" s="32" t="s">
        <v>49</v>
      </c>
      <c r="I922">
        <v>0</v>
      </c>
      <c r="J922">
        <v>99.975059025916096</v>
      </c>
      <c r="K922" s="26">
        <v>2015</v>
      </c>
      <c r="L922" t="s">
        <v>30</v>
      </c>
      <c r="M922" s="32">
        <v>130</v>
      </c>
      <c r="N922">
        <v>15.0852345</v>
      </c>
      <c r="O922">
        <v>24</v>
      </c>
      <c r="P922" t="s">
        <v>23</v>
      </c>
      <c r="Q922">
        <v>91</v>
      </c>
      <c r="R922" t="s">
        <v>13</v>
      </c>
      <c r="S922" t="s">
        <v>21</v>
      </c>
      <c r="T922" t="s">
        <v>28</v>
      </c>
      <c r="U922" s="34">
        <v>14</v>
      </c>
      <c r="V922" s="34">
        <v>15</v>
      </c>
      <c r="W922" s="25">
        <v>14.5</v>
      </c>
      <c r="X922" s="25">
        <v>1</v>
      </c>
      <c r="Y922">
        <v>0.91818181818181799</v>
      </c>
      <c r="Z922" t="s">
        <v>821</v>
      </c>
      <c r="AA922" t="s">
        <v>647</v>
      </c>
      <c r="AB922">
        <v>1</v>
      </c>
      <c r="AC922">
        <v>0</v>
      </c>
      <c r="AF922" t="s">
        <v>531</v>
      </c>
      <c r="AH922" s="32" t="s">
        <v>671</v>
      </c>
      <c r="AI922" s="32" t="s">
        <v>1129</v>
      </c>
      <c r="AJ922" s="31" t="s">
        <v>1130</v>
      </c>
      <c r="AK922" s="31">
        <v>0.59524549999999998</v>
      </c>
      <c r="AL922" s="31">
        <v>0</v>
      </c>
      <c r="AM922" s="31">
        <v>0</v>
      </c>
      <c r="AN922" s="31">
        <v>0</v>
      </c>
      <c r="AO922" s="31">
        <v>0</v>
      </c>
      <c r="AP922" s="31">
        <v>0</v>
      </c>
      <c r="AQ922" s="31">
        <v>0</v>
      </c>
      <c r="AR922" s="31">
        <v>0.55269999999999997</v>
      </c>
    </row>
    <row r="923" spans="1:44" hidden="1" x14ac:dyDescent="0.5">
      <c r="A923" s="31">
        <v>922</v>
      </c>
      <c r="B923" s="31">
        <v>65</v>
      </c>
      <c r="C923" s="225" t="s">
        <v>9</v>
      </c>
      <c r="D923" s="43">
        <v>22.752500000000001</v>
      </c>
      <c r="E923" s="43">
        <v>38.997500000000002</v>
      </c>
      <c r="F923">
        <v>0</v>
      </c>
      <c r="G923">
        <f t="shared" si="8"/>
        <v>0</v>
      </c>
      <c r="H923" s="32" t="s">
        <v>49</v>
      </c>
      <c r="I923">
        <v>0</v>
      </c>
      <c r="J923">
        <v>99.975059025916096</v>
      </c>
      <c r="K923" s="26">
        <v>2015</v>
      </c>
      <c r="L923" t="s">
        <v>30</v>
      </c>
      <c r="M923" s="32">
        <v>130</v>
      </c>
      <c r="N923">
        <v>15.0852345</v>
      </c>
      <c r="O923">
        <v>24</v>
      </c>
      <c r="P923" t="s">
        <v>23</v>
      </c>
      <c r="Q923">
        <v>91</v>
      </c>
      <c r="R923" t="s">
        <v>13</v>
      </c>
      <c r="S923" t="s">
        <v>21</v>
      </c>
      <c r="T923" t="s">
        <v>28</v>
      </c>
      <c r="U923" s="34">
        <v>2</v>
      </c>
      <c r="V923" s="34">
        <v>3</v>
      </c>
      <c r="W923" s="25">
        <v>2.5</v>
      </c>
      <c r="X923" s="25">
        <v>1</v>
      </c>
      <c r="Y923">
        <v>0.91818181818181799</v>
      </c>
      <c r="Z923" t="s">
        <v>821</v>
      </c>
      <c r="AA923" t="s">
        <v>647</v>
      </c>
      <c r="AB923">
        <v>1</v>
      </c>
      <c r="AC923">
        <v>60.240963999999998</v>
      </c>
      <c r="AF923" t="s">
        <v>531</v>
      </c>
      <c r="AG923" s="32" t="s">
        <v>2074</v>
      </c>
      <c r="AH923" s="32" t="s">
        <v>671</v>
      </c>
      <c r="AI923" s="32" t="s">
        <v>1129</v>
      </c>
      <c r="AJ923" s="31" t="s">
        <v>1130</v>
      </c>
      <c r="AK923" s="31">
        <v>0.59524549999999998</v>
      </c>
      <c r="AL923" s="31">
        <v>88.59237571580303</v>
      </c>
      <c r="AM923" s="31">
        <v>60.240963999999998</v>
      </c>
      <c r="AN923" s="31">
        <v>1468.611827016477</v>
      </c>
      <c r="AO923" s="31">
        <v>998.62534994072314</v>
      </c>
      <c r="AP923" s="31">
        <v>1.3484526775333103</v>
      </c>
      <c r="AQ923" s="31">
        <v>0.91691963949102739</v>
      </c>
      <c r="AR923" s="31">
        <v>0.55269999999999997</v>
      </c>
    </row>
    <row r="924" spans="1:44" hidden="1" x14ac:dyDescent="0.5">
      <c r="A924" s="31">
        <v>923</v>
      </c>
      <c r="B924" s="31">
        <v>65</v>
      </c>
      <c r="C924" s="225" t="s">
        <v>9</v>
      </c>
      <c r="D924" s="43">
        <v>22.752500000000001</v>
      </c>
      <c r="E924" s="43">
        <v>38.997500000000002</v>
      </c>
      <c r="F924">
        <v>0</v>
      </c>
      <c r="G924">
        <f t="shared" si="8"/>
        <v>0</v>
      </c>
      <c r="H924" s="32" t="s">
        <v>49</v>
      </c>
      <c r="I924">
        <v>0</v>
      </c>
      <c r="J924">
        <v>99.975059025916096</v>
      </c>
      <c r="K924" s="26">
        <v>2015</v>
      </c>
      <c r="L924" t="s">
        <v>30</v>
      </c>
      <c r="M924" s="32">
        <v>130</v>
      </c>
      <c r="N924">
        <v>15.0852345</v>
      </c>
      <c r="O924">
        <v>24</v>
      </c>
      <c r="P924" t="s">
        <v>23</v>
      </c>
      <c r="Q924">
        <v>91</v>
      </c>
      <c r="R924" t="s">
        <v>13</v>
      </c>
      <c r="S924" t="s">
        <v>21</v>
      </c>
      <c r="T924" t="s">
        <v>28</v>
      </c>
      <c r="U924" s="34">
        <v>0</v>
      </c>
      <c r="V924" s="34">
        <v>1</v>
      </c>
      <c r="W924" s="25">
        <v>0.5</v>
      </c>
      <c r="X924" s="25">
        <v>1</v>
      </c>
      <c r="Y924">
        <v>0.91818181818181799</v>
      </c>
      <c r="Z924" t="s">
        <v>821</v>
      </c>
      <c r="AA924" t="s">
        <v>647</v>
      </c>
      <c r="AB924">
        <v>1</v>
      </c>
      <c r="AC924">
        <v>125</v>
      </c>
      <c r="AF924" t="s">
        <v>531</v>
      </c>
      <c r="AG924" s="32">
        <v>125</v>
      </c>
      <c r="AH924" s="32" t="s">
        <v>671</v>
      </c>
      <c r="AI924" s="32" t="s">
        <v>1129</v>
      </c>
      <c r="AJ924" s="31" t="s">
        <v>1130</v>
      </c>
      <c r="AK924" s="31">
        <v>0.59524549999999998</v>
      </c>
      <c r="AL924" s="31">
        <v>183.82917916910128</v>
      </c>
      <c r="AM924" s="31">
        <v>125</v>
      </c>
      <c r="AN924" s="31">
        <v>3047.3695337455038</v>
      </c>
      <c r="AO924" s="31">
        <v>2072.1475961538463</v>
      </c>
      <c r="AP924" s="31">
        <v>2.7980392991663252</v>
      </c>
      <c r="AQ924" s="31">
        <v>1.9026082473776222</v>
      </c>
      <c r="AR924" s="31">
        <v>0.55269999999999997</v>
      </c>
    </row>
    <row r="925" spans="1:44" hidden="1" x14ac:dyDescent="0.5">
      <c r="A925" s="31">
        <v>924</v>
      </c>
      <c r="B925" s="31">
        <v>65</v>
      </c>
      <c r="C925" s="225" t="s">
        <v>9</v>
      </c>
      <c r="D925" s="43">
        <v>22.938887999999999</v>
      </c>
      <c r="E925" s="43">
        <v>38.878888799999999</v>
      </c>
      <c r="F925">
        <v>0</v>
      </c>
      <c r="G925">
        <f t="shared" si="8"/>
        <v>0</v>
      </c>
      <c r="H925" s="32" t="s">
        <v>49</v>
      </c>
      <c r="I925">
        <v>0</v>
      </c>
      <c r="J925">
        <v>72.065968992997099</v>
      </c>
      <c r="K925" s="26">
        <v>2015</v>
      </c>
      <c r="L925" t="s">
        <v>30</v>
      </c>
      <c r="M925" s="32">
        <v>130</v>
      </c>
      <c r="N925">
        <v>15.0852345</v>
      </c>
      <c r="O925">
        <v>24</v>
      </c>
      <c r="P925" t="s">
        <v>23</v>
      </c>
      <c r="Q925">
        <v>91</v>
      </c>
      <c r="R925" t="s">
        <v>13</v>
      </c>
      <c r="S925" t="s">
        <v>21</v>
      </c>
      <c r="T925" t="s">
        <v>28</v>
      </c>
      <c r="U925" s="34">
        <v>2</v>
      </c>
      <c r="V925" s="34">
        <v>3</v>
      </c>
      <c r="W925" s="25">
        <v>2.5</v>
      </c>
      <c r="X925" s="25">
        <v>1</v>
      </c>
      <c r="Y925">
        <v>0.91818181818181799</v>
      </c>
      <c r="Z925" t="s">
        <v>821</v>
      </c>
      <c r="AA925" t="s">
        <v>647</v>
      </c>
      <c r="AB925">
        <v>1</v>
      </c>
      <c r="AC925">
        <v>0</v>
      </c>
      <c r="AF925" t="s">
        <v>531</v>
      </c>
      <c r="AH925" s="32" t="s">
        <v>671</v>
      </c>
      <c r="AI925" s="32" t="s">
        <v>1129</v>
      </c>
      <c r="AJ925" s="31" t="s">
        <v>1130</v>
      </c>
      <c r="AK925" s="31">
        <v>0.59524549999999998</v>
      </c>
      <c r="AL925" s="31">
        <v>0</v>
      </c>
      <c r="AM925" s="31">
        <v>0</v>
      </c>
      <c r="AN925" s="31">
        <v>0</v>
      </c>
      <c r="AO925" s="31">
        <v>0</v>
      </c>
      <c r="AP925" s="31">
        <v>0</v>
      </c>
      <c r="AQ925" s="31">
        <v>0</v>
      </c>
      <c r="AR925" s="31">
        <v>0.55269999999999997</v>
      </c>
    </row>
    <row r="926" spans="1:44" hidden="1" x14ac:dyDescent="0.5">
      <c r="A926" s="31">
        <v>925</v>
      </c>
      <c r="B926" s="31">
        <v>65</v>
      </c>
      <c r="C926" s="225" t="s">
        <v>9</v>
      </c>
      <c r="D926" s="43">
        <v>22.938887999999999</v>
      </c>
      <c r="E926" s="43">
        <v>38.878888799999999</v>
      </c>
      <c r="F926">
        <v>0</v>
      </c>
      <c r="G926">
        <f t="shared" si="8"/>
        <v>0</v>
      </c>
      <c r="H926" s="32" t="s">
        <v>49</v>
      </c>
      <c r="I926">
        <v>0</v>
      </c>
      <c r="J926">
        <v>72.065968992997099</v>
      </c>
      <c r="K926" s="26">
        <v>2015</v>
      </c>
      <c r="L926" t="s">
        <v>30</v>
      </c>
      <c r="M926" s="32">
        <v>130</v>
      </c>
      <c r="N926">
        <v>15.0852345</v>
      </c>
      <c r="O926">
        <v>24</v>
      </c>
      <c r="P926" t="s">
        <v>23</v>
      </c>
      <c r="Q926">
        <v>91</v>
      </c>
      <c r="R926" t="s">
        <v>13</v>
      </c>
      <c r="S926" t="s">
        <v>21</v>
      </c>
      <c r="T926" t="s">
        <v>28</v>
      </c>
      <c r="U926" s="34">
        <v>6</v>
      </c>
      <c r="V926" s="34">
        <v>7</v>
      </c>
      <c r="W926" s="25">
        <v>6.5</v>
      </c>
      <c r="X926" s="25">
        <v>1</v>
      </c>
      <c r="Y926">
        <v>0.91818181818181799</v>
      </c>
      <c r="Z926" t="s">
        <v>821</v>
      </c>
      <c r="AA926" t="s">
        <v>647</v>
      </c>
      <c r="AB926">
        <v>1</v>
      </c>
      <c r="AC926">
        <v>0</v>
      </c>
      <c r="AF926" t="s">
        <v>531</v>
      </c>
      <c r="AH926" s="32" t="s">
        <v>671</v>
      </c>
      <c r="AI926" s="32" t="s">
        <v>1129</v>
      </c>
      <c r="AJ926" s="31" t="s">
        <v>1130</v>
      </c>
      <c r="AK926" s="31">
        <v>0.59524549999999998</v>
      </c>
      <c r="AL926" s="31">
        <v>0</v>
      </c>
      <c r="AM926" s="31">
        <v>0</v>
      </c>
      <c r="AN926" s="31">
        <v>0</v>
      </c>
      <c r="AO926" s="31">
        <v>0</v>
      </c>
      <c r="AP926" s="31">
        <v>0</v>
      </c>
      <c r="AQ926" s="31">
        <v>0</v>
      </c>
      <c r="AR926" s="31">
        <v>0.55269999999999997</v>
      </c>
    </row>
    <row r="927" spans="1:44" hidden="1" x14ac:dyDescent="0.5">
      <c r="A927" s="31">
        <v>926</v>
      </c>
      <c r="B927" s="31">
        <v>65</v>
      </c>
      <c r="C927" s="225" t="s">
        <v>9</v>
      </c>
      <c r="D927" s="43">
        <v>22.938887999999999</v>
      </c>
      <c r="E927" s="43">
        <v>38.878888799999999</v>
      </c>
      <c r="F927">
        <v>0</v>
      </c>
      <c r="G927">
        <f t="shared" si="8"/>
        <v>0</v>
      </c>
      <c r="H927" s="32" t="s">
        <v>49</v>
      </c>
      <c r="I927">
        <v>0</v>
      </c>
      <c r="J927">
        <v>72.065968992997099</v>
      </c>
      <c r="K927" s="26">
        <v>2015</v>
      </c>
      <c r="L927" t="s">
        <v>30</v>
      </c>
      <c r="M927" s="32">
        <v>130</v>
      </c>
      <c r="N927">
        <v>15.0852345</v>
      </c>
      <c r="O927">
        <v>24</v>
      </c>
      <c r="P927" t="s">
        <v>23</v>
      </c>
      <c r="Q927">
        <v>91</v>
      </c>
      <c r="R927" t="s">
        <v>13</v>
      </c>
      <c r="S927" t="s">
        <v>21</v>
      </c>
      <c r="T927" t="s">
        <v>28</v>
      </c>
      <c r="U927" s="34">
        <v>8</v>
      </c>
      <c r="V927" s="34">
        <v>9</v>
      </c>
      <c r="W927" s="25">
        <v>8.5</v>
      </c>
      <c r="X927" s="25">
        <v>1</v>
      </c>
      <c r="Y927">
        <v>0.91818181818181799</v>
      </c>
      <c r="Z927" t="s">
        <v>821</v>
      </c>
      <c r="AA927" t="s">
        <v>647</v>
      </c>
      <c r="AB927">
        <v>1</v>
      </c>
      <c r="AC927">
        <v>0</v>
      </c>
      <c r="AF927" t="s">
        <v>531</v>
      </c>
      <c r="AH927" s="32" t="s">
        <v>671</v>
      </c>
      <c r="AI927" s="32" t="s">
        <v>1129</v>
      </c>
      <c r="AJ927" s="31" t="s">
        <v>1130</v>
      </c>
      <c r="AK927" s="31">
        <v>0.59524549999999998</v>
      </c>
      <c r="AL927" s="31">
        <v>0</v>
      </c>
      <c r="AM927" s="31">
        <v>0</v>
      </c>
      <c r="AN927" s="31">
        <v>0</v>
      </c>
      <c r="AO927" s="31">
        <v>0</v>
      </c>
      <c r="AP927" s="31">
        <v>0</v>
      </c>
      <c r="AQ927" s="31">
        <v>0</v>
      </c>
      <c r="AR927" s="31">
        <v>0.55269999999999997</v>
      </c>
    </row>
    <row r="928" spans="1:44" hidden="1" x14ac:dyDescent="0.5">
      <c r="A928" s="31">
        <v>927</v>
      </c>
      <c r="B928" s="31">
        <v>65</v>
      </c>
      <c r="C928" s="225" t="s">
        <v>9</v>
      </c>
      <c r="D928" s="43">
        <v>22.938887999999999</v>
      </c>
      <c r="E928" s="43">
        <v>38.878888799999999</v>
      </c>
      <c r="F928">
        <v>0</v>
      </c>
      <c r="G928">
        <f t="shared" si="8"/>
        <v>0</v>
      </c>
      <c r="H928" s="32" t="s">
        <v>49</v>
      </c>
      <c r="I928">
        <v>0</v>
      </c>
      <c r="J928">
        <v>72.065968992997099</v>
      </c>
      <c r="K928" s="26">
        <v>2015</v>
      </c>
      <c r="L928" t="s">
        <v>30</v>
      </c>
      <c r="M928" s="32">
        <v>130</v>
      </c>
      <c r="N928">
        <v>15.0852345</v>
      </c>
      <c r="O928">
        <v>24</v>
      </c>
      <c r="P928" t="s">
        <v>23</v>
      </c>
      <c r="Q928">
        <v>91</v>
      </c>
      <c r="R928" t="s">
        <v>13</v>
      </c>
      <c r="S928" t="s">
        <v>21</v>
      </c>
      <c r="T928" t="s">
        <v>28</v>
      </c>
      <c r="U928" s="34">
        <v>10</v>
      </c>
      <c r="V928" s="34">
        <v>11</v>
      </c>
      <c r="W928" s="25">
        <v>10.5</v>
      </c>
      <c r="X928" s="25">
        <v>1</v>
      </c>
      <c r="Y928">
        <v>0.91818181818181799</v>
      </c>
      <c r="Z928" t="s">
        <v>821</v>
      </c>
      <c r="AA928" t="s">
        <v>647</v>
      </c>
      <c r="AB928">
        <v>1</v>
      </c>
      <c r="AC928">
        <v>0</v>
      </c>
      <c r="AF928" t="s">
        <v>531</v>
      </c>
      <c r="AH928" s="32" t="s">
        <v>671</v>
      </c>
      <c r="AI928" s="32" t="s">
        <v>1129</v>
      </c>
      <c r="AJ928" s="31" t="s">
        <v>1130</v>
      </c>
      <c r="AK928" s="31">
        <v>0.59524549999999998</v>
      </c>
      <c r="AL928" s="31">
        <v>0</v>
      </c>
      <c r="AM928" s="31">
        <v>0</v>
      </c>
      <c r="AN928" s="31">
        <v>0</v>
      </c>
      <c r="AO928" s="31">
        <v>0</v>
      </c>
      <c r="AP928" s="31">
        <v>0</v>
      </c>
      <c r="AQ928" s="31">
        <v>0</v>
      </c>
      <c r="AR928" s="31">
        <v>0.55269999999999997</v>
      </c>
    </row>
    <row r="929" spans="1:44" hidden="1" x14ac:dyDescent="0.5">
      <c r="A929" s="31">
        <v>928</v>
      </c>
      <c r="B929" s="31">
        <v>65</v>
      </c>
      <c r="C929" s="225" t="s">
        <v>9</v>
      </c>
      <c r="D929" s="43">
        <v>22.938887999999999</v>
      </c>
      <c r="E929" s="43">
        <v>38.878888799999999</v>
      </c>
      <c r="F929">
        <v>0</v>
      </c>
      <c r="G929">
        <f t="shared" si="8"/>
        <v>0</v>
      </c>
      <c r="H929" s="32" t="s">
        <v>49</v>
      </c>
      <c r="I929">
        <v>0</v>
      </c>
      <c r="J929">
        <v>72.065968992997099</v>
      </c>
      <c r="K929" s="26">
        <v>2015</v>
      </c>
      <c r="L929" t="s">
        <v>30</v>
      </c>
      <c r="M929" s="32">
        <v>130</v>
      </c>
      <c r="N929">
        <v>15.0852345</v>
      </c>
      <c r="O929">
        <v>24</v>
      </c>
      <c r="P929" t="s">
        <v>23</v>
      </c>
      <c r="Q929">
        <v>91</v>
      </c>
      <c r="R929" t="s">
        <v>13</v>
      </c>
      <c r="S929" t="s">
        <v>21</v>
      </c>
      <c r="T929" t="s">
        <v>28</v>
      </c>
      <c r="U929" s="34">
        <v>0</v>
      </c>
      <c r="V929" s="34">
        <v>1</v>
      </c>
      <c r="W929" s="25">
        <v>0.5</v>
      </c>
      <c r="X929" s="25">
        <v>1</v>
      </c>
      <c r="Y929">
        <v>0.91818181818181799</v>
      </c>
      <c r="Z929" t="s">
        <v>821</v>
      </c>
      <c r="AA929" t="s">
        <v>647</v>
      </c>
      <c r="AB929">
        <v>1</v>
      </c>
      <c r="AC929">
        <v>16666.666669999999</v>
      </c>
      <c r="AF929" t="s">
        <v>531</v>
      </c>
      <c r="AG929" s="32" t="s">
        <v>2075</v>
      </c>
      <c r="AH929" s="32" t="s">
        <v>671</v>
      </c>
      <c r="AI929" s="32" t="s">
        <v>1129</v>
      </c>
      <c r="AJ929" s="31" t="s">
        <v>1130</v>
      </c>
      <c r="AK929" s="31">
        <v>0.59524549999999998</v>
      </c>
      <c r="AL929" s="31">
        <v>24510.557227448946</v>
      </c>
      <c r="AM929" s="31">
        <v>16666.666669999999</v>
      </c>
      <c r="AN929" s="31">
        <v>406315.93791399692</v>
      </c>
      <c r="AO929" s="31">
        <v>276286.34620910336</v>
      </c>
      <c r="AP929" s="31">
        <v>373.07190663012437</v>
      </c>
      <c r="AQ929" s="31">
        <v>253.68109970108577</v>
      </c>
      <c r="AR929" s="31">
        <v>0.55269999999999997</v>
      </c>
    </row>
    <row r="930" spans="1:44" hidden="1" x14ac:dyDescent="0.5">
      <c r="A930" s="31">
        <v>929</v>
      </c>
      <c r="B930" s="31">
        <v>65</v>
      </c>
      <c r="C930" s="225" t="s">
        <v>9</v>
      </c>
      <c r="D930" s="43">
        <v>22.971944400000002</v>
      </c>
      <c r="E930" s="43">
        <v>38.848888899999999</v>
      </c>
      <c r="F930">
        <v>0</v>
      </c>
      <c r="G930">
        <f t="shared" si="8"/>
        <v>0</v>
      </c>
      <c r="H930" s="32" t="s">
        <v>49</v>
      </c>
      <c r="I930">
        <v>0</v>
      </c>
      <c r="J930">
        <v>64.719298068359294</v>
      </c>
      <c r="K930" s="26">
        <v>2015</v>
      </c>
      <c r="L930" t="s">
        <v>30</v>
      </c>
      <c r="M930" s="32">
        <v>130</v>
      </c>
      <c r="N930">
        <v>15.0852345</v>
      </c>
      <c r="O930">
        <v>24</v>
      </c>
      <c r="P930" t="s">
        <v>23</v>
      </c>
      <c r="Q930">
        <v>91</v>
      </c>
      <c r="R930" t="s">
        <v>13</v>
      </c>
      <c r="S930" t="s">
        <v>21</v>
      </c>
      <c r="T930" t="s">
        <v>28</v>
      </c>
      <c r="U930" s="34">
        <v>2</v>
      </c>
      <c r="V930" s="34">
        <v>3</v>
      </c>
      <c r="W930" s="25">
        <v>2.5</v>
      </c>
      <c r="X930" s="25">
        <v>1</v>
      </c>
      <c r="Y930">
        <v>0.91818181818181799</v>
      </c>
      <c r="Z930" t="s">
        <v>821</v>
      </c>
      <c r="AA930" t="s">
        <v>647</v>
      </c>
      <c r="AB930">
        <v>1</v>
      </c>
      <c r="AC930">
        <v>0</v>
      </c>
      <c r="AF930" t="s">
        <v>531</v>
      </c>
      <c r="AH930" s="32" t="s">
        <v>671</v>
      </c>
      <c r="AI930" s="32" t="s">
        <v>1129</v>
      </c>
      <c r="AJ930" s="31" t="s">
        <v>1130</v>
      </c>
      <c r="AK930" s="31">
        <v>0.59524549999999998</v>
      </c>
      <c r="AL930" s="31">
        <v>0</v>
      </c>
      <c r="AM930" s="31">
        <v>0</v>
      </c>
      <c r="AN930" s="31">
        <v>0</v>
      </c>
      <c r="AO930" s="31">
        <v>0</v>
      </c>
      <c r="AP930" s="31">
        <v>0</v>
      </c>
      <c r="AQ930" s="31">
        <v>0</v>
      </c>
      <c r="AR930" s="31">
        <v>0.55269999999999997</v>
      </c>
    </row>
    <row r="931" spans="1:44" hidden="1" x14ac:dyDescent="0.5">
      <c r="A931" s="31">
        <v>930</v>
      </c>
      <c r="B931" s="31">
        <v>65</v>
      </c>
      <c r="C931" s="225" t="s">
        <v>9</v>
      </c>
      <c r="D931" s="43">
        <v>22.971944400000002</v>
      </c>
      <c r="E931" s="43">
        <v>38.848888899999999</v>
      </c>
      <c r="F931">
        <v>0</v>
      </c>
      <c r="G931">
        <f t="shared" si="8"/>
        <v>0</v>
      </c>
      <c r="H931" s="32" t="s">
        <v>49</v>
      </c>
      <c r="I931">
        <v>0</v>
      </c>
      <c r="J931">
        <v>64.719298068359294</v>
      </c>
      <c r="K931" s="26">
        <v>2015</v>
      </c>
      <c r="L931" t="s">
        <v>30</v>
      </c>
      <c r="M931" s="32">
        <v>130</v>
      </c>
      <c r="N931">
        <v>15.0852345</v>
      </c>
      <c r="O931">
        <v>24</v>
      </c>
      <c r="P931" t="s">
        <v>23</v>
      </c>
      <c r="Q931">
        <v>91</v>
      </c>
      <c r="R931" t="s">
        <v>13</v>
      </c>
      <c r="S931" t="s">
        <v>21</v>
      </c>
      <c r="T931" t="s">
        <v>28</v>
      </c>
      <c r="U931" s="34">
        <v>8</v>
      </c>
      <c r="V931" s="34">
        <v>9</v>
      </c>
      <c r="W931" s="25">
        <v>8.5</v>
      </c>
      <c r="X931" s="25">
        <v>1</v>
      </c>
      <c r="Y931">
        <v>0.91818181818181799</v>
      </c>
      <c r="Z931" t="s">
        <v>821</v>
      </c>
      <c r="AA931" t="s">
        <v>647</v>
      </c>
      <c r="AB931">
        <v>1</v>
      </c>
      <c r="AC931">
        <v>0</v>
      </c>
      <c r="AF931" t="s">
        <v>531</v>
      </c>
      <c r="AH931" s="32" t="s">
        <v>671</v>
      </c>
      <c r="AI931" s="32" t="s">
        <v>1129</v>
      </c>
      <c r="AJ931" s="31" t="s">
        <v>1130</v>
      </c>
      <c r="AK931" s="31">
        <v>0.59524549999999998</v>
      </c>
      <c r="AL931" s="31">
        <v>0</v>
      </c>
      <c r="AM931" s="31">
        <v>0</v>
      </c>
      <c r="AN931" s="31">
        <v>0</v>
      </c>
      <c r="AO931" s="31">
        <v>0</v>
      </c>
      <c r="AP931" s="31">
        <v>0</v>
      </c>
      <c r="AQ931" s="31">
        <v>0</v>
      </c>
      <c r="AR931" s="31">
        <v>0.55269999999999997</v>
      </c>
    </row>
    <row r="932" spans="1:44" hidden="1" x14ac:dyDescent="0.5">
      <c r="A932" s="31">
        <v>931</v>
      </c>
      <c r="B932" s="31">
        <v>65</v>
      </c>
      <c r="C932" s="225" t="s">
        <v>9</v>
      </c>
      <c r="D932" s="43">
        <v>22.971944400000002</v>
      </c>
      <c r="E932" s="43">
        <v>38.848888899999999</v>
      </c>
      <c r="F932">
        <v>0</v>
      </c>
      <c r="G932">
        <f t="shared" si="8"/>
        <v>0</v>
      </c>
      <c r="H932" s="32" t="s">
        <v>49</v>
      </c>
      <c r="I932">
        <v>0</v>
      </c>
      <c r="J932">
        <v>64.719298068359294</v>
      </c>
      <c r="K932" s="26">
        <v>2015</v>
      </c>
      <c r="L932" t="s">
        <v>30</v>
      </c>
      <c r="M932" s="32">
        <v>130</v>
      </c>
      <c r="N932">
        <v>15.0852345</v>
      </c>
      <c r="O932">
        <v>24</v>
      </c>
      <c r="P932" t="s">
        <v>23</v>
      </c>
      <c r="Q932">
        <v>91</v>
      </c>
      <c r="R932" t="s">
        <v>13</v>
      </c>
      <c r="S932" t="s">
        <v>21</v>
      </c>
      <c r="T932" t="s">
        <v>28</v>
      </c>
      <c r="U932" s="34">
        <v>9</v>
      </c>
      <c r="V932" s="34">
        <v>10</v>
      </c>
      <c r="W932" s="25">
        <v>9.5</v>
      </c>
      <c r="X932" s="25">
        <v>1</v>
      </c>
      <c r="Y932">
        <v>0.91818181818181799</v>
      </c>
      <c r="Z932" t="s">
        <v>821</v>
      </c>
      <c r="AA932" t="s">
        <v>647</v>
      </c>
      <c r="AB932">
        <v>1</v>
      </c>
      <c r="AC932">
        <v>0</v>
      </c>
      <c r="AF932" t="s">
        <v>531</v>
      </c>
      <c r="AH932" s="32" t="s">
        <v>671</v>
      </c>
      <c r="AI932" s="32" t="s">
        <v>1129</v>
      </c>
      <c r="AJ932" s="31" t="s">
        <v>1130</v>
      </c>
      <c r="AK932" s="31">
        <v>0.59524549999999998</v>
      </c>
      <c r="AL932" s="31">
        <v>0</v>
      </c>
      <c r="AM932" s="31">
        <v>0</v>
      </c>
      <c r="AN932" s="31">
        <v>0</v>
      </c>
      <c r="AO932" s="31">
        <v>0</v>
      </c>
      <c r="AP932" s="31">
        <v>0</v>
      </c>
      <c r="AQ932" s="31">
        <v>0</v>
      </c>
      <c r="AR932" s="31">
        <v>0.55269999999999997</v>
      </c>
    </row>
    <row r="933" spans="1:44" hidden="1" x14ac:dyDescent="0.5">
      <c r="A933" s="31">
        <v>932</v>
      </c>
      <c r="B933" s="31">
        <v>65</v>
      </c>
      <c r="C933" s="225" t="s">
        <v>9</v>
      </c>
      <c r="D933" s="43">
        <v>22.971944400000002</v>
      </c>
      <c r="E933" s="43">
        <v>38.848888899999999</v>
      </c>
      <c r="F933">
        <v>0</v>
      </c>
      <c r="G933">
        <f t="shared" si="8"/>
        <v>0</v>
      </c>
      <c r="H933" s="32" t="s">
        <v>49</v>
      </c>
      <c r="I933">
        <v>0</v>
      </c>
      <c r="J933">
        <v>64.719298068359294</v>
      </c>
      <c r="K933" s="26">
        <v>2015</v>
      </c>
      <c r="L933" t="s">
        <v>30</v>
      </c>
      <c r="M933" s="32">
        <v>130</v>
      </c>
      <c r="N933">
        <v>15.0852345</v>
      </c>
      <c r="O933">
        <v>24</v>
      </c>
      <c r="P933" t="s">
        <v>23</v>
      </c>
      <c r="Q933">
        <v>91</v>
      </c>
      <c r="R933" t="s">
        <v>13</v>
      </c>
      <c r="S933" t="s">
        <v>21</v>
      </c>
      <c r="T933" t="s">
        <v>28</v>
      </c>
      <c r="U933" s="34">
        <v>19</v>
      </c>
      <c r="V933" s="34">
        <v>20</v>
      </c>
      <c r="W933" s="25">
        <v>19.5</v>
      </c>
      <c r="X933" s="25">
        <v>1</v>
      </c>
      <c r="Y933">
        <v>0.91818181818181799</v>
      </c>
      <c r="Z933" t="s">
        <v>821</v>
      </c>
      <c r="AA933" t="s">
        <v>647</v>
      </c>
      <c r="AB933">
        <v>1</v>
      </c>
      <c r="AC933">
        <v>0</v>
      </c>
      <c r="AF933" t="s">
        <v>531</v>
      </c>
      <c r="AH933" s="32" t="s">
        <v>671</v>
      </c>
      <c r="AI933" s="32" t="s">
        <v>1129</v>
      </c>
      <c r="AJ933" s="31" t="s">
        <v>1130</v>
      </c>
      <c r="AK933" s="31">
        <v>0.59524549999999998</v>
      </c>
      <c r="AL933" s="31">
        <v>0</v>
      </c>
      <c r="AM933" s="31">
        <v>0</v>
      </c>
      <c r="AN933" s="31">
        <v>0</v>
      </c>
      <c r="AO933" s="31">
        <v>0</v>
      </c>
      <c r="AP933" s="31">
        <v>0</v>
      </c>
      <c r="AQ933" s="31">
        <v>0</v>
      </c>
      <c r="AR933" s="31">
        <v>0.55269999999999997</v>
      </c>
    </row>
    <row r="934" spans="1:44" hidden="1" x14ac:dyDescent="0.5">
      <c r="A934" s="31">
        <v>933</v>
      </c>
      <c r="B934" s="31">
        <v>65</v>
      </c>
      <c r="C934" s="225" t="s">
        <v>9</v>
      </c>
      <c r="D934" s="43">
        <v>22.971944400000002</v>
      </c>
      <c r="E934" s="43">
        <v>38.848888899999999</v>
      </c>
      <c r="F934">
        <v>0</v>
      </c>
      <c r="G934">
        <f t="shared" si="8"/>
        <v>0</v>
      </c>
      <c r="H934" s="32" t="s">
        <v>49</v>
      </c>
      <c r="I934">
        <v>0</v>
      </c>
      <c r="J934">
        <v>64.719298068359294</v>
      </c>
      <c r="K934" s="26">
        <v>2015</v>
      </c>
      <c r="L934" t="s">
        <v>30</v>
      </c>
      <c r="M934" s="32">
        <v>130</v>
      </c>
      <c r="N934">
        <v>15.0852345</v>
      </c>
      <c r="O934">
        <v>24</v>
      </c>
      <c r="P934" t="s">
        <v>23</v>
      </c>
      <c r="Q934">
        <v>91</v>
      </c>
      <c r="R934" t="s">
        <v>13</v>
      </c>
      <c r="S934" t="s">
        <v>21</v>
      </c>
      <c r="T934" t="s">
        <v>28</v>
      </c>
      <c r="U934" s="34">
        <v>11</v>
      </c>
      <c r="V934" s="34">
        <v>12</v>
      </c>
      <c r="W934" s="25">
        <v>11.5</v>
      </c>
      <c r="X934" s="25">
        <v>1</v>
      </c>
      <c r="Y934">
        <v>0.91818181818181799</v>
      </c>
      <c r="Z934" t="s">
        <v>821</v>
      </c>
      <c r="AA934" t="s">
        <v>647</v>
      </c>
      <c r="AB934">
        <v>1</v>
      </c>
      <c r="AC934">
        <v>23.255814000000001</v>
      </c>
      <c r="AF934" t="s">
        <v>531</v>
      </c>
      <c r="AG934" s="32" t="s">
        <v>2076</v>
      </c>
      <c r="AH934" s="32" t="s">
        <v>671</v>
      </c>
      <c r="AI934" s="32" t="s">
        <v>1129</v>
      </c>
      <c r="AJ934" s="31" t="s">
        <v>1130</v>
      </c>
      <c r="AK934" s="31">
        <v>0.59524549999999998</v>
      </c>
      <c r="AL934" s="31">
        <v>34.200777588234345</v>
      </c>
      <c r="AM934" s="31">
        <v>23.255814000000001</v>
      </c>
      <c r="AN934" s="31">
        <v>566.95247252841705</v>
      </c>
      <c r="AO934" s="31">
        <v>385.5158326136077</v>
      </c>
      <c r="AP934" s="31">
        <v>0.52056545204881921</v>
      </c>
      <c r="AQ934" s="31">
        <v>0.35397362812703975</v>
      </c>
      <c r="AR934" s="31">
        <v>0.55269999999999997</v>
      </c>
    </row>
    <row r="935" spans="1:44" hidden="1" x14ac:dyDescent="0.5">
      <c r="A935" s="31">
        <v>934</v>
      </c>
      <c r="B935" s="31">
        <v>65</v>
      </c>
      <c r="C935" s="225" t="s">
        <v>9</v>
      </c>
      <c r="D935" s="43">
        <v>22.971944400000002</v>
      </c>
      <c r="E935" s="43">
        <v>38.848888899999999</v>
      </c>
      <c r="F935">
        <v>0</v>
      </c>
      <c r="G935">
        <f t="shared" si="8"/>
        <v>0</v>
      </c>
      <c r="H935" s="32" t="s">
        <v>49</v>
      </c>
      <c r="I935">
        <v>0</v>
      </c>
      <c r="J935">
        <v>64.719298068359294</v>
      </c>
      <c r="K935" s="26">
        <v>2015</v>
      </c>
      <c r="L935" t="s">
        <v>30</v>
      </c>
      <c r="M935" s="32">
        <v>130</v>
      </c>
      <c r="N935">
        <v>15.0852345</v>
      </c>
      <c r="O935">
        <v>24</v>
      </c>
      <c r="P935" t="s">
        <v>23</v>
      </c>
      <c r="Q935">
        <v>91</v>
      </c>
      <c r="R935" t="s">
        <v>13</v>
      </c>
      <c r="S935" t="s">
        <v>21</v>
      </c>
      <c r="T935" t="s">
        <v>28</v>
      </c>
      <c r="U935" s="34">
        <v>21</v>
      </c>
      <c r="V935" s="34">
        <v>22</v>
      </c>
      <c r="W935" s="25">
        <v>21.5</v>
      </c>
      <c r="X935" s="25">
        <v>1</v>
      </c>
      <c r="Y935">
        <v>0.91818181818181799</v>
      </c>
      <c r="Z935" t="s">
        <v>821</v>
      </c>
      <c r="AA935" t="s">
        <v>647</v>
      </c>
      <c r="AB935">
        <v>1</v>
      </c>
      <c r="AC935">
        <v>24.509803999999999</v>
      </c>
      <c r="AF935" t="s">
        <v>531</v>
      </c>
      <c r="AG935" s="32" t="s">
        <v>2077</v>
      </c>
      <c r="AH935" s="32" t="s">
        <v>671</v>
      </c>
      <c r="AI935" s="32" t="s">
        <v>1129</v>
      </c>
      <c r="AJ935" s="31" t="s">
        <v>1130</v>
      </c>
      <c r="AK935" s="31">
        <v>0.59524549999999998</v>
      </c>
      <c r="AL935" s="31">
        <v>36.044937207324438</v>
      </c>
      <c r="AM935" s="31">
        <v>24.509803999999999</v>
      </c>
      <c r="AN935" s="31">
        <v>597.52343990138934</v>
      </c>
      <c r="AO935" s="31">
        <v>406.30345152641542</v>
      </c>
      <c r="AP935" s="31">
        <v>0.54863515845491195</v>
      </c>
      <c r="AQ935" s="31">
        <v>0.37306044185607223</v>
      </c>
      <c r="AR935" s="31">
        <v>0.55269999999999997</v>
      </c>
    </row>
    <row r="936" spans="1:44" hidden="1" x14ac:dyDescent="0.5">
      <c r="A936" s="31">
        <v>935</v>
      </c>
      <c r="B936" s="31">
        <v>65</v>
      </c>
      <c r="C936" s="225" t="s">
        <v>9</v>
      </c>
      <c r="D936" s="43">
        <v>22.971944400000002</v>
      </c>
      <c r="E936" s="43">
        <v>38.848888899999999</v>
      </c>
      <c r="F936">
        <v>0</v>
      </c>
      <c r="G936">
        <f t="shared" si="8"/>
        <v>0</v>
      </c>
      <c r="H936" s="32" t="s">
        <v>49</v>
      </c>
      <c r="I936">
        <v>0</v>
      </c>
      <c r="J936">
        <v>64.719298068359294</v>
      </c>
      <c r="K936" s="26">
        <v>2015</v>
      </c>
      <c r="L936" t="s">
        <v>30</v>
      </c>
      <c r="M936" s="32">
        <v>130</v>
      </c>
      <c r="N936">
        <v>15.0852345</v>
      </c>
      <c r="O936">
        <v>24</v>
      </c>
      <c r="P936" t="s">
        <v>23</v>
      </c>
      <c r="Q936">
        <v>91</v>
      </c>
      <c r="R936" t="s">
        <v>13</v>
      </c>
      <c r="S936" t="s">
        <v>21</v>
      </c>
      <c r="T936" t="s">
        <v>28</v>
      </c>
      <c r="U936" s="34">
        <v>25</v>
      </c>
      <c r="V936" s="34">
        <v>26</v>
      </c>
      <c r="W936" s="25">
        <v>25.5</v>
      </c>
      <c r="X936" s="25">
        <v>1</v>
      </c>
      <c r="Y936">
        <v>0.91818181818181799</v>
      </c>
      <c r="Z936" t="s">
        <v>821</v>
      </c>
      <c r="AA936" t="s">
        <v>647</v>
      </c>
      <c r="AB936">
        <v>1</v>
      </c>
      <c r="AC936">
        <v>26.954177999999999</v>
      </c>
      <c r="AF936" t="s">
        <v>531</v>
      </c>
      <c r="AG936" s="32" t="s">
        <v>2078</v>
      </c>
      <c r="AH936" s="32" t="s">
        <v>671</v>
      </c>
      <c r="AI936" s="32" t="s">
        <v>1129</v>
      </c>
      <c r="AJ936" s="31" t="s">
        <v>1130</v>
      </c>
      <c r="AK936" s="31">
        <v>0.59524549999999998</v>
      </c>
      <c r="AL936" s="31">
        <v>39.639715335342771</v>
      </c>
      <c r="AM936" s="31">
        <v>26.954177999999999</v>
      </c>
      <c r="AN936" s="31">
        <v>657.11472675482628</v>
      </c>
      <c r="AO936" s="31">
        <v>446.82428119202308</v>
      </c>
      <c r="AP936" s="31">
        <v>0.60335079456579488</v>
      </c>
      <c r="AQ936" s="31">
        <v>0.4102659309126756</v>
      </c>
      <c r="AR936" s="31">
        <v>0.55269999999999997</v>
      </c>
    </row>
    <row r="937" spans="1:44" hidden="1" x14ac:dyDescent="0.5">
      <c r="A937" s="31">
        <v>936</v>
      </c>
      <c r="B937" s="31">
        <v>65</v>
      </c>
      <c r="C937" s="225" t="s">
        <v>9</v>
      </c>
      <c r="D937" s="43">
        <v>22.971944400000002</v>
      </c>
      <c r="E937" s="43">
        <v>38.848888899999999</v>
      </c>
      <c r="F937">
        <v>0</v>
      </c>
      <c r="G937">
        <f t="shared" si="8"/>
        <v>0</v>
      </c>
      <c r="H937" s="32" t="s">
        <v>49</v>
      </c>
      <c r="I937">
        <v>0</v>
      </c>
      <c r="J937">
        <v>64.719298068359294</v>
      </c>
      <c r="K937" s="26">
        <v>2015</v>
      </c>
      <c r="L937" t="s">
        <v>30</v>
      </c>
      <c r="M937" s="32">
        <v>130</v>
      </c>
      <c r="N937">
        <v>15.0852345</v>
      </c>
      <c r="O937">
        <v>24</v>
      </c>
      <c r="P937" t="s">
        <v>23</v>
      </c>
      <c r="Q937">
        <v>91</v>
      </c>
      <c r="R937" t="s">
        <v>13</v>
      </c>
      <c r="S937" t="s">
        <v>21</v>
      </c>
      <c r="T937" t="s">
        <v>28</v>
      </c>
      <c r="U937" s="34">
        <v>5</v>
      </c>
      <c r="V937" s="34">
        <v>6</v>
      </c>
      <c r="W937" s="25">
        <v>5.5</v>
      </c>
      <c r="X937" s="25">
        <v>1</v>
      </c>
      <c r="Y937">
        <v>0.91818181818181799</v>
      </c>
      <c r="Z937" t="s">
        <v>821</v>
      </c>
      <c r="AA937" t="s">
        <v>647</v>
      </c>
      <c r="AB937">
        <v>1</v>
      </c>
      <c r="AC937">
        <v>33.333333000000003</v>
      </c>
      <c r="AF937" t="s">
        <v>531</v>
      </c>
      <c r="AG937" s="32" t="s">
        <v>2079</v>
      </c>
      <c r="AH937" s="32" t="s">
        <v>671</v>
      </c>
      <c r="AI937" s="32" t="s">
        <v>1129</v>
      </c>
      <c r="AJ937" s="31" t="s">
        <v>1130</v>
      </c>
      <c r="AK937" s="31">
        <v>0.59524549999999998</v>
      </c>
      <c r="AL937" s="31">
        <v>49.02111395488253</v>
      </c>
      <c r="AM937" s="31">
        <v>33.333333000000003</v>
      </c>
      <c r="AN937" s="31">
        <v>812.63186753914874</v>
      </c>
      <c r="AO937" s="31">
        <v>552.57268678196544</v>
      </c>
      <c r="AP937" s="31">
        <v>0.74614380564958183</v>
      </c>
      <c r="AQ937" s="31">
        <v>0.50736219422707729</v>
      </c>
      <c r="AR937" s="31">
        <v>0.55269999999999997</v>
      </c>
    </row>
    <row r="938" spans="1:44" hidden="1" x14ac:dyDescent="0.5">
      <c r="A938" s="31">
        <v>937</v>
      </c>
      <c r="B938" s="31">
        <v>65</v>
      </c>
      <c r="C938" s="225" t="s">
        <v>9</v>
      </c>
      <c r="D938" s="43">
        <v>22.971944400000002</v>
      </c>
      <c r="E938" s="43">
        <v>38.848888899999999</v>
      </c>
      <c r="F938">
        <v>0</v>
      </c>
      <c r="G938">
        <f t="shared" si="8"/>
        <v>0</v>
      </c>
      <c r="H938" s="32" t="s">
        <v>49</v>
      </c>
      <c r="I938">
        <v>0</v>
      </c>
      <c r="J938">
        <v>64.719298068359294</v>
      </c>
      <c r="K938" s="26">
        <v>2015</v>
      </c>
      <c r="L938" t="s">
        <v>30</v>
      </c>
      <c r="M938" s="32">
        <v>130</v>
      </c>
      <c r="N938">
        <v>15.0852345</v>
      </c>
      <c r="O938">
        <v>24</v>
      </c>
      <c r="P938" t="s">
        <v>23</v>
      </c>
      <c r="Q938">
        <v>91</v>
      </c>
      <c r="R938" t="s">
        <v>13</v>
      </c>
      <c r="S938" t="s">
        <v>21</v>
      </c>
      <c r="T938" t="s">
        <v>28</v>
      </c>
      <c r="U938" s="34">
        <v>14</v>
      </c>
      <c r="V938" s="34">
        <v>15</v>
      </c>
      <c r="W938" s="25">
        <v>14.5</v>
      </c>
      <c r="X938" s="25">
        <v>1</v>
      </c>
      <c r="Y938">
        <v>0.91818181818181799</v>
      </c>
      <c r="Z938" t="s">
        <v>821</v>
      </c>
      <c r="AA938" t="s">
        <v>647</v>
      </c>
      <c r="AB938">
        <v>1</v>
      </c>
      <c r="AC938">
        <v>81.081080999999998</v>
      </c>
      <c r="AF938" t="s">
        <v>531</v>
      </c>
      <c r="AG938" s="32" t="s">
        <v>2080</v>
      </c>
      <c r="AH938" s="32" t="s">
        <v>671</v>
      </c>
      <c r="AI938" s="32" t="s">
        <v>1129</v>
      </c>
      <c r="AJ938" s="31" t="s">
        <v>1130</v>
      </c>
      <c r="AK938" s="31">
        <v>0.59524549999999998</v>
      </c>
      <c r="AL938" s="31">
        <v>119.24054853098728</v>
      </c>
      <c r="AM938" s="31">
        <v>81.081080999999998</v>
      </c>
      <c r="AN938" s="31">
        <v>1976.672128020411</v>
      </c>
      <c r="AO938" s="31">
        <v>1344.0957367016424</v>
      </c>
      <c r="AP938" s="31">
        <v>1.8149444084551043</v>
      </c>
      <c r="AQ938" s="31">
        <v>1.234124267335144</v>
      </c>
      <c r="AR938" s="31">
        <v>0.55269999999999997</v>
      </c>
    </row>
    <row r="939" spans="1:44" hidden="1" x14ac:dyDescent="0.5">
      <c r="A939" s="31">
        <v>938</v>
      </c>
      <c r="B939" s="31">
        <v>65</v>
      </c>
      <c r="C939" s="225" t="s">
        <v>9</v>
      </c>
      <c r="D939" s="43">
        <v>22.971944400000002</v>
      </c>
      <c r="E939" s="43">
        <v>38.848888899999999</v>
      </c>
      <c r="F939">
        <v>0</v>
      </c>
      <c r="G939">
        <f t="shared" si="8"/>
        <v>0</v>
      </c>
      <c r="H939" s="32" t="s">
        <v>49</v>
      </c>
      <c r="I939">
        <v>0</v>
      </c>
      <c r="J939">
        <v>64.719298068359294</v>
      </c>
      <c r="K939" s="26">
        <v>2015</v>
      </c>
      <c r="L939" t="s">
        <v>30</v>
      </c>
      <c r="M939" s="32">
        <v>130</v>
      </c>
      <c r="N939">
        <v>15.0852345</v>
      </c>
      <c r="O939">
        <v>24</v>
      </c>
      <c r="P939" t="s">
        <v>23</v>
      </c>
      <c r="Q939">
        <v>91</v>
      </c>
      <c r="R939" t="s">
        <v>13</v>
      </c>
      <c r="S939" t="s">
        <v>21</v>
      </c>
      <c r="T939" t="s">
        <v>28</v>
      </c>
      <c r="U939" s="34">
        <v>0</v>
      </c>
      <c r="V939" s="34">
        <v>1</v>
      </c>
      <c r="W939" s="25">
        <v>0.5</v>
      </c>
      <c r="X939" s="25">
        <v>1</v>
      </c>
      <c r="Y939">
        <v>0.91818181818181799</v>
      </c>
      <c r="Z939" t="s">
        <v>821</v>
      </c>
      <c r="AA939" t="s">
        <v>647</v>
      </c>
      <c r="AB939">
        <v>1</v>
      </c>
      <c r="AC939">
        <v>192.307692</v>
      </c>
      <c r="AF939" t="s">
        <v>531</v>
      </c>
      <c r="AG939" s="32" t="s">
        <v>2081</v>
      </c>
      <c r="AH939" s="32" t="s">
        <v>671</v>
      </c>
      <c r="AI939" s="32" t="s">
        <v>1129</v>
      </c>
      <c r="AJ939" s="31" t="s">
        <v>1130</v>
      </c>
      <c r="AK939" s="31">
        <v>0.59524549999999998</v>
      </c>
      <c r="AL939" s="31">
        <v>282.81412134611475</v>
      </c>
      <c r="AM939" s="31">
        <v>192.307692</v>
      </c>
      <c r="AN939" s="31">
        <v>4688.2608136457111</v>
      </c>
      <c r="AO939" s="31">
        <v>3187.9193735975541</v>
      </c>
      <c r="AP939" s="31">
        <v>4.3046758379837886</v>
      </c>
      <c r="AQ939" s="31">
        <v>2.9270896066668444</v>
      </c>
      <c r="AR939" s="31">
        <v>0.55269999999999997</v>
      </c>
    </row>
    <row r="940" spans="1:44" hidden="1" x14ac:dyDescent="0.5">
      <c r="A940" s="31">
        <v>939</v>
      </c>
      <c r="B940" s="31">
        <v>65</v>
      </c>
      <c r="C940" s="225" t="s">
        <v>9</v>
      </c>
      <c r="D940" s="43">
        <v>22.971944400000002</v>
      </c>
      <c r="E940" s="43">
        <v>38.848888899999999</v>
      </c>
      <c r="F940">
        <v>0</v>
      </c>
      <c r="G940">
        <f t="shared" si="8"/>
        <v>0</v>
      </c>
      <c r="H940" s="32" t="s">
        <v>49</v>
      </c>
      <c r="I940">
        <v>0</v>
      </c>
      <c r="J940">
        <v>64.719298068359294</v>
      </c>
      <c r="K940" s="26">
        <v>2015</v>
      </c>
      <c r="L940" t="s">
        <v>30</v>
      </c>
      <c r="M940" s="32">
        <v>130</v>
      </c>
      <c r="N940">
        <v>15.0852345</v>
      </c>
      <c r="O940">
        <v>24</v>
      </c>
      <c r="P940" t="s">
        <v>23</v>
      </c>
      <c r="Q940">
        <v>91</v>
      </c>
      <c r="R940" t="s">
        <v>13</v>
      </c>
      <c r="S940" t="s">
        <v>21</v>
      </c>
      <c r="T940" t="s">
        <v>28</v>
      </c>
      <c r="U940" s="34">
        <v>4</v>
      </c>
      <c r="V940" s="34">
        <v>5</v>
      </c>
      <c r="W940" s="25">
        <v>4.5</v>
      </c>
      <c r="X940" s="25">
        <v>1</v>
      </c>
      <c r="Y940">
        <v>0.91818181818181799</v>
      </c>
      <c r="Z940" t="s">
        <v>821</v>
      </c>
      <c r="AA940" t="s">
        <v>647</v>
      </c>
      <c r="AB940">
        <v>1</v>
      </c>
      <c r="AC940">
        <v>437.15847000000002</v>
      </c>
      <c r="AF940" t="s">
        <v>531</v>
      </c>
      <c r="AG940" s="32" t="s">
        <v>2082</v>
      </c>
      <c r="AH940" s="32" t="s">
        <v>671</v>
      </c>
      <c r="AI940" s="32" t="s">
        <v>1129</v>
      </c>
      <c r="AJ940" s="31" t="s">
        <v>1130</v>
      </c>
      <c r="AK940" s="31">
        <v>0.59524549999999998</v>
      </c>
      <c r="AL940" s="31">
        <v>642.89986165536141</v>
      </c>
      <c r="AM940" s="31">
        <v>437.15847000000002</v>
      </c>
      <c r="AN940" s="31">
        <v>10657.467223174379</v>
      </c>
      <c r="AO940" s="31">
        <v>7246.8549819903456</v>
      </c>
      <c r="AP940" s="31">
        <v>9.785492632187383</v>
      </c>
      <c r="AQ940" s="31">
        <v>6.6539304834638617</v>
      </c>
      <c r="AR940" s="31">
        <v>0.55269999999999997</v>
      </c>
    </row>
    <row r="941" spans="1:44" hidden="1" x14ac:dyDescent="0.5">
      <c r="A941" s="31">
        <v>940</v>
      </c>
      <c r="B941" s="31">
        <v>65</v>
      </c>
      <c r="C941" s="225" t="s">
        <v>9</v>
      </c>
      <c r="D941" s="43">
        <v>26.636990000000001</v>
      </c>
      <c r="E941" s="43">
        <v>50.010669999999998</v>
      </c>
      <c r="F941">
        <v>0.05</v>
      </c>
      <c r="G941">
        <f t="shared" si="8"/>
        <v>80.467200000000005</v>
      </c>
      <c r="H941" s="32" t="s">
        <v>49</v>
      </c>
      <c r="I941">
        <v>0</v>
      </c>
      <c r="J941">
        <v>344.812537129791</v>
      </c>
      <c r="K941" s="26">
        <v>2016</v>
      </c>
      <c r="L941" t="s">
        <v>30</v>
      </c>
      <c r="M941" s="32">
        <v>130</v>
      </c>
      <c r="N941">
        <v>15.0852345</v>
      </c>
      <c r="O941">
        <v>24</v>
      </c>
      <c r="P941" t="s">
        <v>23</v>
      </c>
      <c r="Q941">
        <v>91</v>
      </c>
      <c r="R941" t="s">
        <v>13</v>
      </c>
      <c r="S941" t="s">
        <v>21</v>
      </c>
      <c r="T941" t="s">
        <v>28</v>
      </c>
      <c r="U941" s="34">
        <v>5</v>
      </c>
      <c r="V941" s="34">
        <v>6</v>
      </c>
      <c r="W941" s="25">
        <v>5.5</v>
      </c>
      <c r="X941" s="25">
        <v>1</v>
      </c>
      <c r="Y941">
        <v>1.228</v>
      </c>
      <c r="Z941" t="s">
        <v>816</v>
      </c>
      <c r="AA941" t="s">
        <v>660</v>
      </c>
      <c r="AB941">
        <v>1</v>
      </c>
      <c r="AC941">
        <v>0</v>
      </c>
      <c r="AF941" t="s">
        <v>531</v>
      </c>
      <c r="AH941" s="32" t="s">
        <v>671</v>
      </c>
      <c r="AI941" s="32" t="s">
        <v>1129</v>
      </c>
      <c r="AJ941" s="31" t="s">
        <v>1130</v>
      </c>
      <c r="AK941" s="31">
        <v>0.59524549999999998</v>
      </c>
      <c r="AL941" s="31">
        <v>0</v>
      </c>
      <c r="AM941" s="31">
        <v>0</v>
      </c>
      <c r="AN941" s="31">
        <v>0</v>
      </c>
      <c r="AO941" s="31">
        <v>0</v>
      </c>
      <c r="AP941" s="31">
        <v>0</v>
      </c>
      <c r="AQ941" s="31">
        <v>0</v>
      </c>
      <c r="AR941" s="31">
        <v>0.55269999999999997</v>
      </c>
    </row>
    <row r="942" spans="1:44" hidden="1" x14ac:dyDescent="0.5">
      <c r="A942" s="31">
        <v>941</v>
      </c>
      <c r="B942" s="31">
        <v>65</v>
      </c>
      <c r="C942" s="225" t="s">
        <v>9</v>
      </c>
      <c r="D942" s="43">
        <v>26.636990000000001</v>
      </c>
      <c r="E942" s="43">
        <v>50.010669999999998</v>
      </c>
      <c r="F942">
        <v>0.05</v>
      </c>
      <c r="G942">
        <f t="shared" si="8"/>
        <v>80.467200000000005</v>
      </c>
      <c r="H942" s="32" t="s">
        <v>49</v>
      </c>
      <c r="I942">
        <v>0</v>
      </c>
      <c r="J942">
        <v>344.812537129791</v>
      </c>
      <c r="K942" s="26">
        <v>2016</v>
      </c>
      <c r="L942" t="s">
        <v>30</v>
      </c>
      <c r="M942" s="32">
        <v>130</v>
      </c>
      <c r="N942">
        <v>15.0852345</v>
      </c>
      <c r="O942">
        <v>24</v>
      </c>
      <c r="P942" t="s">
        <v>23</v>
      </c>
      <c r="Q942">
        <v>91</v>
      </c>
      <c r="R942" t="s">
        <v>13</v>
      </c>
      <c r="S942" t="s">
        <v>21</v>
      </c>
      <c r="T942" t="s">
        <v>28</v>
      </c>
      <c r="U942" s="34">
        <v>6</v>
      </c>
      <c r="V942" s="34">
        <v>7</v>
      </c>
      <c r="W942" s="25">
        <v>6.5</v>
      </c>
      <c r="X942" s="25">
        <v>1</v>
      </c>
      <c r="Y942">
        <v>1.228</v>
      </c>
      <c r="Z942" t="s">
        <v>816</v>
      </c>
      <c r="AA942" t="s">
        <v>660</v>
      </c>
      <c r="AB942">
        <v>1</v>
      </c>
      <c r="AC942">
        <v>0</v>
      </c>
      <c r="AF942" t="s">
        <v>531</v>
      </c>
      <c r="AH942" s="32" t="s">
        <v>671</v>
      </c>
      <c r="AI942" s="32" t="s">
        <v>1129</v>
      </c>
      <c r="AJ942" s="31" t="s">
        <v>1130</v>
      </c>
      <c r="AK942" s="31">
        <v>0.59524549999999998</v>
      </c>
      <c r="AL942" s="31">
        <v>0</v>
      </c>
      <c r="AM942" s="31">
        <v>0</v>
      </c>
      <c r="AN942" s="31">
        <v>0</v>
      </c>
      <c r="AO942" s="31">
        <v>0</v>
      </c>
      <c r="AP942" s="31">
        <v>0</v>
      </c>
      <c r="AQ942" s="31">
        <v>0</v>
      </c>
      <c r="AR942" s="31">
        <v>0.55269999999999997</v>
      </c>
    </row>
    <row r="943" spans="1:44" hidden="1" x14ac:dyDescent="0.5">
      <c r="A943" s="31">
        <v>942</v>
      </c>
      <c r="B943" s="31">
        <v>65</v>
      </c>
      <c r="C943" s="225" t="s">
        <v>9</v>
      </c>
      <c r="D943" s="43">
        <v>26.636990000000001</v>
      </c>
      <c r="E943" s="43">
        <v>50.010669999999998</v>
      </c>
      <c r="F943">
        <v>0.05</v>
      </c>
      <c r="G943">
        <f t="shared" si="8"/>
        <v>80.467200000000005</v>
      </c>
      <c r="H943" s="32" t="s">
        <v>49</v>
      </c>
      <c r="I943">
        <v>0</v>
      </c>
      <c r="J943">
        <v>344.812537129791</v>
      </c>
      <c r="K943" s="26">
        <v>2016</v>
      </c>
      <c r="L943" t="s">
        <v>30</v>
      </c>
      <c r="M943" s="32">
        <v>130</v>
      </c>
      <c r="N943">
        <v>15.0852345</v>
      </c>
      <c r="O943">
        <v>24</v>
      </c>
      <c r="P943" t="s">
        <v>23</v>
      </c>
      <c r="Q943">
        <v>91</v>
      </c>
      <c r="R943" t="s">
        <v>13</v>
      </c>
      <c r="S943" t="s">
        <v>21</v>
      </c>
      <c r="T943" t="s">
        <v>28</v>
      </c>
      <c r="U943" s="34">
        <v>8</v>
      </c>
      <c r="V943" s="34">
        <v>9</v>
      </c>
      <c r="W943" s="25">
        <v>8.5</v>
      </c>
      <c r="X943" s="25">
        <v>1</v>
      </c>
      <c r="Y943">
        <v>1.228</v>
      </c>
      <c r="Z943" t="s">
        <v>816</v>
      </c>
      <c r="AA943" t="s">
        <v>660</v>
      </c>
      <c r="AB943">
        <v>1</v>
      </c>
      <c r="AC943">
        <v>0</v>
      </c>
      <c r="AF943" t="s">
        <v>531</v>
      </c>
      <c r="AH943" s="32" t="s">
        <v>671</v>
      </c>
      <c r="AI943" s="32" t="s">
        <v>1129</v>
      </c>
      <c r="AJ943" s="31" t="s">
        <v>1130</v>
      </c>
      <c r="AK943" s="31">
        <v>0.59524549999999998</v>
      </c>
      <c r="AL943" s="31">
        <v>0</v>
      </c>
      <c r="AM943" s="31">
        <v>0</v>
      </c>
      <c r="AN943" s="31">
        <v>0</v>
      </c>
      <c r="AO943" s="31">
        <v>0</v>
      </c>
      <c r="AP943" s="31">
        <v>0</v>
      </c>
      <c r="AQ943" s="31">
        <v>0</v>
      </c>
      <c r="AR943" s="31">
        <v>0.55269999999999997</v>
      </c>
    </row>
    <row r="944" spans="1:44" hidden="1" x14ac:dyDescent="0.5">
      <c r="A944" s="31">
        <v>943</v>
      </c>
      <c r="B944" s="31">
        <v>65</v>
      </c>
      <c r="C944" s="225" t="s">
        <v>9</v>
      </c>
      <c r="D944" s="43">
        <v>26.636990000000001</v>
      </c>
      <c r="E944" s="43">
        <v>50.010669999999998</v>
      </c>
      <c r="F944">
        <v>0.05</v>
      </c>
      <c r="G944">
        <f t="shared" si="8"/>
        <v>80.467200000000005</v>
      </c>
      <c r="H944" s="32" t="s">
        <v>49</v>
      </c>
      <c r="I944">
        <v>0</v>
      </c>
      <c r="J944">
        <v>344.812537129791</v>
      </c>
      <c r="K944" s="26">
        <v>2016</v>
      </c>
      <c r="L944" t="s">
        <v>30</v>
      </c>
      <c r="M944" s="32">
        <v>130</v>
      </c>
      <c r="N944">
        <v>15.0852345</v>
      </c>
      <c r="O944">
        <v>24</v>
      </c>
      <c r="P944" t="s">
        <v>23</v>
      </c>
      <c r="Q944">
        <v>91</v>
      </c>
      <c r="R944" t="s">
        <v>13</v>
      </c>
      <c r="S944" t="s">
        <v>21</v>
      </c>
      <c r="T944" t="s">
        <v>28</v>
      </c>
      <c r="U944" s="34">
        <v>11</v>
      </c>
      <c r="V944" s="34">
        <v>12</v>
      </c>
      <c r="W944" s="25">
        <v>11.5</v>
      </c>
      <c r="X944" s="25">
        <v>1</v>
      </c>
      <c r="Y944">
        <v>1.228</v>
      </c>
      <c r="Z944" t="s">
        <v>816</v>
      </c>
      <c r="AA944" t="s">
        <v>660</v>
      </c>
      <c r="AB944">
        <v>1</v>
      </c>
      <c r="AC944">
        <v>0</v>
      </c>
      <c r="AF944" t="s">
        <v>531</v>
      </c>
      <c r="AH944" s="32" t="s">
        <v>671</v>
      </c>
      <c r="AI944" s="32" t="s">
        <v>1129</v>
      </c>
      <c r="AJ944" s="31" t="s">
        <v>1130</v>
      </c>
      <c r="AK944" s="31">
        <v>0.59524549999999998</v>
      </c>
      <c r="AL944" s="31">
        <v>0</v>
      </c>
      <c r="AM944" s="31">
        <v>0</v>
      </c>
      <c r="AN944" s="31">
        <v>0</v>
      </c>
      <c r="AO944" s="31">
        <v>0</v>
      </c>
      <c r="AP944" s="31">
        <v>0</v>
      </c>
      <c r="AQ944" s="31">
        <v>0</v>
      </c>
      <c r="AR944" s="31">
        <v>0.55269999999999997</v>
      </c>
    </row>
    <row r="945" spans="1:44" hidden="1" x14ac:dyDescent="0.5">
      <c r="A945" s="31">
        <v>944</v>
      </c>
      <c r="B945" s="31">
        <v>65</v>
      </c>
      <c r="C945" s="225" t="s">
        <v>9</v>
      </c>
      <c r="D945" s="43">
        <v>26.636990000000001</v>
      </c>
      <c r="E945" s="43">
        <v>50.010669999999998</v>
      </c>
      <c r="F945">
        <v>0.05</v>
      </c>
      <c r="G945">
        <f t="shared" si="8"/>
        <v>80.467200000000005</v>
      </c>
      <c r="H945" s="32" t="s">
        <v>49</v>
      </c>
      <c r="I945">
        <v>0</v>
      </c>
      <c r="J945">
        <v>344.812537129791</v>
      </c>
      <c r="K945" s="26">
        <v>2016</v>
      </c>
      <c r="L945" t="s">
        <v>30</v>
      </c>
      <c r="M945" s="32">
        <v>130</v>
      </c>
      <c r="N945">
        <v>15.0852345</v>
      </c>
      <c r="O945">
        <v>24</v>
      </c>
      <c r="P945" t="s">
        <v>23</v>
      </c>
      <c r="Q945">
        <v>91</v>
      </c>
      <c r="R945" t="s">
        <v>13</v>
      </c>
      <c r="S945" t="s">
        <v>21</v>
      </c>
      <c r="T945" t="s">
        <v>28</v>
      </c>
      <c r="U945" s="34">
        <v>12</v>
      </c>
      <c r="V945" s="34">
        <v>13</v>
      </c>
      <c r="W945" s="25">
        <v>12.5</v>
      </c>
      <c r="X945" s="25">
        <v>1</v>
      </c>
      <c r="Y945">
        <v>1.228</v>
      </c>
      <c r="Z945" t="s">
        <v>816</v>
      </c>
      <c r="AA945" t="s">
        <v>660</v>
      </c>
      <c r="AB945">
        <v>1</v>
      </c>
      <c r="AC945">
        <v>0</v>
      </c>
      <c r="AF945" t="s">
        <v>531</v>
      </c>
      <c r="AH945" s="32" t="s">
        <v>671</v>
      </c>
      <c r="AI945" s="32" t="s">
        <v>1129</v>
      </c>
      <c r="AJ945" s="31" t="s">
        <v>1130</v>
      </c>
      <c r="AK945" s="31">
        <v>0.59524549999999998</v>
      </c>
      <c r="AL945" s="31">
        <v>0</v>
      </c>
      <c r="AM945" s="31">
        <v>0</v>
      </c>
      <c r="AN945" s="31">
        <v>0</v>
      </c>
      <c r="AO945" s="31">
        <v>0</v>
      </c>
      <c r="AP945" s="31">
        <v>0</v>
      </c>
      <c r="AQ945" s="31">
        <v>0</v>
      </c>
      <c r="AR945" s="31">
        <v>0.55269999999999997</v>
      </c>
    </row>
    <row r="946" spans="1:44" hidden="1" x14ac:dyDescent="0.5">
      <c r="A946" s="31">
        <v>945</v>
      </c>
      <c r="B946" s="31">
        <v>65</v>
      </c>
      <c r="C946" s="225" t="s">
        <v>9</v>
      </c>
      <c r="D946" s="43">
        <v>26.636990000000001</v>
      </c>
      <c r="E946" s="43">
        <v>50.010669999999998</v>
      </c>
      <c r="F946">
        <v>0.05</v>
      </c>
      <c r="G946">
        <f t="shared" si="8"/>
        <v>80.467200000000005</v>
      </c>
      <c r="H946" s="32" t="s">
        <v>49</v>
      </c>
      <c r="I946">
        <v>0</v>
      </c>
      <c r="J946">
        <v>344.812537129791</v>
      </c>
      <c r="K946" s="26">
        <v>2016</v>
      </c>
      <c r="L946" t="s">
        <v>30</v>
      </c>
      <c r="M946" s="32">
        <v>130</v>
      </c>
      <c r="N946">
        <v>15.0852345</v>
      </c>
      <c r="O946">
        <v>24</v>
      </c>
      <c r="P946" t="s">
        <v>23</v>
      </c>
      <c r="Q946">
        <v>91</v>
      </c>
      <c r="R946" t="s">
        <v>13</v>
      </c>
      <c r="S946" t="s">
        <v>21</v>
      </c>
      <c r="T946" t="s">
        <v>28</v>
      </c>
      <c r="U946" s="34">
        <v>16</v>
      </c>
      <c r="V946" s="34">
        <v>17</v>
      </c>
      <c r="W946" s="25">
        <v>16.5</v>
      </c>
      <c r="X946" s="25">
        <v>1</v>
      </c>
      <c r="Y946">
        <v>1.228</v>
      </c>
      <c r="Z946" t="s">
        <v>816</v>
      </c>
      <c r="AA946" t="s">
        <v>660</v>
      </c>
      <c r="AB946">
        <v>1</v>
      </c>
      <c r="AC946">
        <v>0</v>
      </c>
      <c r="AF946" t="s">
        <v>531</v>
      </c>
      <c r="AH946" s="32" t="s">
        <v>671</v>
      </c>
      <c r="AI946" s="32" t="s">
        <v>1129</v>
      </c>
      <c r="AJ946" s="31" t="s">
        <v>1130</v>
      </c>
      <c r="AK946" s="31">
        <v>0.59524549999999998</v>
      </c>
      <c r="AL946" s="31">
        <v>0</v>
      </c>
      <c r="AM946" s="31">
        <v>0</v>
      </c>
      <c r="AN946" s="31">
        <v>0</v>
      </c>
      <c r="AO946" s="31">
        <v>0</v>
      </c>
      <c r="AP946" s="31">
        <v>0</v>
      </c>
      <c r="AQ946" s="31">
        <v>0</v>
      </c>
      <c r="AR946" s="31">
        <v>0.55269999999999997</v>
      </c>
    </row>
    <row r="947" spans="1:44" hidden="1" x14ac:dyDescent="0.5">
      <c r="A947" s="31">
        <v>946</v>
      </c>
      <c r="B947" s="31">
        <v>65</v>
      </c>
      <c r="C947" s="225" t="s">
        <v>9</v>
      </c>
      <c r="D947" s="43">
        <v>26.636990000000001</v>
      </c>
      <c r="E947" s="43">
        <v>50.010669999999998</v>
      </c>
      <c r="F947">
        <v>0.05</v>
      </c>
      <c r="G947">
        <f t="shared" si="8"/>
        <v>80.467200000000005</v>
      </c>
      <c r="H947" s="32" t="s">
        <v>49</v>
      </c>
      <c r="I947">
        <v>0</v>
      </c>
      <c r="J947">
        <v>344.812537129791</v>
      </c>
      <c r="K947" s="26">
        <v>2016</v>
      </c>
      <c r="L947" t="s">
        <v>30</v>
      </c>
      <c r="M947" s="32">
        <v>130</v>
      </c>
      <c r="N947">
        <v>15.0852345</v>
      </c>
      <c r="O947">
        <v>24</v>
      </c>
      <c r="P947" t="s">
        <v>23</v>
      </c>
      <c r="Q947">
        <v>91</v>
      </c>
      <c r="R947" t="s">
        <v>13</v>
      </c>
      <c r="S947" t="s">
        <v>21</v>
      </c>
      <c r="T947" t="s">
        <v>28</v>
      </c>
      <c r="U947" s="34">
        <v>7</v>
      </c>
      <c r="V947" s="34">
        <v>8</v>
      </c>
      <c r="W947" s="25">
        <v>7.5</v>
      </c>
      <c r="X947" s="25">
        <v>1</v>
      </c>
      <c r="Y947">
        <v>1.228</v>
      </c>
      <c r="Z947" t="s">
        <v>816</v>
      </c>
      <c r="AA947" t="s">
        <v>660</v>
      </c>
      <c r="AB947">
        <v>1</v>
      </c>
      <c r="AC947">
        <v>20.117486119999999</v>
      </c>
      <c r="AF947" t="s">
        <v>531</v>
      </c>
      <c r="AG947" s="32" t="s">
        <v>2083</v>
      </c>
      <c r="AH947" s="32" t="s">
        <v>671</v>
      </c>
      <c r="AI947" s="32" t="s">
        <v>1129</v>
      </c>
      <c r="AJ947" s="31" t="s">
        <v>1130</v>
      </c>
      <c r="AK947" s="31">
        <v>0.59524549999999998</v>
      </c>
      <c r="AL947" s="31">
        <v>29.5854476830831</v>
      </c>
      <c r="AM947" s="31">
        <v>20.117486119999999</v>
      </c>
      <c r="AN947" s="31">
        <v>490.44331438108821</v>
      </c>
      <c r="AO947" s="31">
        <v>333.49120403373092</v>
      </c>
      <c r="AP947" s="31">
        <v>0.60226439005997634</v>
      </c>
      <c r="AQ947" s="31">
        <v>0.40952719855342162</v>
      </c>
      <c r="AR947" s="31">
        <v>0.55269999999999997</v>
      </c>
    </row>
    <row r="948" spans="1:44" hidden="1" x14ac:dyDescent="0.5">
      <c r="A948" s="31">
        <v>947</v>
      </c>
      <c r="B948" s="31">
        <v>65</v>
      </c>
      <c r="C948" s="225" t="s">
        <v>9</v>
      </c>
      <c r="D948" s="43">
        <v>26.636990000000001</v>
      </c>
      <c r="E948" s="43">
        <v>50.010669999999998</v>
      </c>
      <c r="F948">
        <v>0.05</v>
      </c>
      <c r="G948">
        <f t="shared" si="8"/>
        <v>80.467200000000005</v>
      </c>
      <c r="H948" s="32" t="s">
        <v>49</v>
      </c>
      <c r="I948">
        <v>0</v>
      </c>
      <c r="J948">
        <v>344.812537129791</v>
      </c>
      <c r="K948" s="26">
        <v>2016</v>
      </c>
      <c r="L948" t="s">
        <v>30</v>
      </c>
      <c r="M948" s="32">
        <v>130</v>
      </c>
      <c r="N948">
        <v>15.0852345</v>
      </c>
      <c r="O948">
        <v>24</v>
      </c>
      <c r="P948" t="s">
        <v>23</v>
      </c>
      <c r="Q948">
        <v>91</v>
      </c>
      <c r="R948" t="s">
        <v>13</v>
      </c>
      <c r="S948" t="s">
        <v>21</v>
      </c>
      <c r="T948" t="s">
        <v>28</v>
      </c>
      <c r="U948" s="34">
        <v>9</v>
      </c>
      <c r="V948" s="34">
        <v>10</v>
      </c>
      <c r="W948" s="25">
        <v>9.5</v>
      </c>
      <c r="X948" s="25">
        <v>1</v>
      </c>
      <c r="Y948">
        <v>1.228</v>
      </c>
      <c r="Z948" t="s">
        <v>816</v>
      </c>
      <c r="AA948" t="s">
        <v>660</v>
      </c>
      <c r="AB948">
        <v>1</v>
      </c>
      <c r="AC948">
        <v>25.380710659999998</v>
      </c>
      <c r="AF948" t="s">
        <v>531</v>
      </c>
      <c r="AG948" s="32" t="s">
        <v>2084</v>
      </c>
      <c r="AH948" s="32" t="s">
        <v>671</v>
      </c>
      <c r="AI948" s="32" t="s">
        <v>1129</v>
      </c>
      <c r="AJ948" s="31" t="s">
        <v>1130</v>
      </c>
      <c r="AK948" s="31">
        <v>0.59524549999999998</v>
      </c>
      <c r="AL948" s="31">
        <v>37.325721658850064</v>
      </c>
      <c r="AM948" s="31">
        <v>25.380710659999998</v>
      </c>
      <c r="AN948" s="31">
        <v>618.75523528074962</v>
      </c>
      <c r="AO948" s="31">
        <v>420.74062866236233</v>
      </c>
      <c r="AP948" s="31">
        <v>0.75983142892476052</v>
      </c>
      <c r="AQ948" s="31">
        <v>0.51666949199738099</v>
      </c>
      <c r="AR948" s="31">
        <v>0.55269999999999997</v>
      </c>
    </row>
    <row r="949" spans="1:44" hidden="1" x14ac:dyDescent="0.5">
      <c r="A949" s="31">
        <v>948</v>
      </c>
      <c r="B949" s="31">
        <v>65</v>
      </c>
      <c r="C949" s="225" t="s">
        <v>9</v>
      </c>
      <c r="D949" s="43">
        <v>26.636990000000001</v>
      </c>
      <c r="E949" s="43">
        <v>50.010669999999998</v>
      </c>
      <c r="F949">
        <v>0.05</v>
      </c>
      <c r="G949">
        <f t="shared" si="8"/>
        <v>80.467200000000005</v>
      </c>
      <c r="H949" s="32" t="s">
        <v>49</v>
      </c>
      <c r="I949">
        <v>0</v>
      </c>
      <c r="J949">
        <v>344.812537129791</v>
      </c>
      <c r="K949" s="26">
        <v>2016</v>
      </c>
      <c r="L949" t="s">
        <v>30</v>
      </c>
      <c r="M949" s="32">
        <v>130</v>
      </c>
      <c r="N949">
        <v>15.0852345</v>
      </c>
      <c r="O949">
        <v>24</v>
      </c>
      <c r="P949" t="s">
        <v>23</v>
      </c>
      <c r="Q949">
        <v>91</v>
      </c>
      <c r="R949" t="s">
        <v>13</v>
      </c>
      <c r="S949" t="s">
        <v>21</v>
      </c>
      <c r="T949" t="s">
        <v>28</v>
      </c>
      <c r="U949" s="34">
        <v>4</v>
      </c>
      <c r="V949" s="34">
        <v>5</v>
      </c>
      <c r="W949" s="25">
        <v>4.5</v>
      </c>
      <c r="X949" s="25">
        <v>1</v>
      </c>
      <c r="Y949">
        <v>1.228</v>
      </c>
      <c r="Z949" t="s">
        <v>816</v>
      </c>
      <c r="AA949" t="s">
        <v>660</v>
      </c>
      <c r="AB949">
        <v>1</v>
      </c>
      <c r="AC949">
        <v>116.2790698</v>
      </c>
      <c r="AF949" t="s">
        <v>531</v>
      </c>
      <c r="AG949" s="32" t="s">
        <v>2085</v>
      </c>
      <c r="AH949" s="32" t="s">
        <v>671</v>
      </c>
      <c r="AI949" s="32" t="s">
        <v>1129</v>
      </c>
      <c r="AJ949" s="31" t="s">
        <v>1130</v>
      </c>
      <c r="AK949" s="31">
        <v>0.59524549999999998</v>
      </c>
      <c r="AL949" s="31">
        <v>171.00388764704508</v>
      </c>
      <c r="AM949" s="31">
        <v>116.2790698</v>
      </c>
      <c r="AN949" s="31">
        <v>2834.7623577662948</v>
      </c>
      <c r="AO949" s="31">
        <v>1927.5791597526022</v>
      </c>
      <c r="AP949" s="31">
        <v>3.48108817533701</v>
      </c>
      <c r="AQ949" s="31">
        <v>2.3670672081761954</v>
      </c>
      <c r="AR949" s="31">
        <v>0.55269999999999997</v>
      </c>
    </row>
    <row r="950" spans="1:44" hidden="1" x14ac:dyDescent="0.5">
      <c r="A950" s="31">
        <v>949</v>
      </c>
      <c r="B950" s="31">
        <v>65</v>
      </c>
      <c r="C950" s="225" t="s">
        <v>9</v>
      </c>
      <c r="D950" s="43">
        <v>26.636990000000001</v>
      </c>
      <c r="E950" s="43">
        <v>50.010669999999998</v>
      </c>
      <c r="F950">
        <v>0.05</v>
      </c>
      <c r="G950">
        <f t="shared" si="8"/>
        <v>80.467200000000005</v>
      </c>
      <c r="H950" s="32" t="s">
        <v>49</v>
      </c>
      <c r="I950">
        <v>0</v>
      </c>
      <c r="J950">
        <v>344.812537129791</v>
      </c>
      <c r="K950" s="26">
        <v>2016</v>
      </c>
      <c r="L950" t="s">
        <v>30</v>
      </c>
      <c r="M950" s="32">
        <v>130</v>
      </c>
      <c r="N950">
        <v>15.0852345</v>
      </c>
      <c r="O950">
        <v>24</v>
      </c>
      <c r="P950" t="s">
        <v>23</v>
      </c>
      <c r="Q950">
        <v>91</v>
      </c>
      <c r="R950" t="s">
        <v>13</v>
      </c>
      <c r="S950" t="s">
        <v>21</v>
      </c>
      <c r="T950" t="s">
        <v>28</v>
      </c>
      <c r="U950" s="34">
        <v>0</v>
      </c>
      <c r="V950" s="34">
        <v>1</v>
      </c>
      <c r="W950" s="25">
        <v>0.5</v>
      </c>
      <c r="X950" s="25">
        <v>1</v>
      </c>
      <c r="Y950">
        <v>1.228</v>
      </c>
      <c r="Z950" t="s">
        <v>816</v>
      </c>
      <c r="AA950" t="s">
        <v>660</v>
      </c>
      <c r="AB950">
        <v>1</v>
      </c>
      <c r="AC950">
        <v>193.0501931</v>
      </c>
      <c r="AF950" t="s">
        <v>531</v>
      </c>
      <c r="AG950" s="32" t="s">
        <v>2086</v>
      </c>
      <c r="AH950" s="32" t="s">
        <v>671</v>
      </c>
      <c r="AI950" s="32" t="s">
        <v>1129</v>
      </c>
      <c r="AJ950" s="31" t="s">
        <v>1130</v>
      </c>
      <c r="AK950" s="31">
        <v>0.59524549999999998</v>
      </c>
      <c r="AL950" s="31">
        <v>283.90606828807597</v>
      </c>
      <c r="AM950" s="31">
        <v>193.0501931</v>
      </c>
      <c r="AN950" s="31">
        <v>4706.3622154930099</v>
      </c>
      <c r="AO950" s="31">
        <v>3200.2279485536064</v>
      </c>
      <c r="AP950" s="31">
        <v>5.7794128006254155</v>
      </c>
      <c r="AQ950" s="31">
        <v>3.9298799208238284</v>
      </c>
      <c r="AR950" s="31">
        <v>0.55269999999999997</v>
      </c>
    </row>
    <row r="951" spans="1:44" hidden="1" x14ac:dyDescent="0.5">
      <c r="A951" s="31">
        <v>950</v>
      </c>
      <c r="B951" s="31">
        <v>65</v>
      </c>
      <c r="C951" s="225" t="s">
        <v>9</v>
      </c>
      <c r="D951" s="43">
        <v>26.636990000000001</v>
      </c>
      <c r="E951" s="43">
        <v>50.010669999999998</v>
      </c>
      <c r="F951">
        <v>0.05</v>
      </c>
      <c r="G951">
        <f t="shared" si="8"/>
        <v>80.467200000000005</v>
      </c>
      <c r="H951" s="32" t="s">
        <v>49</v>
      </c>
      <c r="I951">
        <v>0</v>
      </c>
      <c r="J951">
        <v>344.812537129791</v>
      </c>
      <c r="K951" s="26">
        <v>2016</v>
      </c>
      <c r="L951" t="s">
        <v>30</v>
      </c>
      <c r="M951" s="32">
        <v>130</v>
      </c>
      <c r="N951">
        <v>15.0852345</v>
      </c>
      <c r="O951">
        <v>24</v>
      </c>
      <c r="P951" t="s">
        <v>23</v>
      </c>
      <c r="Q951">
        <v>91</v>
      </c>
      <c r="R951" t="s">
        <v>13</v>
      </c>
      <c r="S951" t="s">
        <v>21</v>
      </c>
      <c r="T951" t="s">
        <v>28</v>
      </c>
      <c r="U951" s="34">
        <v>1</v>
      </c>
      <c r="V951" s="34">
        <v>2</v>
      </c>
      <c r="W951" s="25">
        <v>1.5</v>
      </c>
      <c r="X951" s="25">
        <v>1</v>
      </c>
      <c r="Y951">
        <v>1.228</v>
      </c>
      <c r="Z951" t="s">
        <v>816</v>
      </c>
      <c r="AA951" t="s">
        <v>660</v>
      </c>
      <c r="AB951">
        <v>1</v>
      </c>
      <c r="AC951">
        <v>216.49239030000001</v>
      </c>
      <c r="AF951" t="s">
        <v>531</v>
      </c>
      <c r="AG951" s="32" t="s">
        <v>2087</v>
      </c>
      <c r="AH951" s="32" t="s">
        <v>671</v>
      </c>
      <c r="AI951" s="32" t="s">
        <v>1129</v>
      </c>
      <c r="AJ951" s="31" t="s">
        <v>1130</v>
      </c>
      <c r="AK951" s="31">
        <v>0.59524549999999998</v>
      </c>
      <c r="AL951" s="31">
        <v>318.38094724164557</v>
      </c>
      <c r="AM951" s="31">
        <v>216.49239030000001</v>
      </c>
      <c r="AN951" s="31">
        <v>5277.8585159036829</v>
      </c>
      <c r="AO951" s="31">
        <v>3588.8334891659624</v>
      </c>
      <c r="AP951" s="31">
        <v>6.4812102575297219</v>
      </c>
      <c r="AQ951" s="31">
        <v>4.4070875246958021</v>
      </c>
      <c r="AR951" s="31">
        <v>0.55269999999999997</v>
      </c>
    </row>
    <row r="952" spans="1:44" hidden="1" x14ac:dyDescent="0.5">
      <c r="A952" s="31">
        <v>951</v>
      </c>
      <c r="B952" s="31">
        <v>65</v>
      </c>
      <c r="C952" s="225" t="s">
        <v>9</v>
      </c>
      <c r="D952" s="43">
        <v>26.64246</v>
      </c>
      <c r="E952" s="43">
        <v>50.014620000000001</v>
      </c>
      <c r="F952">
        <v>0</v>
      </c>
      <c r="G952">
        <f t="shared" si="8"/>
        <v>0</v>
      </c>
      <c r="H952" s="32" t="s">
        <v>49</v>
      </c>
      <c r="I952">
        <v>0</v>
      </c>
      <c r="J952">
        <v>347.58729509832602</v>
      </c>
      <c r="K952" s="26">
        <v>2016</v>
      </c>
      <c r="L952" t="s">
        <v>30</v>
      </c>
      <c r="M952" s="32">
        <v>130</v>
      </c>
      <c r="N952">
        <v>15.0852345</v>
      </c>
      <c r="O952">
        <v>24</v>
      </c>
      <c r="P952" t="s">
        <v>23</v>
      </c>
      <c r="Q952">
        <v>91</v>
      </c>
      <c r="R952" t="s">
        <v>13</v>
      </c>
      <c r="S952" t="s">
        <v>21</v>
      </c>
      <c r="T952" t="s">
        <v>28</v>
      </c>
      <c r="U952" s="34">
        <v>1</v>
      </c>
      <c r="V952" s="34">
        <v>2</v>
      </c>
      <c r="W952" s="25">
        <v>1.5</v>
      </c>
      <c r="X952" s="25">
        <v>1</v>
      </c>
      <c r="Y952">
        <v>1.228</v>
      </c>
      <c r="Z952" t="s">
        <v>816</v>
      </c>
      <c r="AA952" t="s">
        <v>660</v>
      </c>
      <c r="AB952">
        <v>1</v>
      </c>
      <c r="AC952">
        <v>0</v>
      </c>
      <c r="AF952" t="s">
        <v>531</v>
      </c>
      <c r="AH952" s="32" t="s">
        <v>671</v>
      </c>
      <c r="AI952" s="32" t="s">
        <v>1129</v>
      </c>
      <c r="AJ952" s="31" t="s">
        <v>1130</v>
      </c>
      <c r="AK952" s="31">
        <v>0.59524549999999998</v>
      </c>
      <c r="AL952" s="31">
        <v>0</v>
      </c>
      <c r="AM952" s="31">
        <v>0</v>
      </c>
      <c r="AN952" s="31">
        <v>0</v>
      </c>
      <c r="AO952" s="31">
        <v>0</v>
      </c>
      <c r="AP952" s="31">
        <v>0</v>
      </c>
      <c r="AQ952" s="31">
        <v>0</v>
      </c>
      <c r="AR952" s="31">
        <v>0.55269999999999997</v>
      </c>
    </row>
    <row r="953" spans="1:44" hidden="1" x14ac:dyDescent="0.5">
      <c r="A953" s="31">
        <v>952</v>
      </c>
      <c r="B953" s="31">
        <v>65</v>
      </c>
      <c r="C953" s="225" t="s">
        <v>9</v>
      </c>
      <c r="D953" s="43">
        <v>26.64246</v>
      </c>
      <c r="E953" s="43">
        <v>50.014620000000001</v>
      </c>
      <c r="F953">
        <v>0</v>
      </c>
      <c r="G953">
        <f t="shared" si="8"/>
        <v>0</v>
      </c>
      <c r="H953" s="32" t="s">
        <v>49</v>
      </c>
      <c r="I953">
        <v>0</v>
      </c>
      <c r="J953">
        <v>347.58729509832602</v>
      </c>
      <c r="K953" s="26">
        <v>2016</v>
      </c>
      <c r="L953" t="s">
        <v>30</v>
      </c>
      <c r="M953" s="32">
        <v>130</v>
      </c>
      <c r="N953">
        <v>15.0852345</v>
      </c>
      <c r="O953">
        <v>24</v>
      </c>
      <c r="P953" t="s">
        <v>23</v>
      </c>
      <c r="Q953">
        <v>91</v>
      </c>
      <c r="R953" t="s">
        <v>13</v>
      </c>
      <c r="S953" t="s">
        <v>21</v>
      </c>
      <c r="T953" t="s">
        <v>28</v>
      </c>
      <c r="U953" s="34">
        <v>6</v>
      </c>
      <c r="V953" s="34">
        <v>7</v>
      </c>
      <c r="W953" s="25">
        <v>6.5</v>
      </c>
      <c r="X953" s="25">
        <v>1</v>
      </c>
      <c r="Y953">
        <v>1.228</v>
      </c>
      <c r="Z953" t="s">
        <v>816</v>
      </c>
      <c r="AA953" t="s">
        <v>660</v>
      </c>
      <c r="AB953">
        <v>1</v>
      </c>
      <c r="AC953">
        <v>0</v>
      </c>
      <c r="AF953" t="s">
        <v>531</v>
      </c>
      <c r="AH953" s="32" t="s">
        <v>671</v>
      </c>
      <c r="AI953" s="32" t="s">
        <v>1129</v>
      </c>
      <c r="AJ953" s="31" t="s">
        <v>1130</v>
      </c>
      <c r="AK953" s="31">
        <v>0.59524549999999998</v>
      </c>
      <c r="AL953" s="31">
        <v>0</v>
      </c>
      <c r="AM953" s="31">
        <v>0</v>
      </c>
      <c r="AN953" s="31">
        <v>0</v>
      </c>
      <c r="AO953" s="31">
        <v>0</v>
      </c>
      <c r="AP953" s="31">
        <v>0</v>
      </c>
      <c r="AQ953" s="31">
        <v>0</v>
      </c>
      <c r="AR953" s="31">
        <v>0.55269999999999997</v>
      </c>
    </row>
    <row r="954" spans="1:44" hidden="1" x14ac:dyDescent="0.5">
      <c r="A954" s="31">
        <v>953</v>
      </c>
      <c r="B954" s="31">
        <v>65</v>
      </c>
      <c r="C954" s="225" t="s">
        <v>9</v>
      </c>
      <c r="D954" s="43">
        <v>26.64246</v>
      </c>
      <c r="E954" s="43">
        <v>50.014620000000001</v>
      </c>
      <c r="F954">
        <v>0</v>
      </c>
      <c r="G954">
        <f t="shared" si="8"/>
        <v>0</v>
      </c>
      <c r="H954" s="32" t="s">
        <v>49</v>
      </c>
      <c r="I954">
        <v>0</v>
      </c>
      <c r="J954">
        <v>347.58729509832602</v>
      </c>
      <c r="K954" s="26">
        <v>2016</v>
      </c>
      <c r="L954" t="s">
        <v>30</v>
      </c>
      <c r="M954" s="32">
        <v>130</v>
      </c>
      <c r="N954">
        <v>15.0852345</v>
      </c>
      <c r="O954">
        <v>24</v>
      </c>
      <c r="P954" t="s">
        <v>23</v>
      </c>
      <c r="Q954">
        <v>91</v>
      </c>
      <c r="R954" t="s">
        <v>13</v>
      </c>
      <c r="S954" t="s">
        <v>21</v>
      </c>
      <c r="T954" t="s">
        <v>28</v>
      </c>
      <c r="U954" s="34">
        <v>7</v>
      </c>
      <c r="V954" s="34">
        <v>8</v>
      </c>
      <c r="W954" s="25">
        <v>7.5</v>
      </c>
      <c r="X954" s="25">
        <v>1</v>
      </c>
      <c r="Y954">
        <v>1.228</v>
      </c>
      <c r="Z954" t="s">
        <v>816</v>
      </c>
      <c r="AA954" t="s">
        <v>660</v>
      </c>
      <c r="AB954">
        <v>1</v>
      </c>
      <c r="AC954">
        <v>0</v>
      </c>
      <c r="AF954" t="s">
        <v>531</v>
      </c>
      <c r="AH954" s="32" t="s">
        <v>671</v>
      </c>
      <c r="AI954" s="32" t="s">
        <v>1129</v>
      </c>
      <c r="AJ954" s="31" t="s">
        <v>1130</v>
      </c>
      <c r="AK954" s="31">
        <v>0.59524549999999998</v>
      </c>
      <c r="AL954" s="31">
        <v>0</v>
      </c>
      <c r="AM954" s="31">
        <v>0</v>
      </c>
      <c r="AN954" s="31">
        <v>0</v>
      </c>
      <c r="AO954" s="31">
        <v>0</v>
      </c>
      <c r="AP954" s="31">
        <v>0</v>
      </c>
      <c r="AQ954" s="31">
        <v>0</v>
      </c>
      <c r="AR954" s="31">
        <v>0.55269999999999997</v>
      </c>
    </row>
    <row r="955" spans="1:44" hidden="1" x14ac:dyDescent="0.5">
      <c r="A955" s="31">
        <v>954</v>
      </c>
      <c r="B955" s="31">
        <v>65</v>
      </c>
      <c r="C955" s="225" t="s">
        <v>9</v>
      </c>
      <c r="D955" s="43">
        <v>26.64246</v>
      </c>
      <c r="E955" s="43">
        <v>50.014620000000001</v>
      </c>
      <c r="F955">
        <v>0</v>
      </c>
      <c r="G955">
        <f t="shared" si="8"/>
        <v>0</v>
      </c>
      <c r="H955" s="32" t="s">
        <v>49</v>
      </c>
      <c r="I955">
        <v>0</v>
      </c>
      <c r="J955">
        <v>347.58729509832602</v>
      </c>
      <c r="K955" s="26">
        <v>2016</v>
      </c>
      <c r="L955" t="s">
        <v>30</v>
      </c>
      <c r="M955" s="32">
        <v>130</v>
      </c>
      <c r="N955">
        <v>15.0852345</v>
      </c>
      <c r="O955">
        <v>24</v>
      </c>
      <c r="P955" t="s">
        <v>23</v>
      </c>
      <c r="Q955">
        <v>91</v>
      </c>
      <c r="R955" t="s">
        <v>13</v>
      </c>
      <c r="S955" t="s">
        <v>21</v>
      </c>
      <c r="T955" t="s">
        <v>28</v>
      </c>
      <c r="U955" s="34">
        <v>3</v>
      </c>
      <c r="V955" s="34">
        <v>4</v>
      </c>
      <c r="W955" s="25">
        <v>3.5</v>
      </c>
      <c r="X955" s="25">
        <v>1</v>
      </c>
      <c r="Y955">
        <v>1.228</v>
      </c>
      <c r="Z955" t="s">
        <v>816</v>
      </c>
      <c r="AA955" t="s">
        <v>660</v>
      </c>
      <c r="AB955">
        <v>1</v>
      </c>
      <c r="AC955">
        <v>17.658173089999998</v>
      </c>
      <c r="AF955" t="s">
        <v>531</v>
      </c>
      <c r="AG955" s="32" t="s">
        <v>2088</v>
      </c>
      <c r="AH955" s="32" t="s">
        <v>671</v>
      </c>
      <c r="AI955" s="32" t="s">
        <v>1129</v>
      </c>
      <c r="AJ955" s="31" t="s">
        <v>1130</v>
      </c>
      <c r="AK955" s="31">
        <v>0.59524549999999998</v>
      </c>
      <c r="AL955" s="31">
        <v>25.968699718084899</v>
      </c>
      <c r="AM955" s="31">
        <v>17.658173089999998</v>
      </c>
      <c r="AN955" s="31">
        <v>430.48782956856553</v>
      </c>
      <c r="AO955" s="31">
        <v>292.72272736729622</v>
      </c>
      <c r="AP955" s="31">
        <v>0.52863905471019845</v>
      </c>
      <c r="AQ955" s="31">
        <v>0.35946350920703973</v>
      </c>
      <c r="AR955" s="31">
        <v>0.55269999999999997</v>
      </c>
    </row>
    <row r="956" spans="1:44" hidden="1" x14ac:dyDescent="0.5">
      <c r="A956" s="31">
        <v>955</v>
      </c>
      <c r="B956" s="31">
        <v>65</v>
      </c>
      <c r="C956" s="225" t="s">
        <v>9</v>
      </c>
      <c r="D956" s="43">
        <v>26.64246</v>
      </c>
      <c r="E956" s="43">
        <v>50.014620000000001</v>
      </c>
      <c r="F956">
        <v>0</v>
      </c>
      <c r="G956">
        <f t="shared" si="8"/>
        <v>0</v>
      </c>
      <c r="H956" s="32" t="s">
        <v>49</v>
      </c>
      <c r="I956">
        <v>0</v>
      </c>
      <c r="J956">
        <v>347.58729509832602</v>
      </c>
      <c r="K956" s="26">
        <v>2016</v>
      </c>
      <c r="L956" t="s">
        <v>30</v>
      </c>
      <c r="M956" s="32">
        <v>130</v>
      </c>
      <c r="N956">
        <v>15.0852345</v>
      </c>
      <c r="O956">
        <v>24</v>
      </c>
      <c r="P956" t="s">
        <v>23</v>
      </c>
      <c r="Q956">
        <v>91</v>
      </c>
      <c r="R956" t="s">
        <v>13</v>
      </c>
      <c r="S956" t="s">
        <v>21</v>
      </c>
      <c r="T956" t="s">
        <v>28</v>
      </c>
      <c r="U956" s="34">
        <v>9</v>
      </c>
      <c r="V956" s="34">
        <v>10</v>
      </c>
      <c r="W956" s="25">
        <v>9.5</v>
      </c>
      <c r="X956" s="25">
        <v>1</v>
      </c>
      <c r="Y956">
        <v>1.228</v>
      </c>
      <c r="Z956" t="s">
        <v>816</v>
      </c>
      <c r="AA956" t="s">
        <v>660</v>
      </c>
      <c r="AB956">
        <v>1</v>
      </c>
      <c r="AC956">
        <v>21.691973969999999</v>
      </c>
      <c r="AF956" t="s">
        <v>531</v>
      </c>
      <c r="AG956" s="32" t="s">
        <v>2089</v>
      </c>
      <c r="AH956" s="32" t="s">
        <v>671</v>
      </c>
      <c r="AI956" s="32" t="s">
        <v>1129</v>
      </c>
      <c r="AJ956" s="31" t="s">
        <v>1130</v>
      </c>
      <c r="AK956" s="31">
        <v>0.59524549999999998</v>
      </c>
      <c r="AL956" s="31">
        <v>31.900942155700882</v>
      </c>
      <c r="AM956" s="31">
        <v>21.691973969999999</v>
      </c>
      <c r="AN956" s="31">
        <v>528.82768482382789</v>
      </c>
      <c r="AO956" s="31">
        <v>359.5917737421384</v>
      </c>
      <c r="AP956" s="31">
        <v>0.6494003969636607</v>
      </c>
      <c r="AQ956" s="31">
        <v>0.44157869815534595</v>
      </c>
      <c r="AR956" s="31">
        <v>0.55269999999999997</v>
      </c>
    </row>
    <row r="957" spans="1:44" hidden="1" x14ac:dyDescent="0.5">
      <c r="A957" s="31">
        <v>956</v>
      </c>
      <c r="B957" s="31">
        <v>65</v>
      </c>
      <c r="C957" s="225" t="s">
        <v>9</v>
      </c>
      <c r="D957" s="43">
        <v>26.64246</v>
      </c>
      <c r="E957" s="43">
        <v>50.014620000000001</v>
      </c>
      <c r="F957">
        <v>0</v>
      </c>
      <c r="G957">
        <f t="shared" si="8"/>
        <v>0</v>
      </c>
      <c r="H957" s="32" t="s">
        <v>49</v>
      </c>
      <c r="I957">
        <v>0</v>
      </c>
      <c r="J957">
        <v>347.58729509832602</v>
      </c>
      <c r="K957" s="26">
        <v>2016</v>
      </c>
      <c r="L957" t="s">
        <v>30</v>
      </c>
      <c r="M957" s="32">
        <v>130</v>
      </c>
      <c r="N957">
        <v>15.0852345</v>
      </c>
      <c r="O957">
        <v>24</v>
      </c>
      <c r="P957" t="s">
        <v>23</v>
      </c>
      <c r="Q957">
        <v>91</v>
      </c>
      <c r="R957" t="s">
        <v>13</v>
      </c>
      <c r="S957" t="s">
        <v>21</v>
      </c>
      <c r="T957" t="s">
        <v>28</v>
      </c>
      <c r="U957" s="34">
        <v>0</v>
      </c>
      <c r="V957" s="34">
        <v>1</v>
      </c>
      <c r="W957" s="25">
        <v>0.5</v>
      </c>
      <c r="X957" s="25">
        <v>1</v>
      </c>
      <c r="Y957">
        <v>1.228</v>
      </c>
      <c r="Z957" t="s">
        <v>816</v>
      </c>
      <c r="AA957" t="s">
        <v>660</v>
      </c>
      <c r="AB957">
        <v>1</v>
      </c>
      <c r="AC957">
        <v>37.037037040000001</v>
      </c>
      <c r="AF957" t="s">
        <v>531</v>
      </c>
      <c r="AG957" s="32" t="s">
        <v>2090</v>
      </c>
      <c r="AH957" s="32" t="s">
        <v>671</v>
      </c>
      <c r="AI957" s="32" t="s">
        <v>1129</v>
      </c>
      <c r="AJ957" s="31" t="s">
        <v>1130</v>
      </c>
      <c r="AK957" s="31">
        <v>0.59524549999999998</v>
      </c>
      <c r="AL957" s="31">
        <v>54.467904943350405</v>
      </c>
      <c r="AM957" s="31">
        <v>37.037037040000001</v>
      </c>
      <c r="AN957" s="31">
        <v>902.92430636719791</v>
      </c>
      <c r="AO957" s="31">
        <v>613.96965816877571</v>
      </c>
      <c r="AP957" s="31">
        <v>1.1087910482189189</v>
      </c>
      <c r="AQ957" s="31">
        <v>0.75395474023125653</v>
      </c>
      <c r="AR957" s="31">
        <v>0.55269999999999997</v>
      </c>
    </row>
    <row r="958" spans="1:44" hidden="1" x14ac:dyDescent="0.5">
      <c r="A958" s="31">
        <v>957</v>
      </c>
      <c r="B958" s="31">
        <v>65</v>
      </c>
      <c r="C958" s="225" t="s">
        <v>9</v>
      </c>
      <c r="D958" s="43">
        <v>26.64246</v>
      </c>
      <c r="E958" s="43">
        <v>50.014620000000001</v>
      </c>
      <c r="F958">
        <v>0</v>
      </c>
      <c r="G958">
        <f t="shared" si="8"/>
        <v>0</v>
      </c>
      <c r="H958" s="32" t="s">
        <v>49</v>
      </c>
      <c r="I958">
        <v>0</v>
      </c>
      <c r="J958">
        <v>347.58729509832602</v>
      </c>
      <c r="K958" s="26">
        <v>2016</v>
      </c>
      <c r="L958" t="s">
        <v>30</v>
      </c>
      <c r="M958" s="32">
        <v>130</v>
      </c>
      <c r="N958">
        <v>15.0852345</v>
      </c>
      <c r="O958">
        <v>24</v>
      </c>
      <c r="P958" t="s">
        <v>23</v>
      </c>
      <c r="Q958">
        <v>91</v>
      </c>
      <c r="R958" t="s">
        <v>13</v>
      </c>
      <c r="S958" t="s">
        <v>21</v>
      </c>
      <c r="T958" t="s">
        <v>28</v>
      </c>
      <c r="U958" s="34">
        <v>2</v>
      </c>
      <c r="V958" s="34">
        <v>3</v>
      </c>
      <c r="W958" s="25">
        <v>2.5</v>
      </c>
      <c r="X958" s="25">
        <v>1</v>
      </c>
      <c r="Y958">
        <v>1.228</v>
      </c>
      <c r="Z958" t="s">
        <v>816</v>
      </c>
      <c r="AA958" t="s">
        <v>660</v>
      </c>
      <c r="AB958">
        <v>1</v>
      </c>
      <c r="AC958">
        <v>38.02281369</v>
      </c>
      <c r="AF958" t="s">
        <v>531</v>
      </c>
      <c r="AG958" s="32" t="s">
        <v>2091</v>
      </c>
      <c r="AH958" s="32" t="s">
        <v>671</v>
      </c>
      <c r="AI958" s="32" t="s">
        <v>1129</v>
      </c>
      <c r="AJ958" s="31" t="s">
        <v>1130</v>
      </c>
      <c r="AK958" s="31">
        <v>0.59524549999999998</v>
      </c>
      <c r="AL958" s="31">
        <v>55.917621042658929</v>
      </c>
      <c r="AM958" s="31">
        <v>38.02281369</v>
      </c>
      <c r="AN958" s="31">
        <v>926.95651220949935</v>
      </c>
      <c r="AO958" s="31">
        <v>630.31105589391245</v>
      </c>
      <c r="AP958" s="31">
        <v>1.1383025969932652</v>
      </c>
      <c r="AQ958" s="31">
        <v>0.77402197663772443</v>
      </c>
      <c r="AR958" s="31">
        <v>0.55269999999999997</v>
      </c>
    </row>
    <row r="959" spans="1:44" hidden="1" x14ac:dyDescent="0.5">
      <c r="A959" s="31">
        <v>958</v>
      </c>
      <c r="B959" s="31">
        <v>65</v>
      </c>
      <c r="C959" s="225" t="s">
        <v>9</v>
      </c>
      <c r="D959" s="43">
        <v>26.64246</v>
      </c>
      <c r="E959" s="43">
        <v>50.014620000000001</v>
      </c>
      <c r="F959">
        <v>0</v>
      </c>
      <c r="G959">
        <f t="shared" si="8"/>
        <v>0</v>
      </c>
      <c r="H959" s="32" t="s">
        <v>49</v>
      </c>
      <c r="I959">
        <v>0</v>
      </c>
      <c r="J959">
        <v>347.58729509832602</v>
      </c>
      <c r="K959" s="26">
        <v>2016</v>
      </c>
      <c r="L959" t="s">
        <v>30</v>
      </c>
      <c r="M959" s="32">
        <v>130</v>
      </c>
      <c r="N959">
        <v>15.0852345</v>
      </c>
      <c r="O959">
        <v>24</v>
      </c>
      <c r="P959" t="s">
        <v>23</v>
      </c>
      <c r="Q959">
        <v>91</v>
      </c>
      <c r="R959" t="s">
        <v>13</v>
      </c>
      <c r="S959" t="s">
        <v>21</v>
      </c>
      <c r="T959" t="s">
        <v>28</v>
      </c>
      <c r="U959" s="34">
        <v>8</v>
      </c>
      <c r="V959" s="34">
        <v>9</v>
      </c>
      <c r="W959" s="25">
        <v>8.5</v>
      </c>
      <c r="X959" s="25">
        <v>1</v>
      </c>
      <c r="Y959">
        <v>1.228</v>
      </c>
      <c r="Z959" t="s">
        <v>816</v>
      </c>
      <c r="AA959" t="s">
        <v>660</v>
      </c>
      <c r="AB959">
        <v>1</v>
      </c>
      <c r="AC959">
        <v>38.439361910000002</v>
      </c>
      <c r="AF959" t="s">
        <v>531</v>
      </c>
      <c r="AG959" s="32" t="s">
        <v>2092</v>
      </c>
      <c r="AH959" s="32" t="s">
        <v>671</v>
      </c>
      <c r="AI959" s="32" t="s">
        <v>1129</v>
      </c>
      <c r="AJ959" s="31" t="s">
        <v>1130</v>
      </c>
      <c r="AK959" s="31">
        <v>0.59524549999999998</v>
      </c>
      <c r="AL959" s="31">
        <v>56.530210781594533</v>
      </c>
      <c r="AM959" s="31">
        <v>38.439361910000002</v>
      </c>
      <c r="AN959" s="31">
        <v>937.11152304921086</v>
      </c>
      <c r="AO959" s="31">
        <v>637.21625103595386</v>
      </c>
      <c r="AP959" s="31">
        <v>1.1507729503044308</v>
      </c>
      <c r="AQ959" s="31">
        <v>0.78250155627215123</v>
      </c>
      <c r="AR959" s="31">
        <v>0.55269999999999997</v>
      </c>
    </row>
    <row r="960" spans="1:44" hidden="1" x14ac:dyDescent="0.5">
      <c r="A960" s="31">
        <v>959</v>
      </c>
      <c r="B960" s="31">
        <v>65</v>
      </c>
      <c r="C960" s="225" t="s">
        <v>9</v>
      </c>
      <c r="D960" s="43">
        <v>26.64246</v>
      </c>
      <c r="E960" s="43">
        <v>50.014620000000001</v>
      </c>
      <c r="F960">
        <v>0</v>
      </c>
      <c r="G960">
        <f t="shared" si="8"/>
        <v>0</v>
      </c>
      <c r="H960" s="32" t="s">
        <v>49</v>
      </c>
      <c r="I960">
        <v>0</v>
      </c>
      <c r="J960">
        <v>347.58729509832602</v>
      </c>
      <c r="K960" s="26">
        <v>2016</v>
      </c>
      <c r="L960" t="s">
        <v>30</v>
      </c>
      <c r="M960" s="32">
        <v>130</v>
      </c>
      <c r="N960">
        <v>15.0852345</v>
      </c>
      <c r="O960">
        <v>24</v>
      </c>
      <c r="P960" t="s">
        <v>23</v>
      </c>
      <c r="Q960">
        <v>91</v>
      </c>
      <c r="R960" t="s">
        <v>13</v>
      </c>
      <c r="S960" t="s">
        <v>21</v>
      </c>
      <c r="T960" t="s">
        <v>28</v>
      </c>
      <c r="U960" s="34">
        <v>12</v>
      </c>
      <c r="V960" s="34">
        <v>13</v>
      </c>
      <c r="W960" s="25">
        <v>12.5</v>
      </c>
      <c r="X960" s="25">
        <v>1</v>
      </c>
      <c r="Y960">
        <v>1.228</v>
      </c>
      <c r="Z960" t="s">
        <v>816</v>
      </c>
      <c r="AA960" t="s">
        <v>660</v>
      </c>
      <c r="AB960">
        <v>1</v>
      </c>
      <c r="AC960">
        <v>397.11191339999999</v>
      </c>
      <c r="AF960" t="s">
        <v>531</v>
      </c>
      <c r="AG960" s="32" t="s">
        <v>2093</v>
      </c>
      <c r="AH960" s="32" t="s">
        <v>671</v>
      </c>
      <c r="AI960" s="32" t="s">
        <v>1129</v>
      </c>
      <c r="AJ960" s="31" t="s">
        <v>1130</v>
      </c>
      <c r="AK960" s="31">
        <v>0.59524549999999998</v>
      </c>
      <c r="AL960" s="31">
        <v>584.0060566287458</v>
      </c>
      <c r="AM960" s="31">
        <v>397.11191339999999</v>
      </c>
      <c r="AN960" s="31">
        <v>9681.1739710603415</v>
      </c>
      <c r="AO960" s="31">
        <v>6582.9959740469149</v>
      </c>
      <c r="AP960" s="31">
        <v>11.888481636462098</v>
      </c>
      <c r="AQ960" s="31">
        <v>8.083919056129611</v>
      </c>
      <c r="AR960" s="31">
        <v>0.55269999999999997</v>
      </c>
    </row>
    <row r="961" spans="1:44" hidden="1" x14ac:dyDescent="0.5">
      <c r="A961" s="31">
        <v>960</v>
      </c>
      <c r="B961" s="31">
        <v>65</v>
      </c>
      <c r="C961" s="225" t="s">
        <v>9</v>
      </c>
      <c r="D961" s="43">
        <v>26.716740000000001</v>
      </c>
      <c r="E961" s="43">
        <v>50.02111</v>
      </c>
      <c r="F961">
        <v>0</v>
      </c>
      <c r="G961">
        <f t="shared" si="8"/>
        <v>0</v>
      </c>
      <c r="H961" s="32" t="s">
        <v>49</v>
      </c>
      <c r="I961">
        <v>0</v>
      </c>
      <c r="J961">
        <v>367.75742633536697</v>
      </c>
      <c r="K961" s="26">
        <v>2016</v>
      </c>
      <c r="L961" t="s">
        <v>30</v>
      </c>
      <c r="M961" s="32">
        <v>130</v>
      </c>
      <c r="N961">
        <v>15.0852345</v>
      </c>
      <c r="O961">
        <v>24</v>
      </c>
      <c r="P961" t="s">
        <v>23</v>
      </c>
      <c r="Q961">
        <v>91</v>
      </c>
      <c r="R961" t="s">
        <v>13</v>
      </c>
      <c r="S961" t="s">
        <v>21</v>
      </c>
      <c r="T961" t="s">
        <v>28</v>
      </c>
      <c r="U961" s="34">
        <v>2</v>
      </c>
      <c r="V961" s="34">
        <v>3</v>
      </c>
      <c r="W961" s="25">
        <v>2.5</v>
      </c>
      <c r="X961" s="25">
        <v>1</v>
      </c>
      <c r="Y961">
        <v>1.228</v>
      </c>
      <c r="Z961" t="s">
        <v>816</v>
      </c>
      <c r="AA961" t="s">
        <v>660</v>
      </c>
      <c r="AB961">
        <v>1</v>
      </c>
      <c r="AC961">
        <v>0</v>
      </c>
      <c r="AF961" t="s">
        <v>531</v>
      </c>
      <c r="AH961" s="32" t="s">
        <v>671</v>
      </c>
      <c r="AI961" s="32" t="s">
        <v>1129</v>
      </c>
      <c r="AJ961" s="31" t="s">
        <v>1130</v>
      </c>
      <c r="AK961" s="31">
        <v>0.59524549999999998</v>
      </c>
      <c r="AL961" s="31">
        <v>0</v>
      </c>
      <c r="AM961" s="31">
        <v>0</v>
      </c>
      <c r="AN961" s="31">
        <v>0</v>
      </c>
      <c r="AO961" s="31">
        <v>0</v>
      </c>
      <c r="AP961" s="31">
        <v>0</v>
      </c>
      <c r="AQ961" s="31">
        <v>0</v>
      </c>
      <c r="AR961" s="31">
        <v>0.55269999999999997</v>
      </c>
    </row>
    <row r="962" spans="1:44" hidden="1" x14ac:dyDescent="0.5">
      <c r="A962" s="31">
        <v>961</v>
      </c>
      <c r="B962" s="31">
        <v>65</v>
      </c>
      <c r="C962" s="225" t="s">
        <v>9</v>
      </c>
      <c r="D962" s="43">
        <v>26.716740000000001</v>
      </c>
      <c r="E962" s="43">
        <v>50.02111</v>
      </c>
      <c r="F962">
        <v>0</v>
      </c>
      <c r="G962">
        <f t="shared" si="8"/>
        <v>0</v>
      </c>
      <c r="H962" s="32" t="s">
        <v>49</v>
      </c>
      <c r="I962">
        <v>0</v>
      </c>
      <c r="J962">
        <v>367.75742633536697</v>
      </c>
      <c r="K962" s="26">
        <v>2016</v>
      </c>
      <c r="L962" t="s">
        <v>30</v>
      </c>
      <c r="M962" s="32">
        <v>130</v>
      </c>
      <c r="N962">
        <v>15.0852345</v>
      </c>
      <c r="O962">
        <v>24</v>
      </c>
      <c r="P962" t="s">
        <v>23</v>
      </c>
      <c r="Q962">
        <v>91</v>
      </c>
      <c r="R962" t="s">
        <v>13</v>
      </c>
      <c r="S962" t="s">
        <v>21</v>
      </c>
      <c r="T962" t="s">
        <v>28</v>
      </c>
      <c r="U962" s="34">
        <v>5</v>
      </c>
      <c r="V962" s="34">
        <v>6</v>
      </c>
      <c r="W962" s="25">
        <v>5.5</v>
      </c>
      <c r="X962" s="25">
        <v>1</v>
      </c>
      <c r="Y962">
        <v>1.228</v>
      </c>
      <c r="Z962" t="s">
        <v>816</v>
      </c>
      <c r="AA962" t="s">
        <v>660</v>
      </c>
      <c r="AB962">
        <v>1</v>
      </c>
      <c r="AC962">
        <v>0</v>
      </c>
      <c r="AF962" t="s">
        <v>531</v>
      </c>
      <c r="AH962" s="32" t="s">
        <v>671</v>
      </c>
      <c r="AI962" s="32" t="s">
        <v>1129</v>
      </c>
      <c r="AJ962" s="31" t="s">
        <v>1130</v>
      </c>
      <c r="AK962" s="31">
        <v>0.59524549999999998</v>
      </c>
      <c r="AL962" s="31">
        <v>0</v>
      </c>
      <c r="AM962" s="31">
        <v>0</v>
      </c>
      <c r="AN962" s="31">
        <v>0</v>
      </c>
      <c r="AO962" s="31">
        <v>0</v>
      </c>
      <c r="AP962" s="31">
        <v>0</v>
      </c>
      <c r="AQ962" s="31">
        <v>0</v>
      </c>
      <c r="AR962" s="31">
        <v>0.55269999999999997</v>
      </c>
    </row>
    <row r="963" spans="1:44" hidden="1" x14ac:dyDescent="0.5">
      <c r="A963" s="31">
        <v>962</v>
      </c>
      <c r="B963" s="31">
        <v>65</v>
      </c>
      <c r="C963" s="225" t="s">
        <v>9</v>
      </c>
      <c r="D963" s="43">
        <v>26.716740000000001</v>
      </c>
      <c r="E963" s="43">
        <v>50.02111</v>
      </c>
      <c r="F963">
        <v>0</v>
      </c>
      <c r="G963">
        <f t="shared" si="8"/>
        <v>0</v>
      </c>
      <c r="H963" s="32" t="s">
        <v>49</v>
      </c>
      <c r="I963">
        <v>0</v>
      </c>
      <c r="J963">
        <v>367.75742633536697</v>
      </c>
      <c r="K963" s="26">
        <v>2016</v>
      </c>
      <c r="L963" t="s">
        <v>30</v>
      </c>
      <c r="M963" s="32">
        <v>130</v>
      </c>
      <c r="N963">
        <v>15.0852345</v>
      </c>
      <c r="O963">
        <v>24</v>
      </c>
      <c r="P963" t="s">
        <v>23</v>
      </c>
      <c r="Q963">
        <v>91</v>
      </c>
      <c r="R963" t="s">
        <v>13</v>
      </c>
      <c r="S963" t="s">
        <v>21</v>
      </c>
      <c r="T963" t="s">
        <v>28</v>
      </c>
      <c r="U963" s="34">
        <v>12</v>
      </c>
      <c r="V963" s="34">
        <v>13</v>
      </c>
      <c r="W963" s="25">
        <v>12.5</v>
      </c>
      <c r="X963" s="25">
        <v>1</v>
      </c>
      <c r="Y963">
        <v>1.228</v>
      </c>
      <c r="Z963" t="s">
        <v>816</v>
      </c>
      <c r="AA963" t="s">
        <v>660</v>
      </c>
      <c r="AB963">
        <v>1</v>
      </c>
      <c r="AC963">
        <v>0</v>
      </c>
      <c r="AF963" t="s">
        <v>531</v>
      </c>
      <c r="AH963" s="32" t="s">
        <v>671</v>
      </c>
      <c r="AI963" s="32" t="s">
        <v>1129</v>
      </c>
      <c r="AJ963" s="31" t="s">
        <v>1130</v>
      </c>
      <c r="AK963" s="31">
        <v>0.59524549999999998</v>
      </c>
      <c r="AL963" s="31">
        <v>0</v>
      </c>
      <c r="AM963" s="31">
        <v>0</v>
      </c>
      <c r="AN963" s="31">
        <v>0</v>
      </c>
      <c r="AO963" s="31">
        <v>0</v>
      </c>
      <c r="AP963" s="31">
        <v>0</v>
      </c>
      <c r="AQ963" s="31">
        <v>0</v>
      </c>
      <c r="AR963" s="31">
        <v>0.55269999999999997</v>
      </c>
    </row>
    <row r="964" spans="1:44" hidden="1" x14ac:dyDescent="0.5">
      <c r="A964" s="31">
        <v>963</v>
      </c>
      <c r="B964" s="31">
        <v>65</v>
      </c>
      <c r="C964" s="225" t="s">
        <v>9</v>
      </c>
      <c r="D964" s="43">
        <v>26.716740000000001</v>
      </c>
      <c r="E964" s="43">
        <v>50.02111</v>
      </c>
      <c r="F964">
        <v>0</v>
      </c>
      <c r="G964">
        <f t="shared" si="8"/>
        <v>0</v>
      </c>
      <c r="H964" s="32" t="s">
        <v>49</v>
      </c>
      <c r="I964">
        <v>0</v>
      </c>
      <c r="J964">
        <v>367.75742633536697</v>
      </c>
      <c r="K964" s="26">
        <v>2016</v>
      </c>
      <c r="L964" t="s">
        <v>30</v>
      </c>
      <c r="M964" s="32">
        <v>130</v>
      </c>
      <c r="N964">
        <v>15.0852345</v>
      </c>
      <c r="O964">
        <v>24</v>
      </c>
      <c r="P964" t="s">
        <v>23</v>
      </c>
      <c r="Q964">
        <v>91</v>
      </c>
      <c r="R964" t="s">
        <v>13</v>
      </c>
      <c r="S964" t="s">
        <v>21</v>
      </c>
      <c r="T964" t="s">
        <v>28</v>
      </c>
      <c r="U964" s="34">
        <v>15</v>
      </c>
      <c r="V964" s="34">
        <v>16</v>
      </c>
      <c r="W964" s="25">
        <v>15.5</v>
      </c>
      <c r="X964" s="25">
        <v>1</v>
      </c>
      <c r="Y964">
        <v>1.228</v>
      </c>
      <c r="Z964" t="s">
        <v>816</v>
      </c>
      <c r="AA964" t="s">
        <v>660</v>
      </c>
      <c r="AB964">
        <v>1</v>
      </c>
      <c r="AC964">
        <v>0</v>
      </c>
      <c r="AF964" t="s">
        <v>531</v>
      </c>
      <c r="AH964" s="32" t="s">
        <v>671</v>
      </c>
      <c r="AI964" s="32" t="s">
        <v>1129</v>
      </c>
      <c r="AJ964" s="31" t="s">
        <v>1130</v>
      </c>
      <c r="AK964" s="31">
        <v>0.59524549999999998</v>
      </c>
      <c r="AL964" s="31">
        <v>0</v>
      </c>
      <c r="AM964" s="31">
        <v>0</v>
      </c>
      <c r="AN964" s="31">
        <v>0</v>
      </c>
      <c r="AO964" s="31">
        <v>0</v>
      </c>
      <c r="AP964" s="31">
        <v>0</v>
      </c>
      <c r="AQ964" s="31">
        <v>0</v>
      </c>
      <c r="AR964" s="31">
        <v>0.55269999999999997</v>
      </c>
    </row>
    <row r="965" spans="1:44" hidden="1" x14ac:dyDescent="0.5">
      <c r="A965" s="31">
        <v>964</v>
      </c>
      <c r="B965" s="31">
        <v>65</v>
      </c>
      <c r="C965" s="225" t="s">
        <v>9</v>
      </c>
      <c r="D965" s="43">
        <v>26.716740000000001</v>
      </c>
      <c r="E965" s="43">
        <v>50.02111</v>
      </c>
      <c r="F965">
        <v>0</v>
      </c>
      <c r="G965">
        <f t="shared" si="8"/>
        <v>0</v>
      </c>
      <c r="H965" s="32" t="s">
        <v>49</v>
      </c>
      <c r="I965">
        <v>0</v>
      </c>
      <c r="J965">
        <v>367.75742633536697</v>
      </c>
      <c r="K965" s="26">
        <v>2016</v>
      </c>
      <c r="L965" t="s">
        <v>30</v>
      </c>
      <c r="M965" s="32">
        <v>130</v>
      </c>
      <c r="N965">
        <v>15.0852345</v>
      </c>
      <c r="O965">
        <v>24</v>
      </c>
      <c r="P965" t="s">
        <v>23</v>
      </c>
      <c r="Q965">
        <v>91</v>
      </c>
      <c r="R965" t="s">
        <v>13</v>
      </c>
      <c r="S965" t="s">
        <v>21</v>
      </c>
      <c r="T965" t="s">
        <v>28</v>
      </c>
      <c r="U965" s="34">
        <v>18</v>
      </c>
      <c r="V965" s="34">
        <v>19</v>
      </c>
      <c r="W965" s="25">
        <v>18.5</v>
      </c>
      <c r="X965" s="25">
        <v>1</v>
      </c>
      <c r="Y965">
        <v>1.228</v>
      </c>
      <c r="Z965" t="s">
        <v>816</v>
      </c>
      <c r="AA965" t="s">
        <v>660</v>
      </c>
      <c r="AB965">
        <v>1</v>
      </c>
      <c r="AC965">
        <v>0</v>
      </c>
      <c r="AF965" t="s">
        <v>531</v>
      </c>
      <c r="AH965" s="32" t="s">
        <v>671</v>
      </c>
      <c r="AI965" s="32" t="s">
        <v>1129</v>
      </c>
      <c r="AJ965" s="31" t="s">
        <v>1130</v>
      </c>
      <c r="AK965" s="31">
        <v>0.59524549999999998</v>
      </c>
      <c r="AL965" s="31">
        <v>0</v>
      </c>
      <c r="AM965" s="31">
        <v>0</v>
      </c>
      <c r="AN965" s="31">
        <v>0</v>
      </c>
      <c r="AO965" s="31">
        <v>0</v>
      </c>
      <c r="AP965" s="31">
        <v>0</v>
      </c>
      <c r="AQ965" s="31">
        <v>0</v>
      </c>
      <c r="AR965" s="31">
        <v>0.55269999999999997</v>
      </c>
    </row>
    <row r="966" spans="1:44" hidden="1" x14ac:dyDescent="0.5">
      <c r="A966" s="31">
        <v>965</v>
      </c>
      <c r="B966" s="31">
        <v>65</v>
      </c>
      <c r="C966" s="225" t="s">
        <v>9</v>
      </c>
      <c r="D966" s="43">
        <v>26.716740000000001</v>
      </c>
      <c r="E966" s="43">
        <v>50.02111</v>
      </c>
      <c r="F966">
        <v>0</v>
      </c>
      <c r="G966">
        <f t="shared" si="8"/>
        <v>0</v>
      </c>
      <c r="H966" s="32" t="s">
        <v>49</v>
      </c>
      <c r="I966">
        <v>0</v>
      </c>
      <c r="J966">
        <v>367.75742633536697</v>
      </c>
      <c r="K966" s="26">
        <v>2016</v>
      </c>
      <c r="L966" t="s">
        <v>30</v>
      </c>
      <c r="M966" s="32">
        <v>130</v>
      </c>
      <c r="N966">
        <v>15.0852345</v>
      </c>
      <c r="O966">
        <v>24</v>
      </c>
      <c r="P966" t="s">
        <v>23</v>
      </c>
      <c r="Q966">
        <v>91</v>
      </c>
      <c r="R966" t="s">
        <v>13</v>
      </c>
      <c r="S966" t="s">
        <v>21</v>
      </c>
      <c r="T966" t="s">
        <v>28</v>
      </c>
      <c r="U966" s="34">
        <v>19</v>
      </c>
      <c r="V966" s="34">
        <v>20</v>
      </c>
      <c r="W966" s="25">
        <v>19.5</v>
      </c>
      <c r="X966" s="25">
        <v>1</v>
      </c>
      <c r="Y966">
        <v>1.228</v>
      </c>
      <c r="Z966" t="s">
        <v>816</v>
      </c>
      <c r="AA966" t="s">
        <v>660</v>
      </c>
      <c r="AB966">
        <v>1</v>
      </c>
      <c r="AC966">
        <v>0</v>
      </c>
      <c r="AF966" t="s">
        <v>531</v>
      </c>
      <c r="AH966" s="32" t="s">
        <v>671</v>
      </c>
      <c r="AI966" s="32" t="s">
        <v>1129</v>
      </c>
      <c r="AJ966" s="31" t="s">
        <v>1130</v>
      </c>
      <c r="AK966" s="31">
        <v>0.59524549999999998</v>
      </c>
      <c r="AL966" s="31">
        <v>0</v>
      </c>
      <c r="AM966" s="31">
        <v>0</v>
      </c>
      <c r="AN966" s="31">
        <v>0</v>
      </c>
      <c r="AO966" s="31">
        <v>0</v>
      </c>
      <c r="AP966" s="31">
        <v>0</v>
      </c>
      <c r="AQ966" s="31">
        <v>0</v>
      </c>
      <c r="AR966" s="31">
        <v>0.55269999999999997</v>
      </c>
    </row>
    <row r="967" spans="1:44" hidden="1" x14ac:dyDescent="0.5">
      <c r="A967" s="31">
        <v>966</v>
      </c>
      <c r="B967" s="31">
        <v>65</v>
      </c>
      <c r="C967" s="225" t="s">
        <v>9</v>
      </c>
      <c r="D967" s="43">
        <v>26.716740000000001</v>
      </c>
      <c r="E967" s="43">
        <v>50.02111</v>
      </c>
      <c r="F967">
        <v>0</v>
      </c>
      <c r="G967">
        <f t="shared" si="8"/>
        <v>0</v>
      </c>
      <c r="H967" s="32" t="s">
        <v>49</v>
      </c>
      <c r="I967">
        <v>0</v>
      </c>
      <c r="J967">
        <v>367.75742633536697</v>
      </c>
      <c r="K967" s="26">
        <v>2016</v>
      </c>
      <c r="L967" t="s">
        <v>30</v>
      </c>
      <c r="M967" s="32">
        <v>130</v>
      </c>
      <c r="N967">
        <v>15.0852345</v>
      </c>
      <c r="O967">
        <v>24</v>
      </c>
      <c r="P967" t="s">
        <v>23</v>
      </c>
      <c r="Q967">
        <v>91</v>
      </c>
      <c r="R967" t="s">
        <v>13</v>
      </c>
      <c r="S967" t="s">
        <v>21</v>
      </c>
      <c r="T967" t="s">
        <v>28</v>
      </c>
      <c r="U967" s="34">
        <v>9</v>
      </c>
      <c r="V967" s="34">
        <v>10</v>
      </c>
      <c r="W967" s="25">
        <v>9.5</v>
      </c>
      <c r="X967" s="25">
        <v>1</v>
      </c>
      <c r="Y967">
        <v>1.228</v>
      </c>
      <c r="Z967" t="s">
        <v>816</v>
      </c>
      <c r="AA967" t="s">
        <v>660</v>
      </c>
      <c r="AB967">
        <v>1</v>
      </c>
      <c r="AC967">
        <v>22.109219540000002</v>
      </c>
      <c r="AF967" t="s">
        <v>531</v>
      </c>
      <c r="AG967" s="32" t="s">
        <v>2094</v>
      </c>
      <c r="AH967" s="32" t="s">
        <v>671</v>
      </c>
      <c r="AI967" s="32" t="s">
        <v>1129</v>
      </c>
      <c r="AJ967" s="31" t="s">
        <v>1130</v>
      </c>
      <c r="AK967" s="31">
        <v>0.59524549999999998</v>
      </c>
      <c r="AL967" s="31">
        <v>32.514557440861239</v>
      </c>
      <c r="AM967" s="31">
        <v>22.109219540000002</v>
      </c>
      <c r="AN967" s="31">
        <v>538.9996963286942</v>
      </c>
      <c r="AO967" s="31">
        <v>366.50852898118916</v>
      </c>
      <c r="AP967" s="31">
        <v>0.6618916270916364</v>
      </c>
      <c r="AQ967" s="31">
        <v>0.45007247358890029</v>
      </c>
      <c r="AR967" s="31">
        <v>0.55269999999999997</v>
      </c>
    </row>
    <row r="968" spans="1:44" hidden="1" x14ac:dyDescent="0.5">
      <c r="A968" s="31">
        <v>967</v>
      </c>
      <c r="B968" s="31">
        <v>65</v>
      </c>
      <c r="C968" s="225" t="s">
        <v>9</v>
      </c>
      <c r="D968" s="43">
        <v>26.716740000000001</v>
      </c>
      <c r="E968" s="43">
        <v>50.02111</v>
      </c>
      <c r="F968">
        <v>0</v>
      </c>
      <c r="G968">
        <f t="shared" si="8"/>
        <v>0</v>
      </c>
      <c r="H968" s="32" t="s">
        <v>49</v>
      </c>
      <c r="I968">
        <v>0</v>
      </c>
      <c r="J968">
        <v>367.75742633536697</v>
      </c>
      <c r="K968" s="26">
        <v>2016</v>
      </c>
      <c r="L968" t="s">
        <v>30</v>
      </c>
      <c r="M968" s="32">
        <v>130</v>
      </c>
      <c r="N968">
        <v>15.0852345</v>
      </c>
      <c r="O968">
        <v>24</v>
      </c>
      <c r="P968" t="s">
        <v>23</v>
      </c>
      <c r="Q968">
        <v>91</v>
      </c>
      <c r="R968" t="s">
        <v>13</v>
      </c>
      <c r="S968" t="s">
        <v>21</v>
      </c>
      <c r="T968" t="s">
        <v>28</v>
      </c>
      <c r="U968" s="34">
        <v>1</v>
      </c>
      <c r="V968" s="34">
        <v>2</v>
      </c>
      <c r="W968" s="25">
        <v>1.5</v>
      </c>
      <c r="X968" s="25">
        <v>1</v>
      </c>
      <c r="Y968">
        <v>1.228</v>
      </c>
      <c r="Z968" t="s">
        <v>816</v>
      </c>
      <c r="AA968" t="s">
        <v>660</v>
      </c>
      <c r="AB968">
        <v>1</v>
      </c>
      <c r="AC968">
        <v>26.760864909999999</v>
      </c>
      <c r="AF968" t="s">
        <v>531</v>
      </c>
      <c r="AG968" s="32" t="s">
        <v>2095</v>
      </c>
      <c r="AH968" s="32" t="s">
        <v>671</v>
      </c>
      <c r="AI968" s="32" t="s">
        <v>1129</v>
      </c>
      <c r="AJ968" s="31" t="s">
        <v>1130</v>
      </c>
      <c r="AK968" s="31">
        <v>0.59524549999999998</v>
      </c>
      <c r="AL968" s="31">
        <v>39.355422642084037</v>
      </c>
      <c r="AM968" s="31">
        <v>26.760864909999999</v>
      </c>
      <c r="AN968" s="31">
        <v>652.40195538730461</v>
      </c>
      <c r="AO968" s="31">
        <v>443.6196951540345</v>
      </c>
      <c r="AP968" s="31">
        <v>0.80114960121561007</v>
      </c>
      <c r="AQ968" s="31">
        <v>0.54476498564915432</v>
      </c>
      <c r="AR968" s="31">
        <v>0.55269999999999997</v>
      </c>
    </row>
    <row r="969" spans="1:44" hidden="1" x14ac:dyDescent="0.5">
      <c r="A969" s="31">
        <v>968</v>
      </c>
      <c r="B969" s="31">
        <v>65</v>
      </c>
      <c r="C969" s="225" t="s">
        <v>9</v>
      </c>
      <c r="D969" s="43">
        <v>26.716740000000001</v>
      </c>
      <c r="E969" s="43">
        <v>50.02111</v>
      </c>
      <c r="F969">
        <v>0</v>
      </c>
      <c r="G969">
        <f t="shared" si="8"/>
        <v>0</v>
      </c>
      <c r="H969" s="32" t="s">
        <v>49</v>
      </c>
      <c r="I969">
        <v>0</v>
      </c>
      <c r="J969">
        <v>367.75742633536697</v>
      </c>
      <c r="K969" s="26">
        <v>2016</v>
      </c>
      <c r="L969" t="s">
        <v>30</v>
      </c>
      <c r="M969" s="32">
        <v>130</v>
      </c>
      <c r="N969">
        <v>15.0852345</v>
      </c>
      <c r="O969">
        <v>24</v>
      </c>
      <c r="P969" t="s">
        <v>23</v>
      </c>
      <c r="Q969">
        <v>91</v>
      </c>
      <c r="R969" t="s">
        <v>13</v>
      </c>
      <c r="S969" t="s">
        <v>21</v>
      </c>
      <c r="T969" t="s">
        <v>28</v>
      </c>
      <c r="U969" s="34">
        <v>3</v>
      </c>
      <c r="V969" s="34">
        <v>4</v>
      </c>
      <c r="W969" s="25">
        <v>3.5</v>
      </c>
      <c r="X969" s="25">
        <v>1</v>
      </c>
      <c r="Y969">
        <v>1.228</v>
      </c>
      <c r="Z969" t="s">
        <v>816</v>
      </c>
      <c r="AA969" t="s">
        <v>660</v>
      </c>
      <c r="AB969">
        <v>1</v>
      </c>
      <c r="AC969">
        <v>41.610319359999998</v>
      </c>
      <c r="AF969" t="s">
        <v>531</v>
      </c>
      <c r="AG969" s="32" t="s">
        <v>2096</v>
      </c>
      <c r="AH969" s="32" t="s">
        <v>671</v>
      </c>
      <c r="AI969" s="32" t="s">
        <v>1129</v>
      </c>
      <c r="AJ969" s="31" t="s">
        <v>1130</v>
      </c>
      <c r="AK969" s="31">
        <v>0.59524549999999998</v>
      </c>
      <c r="AL969" s="31">
        <v>61.193526823303706</v>
      </c>
      <c r="AM969" s="31">
        <v>41.610319359999998</v>
      </c>
      <c r="AN969" s="31">
        <v>1014.4161560566774</v>
      </c>
      <c r="AO969" s="31">
        <v>689.78178589614276</v>
      </c>
      <c r="AP969" s="31">
        <v>1.2457030396375997</v>
      </c>
      <c r="AQ969" s="31">
        <v>0.8470520330804634</v>
      </c>
      <c r="AR969" s="31">
        <v>0.55269999999999997</v>
      </c>
    </row>
    <row r="970" spans="1:44" hidden="1" x14ac:dyDescent="0.5">
      <c r="A970" s="31">
        <v>969</v>
      </c>
      <c r="B970" s="31">
        <v>65</v>
      </c>
      <c r="C970" s="225" t="s">
        <v>9</v>
      </c>
      <c r="D970" s="43">
        <v>26.716740000000001</v>
      </c>
      <c r="E970" s="43">
        <v>50.02111</v>
      </c>
      <c r="F970">
        <v>0</v>
      </c>
      <c r="G970">
        <f t="shared" si="8"/>
        <v>0</v>
      </c>
      <c r="H970" s="32" t="s">
        <v>49</v>
      </c>
      <c r="I970">
        <v>0</v>
      </c>
      <c r="J970">
        <v>367.75742633536697</v>
      </c>
      <c r="K970" s="26">
        <v>2016</v>
      </c>
      <c r="L970" t="s">
        <v>30</v>
      </c>
      <c r="M970" s="32">
        <v>130</v>
      </c>
      <c r="N970">
        <v>15.0852345</v>
      </c>
      <c r="O970">
        <v>24</v>
      </c>
      <c r="P970" t="s">
        <v>23</v>
      </c>
      <c r="Q970">
        <v>91</v>
      </c>
      <c r="R970" t="s">
        <v>13</v>
      </c>
      <c r="S970" t="s">
        <v>21</v>
      </c>
      <c r="T970" t="s">
        <v>28</v>
      </c>
      <c r="U970" s="34">
        <v>14</v>
      </c>
      <c r="V970" s="34">
        <v>15</v>
      </c>
      <c r="W970" s="25">
        <v>14.5</v>
      </c>
      <c r="X970" s="25">
        <v>1</v>
      </c>
      <c r="Y970">
        <v>1.228</v>
      </c>
      <c r="Z970" t="s">
        <v>816</v>
      </c>
      <c r="AA970" t="s">
        <v>660</v>
      </c>
      <c r="AB970">
        <v>1</v>
      </c>
      <c r="AC970">
        <v>51.413881750000002</v>
      </c>
      <c r="AF970" t="s">
        <v>531</v>
      </c>
      <c r="AG970" s="32" t="s">
        <v>2097</v>
      </c>
      <c r="AH970" s="32" t="s">
        <v>671</v>
      </c>
      <c r="AI970" s="32" t="s">
        <v>1129</v>
      </c>
      <c r="AJ970" s="31" t="s">
        <v>1130</v>
      </c>
      <c r="AK970" s="31">
        <v>0.59524549999999998</v>
      </c>
      <c r="AL970" s="31">
        <v>75.610973439997878</v>
      </c>
      <c r="AM970" s="31">
        <v>51.413881750000002</v>
      </c>
      <c r="AN970" s="31">
        <v>1253.4167748523514</v>
      </c>
      <c r="AO970" s="31">
        <v>852.29721181760499</v>
      </c>
      <c r="AP970" s="31">
        <v>1.5391957995186876</v>
      </c>
      <c r="AQ970" s="31">
        <v>1.0466209761120189</v>
      </c>
      <c r="AR970" s="31">
        <v>0.55269999999999997</v>
      </c>
    </row>
    <row r="971" spans="1:44" hidden="1" x14ac:dyDescent="0.5">
      <c r="A971" s="31">
        <v>970</v>
      </c>
      <c r="B971" s="31">
        <v>65</v>
      </c>
      <c r="C971" s="225" t="s">
        <v>9</v>
      </c>
      <c r="D971" s="43">
        <v>26.716740000000001</v>
      </c>
      <c r="E971" s="43">
        <v>50.02111</v>
      </c>
      <c r="F971">
        <v>0</v>
      </c>
      <c r="G971">
        <f t="shared" si="8"/>
        <v>0</v>
      </c>
      <c r="H971" s="32" t="s">
        <v>49</v>
      </c>
      <c r="I971">
        <v>0</v>
      </c>
      <c r="J971">
        <v>367.75742633536697</v>
      </c>
      <c r="K971" s="26">
        <v>2016</v>
      </c>
      <c r="L971" t="s">
        <v>30</v>
      </c>
      <c r="M971" s="32">
        <v>130</v>
      </c>
      <c r="N971">
        <v>15.0852345</v>
      </c>
      <c r="O971">
        <v>24</v>
      </c>
      <c r="P971" t="s">
        <v>23</v>
      </c>
      <c r="Q971">
        <v>91</v>
      </c>
      <c r="R971" t="s">
        <v>13</v>
      </c>
      <c r="S971" t="s">
        <v>21</v>
      </c>
      <c r="T971" t="s">
        <v>28</v>
      </c>
      <c r="U971" s="34">
        <v>0</v>
      </c>
      <c r="V971" s="34">
        <v>1</v>
      </c>
      <c r="W971" s="25">
        <v>0.5</v>
      </c>
      <c r="X971" s="25">
        <v>1</v>
      </c>
      <c r="Y971">
        <v>1.228</v>
      </c>
      <c r="Z971" t="s">
        <v>816</v>
      </c>
      <c r="AA971" t="s">
        <v>660</v>
      </c>
      <c r="AB971">
        <v>1</v>
      </c>
      <c r="AC971">
        <v>58.823529409999999</v>
      </c>
      <c r="AF971" t="s">
        <v>531</v>
      </c>
      <c r="AG971" s="32" t="s">
        <v>2098</v>
      </c>
      <c r="AH971" s="32" t="s">
        <v>671</v>
      </c>
      <c r="AI971" s="32" t="s">
        <v>1129</v>
      </c>
      <c r="AJ971" s="31" t="s">
        <v>1130</v>
      </c>
      <c r="AK971" s="31">
        <v>0.59524549999999998</v>
      </c>
      <c r="AL971" s="31">
        <v>86.507849018158296</v>
      </c>
      <c r="AM971" s="31">
        <v>58.823529409999999</v>
      </c>
      <c r="AN971" s="31">
        <v>1434.0562511313328</v>
      </c>
      <c r="AO971" s="31">
        <v>975.12828051373253</v>
      </c>
      <c r="AP971" s="31">
        <v>1.7610210763892766</v>
      </c>
      <c r="AQ971" s="31">
        <v>1.1974575284708635</v>
      </c>
      <c r="AR971" s="31">
        <v>0.55269999999999997</v>
      </c>
    </row>
    <row r="972" spans="1:44" hidden="1" x14ac:dyDescent="0.5">
      <c r="A972" s="31">
        <v>971</v>
      </c>
      <c r="B972" s="31">
        <v>65</v>
      </c>
      <c r="C972" s="225" t="s">
        <v>9</v>
      </c>
      <c r="D972" s="43">
        <v>26.716740000000001</v>
      </c>
      <c r="E972" s="43">
        <v>50.02111</v>
      </c>
      <c r="F972">
        <v>0</v>
      </c>
      <c r="G972">
        <f t="shared" si="8"/>
        <v>0</v>
      </c>
      <c r="H972" s="32" t="s">
        <v>49</v>
      </c>
      <c r="I972">
        <v>0</v>
      </c>
      <c r="J972">
        <v>367.75742633536697</v>
      </c>
      <c r="K972" s="26">
        <v>2016</v>
      </c>
      <c r="L972" t="s">
        <v>30</v>
      </c>
      <c r="M972" s="32">
        <v>130</v>
      </c>
      <c r="N972">
        <v>15.0852345</v>
      </c>
      <c r="O972">
        <v>24</v>
      </c>
      <c r="P972" t="s">
        <v>23</v>
      </c>
      <c r="Q972">
        <v>91</v>
      </c>
      <c r="R972" t="s">
        <v>13</v>
      </c>
      <c r="S972" t="s">
        <v>21</v>
      </c>
      <c r="T972" t="s">
        <v>28</v>
      </c>
      <c r="U972" s="34">
        <v>4</v>
      </c>
      <c r="V972" s="34">
        <v>5</v>
      </c>
      <c r="W972" s="25">
        <v>4.5</v>
      </c>
      <c r="X972" s="25">
        <v>1</v>
      </c>
      <c r="Y972">
        <v>1.228</v>
      </c>
      <c r="Z972" t="s">
        <v>816</v>
      </c>
      <c r="AA972" t="s">
        <v>660</v>
      </c>
      <c r="AB972">
        <v>1</v>
      </c>
      <c r="AC972">
        <v>250</v>
      </c>
      <c r="AF972" t="s">
        <v>531</v>
      </c>
      <c r="AG972" s="32">
        <v>250</v>
      </c>
      <c r="AH972" s="32" t="s">
        <v>671</v>
      </c>
      <c r="AI972" s="32" t="s">
        <v>1129</v>
      </c>
      <c r="AJ972" s="31" t="s">
        <v>1130</v>
      </c>
      <c r="AK972" s="31">
        <v>0.59524549999999998</v>
      </c>
      <c r="AL972" s="31">
        <v>367.65835833820256</v>
      </c>
      <c r="AM972" s="31">
        <v>250</v>
      </c>
      <c r="AN972" s="31">
        <v>6094.7390674910075</v>
      </c>
      <c r="AO972" s="31">
        <v>4144.2951923076926</v>
      </c>
      <c r="AP972" s="31">
        <v>7.4843395748789563</v>
      </c>
      <c r="AQ972" s="31">
        <v>5.0891944961538469</v>
      </c>
      <c r="AR972" s="31">
        <v>0.55269999999999997</v>
      </c>
    </row>
    <row r="973" spans="1:44" hidden="1" x14ac:dyDescent="0.5">
      <c r="A973" s="31">
        <v>972</v>
      </c>
      <c r="B973" s="31">
        <v>65</v>
      </c>
      <c r="C973" s="225" t="s">
        <v>9</v>
      </c>
      <c r="D973" s="43">
        <v>27.282830000000001</v>
      </c>
      <c r="E973" s="43">
        <v>49.56523</v>
      </c>
      <c r="F973">
        <v>0.03</v>
      </c>
      <c r="G973">
        <f t="shared" si="8"/>
        <v>48.280320000000003</v>
      </c>
      <c r="H973" s="32" t="s">
        <v>49</v>
      </c>
      <c r="I973">
        <v>0</v>
      </c>
      <c r="J973">
        <v>128.731040421779</v>
      </c>
      <c r="K973" s="26">
        <v>2016</v>
      </c>
      <c r="L973" t="s">
        <v>30</v>
      </c>
      <c r="M973" s="32">
        <v>130</v>
      </c>
      <c r="N973">
        <v>15.0852345</v>
      </c>
      <c r="O973">
        <v>24</v>
      </c>
      <c r="P973" t="s">
        <v>23</v>
      </c>
      <c r="Q973">
        <v>91</v>
      </c>
      <c r="R973" t="s">
        <v>13</v>
      </c>
      <c r="S973" t="s">
        <v>21</v>
      </c>
      <c r="T973" t="s">
        <v>28</v>
      </c>
      <c r="U973" s="34">
        <v>0</v>
      </c>
      <c r="V973" s="34">
        <v>1</v>
      </c>
      <c r="W973" s="25">
        <v>0.5</v>
      </c>
      <c r="X973" s="25">
        <v>1</v>
      </c>
      <c r="Y973">
        <v>1.228</v>
      </c>
      <c r="Z973" t="s">
        <v>816</v>
      </c>
      <c r="AA973" t="s">
        <v>660</v>
      </c>
      <c r="AB973">
        <v>1</v>
      </c>
      <c r="AC973">
        <v>0</v>
      </c>
      <c r="AF973" t="s">
        <v>531</v>
      </c>
      <c r="AH973" s="32" t="s">
        <v>671</v>
      </c>
      <c r="AI973" s="32" t="s">
        <v>1129</v>
      </c>
      <c r="AJ973" s="31" t="s">
        <v>1130</v>
      </c>
      <c r="AK973" s="31">
        <v>0.59524549999999998</v>
      </c>
      <c r="AL973" s="31">
        <v>0</v>
      </c>
      <c r="AM973" s="31">
        <v>0</v>
      </c>
      <c r="AN973" s="31">
        <v>0</v>
      </c>
      <c r="AO973" s="31">
        <v>0</v>
      </c>
      <c r="AP973" s="31">
        <v>0</v>
      </c>
      <c r="AQ973" s="31">
        <v>0</v>
      </c>
      <c r="AR973" s="31">
        <v>0.55269999999999997</v>
      </c>
    </row>
    <row r="974" spans="1:44" hidden="1" x14ac:dyDescent="0.5">
      <c r="A974" s="31">
        <v>973</v>
      </c>
      <c r="B974" s="31">
        <v>65</v>
      </c>
      <c r="C974" s="225" t="s">
        <v>9</v>
      </c>
      <c r="D974" s="43">
        <v>27.282830000000001</v>
      </c>
      <c r="E974" s="43">
        <v>49.56523</v>
      </c>
      <c r="F974">
        <v>0.03</v>
      </c>
      <c r="G974">
        <f t="shared" si="8"/>
        <v>48.280320000000003</v>
      </c>
      <c r="H974" s="32" t="s">
        <v>49</v>
      </c>
      <c r="I974">
        <v>0</v>
      </c>
      <c r="J974">
        <v>128.731040421779</v>
      </c>
      <c r="K974" s="26">
        <v>2016</v>
      </c>
      <c r="L974" t="s">
        <v>30</v>
      </c>
      <c r="M974" s="32">
        <v>130</v>
      </c>
      <c r="N974">
        <v>15.0852345</v>
      </c>
      <c r="O974">
        <v>24</v>
      </c>
      <c r="P974" t="s">
        <v>23</v>
      </c>
      <c r="Q974">
        <v>91</v>
      </c>
      <c r="R974" t="s">
        <v>13</v>
      </c>
      <c r="S974" t="s">
        <v>21</v>
      </c>
      <c r="T974" t="s">
        <v>28</v>
      </c>
      <c r="U974" s="34">
        <v>4</v>
      </c>
      <c r="V974" s="34">
        <v>5</v>
      </c>
      <c r="W974" s="25">
        <v>4.5</v>
      </c>
      <c r="X974" s="25">
        <v>1</v>
      </c>
      <c r="Y974">
        <v>1.228</v>
      </c>
      <c r="Z974" t="s">
        <v>816</v>
      </c>
      <c r="AA974" t="s">
        <v>660</v>
      </c>
      <c r="AB974">
        <v>1</v>
      </c>
      <c r="AC974">
        <v>0</v>
      </c>
      <c r="AF974" t="s">
        <v>531</v>
      </c>
      <c r="AH974" s="32" t="s">
        <v>671</v>
      </c>
      <c r="AI974" s="32" t="s">
        <v>1129</v>
      </c>
      <c r="AJ974" s="31" t="s">
        <v>1130</v>
      </c>
      <c r="AK974" s="31">
        <v>0.59524549999999998</v>
      </c>
      <c r="AL974" s="31">
        <v>0</v>
      </c>
      <c r="AM974" s="31">
        <v>0</v>
      </c>
      <c r="AN974" s="31">
        <v>0</v>
      </c>
      <c r="AO974" s="31">
        <v>0</v>
      </c>
      <c r="AP974" s="31">
        <v>0</v>
      </c>
      <c r="AQ974" s="31">
        <v>0</v>
      </c>
      <c r="AR974" s="31">
        <v>0.55269999999999997</v>
      </c>
    </row>
    <row r="975" spans="1:44" hidden="1" x14ac:dyDescent="0.5">
      <c r="A975" s="31">
        <v>974</v>
      </c>
      <c r="B975" s="31">
        <v>65</v>
      </c>
      <c r="C975" s="225" t="s">
        <v>9</v>
      </c>
      <c r="D975" s="43">
        <v>27.282830000000001</v>
      </c>
      <c r="E975" s="43">
        <v>49.56523</v>
      </c>
      <c r="F975">
        <v>0.03</v>
      </c>
      <c r="G975">
        <f t="shared" si="8"/>
        <v>48.280320000000003</v>
      </c>
      <c r="H975" s="32" t="s">
        <v>49</v>
      </c>
      <c r="I975">
        <v>0</v>
      </c>
      <c r="J975">
        <v>128.731040421779</v>
      </c>
      <c r="K975" s="26">
        <v>2016</v>
      </c>
      <c r="L975" t="s">
        <v>30</v>
      </c>
      <c r="M975" s="32">
        <v>130</v>
      </c>
      <c r="N975">
        <v>15.0852345</v>
      </c>
      <c r="O975">
        <v>24</v>
      </c>
      <c r="P975" t="s">
        <v>23</v>
      </c>
      <c r="Q975">
        <v>91</v>
      </c>
      <c r="R975" t="s">
        <v>13</v>
      </c>
      <c r="S975" t="s">
        <v>21</v>
      </c>
      <c r="T975" t="s">
        <v>28</v>
      </c>
      <c r="U975" s="34">
        <v>8</v>
      </c>
      <c r="V975" s="34">
        <v>9</v>
      </c>
      <c r="W975" s="25">
        <v>8.5</v>
      </c>
      <c r="X975" s="25">
        <v>1</v>
      </c>
      <c r="Y975">
        <v>1.228</v>
      </c>
      <c r="Z975" t="s">
        <v>816</v>
      </c>
      <c r="AA975" t="s">
        <v>660</v>
      </c>
      <c r="AB975">
        <v>1</v>
      </c>
      <c r="AC975">
        <v>0</v>
      </c>
      <c r="AF975" t="s">
        <v>531</v>
      </c>
      <c r="AH975" s="32" t="s">
        <v>671</v>
      </c>
      <c r="AI975" s="32" t="s">
        <v>1129</v>
      </c>
      <c r="AJ975" s="31" t="s">
        <v>1130</v>
      </c>
      <c r="AK975" s="31">
        <v>0.59524549999999998</v>
      </c>
      <c r="AL975" s="31">
        <v>0</v>
      </c>
      <c r="AM975" s="31">
        <v>0</v>
      </c>
      <c r="AN975" s="31">
        <v>0</v>
      </c>
      <c r="AO975" s="31">
        <v>0</v>
      </c>
      <c r="AP975" s="31">
        <v>0</v>
      </c>
      <c r="AQ975" s="31">
        <v>0</v>
      </c>
      <c r="AR975" s="31">
        <v>0.55269999999999997</v>
      </c>
    </row>
    <row r="976" spans="1:44" hidden="1" x14ac:dyDescent="0.5">
      <c r="A976" s="31">
        <v>975</v>
      </c>
      <c r="B976" s="31">
        <v>65</v>
      </c>
      <c r="C976" s="225" t="s">
        <v>9</v>
      </c>
      <c r="D976" s="43">
        <v>27.282830000000001</v>
      </c>
      <c r="E976" s="43">
        <v>49.56523</v>
      </c>
      <c r="F976">
        <v>0.03</v>
      </c>
      <c r="G976">
        <f t="shared" ref="G976:G1039" si="9">F976*1609.344</f>
        <v>48.280320000000003</v>
      </c>
      <c r="H976" s="32" t="s">
        <v>49</v>
      </c>
      <c r="I976">
        <v>0</v>
      </c>
      <c r="J976">
        <v>128.731040421779</v>
      </c>
      <c r="K976" s="26">
        <v>2016</v>
      </c>
      <c r="L976" t="s">
        <v>30</v>
      </c>
      <c r="M976" s="32">
        <v>130</v>
      </c>
      <c r="N976">
        <v>15.0852345</v>
      </c>
      <c r="O976">
        <v>24</v>
      </c>
      <c r="P976" t="s">
        <v>23</v>
      </c>
      <c r="Q976">
        <v>91</v>
      </c>
      <c r="R976" t="s">
        <v>13</v>
      </c>
      <c r="S976" t="s">
        <v>21</v>
      </c>
      <c r="T976" t="s">
        <v>28</v>
      </c>
      <c r="U976" s="34">
        <v>10</v>
      </c>
      <c r="V976" s="34">
        <v>11</v>
      </c>
      <c r="W976" s="25">
        <v>10.5</v>
      </c>
      <c r="X976" s="25">
        <v>1</v>
      </c>
      <c r="Y976">
        <v>1.228</v>
      </c>
      <c r="Z976" t="s">
        <v>816</v>
      </c>
      <c r="AA976" t="s">
        <v>660</v>
      </c>
      <c r="AB976">
        <v>1</v>
      </c>
      <c r="AC976">
        <v>0</v>
      </c>
      <c r="AF976" t="s">
        <v>531</v>
      </c>
      <c r="AH976" s="32" t="s">
        <v>671</v>
      </c>
      <c r="AI976" s="32" t="s">
        <v>1129</v>
      </c>
      <c r="AJ976" s="31" t="s">
        <v>1130</v>
      </c>
      <c r="AK976" s="31">
        <v>0.59524549999999998</v>
      </c>
      <c r="AL976" s="31">
        <v>0</v>
      </c>
      <c r="AM976" s="31">
        <v>0</v>
      </c>
      <c r="AN976" s="31">
        <v>0</v>
      </c>
      <c r="AO976" s="31">
        <v>0</v>
      </c>
      <c r="AP976" s="31">
        <v>0</v>
      </c>
      <c r="AQ976" s="31">
        <v>0</v>
      </c>
      <c r="AR976" s="31">
        <v>0.55269999999999997</v>
      </c>
    </row>
    <row r="977" spans="1:44" hidden="1" x14ac:dyDescent="0.5">
      <c r="A977" s="31">
        <v>976</v>
      </c>
      <c r="B977" s="31">
        <v>65</v>
      </c>
      <c r="C977" s="225" t="s">
        <v>9</v>
      </c>
      <c r="D977" s="43">
        <v>27.282830000000001</v>
      </c>
      <c r="E977" s="43">
        <v>49.56523</v>
      </c>
      <c r="F977">
        <v>0.03</v>
      </c>
      <c r="G977">
        <f t="shared" si="9"/>
        <v>48.280320000000003</v>
      </c>
      <c r="H977" s="32" t="s">
        <v>49</v>
      </c>
      <c r="I977">
        <v>0</v>
      </c>
      <c r="J977">
        <v>128.731040421779</v>
      </c>
      <c r="K977" s="26">
        <v>2016</v>
      </c>
      <c r="L977" t="s">
        <v>30</v>
      </c>
      <c r="M977" s="32">
        <v>130</v>
      </c>
      <c r="N977">
        <v>15.0852345</v>
      </c>
      <c r="O977">
        <v>24</v>
      </c>
      <c r="P977" t="s">
        <v>23</v>
      </c>
      <c r="Q977">
        <v>91</v>
      </c>
      <c r="R977" t="s">
        <v>13</v>
      </c>
      <c r="S977" t="s">
        <v>21</v>
      </c>
      <c r="T977" t="s">
        <v>28</v>
      </c>
      <c r="U977" s="34">
        <v>17</v>
      </c>
      <c r="V977" s="34">
        <v>18</v>
      </c>
      <c r="W977" s="25">
        <v>17.5</v>
      </c>
      <c r="X977" s="25">
        <v>1</v>
      </c>
      <c r="Y977">
        <v>1.228</v>
      </c>
      <c r="Z977" t="s">
        <v>816</v>
      </c>
      <c r="AA977" t="s">
        <v>660</v>
      </c>
      <c r="AB977">
        <v>1</v>
      </c>
      <c r="AC977">
        <v>0</v>
      </c>
      <c r="AF977" t="s">
        <v>531</v>
      </c>
      <c r="AH977" s="32" t="s">
        <v>671</v>
      </c>
      <c r="AI977" s="32" t="s">
        <v>1129</v>
      </c>
      <c r="AJ977" s="31" t="s">
        <v>1130</v>
      </c>
      <c r="AK977" s="31">
        <v>0.59524549999999998</v>
      </c>
      <c r="AL977" s="31">
        <v>0</v>
      </c>
      <c r="AM977" s="31">
        <v>0</v>
      </c>
      <c r="AN977" s="31">
        <v>0</v>
      </c>
      <c r="AO977" s="31">
        <v>0</v>
      </c>
      <c r="AP977" s="31">
        <v>0</v>
      </c>
      <c r="AQ977" s="31">
        <v>0</v>
      </c>
      <c r="AR977" s="31">
        <v>0.55269999999999997</v>
      </c>
    </row>
    <row r="978" spans="1:44" hidden="1" x14ac:dyDescent="0.5">
      <c r="A978" s="31">
        <v>977</v>
      </c>
      <c r="B978" s="31">
        <v>65</v>
      </c>
      <c r="C978" s="225" t="s">
        <v>9</v>
      </c>
      <c r="D978" s="43">
        <v>27.282830000000001</v>
      </c>
      <c r="E978" s="43">
        <v>49.56523</v>
      </c>
      <c r="F978">
        <v>0.03</v>
      </c>
      <c r="G978">
        <f t="shared" si="9"/>
        <v>48.280320000000003</v>
      </c>
      <c r="H978" s="32" t="s">
        <v>49</v>
      </c>
      <c r="I978">
        <v>0</v>
      </c>
      <c r="J978">
        <v>128.731040421779</v>
      </c>
      <c r="K978" s="26">
        <v>2016</v>
      </c>
      <c r="L978" t="s">
        <v>30</v>
      </c>
      <c r="M978" s="32">
        <v>130</v>
      </c>
      <c r="N978">
        <v>15.0852345</v>
      </c>
      <c r="O978">
        <v>24</v>
      </c>
      <c r="P978" t="s">
        <v>23</v>
      </c>
      <c r="Q978">
        <v>91</v>
      </c>
      <c r="R978" t="s">
        <v>13</v>
      </c>
      <c r="S978" t="s">
        <v>21</v>
      </c>
      <c r="T978" t="s">
        <v>28</v>
      </c>
      <c r="U978" s="34">
        <v>7</v>
      </c>
      <c r="V978" s="34">
        <v>8</v>
      </c>
      <c r="W978" s="25">
        <v>7.5</v>
      </c>
      <c r="X978" s="25">
        <v>1</v>
      </c>
      <c r="Y978">
        <v>1.228</v>
      </c>
      <c r="Z978" t="s">
        <v>816</v>
      </c>
      <c r="AA978" t="s">
        <v>660</v>
      </c>
      <c r="AB978">
        <v>1</v>
      </c>
      <c r="AC978">
        <v>17.12534037</v>
      </c>
      <c r="AF978" t="s">
        <v>531</v>
      </c>
      <c r="AG978" s="32" t="s">
        <v>2099</v>
      </c>
      <c r="AH978" s="32" t="s">
        <v>671</v>
      </c>
      <c r="AI978" s="32" t="s">
        <v>1129</v>
      </c>
      <c r="AJ978" s="31" t="s">
        <v>1130</v>
      </c>
      <c r="AK978" s="31">
        <v>0.59524549999999998</v>
      </c>
      <c r="AL978" s="31">
        <v>25.185098105668583</v>
      </c>
      <c r="AM978" s="31">
        <v>17.12534037</v>
      </c>
      <c r="AN978" s="31">
        <v>417.4979239884795</v>
      </c>
      <c r="AO978" s="31">
        <v>283.88986304809538</v>
      </c>
      <c r="AP978" s="31">
        <v>0.51268745065785282</v>
      </c>
      <c r="AQ978" s="31">
        <v>0.34861675182306112</v>
      </c>
      <c r="AR978" s="31">
        <v>0.55269999999999997</v>
      </c>
    </row>
    <row r="979" spans="1:44" hidden="1" x14ac:dyDescent="0.5">
      <c r="A979" s="31">
        <v>978</v>
      </c>
      <c r="B979" s="31">
        <v>65</v>
      </c>
      <c r="C979" s="225" t="s">
        <v>9</v>
      </c>
      <c r="D979" s="43">
        <v>27.282830000000001</v>
      </c>
      <c r="E979" s="43">
        <v>49.56523</v>
      </c>
      <c r="F979">
        <v>0.03</v>
      </c>
      <c r="G979">
        <f t="shared" si="9"/>
        <v>48.280320000000003</v>
      </c>
      <c r="H979" s="32" t="s">
        <v>49</v>
      </c>
      <c r="I979">
        <v>0</v>
      </c>
      <c r="J979">
        <v>128.731040421779</v>
      </c>
      <c r="K979" s="26">
        <v>2016</v>
      </c>
      <c r="L979" t="s">
        <v>30</v>
      </c>
      <c r="M979" s="32">
        <v>130</v>
      </c>
      <c r="N979">
        <v>15.0852345</v>
      </c>
      <c r="O979">
        <v>24</v>
      </c>
      <c r="P979" t="s">
        <v>23</v>
      </c>
      <c r="Q979">
        <v>91</v>
      </c>
      <c r="R979" t="s">
        <v>13</v>
      </c>
      <c r="S979" t="s">
        <v>21</v>
      </c>
      <c r="T979" t="s">
        <v>28</v>
      </c>
      <c r="U979" s="34">
        <v>11</v>
      </c>
      <c r="V979" s="34">
        <v>12</v>
      </c>
      <c r="W979" s="25">
        <v>11.5</v>
      </c>
      <c r="X979" s="25">
        <v>1</v>
      </c>
      <c r="Y979">
        <v>1.228</v>
      </c>
      <c r="Z979" t="s">
        <v>816</v>
      </c>
      <c r="AA979" t="s">
        <v>660</v>
      </c>
      <c r="AB979">
        <v>1</v>
      </c>
      <c r="AC979">
        <v>68.181818179999993</v>
      </c>
      <c r="AF979" t="s">
        <v>531</v>
      </c>
      <c r="AG979" s="32" t="s">
        <v>2100</v>
      </c>
      <c r="AH979" s="32" t="s">
        <v>671</v>
      </c>
      <c r="AI979" s="32" t="s">
        <v>1129</v>
      </c>
      <c r="AJ979" s="31" t="s">
        <v>1130</v>
      </c>
      <c r="AK979" s="31">
        <v>0.59524549999999998</v>
      </c>
      <c r="AL979" s="31">
        <v>100.27046136229043</v>
      </c>
      <c r="AM979" s="31">
        <v>68.181818179999993</v>
      </c>
      <c r="AN979" s="31">
        <v>1662.201563816858</v>
      </c>
      <c r="AO979" s="31">
        <v>1130.2623251446848</v>
      </c>
      <c r="AP979" s="31">
        <v>2.0411835203671016</v>
      </c>
      <c r="AQ979" s="31">
        <v>1.387962135277673</v>
      </c>
      <c r="AR979" s="31">
        <v>0.55269999999999997</v>
      </c>
    </row>
    <row r="980" spans="1:44" hidden="1" x14ac:dyDescent="0.5">
      <c r="A980" s="31">
        <v>979</v>
      </c>
      <c r="B980" s="31">
        <v>65</v>
      </c>
      <c r="C980" s="225" t="s">
        <v>9</v>
      </c>
      <c r="D980" s="43">
        <v>27.282830000000001</v>
      </c>
      <c r="E980" s="43">
        <v>49.56523</v>
      </c>
      <c r="F980">
        <v>0.03</v>
      </c>
      <c r="G980">
        <f t="shared" si="9"/>
        <v>48.280320000000003</v>
      </c>
      <c r="H980" s="32" t="s">
        <v>49</v>
      </c>
      <c r="I980">
        <v>0</v>
      </c>
      <c r="J980">
        <v>128.731040421779</v>
      </c>
      <c r="K980" s="26">
        <v>2016</v>
      </c>
      <c r="L980" t="s">
        <v>30</v>
      </c>
      <c r="M980" s="32">
        <v>130</v>
      </c>
      <c r="N980">
        <v>15.0852345</v>
      </c>
      <c r="O980">
        <v>24</v>
      </c>
      <c r="P980" t="s">
        <v>23</v>
      </c>
      <c r="Q980">
        <v>91</v>
      </c>
      <c r="R980" t="s">
        <v>13</v>
      </c>
      <c r="S980" t="s">
        <v>21</v>
      </c>
      <c r="T980" t="s">
        <v>28</v>
      </c>
      <c r="U980" s="34">
        <v>5</v>
      </c>
      <c r="V980" s="34">
        <v>6</v>
      </c>
      <c r="W980" s="25">
        <v>5.5</v>
      </c>
      <c r="X980" s="25">
        <v>1</v>
      </c>
      <c r="Y980">
        <v>1.228</v>
      </c>
      <c r="Z980" t="s">
        <v>816</v>
      </c>
      <c r="AA980" t="s">
        <v>660</v>
      </c>
      <c r="AB980">
        <v>1</v>
      </c>
      <c r="AC980">
        <v>80.309996589999997</v>
      </c>
      <c r="AF980" t="s">
        <v>531</v>
      </c>
      <c r="AG980" s="32" t="s">
        <v>2101</v>
      </c>
      <c r="AH980" s="32" t="s">
        <v>671</v>
      </c>
      <c r="AI980" s="32" t="s">
        <v>1129</v>
      </c>
      <c r="AJ980" s="31" t="s">
        <v>1130</v>
      </c>
      <c r="AK980" s="31">
        <v>0.59524549999999998</v>
      </c>
      <c r="AL980" s="31">
        <v>118.10656601770415</v>
      </c>
      <c r="AM980" s="31">
        <v>80.309996589999997</v>
      </c>
      <c r="AN980" s="31">
        <v>1957.8738949085696</v>
      </c>
      <c r="AO980" s="31">
        <v>1331.3133310487367</v>
      </c>
      <c r="AP980" s="31">
        <v>2.4042691429477236</v>
      </c>
      <c r="AQ980" s="31">
        <v>1.6348527705278486</v>
      </c>
      <c r="AR980" s="31">
        <v>0.55269999999999997</v>
      </c>
    </row>
    <row r="981" spans="1:44" hidden="1" x14ac:dyDescent="0.5">
      <c r="A981" s="31">
        <v>980</v>
      </c>
      <c r="B981" s="31">
        <v>65</v>
      </c>
      <c r="C981" s="225" t="s">
        <v>9</v>
      </c>
      <c r="D981" s="43">
        <v>27.282830000000001</v>
      </c>
      <c r="E981" s="43">
        <v>49.56523</v>
      </c>
      <c r="F981">
        <v>0.03</v>
      </c>
      <c r="G981">
        <f t="shared" si="9"/>
        <v>48.280320000000003</v>
      </c>
      <c r="H981" s="32" t="s">
        <v>49</v>
      </c>
      <c r="I981">
        <v>0</v>
      </c>
      <c r="J981">
        <v>128.731040421779</v>
      </c>
      <c r="K981" s="26">
        <v>2016</v>
      </c>
      <c r="L981" t="s">
        <v>30</v>
      </c>
      <c r="M981" s="32">
        <v>130</v>
      </c>
      <c r="N981">
        <v>15.0852345</v>
      </c>
      <c r="O981">
        <v>24</v>
      </c>
      <c r="P981" t="s">
        <v>23</v>
      </c>
      <c r="Q981">
        <v>91</v>
      </c>
      <c r="R981" t="s">
        <v>13</v>
      </c>
      <c r="S981" t="s">
        <v>21</v>
      </c>
      <c r="T981" t="s">
        <v>28</v>
      </c>
      <c r="U981" s="34">
        <v>1</v>
      </c>
      <c r="V981" s="34">
        <v>2</v>
      </c>
      <c r="W981" s="25">
        <v>1.5</v>
      </c>
      <c r="X981" s="25">
        <v>1</v>
      </c>
      <c r="Y981">
        <v>1.228</v>
      </c>
      <c r="Z981" t="s">
        <v>816</v>
      </c>
      <c r="AA981" t="s">
        <v>660</v>
      </c>
      <c r="AB981">
        <v>1</v>
      </c>
      <c r="AC981">
        <v>97.513408089999999</v>
      </c>
      <c r="AF981" t="s">
        <v>531</v>
      </c>
      <c r="AG981" s="32" t="s">
        <v>2102</v>
      </c>
      <c r="AH981" s="32" t="s">
        <v>671</v>
      </c>
      <c r="AI981" s="32" t="s">
        <v>1129</v>
      </c>
      <c r="AJ981" s="31" t="s">
        <v>1130</v>
      </c>
      <c r="AK981" s="31">
        <v>0.59524549999999998</v>
      </c>
      <c r="AL981" s="31">
        <v>143.4064781373304</v>
      </c>
      <c r="AM981" s="31">
        <v>97.513408089999999</v>
      </c>
      <c r="AN981" s="31">
        <v>2377.2751115612664</v>
      </c>
      <c r="AO981" s="31">
        <v>1616.4973933317001</v>
      </c>
      <c r="AP981" s="31">
        <v>2.9192938369972352</v>
      </c>
      <c r="AQ981" s="31">
        <v>1.9850587990113278</v>
      </c>
      <c r="AR981" s="31">
        <v>0.55269999999999997</v>
      </c>
    </row>
    <row r="982" spans="1:44" hidden="1" x14ac:dyDescent="0.5">
      <c r="A982" s="31">
        <v>981</v>
      </c>
      <c r="B982" s="31">
        <v>65</v>
      </c>
      <c r="C982" s="225" t="s">
        <v>9</v>
      </c>
      <c r="D982" s="43">
        <v>27.282830000000001</v>
      </c>
      <c r="E982" s="43">
        <v>49.56523</v>
      </c>
      <c r="F982">
        <v>0.03</v>
      </c>
      <c r="G982">
        <f t="shared" si="9"/>
        <v>48.280320000000003</v>
      </c>
      <c r="H982" s="32" t="s">
        <v>49</v>
      </c>
      <c r="I982">
        <v>0</v>
      </c>
      <c r="J982">
        <v>128.731040421779</v>
      </c>
      <c r="K982" s="26">
        <v>2016</v>
      </c>
      <c r="L982" t="s">
        <v>30</v>
      </c>
      <c r="M982" s="32">
        <v>130</v>
      </c>
      <c r="N982">
        <v>15.0852345</v>
      </c>
      <c r="O982">
        <v>24</v>
      </c>
      <c r="P982" t="s">
        <v>23</v>
      </c>
      <c r="Q982">
        <v>91</v>
      </c>
      <c r="R982" t="s">
        <v>13</v>
      </c>
      <c r="S982" t="s">
        <v>21</v>
      </c>
      <c r="T982" t="s">
        <v>28</v>
      </c>
      <c r="U982" s="34">
        <v>13</v>
      </c>
      <c r="V982" s="34">
        <v>14</v>
      </c>
      <c r="W982" s="25">
        <v>13.5</v>
      </c>
      <c r="X982" s="25">
        <v>1</v>
      </c>
      <c r="Y982">
        <v>1.228</v>
      </c>
      <c r="Z982" t="s">
        <v>816</v>
      </c>
      <c r="AA982" t="s">
        <v>660</v>
      </c>
      <c r="AB982">
        <v>1</v>
      </c>
      <c r="AC982">
        <v>100</v>
      </c>
      <c r="AF982" t="s">
        <v>531</v>
      </c>
      <c r="AG982" s="32">
        <v>100</v>
      </c>
      <c r="AH982" s="32" t="s">
        <v>671</v>
      </c>
      <c r="AI982" s="32" t="s">
        <v>1129</v>
      </c>
      <c r="AJ982" s="31" t="s">
        <v>1130</v>
      </c>
      <c r="AK982" s="31">
        <v>0.59524549999999998</v>
      </c>
      <c r="AL982" s="31">
        <v>147.06334333528102</v>
      </c>
      <c r="AM982" s="31">
        <v>100</v>
      </c>
      <c r="AN982" s="31">
        <v>2437.8956269964024</v>
      </c>
      <c r="AO982" s="31">
        <v>1657.7180769230772</v>
      </c>
      <c r="AP982" s="31">
        <v>2.9937358299515822</v>
      </c>
      <c r="AQ982" s="31">
        <v>2.0356777984615388</v>
      </c>
      <c r="AR982" s="31">
        <v>0.55269999999999997</v>
      </c>
    </row>
    <row r="983" spans="1:44" hidden="1" x14ac:dyDescent="0.5">
      <c r="A983" s="31">
        <v>982</v>
      </c>
      <c r="B983" s="31">
        <v>65</v>
      </c>
      <c r="C983" s="225" t="s">
        <v>9</v>
      </c>
      <c r="D983" s="43">
        <v>27.282830000000001</v>
      </c>
      <c r="E983" s="43">
        <v>49.56523</v>
      </c>
      <c r="F983">
        <v>0.03</v>
      </c>
      <c r="G983">
        <f t="shared" si="9"/>
        <v>48.280320000000003</v>
      </c>
      <c r="H983" s="32" t="s">
        <v>49</v>
      </c>
      <c r="I983">
        <v>0</v>
      </c>
      <c r="J983">
        <v>128.731040421779</v>
      </c>
      <c r="K983" s="26">
        <v>2016</v>
      </c>
      <c r="L983" t="s">
        <v>30</v>
      </c>
      <c r="M983" s="32">
        <v>130</v>
      </c>
      <c r="N983">
        <v>15.0852345</v>
      </c>
      <c r="O983">
        <v>24</v>
      </c>
      <c r="P983" t="s">
        <v>23</v>
      </c>
      <c r="Q983">
        <v>91</v>
      </c>
      <c r="R983" t="s">
        <v>13</v>
      </c>
      <c r="S983" t="s">
        <v>21</v>
      </c>
      <c r="T983" t="s">
        <v>28</v>
      </c>
      <c r="U983" s="34">
        <v>3</v>
      </c>
      <c r="V983" s="34">
        <v>4</v>
      </c>
      <c r="W983" s="25">
        <v>3.5</v>
      </c>
      <c r="X983" s="25">
        <v>1</v>
      </c>
      <c r="Y983">
        <v>1.228</v>
      </c>
      <c r="Z983" t="s">
        <v>816</v>
      </c>
      <c r="AA983" t="s">
        <v>660</v>
      </c>
      <c r="AB983">
        <v>1</v>
      </c>
      <c r="AC983">
        <v>262.54758679999998</v>
      </c>
      <c r="AF983" t="s">
        <v>531</v>
      </c>
      <c r="AG983" s="32" t="s">
        <v>2103</v>
      </c>
      <c r="AH983" s="32" t="s">
        <v>671</v>
      </c>
      <c r="AI983" s="32" t="s">
        <v>1129</v>
      </c>
      <c r="AJ983" s="31" t="s">
        <v>1130</v>
      </c>
      <c r="AK983" s="31">
        <v>0.59524549999999998</v>
      </c>
      <c r="AL983" s="31">
        <v>386.11125899417891</v>
      </c>
      <c r="AM983" s="31">
        <v>262.54758679999998</v>
      </c>
      <c r="AN983" s="31">
        <v>6400.6361373817836</v>
      </c>
      <c r="AO983" s="31">
        <v>4352.298806908906</v>
      </c>
      <c r="AP983" s="31">
        <v>7.8599811767048307</v>
      </c>
      <c r="AQ983" s="31">
        <v>5.3446229348841365</v>
      </c>
      <c r="AR983" s="31">
        <v>0.55269999999999997</v>
      </c>
    </row>
    <row r="984" spans="1:44" hidden="1" x14ac:dyDescent="0.5">
      <c r="A984" s="31">
        <v>983</v>
      </c>
      <c r="B984" s="31">
        <v>65</v>
      </c>
      <c r="C984" s="225" t="s">
        <v>9</v>
      </c>
      <c r="D984" s="43">
        <v>27.28603</v>
      </c>
      <c r="E984" s="43">
        <v>49.566850000000002</v>
      </c>
      <c r="F984">
        <v>0.08</v>
      </c>
      <c r="G984">
        <f t="shared" si="9"/>
        <v>128.74752000000001</v>
      </c>
      <c r="H984" s="32" t="s">
        <v>49</v>
      </c>
      <c r="I984">
        <v>0</v>
      </c>
      <c r="J984">
        <v>128.57583152194701</v>
      </c>
      <c r="K984" s="26">
        <v>2016</v>
      </c>
      <c r="L984" t="s">
        <v>30</v>
      </c>
      <c r="M984" s="32">
        <v>130</v>
      </c>
      <c r="N984">
        <v>15.0852345</v>
      </c>
      <c r="O984">
        <v>24</v>
      </c>
      <c r="P984" t="s">
        <v>23</v>
      </c>
      <c r="Q984">
        <v>91</v>
      </c>
      <c r="R984" t="s">
        <v>13</v>
      </c>
      <c r="S984" t="s">
        <v>21</v>
      </c>
      <c r="T984" t="s">
        <v>28</v>
      </c>
      <c r="U984" s="34">
        <v>2</v>
      </c>
      <c r="V984" s="34">
        <v>3</v>
      </c>
      <c r="W984" s="25">
        <v>2.5</v>
      </c>
      <c r="X984" s="25">
        <v>1</v>
      </c>
      <c r="Y984">
        <v>1.228</v>
      </c>
      <c r="Z984" t="s">
        <v>816</v>
      </c>
      <c r="AA984" t="s">
        <v>660</v>
      </c>
      <c r="AB984">
        <v>1</v>
      </c>
      <c r="AC984">
        <v>0</v>
      </c>
      <c r="AF984" t="s">
        <v>531</v>
      </c>
      <c r="AH984" s="32" t="s">
        <v>671</v>
      </c>
      <c r="AI984" s="32" t="s">
        <v>1129</v>
      </c>
      <c r="AJ984" s="31" t="s">
        <v>1130</v>
      </c>
      <c r="AK984" s="31">
        <v>0.59524549999999998</v>
      </c>
      <c r="AL984" s="31">
        <v>0</v>
      </c>
      <c r="AM984" s="31">
        <v>0</v>
      </c>
      <c r="AN984" s="31">
        <v>0</v>
      </c>
      <c r="AO984" s="31">
        <v>0</v>
      </c>
      <c r="AP984" s="31">
        <v>0</v>
      </c>
      <c r="AQ984" s="31">
        <v>0</v>
      </c>
      <c r="AR984" s="31">
        <v>0.55269999999999997</v>
      </c>
    </row>
    <row r="985" spans="1:44" hidden="1" x14ac:dyDescent="0.5">
      <c r="A985" s="31">
        <v>984</v>
      </c>
      <c r="B985" s="31">
        <v>65</v>
      </c>
      <c r="C985" s="225" t="s">
        <v>9</v>
      </c>
      <c r="D985" s="43">
        <v>27.28603</v>
      </c>
      <c r="E985" s="43">
        <v>49.566850000000002</v>
      </c>
      <c r="F985">
        <v>0.08</v>
      </c>
      <c r="G985">
        <f t="shared" si="9"/>
        <v>128.74752000000001</v>
      </c>
      <c r="H985" s="32" t="s">
        <v>49</v>
      </c>
      <c r="I985">
        <v>0</v>
      </c>
      <c r="J985">
        <v>128.57583152194701</v>
      </c>
      <c r="K985" s="26">
        <v>2016</v>
      </c>
      <c r="L985" t="s">
        <v>30</v>
      </c>
      <c r="M985" s="32">
        <v>130</v>
      </c>
      <c r="N985">
        <v>15.0852345</v>
      </c>
      <c r="O985">
        <v>24</v>
      </c>
      <c r="P985" t="s">
        <v>23</v>
      </c>
      <c r="Q985">
        <v>91</v>
      </c>
      <c r="R985" t="s">
        <v>13</v>
      </c>
      <c r="S985" t="s">
        <v>21</v>
      </c>
      <c r="T985" t="s">
        <v>28</v>
      </c>
      <c r="U985" s="34">
        <v>3</v>
      </c>
      <c r="V985" s="34">
        <v>4</v>
      </c>
      <c r="W985" s="25">
        <v>3.5</v>
      </c>
      <c r="X985" s="25">
        <v>1</v>
      </c>
      <c r="Y985">
        <v>1.228</v>
      </c>
      <c r="Z985" t="s">
        <v>816</v>
      </c>
      <c r="AA985" t="s">
        <v>660</v>
      </c>
      <c r="AB985">
        <v>1</v>
      </c>
      <c r="AC985">
        <v>0</v>
      </c>
      <c r="AF985" t="s">
        <v>531</v>
      </c>
      <c r="AH985" s="32" t="s">
        <v>671</v>
      </c>
      <c r="AI985" s="32" t="s">
        <v>1129</v>
      </c>
      <c r="AJ985" s="31" t="s">
        <v>1130</v>
      </c>
      <c r="AK985" s="31">
        <v>0.59524549999999998</v>
      </c>
      <c r="AL985" s="31">
        <v>0</v>
      </c>
      <c r="AM985" s="31">
        <v>0</v>
      </c>
      <c r="AN985" s="31">
        <v>0</v>
      </c>
      <c r="AO985" s="31">
        <v>0</v>
      </c>
      <c r="AP985" s="31">
        <v>0</v>
      </c>
      <c r="AQ985" s="31">
        <v>0</v>
      </c>
      <c r="AR985" s="31">
        <v>0.55269999999999997</v>
      </c>
    </row>
    <row r="986" spans="1:44" hidden="1" x14ac:dyDescent="0.5">
      <c r="A986" s="31">
        <v>985</v>
      </c>
      <c r="B986" s="31">
        <v>65</v>
      </c>
      <c r="C986" s="225" t="s">
        <v>9</v>
      </c>
      <c r="D986" s="43">
        <v>27.28603</v>
      </c>
      <c r="E986" s="43">
        <v>49.566850000000002</v>
      </c>
      <c r="F986">
        <v>0.08</v>
      </c>
      <c r="G986">
        <f t="shared" si="9"/>
        <v>128.74752000000001</v>
      </c>
      <c r="H986" s="32" t="s">
        <v>49</v>
      </c>
      <c r="I986">
        <v>0</v>
      </c>
      <c r="J986">
        <v>128.57583152194701</v>
      </c>
      <c r="K986" s="26">
        <v>2016</v>
      </c>
      <c r="L986" t="s">
        <v>30</v>
      </c>
      <c r="M986" s="32">
        <v>130</v>
      </c>
      <c r="N986">
        <v>15.0852345</v>
      </c>
      <c r="O986">
        <v>24</v>
      </c>
      <c r="P986" t="s">
        <v>23</v>
      </c>
      <c r="Q986">
        <v>91</v>
      </c>
      <c r="R986" t="s">
        <v>13</v>
      </c>
      <c r="S986" t="s">
        <v>21</v>
      </c>
      <c r="T986" t="s">
        <v>28</v>
      </c>
      <c r="U986" s="34">
        <v>7</v>
      </c>
      <c r="V986" s="34">
        <v>8</v>
      </c>
      <c r="W986" s="25">
        <v>7.5</v>
      </c>
      <c r="X986" s="25">
        <v>1</v>
      </c>
      <c r="Y986">
        <v>1.228</v>
      </c>
      <c r="Z986" t="s">
        <v>816</v>
      </c>
      <c r="AA986" t="s">
        <v>660</v>
      </c>
      <c r="AB986">
        <v>1</v>
      </c>
      <c r="AC986">
        <v>0</v>
      </c>
      <c r="AF986" t="s">
        <v>531</v>
      </c>
      <c r="AH986" s="32" t="s">
        <v>671</v>
      </c>
      <c r="AI986" s="32" t="s">
        <v>1129</v>
      </c>
      <c r="AJ986" s="31" t="s">
        <v>1130</v>
      </c>
      <c r="AK986" s="31">
        <v>0.59524549999999998</v>
      </c>
      <c r="AL986" s="31">
        <v>0</v>
      </c>
      <c r="AM986" s="31">
        <v>0</v>
      </c>
      <c r="AN986" s="31">
        <v>0</v>
      </c>
      <c r="AO986" s="31">
        <v>0</v>
      </c>
      <c r="AP986" s="31">
        <v>0</v>
      </c>
      <c r="AQ986" s="31">
        <v>0</v>
      </c>
      <c r="AR986" s="31">
        <v>0.55269999999999997</v>
      </c>
    </row>
    <row r="987" spans="1:44" hidden="1" x14ac:dyDescent="0.5">
      <c r="A987" s="31">
        <v>986</v>
      </c>
      <c r="B987" s="31">
        <v>65</v>
      </c>
      <c r="C987" s="225" t="s">
        <v>9</v>
      </c>
      <c r="D987" s="43">
        <v>27.28603</v>
      </c>
      <c r="E987" s="43">
        <v>49.566850000000002</v>
      </c>
      <c r="F987">
        <v>0.08</v>
      </c>
      <c r="G987">
        <f t="shared" si="9"/>
        <v>128.74752000000001</v>
      </c>
      <c r="H987" s="32" t="s">
        <v>49</v>
      </c>
      <c r="I987">
        <v>0</v>
      </c>
      <c r="J987">
        <v>128.57583152194701</v>
      </c>
      <c r="K987" s="26">
        <v>2016</v>
      </c>
      <c r="L987" t="s">
        <v>30</v>
      </c>
      <c r="M987" s="32">
        <v>130</v>
      </c>
      <c r="N987">
        <v>15.0852345</v>
      </c>
      <c r="O987">
        <v>24</v>
      </c>
      <c r="P987" t="s">
        <v>23</v>
      </c>
      <c r="Q987">
        <v>91</v>
      </c>
      <c r="R987" t="s">
        <v>13</v>
      </c>
      <c r="S987" t="s">
        <v>21</v>
      </c>
      <c r="T987" t="s">
        <v>28</v>
      </c>
      <c r="U987" s="34">
        <v>13</v>
      </c>
      <c r="V987" s="34">
        <v>14</v>
      </c>
      <c r="W987" s="25">
        <v>13.5</v>
      </c>
      <c r="X987" s="25">
        <v>1</v>
      </c>
      <c r="Y987">
        <v>1.228</v>
      </c>
      <c r="Z987" t="s">
        <v>816</v>
      </c>
      <c r="AA987" t="s">
        <v>660</v>
      </c>
      <c r="AB987">
        <v>1</v>
      </c>
      <c r="AC987">
        <v>0</v>
      </c>
      <c r="AF987" t="s">
        <v>531</v>
      </c>
      <c r="AH987" s="32" t="s">
        <v>671</v>
      </c>
      <c r="AI987" s="32" t="s">
        <v>1129</v>
      </c>
      <c r="AJ987" s="31" t="s">
        <v>1130</v>
      </c>
      <c r="AK987" s="31">
        <v>0.59524549999999998</v>
      </c>
      <c r="AL987" s="31">
        <v>0</v>
      </c>
      <c r="AM987" s="31">
        <v>0</v>
      </c>
      <c r="AN987" s="31">
        <v>0</v>
      </c>
      <c r="AO987" s="31">
        <v>0</v>
      </c>
      <c r="AP987" s="31">
        <v>0</v>
      </c>
      <c r="AQ987" s="31">
        <v>0</v>
      </c>
      <c r="AR987" s="31">
        <v>0.55269999999999997</v>
      </c>
    </row>
    <row r="988" spans="1:44" hidden="1" x14ac:dyDescent="0.5">
      <c r="A988" s="31">
        <v>987</v>
      </c>
      <c r="B988" s="31">
        <v>65</v>
      </c>
      <c r="C988" s="225" t="s">
        <v>9</v>
      </c>
      <c r="D988" s="43">
        <v>27.28603</v>
      </c>
      <c r="E988" s="43">
        <v>49.566850000000002</v>
      </c>
      <c r="F988">
        <v>0.08</v>
      </c>
      <c r="G988">
        <f t="shared" si="9"/>
        <v>128.74752000000001</v>
      </c>
      <c r="H988" s="32" t="s">
        <v>49</v>
      </c>
      <c r="I988">
        <v>0</v>
      </c>
      <c r="J988">
        <v>128.57583152194701</v>
      </c>
      <c r="K988" s="26">
        <v>2016</v>
      </c>
      <c r="L988" t="s">
        <v>30</v>
      </c>
      <c r="M988" s="32">
        <v>130</v>
      </c>
      <c r="N988">
        <v>15.0852345</v>
      </c>
      <c r="O988">
        <v>24</v>
      </c>
      <c r="P988" t="s">
        <v>23</v>
      </c>
      <c r="Q988">
        <v>91</v>
      </c>
      <c r="R988" t="s">
        <v>13</v>
      </c>
      <c r="S988" t="s">
        <v>21</v>
      </c>
      <c r="T988" t="s">
        <v>28</v>
      </c>
      <c r="U988" s="34">
        <v>17</v>
      </c>
      <c r="V988" s="34">
        <v>18</v>
      </c>
      <c r="W988" s="25">
        <v>17.5</v>
      </c>
      <c r="X988" s="25">
        <v>1</v>
      </c>
      <c r="Y988">
        <v>1.228</v>
      </c>
      <c r="Z988" t="s">
        <v>816</v>
      </c>
      <c r="AA988" t="s">
        <v>660</v>
      </c>
      <c r="AB988">
        <v>1</v>
      </c>
      <c r="AC988">
        <v>0</v>
      </c>
      <c r="AF988" t="s">
        <v>531</v>
      </c>
      <c r="AH988" s="32" t="s">
        <v>671</v>
      </c>
      <c r="AI988" s="32" t="s">
        <v>1129</v>
      </c>
      <c r="AJ988" s="31" t="s">
        <v>1130</v>
      </c>
      <c r="AK988" s="31">
        <v>0.59524549999999998</v>
      </c>
      <c r="AL988" s="31">
        <v>0</v>
      </c>
      <c r="AM988" s="31">
        <v>0</v>
      </c>
      <c r="AN988" s="31">
        <v>0</v>
      </c>
      <c r="AO988" s="31">
        <v>0</v>
      </c>
      <c r="AP988" s="31">
        <v>0</v>
      </c>
      <c r="AQ988" s="31">
        <v>0</v>
      </c>
      <c r="AR988" s="31">
        <v>0.55269999999999997</v>
      </c>
    </row>
    <row r="989" spans="1:44" hidden="1" x14ac:dyDescent="0.5">
      <c r="A989" s="31">
        <v>988</v>
      </c>
      <c r="B989" s="31">
        <v>65</v>
      </c>
      <c r="C989" s="225" t="s">
        <v>9</v>
      </c>
      <c r="D989" s="43">
        <v>27.28603</v>
      </c>
      <c r="E989" s="43">
        <v>49.566850000000002</v>
      </c>
      <c r="F989">
        <v>0.08</v>
      </c>
      <c r="G989">
        <f t="shared" si="9"/>
        <v>128.74752000000001</v>
      </c>
      <c r="H989" s="32" t="s">
        <v>49</v>
      </c>
      <c r="I989">
        <v>0</v>
      </c>
      <c r="J989">
        <v>128.57583152194701</v>
      </c>
      <c r="K989" s="26">
        <v>2016</v>
      </c>
      <c r="L989" t="s">
        <v>30</v>
      </c>
      <c r="M989" s="32">
        <v>130</v>
      </c>
      <c r="N989">
        <v>15.0852345</v>
      </c>
      <c r="O989">
        <v>24</v>
      </c>
      <c r="P989" t="s">
        <v>23</v>
      </c>
      <c r="Q989">
        <v>91</v>
      </c>
      <c r="R989" t="s">
        <v>13</v>
      </c>
      <c r="S989" t="s">
        <v>21</v>
      </c>
      <c r="T989" t="s">
        <v>28</v>
      </c>
      <c r="U989" s="34">
        <v>9</v>
      </c>
      <c r="V989" s="34">
        <v>10</v>
      </c>
      <c r="W989" s="25">
        <v>9.5</v>
      </c>
      <c r="X989" s="25">
        <v>1</v>
      </c>
      <c r="Y989">
        <v>1.228</v>
      </c>
      <c r="Z989" t="s">
        <v>816</v>
      </c>
      <c r="AA989" t="s">
        <v>660</v>
      </c>
      <c r="AB989">
        <v>1</v>
      </c>
      <c r="AC989">
        <v>50</v>
      </c>
      <c r="AF989" t="s">
        <v>531</v>
      </c>
      <c r="AG989" s="32">
        <v>50</v>
      </c>
      <c r="AH989" s="32" t="s">
        <v>671</v>
      </c>
      <c r="AI989" s="32" t="s">
        <v>1129</v>
      </c>
      <c r="AJ989" s="31" t="s">
        <v>1130</v>
      </c>
      <c r="AK989" s="31">
        <v>0.59524549999999998</v>
      </c>
      <c r="AL989" s="31">
        <v>73.531671667640509</v>
      </c>
      <c r="AM989" s="31">
        <v>50</v>
      </c>
      <c r="AN989" s="31">
        <v>1218.9478134982012</v>
      </c>
      <c r="AO989" s="31">
        <v>828.8590384615386</v>
      </c>
      <c r="AP989" s="31">
        <v>1.4968679149757911</v>
      </c>
      <c r="AQ989" s="31">
        <v>1.0178388992307694</v>
      </c>
      <c r="AR989" s="31">
        <v>0.55269999999999997</v>
      </c>
    </row>
    <row r="990" spans="1:44" hidden="1" x14ac:dyDescent="0.5">
      <c r="A990" s="31">
        <v>989</v>
      </c>
      <c r="B990" s="31">
        <v>65</v>
      </c>
      <c r="C990" s="225" t="s">
        <v>9</v>
      </c>
      <c r="D990" s="43">
        <v>27.28603</v>
      </c>
      <c r="E990" s="43">
        <v>49.566850000000002</v>
      </c>
      <c r="F990">
        <v>0.08</v>
      </c>
      <c r="G990">
        <f t="shared" si="9"/>
        <v>128.74752000000001</v>
      </c>
      <c r="H990" s="32" t="s">
        <v>49</v>
      </c>
      <c r="I990">
        <v>0</v>
      </c>
      <c r="J990">
        <v>128.57583152194701</v>
      </c>
      <c r="K990" s="26">
        <v>2016</v>
      </c>
      <c r="L990" t="s">
        <v>30</v>
      </c>
      <c r="M990" s="32">
        <v>130</v>
      </c>
      <c r="N990">
        <v>15.0852345</v>
      </c>
      <c r="O990">
        <v>24</v>
      </c>
      <c r="P990" t="s">
        <v>23</v>
      </c>
      <c r="Q990">
        <v>91</v>
      </c>
      <c r="R990" t="s">
        <v>13</v>
      </c>
      <c r="S990" t="s">
        <v>21</v>
      </c>
      <c r="T990" t="s">
        <v>28</v>
      </c>
      <c r="U990" s="34">
        <v>12</v>
      </c>
      <c r="V990" s="34">
        <v>13</v>
      </c>
      <c r="W990" s="25">
        <v>12.5</v>
      </c>
      <c r="X990" s="25">
        <v>1</v>
      </c>
      <c r="Y990">
        <v>1.228</v>
      </c>
      <c r="Z990" t="s">
        <v>816</v>
      </c>
      <c r="AA990" t="s">
        <v>660</v>
      </c>
      <c r="AB990">
        <v>1</v>
      </c>
      <c r="AC990">
        <v>62.970309499999999</v>
      </c>
      <c r="AF990" t="s">
        <v>531</v>
      </c>
      <c r="AG990" s="32" t="s">
        <v>2104</v>
      </c>
      <c r="AH990" s="32" t="s">
        <v>671</v>
      </c>
      <c r="AI990" s="32" t="s">
        <v>1129</v>
      </c>
      <c r="AJ990" s="31" t="s">
        <v>1130</v>
      </c>
      <c r="AK990" s="31">
        <v>0.59524549999999998</v>
      </c>
      <c r="AL990" s="31">
        <v>92.606242459274071</v>
      </c>
      <c r="AM990" s="31">
        <v>62.970309499999999</v>
      </c>
      <c r="AN990" s="31">
        <v>1535.1504216065998</v>
      </c>
      <c r="AO990" s="31">
        <v>1043.8702036759096</v>
      </c>
      <c r="AP990" s="31">
        <v>1.8851647177329045</v>
      </c>
      <c r="AQ990" s="31">
        <v>1.281872610114017</v>
      </c>
      <c r="AR990" s="31">
        <v>0.55269999999999997</v>
      </c>
    </row>
    <row r="991" spans="1:44" hidden="1" x14ac:dyDescent="0.5">
      <c r="A991" s="31">
        <v>990</v>
      </c>
      <c r="B991" s="31">
        <v>65</v>
      </c>
      <c r="C991" s="225" t="s">
        <v>9</v>
      </c>
      <c r="D991" s="43">
        <v>27.28603</v>
      </c>
      <c r="E991" s="43">
        <v>49.566850000000002</v>
      </c>
      <c r="F991">
        <v>0.08</v>
      </c>
      <c r="G991">
        <f t="shared" si="9"/>
        <v>128.74752000000001</v>
      </c>
      <c r="H991" s="32" t="s">
        <v>49</v>
      </c>
      <c r="I991">
        <v>0</v>
      </c>
      <c r="J991">
        <v>128.57583152194701</v>
      </c>
      <c r="K991" s="26">
        <v>2016</v>
      </c>
      <c r="L991" t="s">
        <v>30</v>
      </c>
      <c r="M991" s="32">
        <v>130</v>
      </c>
      <c r="N991">
        <v>15.0852345</v>
      </c>
      <c r="O991">
        <v>24</v>
      </c>
      <c r="P991" t="s">
        <v>23</v>
      </c>
      <c r="Q991">
        <v>91</v>
      </c>
      <c r="R991" t="s">
        <v>13</v>
      </c>
      <c r="S991" t="s">
        <v>21</v>
      </c>
      <c r="T991" t="s">
        <v>28</v>
      </c>
      <c r="U991" s="34">
        <v>5</v>
      </c>
      <c r="V991" s="34">
        <v>6</v>
      </c>
      <c r="W991" s="25">
        <v>5.5</v>
      </c>
      <c r="X991" s="25">
        <v>1</v>
      </c>
      <c r="Y991">
        <v>1.228</v>
      </c>
      <c r="Z991" t="s">
        <v>816</v>
      </c>
      <c r="AA991" t="s">
        <v>660</v>
      </c>
      <c r="AB991">
        <v>1</v>
      </c>
      <c r="AC991">
        <v>83.598060520000004</v>
      </c>
      <c r="AF991" t="s">
        <v>531</v>
      </c>
      <c r="AG991" s="32" t="s">
        <v>2105</v>
      </c>
      <c r="AH991" s="32" t="s">
        <v>671</v>
      </c>
      <c r="AI991" s="32" t="s">
        <v>1129</v>
      </c>
      <c r="AJ991" s="31" t="s">
        <v>1130</v>
      </c>
      <c r="AK991" s="31">
        <v>0.59524549999999998</v>
      </c>
      <c r="AL991" s="31">
        <v>122.94210276416361</v>
      </c>
      <c r="AM991" s="31">
        <v>83.598060520000004</v>
      </c>
      <c r="AN991" s="31">
        <v>2038.033461670886</v>
      </c>
      <c r="AO991" s="31">
        <v>1385.820161197134</v>
      </c>
      <c r="AP991" s="31">
        <v>2.502705090931848</v>
      </c>
      <c r="AQ991" s="31">
        <v>1.7017871579500805</v>
      </c>
      <c r="AR991" s="31">
        <v>0.55269999999999997</v>
      </c>
    </row>
    <row r="992" spans="1:44" hidden="1" x14ac:dyDescent="0.5">
      <c r="A992" s="31">
        <v>991</v>
      </c>
      <c r="B992" s="31">
        <v>65</v>
      </c>
      <c r="C992" s="225" t="s">
        <v>9</v>
      </c>
      <c r="D992" s="43">
        <v>27.28603</v>
      </c>
      <c r="E992" s="43">
        <v>49.566850000000002</v>
      </c>
      <c r="F992">
        <v>0.08</v>
      </c>
      <c r="G992">
        <f t="shared" si="9"/>
        <v>128.74752000000001</v>
      </c>
      <c r="H992" s="32" t="s">
        <v>49</v>
      </c>
      <c r="I992">
        <v>0</v>
      </c>
      <c r="J992">
        <v>128.57583152194701</v>
      </c>
      <c r="K992" s="26">
        <v>2016</v>
      </c>
      <c r="L992" t="s">
        <v>30</v>
      </c>
      <c r="M992" s="32">
        <v>130</v>
      </c>
      <c r="N992">
        <v>15.0852345</v>
      </c>
      <c r="O992">
        <v>24</v>
      </c>
      <c r="P992" t="s">
        <v>23</v>
      </c>
      <c r="Q992">
        <v>91</v>
      </c>
      <c r="R992" t="s">
        <v>13</v>
      </c>
      <c r="S992" t="s">
        <v>21</v>
      </c>
      <c r="T992" t="s">
        <v>28</v>
      </c>
      <c r="U992" s="34">
        <v>1</v>
      </c>
      <c r="V992" s="34">
        <v>2</v>
      </c>
      <c r="W992" s="25">
        <v>1.5</v>
      </c>
      <c r="X992" s="25">
        <v>1</v>
      </c>
      <c r="Y992">
        <v>1.228</v>
      </c>
      <c r="Z992" t="s">
        <v>816</v>
      </c>
      <c r="AA992" t="s">
        <v>660</v>
      </c>
      <c r="AB992">
        <v>1</v>
      </c>
      <c r="AC992">
        <v>93.464495170000006</v>
      </c>
      <c r="AF992" t="s">
        <v>531</v>
      </c>
      <c r="AG992" s="32" t="s">
        <v>2106</v>
      </c>
      <c r="AH992" s="32" t="s">
        <v>671</v>
      </c>
      <c r="AI992" s="32" t="s">
        <v>1129</v>
      </c>
      <c r="AJ992" s="31" t="s">
        <v>1130</v>
      </c>
      <c r="AK992" s="31">
        <v>0.59524549999999998</v>
      </c>
      <c r="AL992" s="31">
        <v>137.45201142844425</v>
      </c>
      <c r="AM992" s="31">
        <v>93.464495170000006</v>
      </c>
      <c r="AN992" s="31">
        <v>2278.5668405436941</v>
      </c>
      <c r="AO992" s="31">
        <v>1549.3778319379865</v>
      </c>
      <c r="AP992" s="31">
        <v>2.7980800801876562</v>
      </c>
      <c r="AQ992" s="31">
        <v>1.9026359776198474</v>
      </c>
      <c r="AR992" s="31">
        <v>0.55269999999999997</v>
      </c>
    </row>
    <row r="993" spans="1:44" hidden="1" x14ac:dyDescent="0.5">
      <c r="A993" s="31">
        <v>992</v>
      </c>
      <c r="B993" s="31">
        <v>65</v>
      </c>
      <c r="C993" s="225" t="s">
        <v>9</v>
      </c>
      <c r="D993" s="43">
        <v>27.28603</v>
      </c>
      <c r="E993" s="43">
        <v>49.566850000000002</v>
      </c>
      <c r="F993">
        <v>0.08</v>
      </c>
      <c r="G993">
        <f t="shared" si="9"/>
        <v>128.74752000000001</v>
      </c>
      <c r="H993" s="32" t="s">
        <v>49</v>
      </c>
      <c r="I993">
        <v>0</v>
      </c>
      <c r="J993">
        <v>128.57583152194701</v>
      </c>
      <c r="K993" s="26">
        <v>2016</v>
      </c>
      <c r="L993" t="s">
        <v>30</v>
      </c>
      <c r="M993" s="32">
        <v>130</v>
      </c>
      <c r="N993">
        <v>15.0852345</v>
      </c>
      <c r="O993">
        <v>24</v>
      </c>
      <c r="P993" t="s">
        <v>23</v>
      </c>
      <c r="Q993">
        <v>91</v>
      </c>
      <c r="R993" t="s">
        <v>13</v>
      </c>
      <c r="S993" t="s">
        <v>21</v>
      </c>
      <c r="T993" t="s">
        <v>28</v>
      </c>
      <c r="U993" s="34">
        <v>8</v>
      </c>
      <c r="V993" s="34">
        <v>9</v>
      </c>
      <c r="W993" s="25">
        <v>8.5</v>
      </c>
      <c r="X993" s="25">
        <v>1</v>
      </c>
      <c r="Y993">
        <v>1.228</v>
      </c>
      <c r="Z993" t="s">
        <v>816</v>
      </c>
      <c r="AA993" t="s">
        <v>660</v>
      </c>
      <c r="AB993">
        <v>1</v>
      </c>
      <c r="AC993">
        <v>116.93854880000001</v>
      </c>
      <c r="AF993" t="s">
        <v>531</v>
      </c>
      <c r="AG993" s="32" t="s">
        <v>2107</v>
      </c>
      <c r="AH993" s="32" t="s">
        <v>671</v>
      </c>
      <c r="AI993" s="32" t="s">
        <v>1129</v>
      </c>
      <c r="AJ993" s="31" t="s">
        <v>1130</v>
      </c>
      <c r="AK993" s="31">
        <v>0.59524549999999998</v>
      </c>
      <c r="AL993" s="31">
        <v>171.97373951303913</v>
      </c>
      <c r="AM993" s="31">
        <v>116.93854880000001</v>
      </c>
      <c r="AN993" s="31">
        <v>2850.8397674682542</v>
      </c>
      <c r="AO993" s="31">
        <v>1938.511462349114</v>
      </c>
      <c r="AP993" s="31">
        <v>3.5008312344510162</v>
      </c>
      <c r="AQ993" s="31">
        <v>2.3804920757647121</v>
      </c>
      <c r="AR993" s="31">
        <v>0.55269999999999997</v>
      </c>
    </row>
    <row r="994" spans="1:44" hidden="1" x14ac:dyDescent="0.5">
      <c r="A994" s="31">
        <v>993</v>
      </c>
      <c r="B994" s="31">
        <v>65</v>
      </c>
      <c r="C994" s="225" t="s">
        <v>9</v>
      </c>
      <c r="D994" s="43">
        <v>27.28603</v>
      </c>
      <c r="E994" s="43">
        <v>49.566850000000002</v>
      </c>
      <c r="F994">
        <v>0.08</v>
      </c>
      <c r="G994">
        <f t="shared" si="9"/>
        <v>128.74752000000001</v>
      </c>
      <c r="H994" s="32" t="s">
        <v>49</v>
      </c>
      <c r="I994">
        <v>0</v>
      </c>
      <c r="J994">
        <v>128.57583152194701</v>
      </c>
      <c r="K994" s="26">
        <v>2016</v>
      </c>
      <c r="L994" t="s">
        <v>30</v>
      </c>
      <c r="M994" s="32">
        <v>130</v>
      </c>
      <c r="N994">
        <v>15.0852345</v>
      </c>
      <c r="O994">
        <v>24</v>
      </c>
      <c r="P994" t="s">
        <v>23</v>
      </c>
      <c r="Q994">
        <v>91</v>
      </c>
      <c r="R994" t="s">
        <v>13</v>
      </c>
      <c r="S994" t="s">
        <v>21</v>
      </c>
      <c r="T994" t="s">
        <v>28</v>
      </c>
      <c r="U994" s="34">
        <v>6</v>
      </c>
      <c r="V994" s="34">
        <v>7</v>
      </c>
      <c r="W994" s="25">
        <v>6.5</v>
      </c>
      <c r="X994" s="25">
        <v>1</v>
      </c>
      <c r="Y994">
        <v>1.228</v>
      </c>
      <c r="Z994" t="s">
        <v>816</v>
      </c>
      <c r="AA994" t="s">
        <v>660</v>
      </c>
      <c r="AB994">
        <v>1</v>
      </c>
      <c r="AC994">
        <v>119.33886270000001</v>
      </c>
      <c r="AF994" t="s">
        <v>531</v>
      </c>
      <c r="AG994" s="32" t="s">
        <v>2108</v>
      </c>
      <c r="AH994" s="32" t="s">
        <v>671</v>
      </c>
      <c r="AI994" s="32" t="s">
        <v>1129</v>
      </c>
      <c r="AJ994" s="31" t="s">
        <v>1130</v>
      </c>
      <c r="AK994" s="31">
        <v>0.59524549999999998</v>
      </c>
      <c r="AL994" s="31">
        <v>175.50372138492062</v>
      </c>
      <c r="AM994" s="31">
        <v>119.33886270000001</v>
      </c>
      <c r="AN994" s="31">
        <v>2909.3569150705412</v>
      </c>
      <c r="AO994" s="31">
        <v>1978.3018997723111</v>
      </c>
      <c r="AP994" s="31">
        <v>3.5726902917066243</v>
      </c>
      <c r="AQ994" s="31">
        <v>2.4293547329203982</v>
      </c>
      <c r="AR994" s="31">
        <v>0.55269999999999997</v>
      </c>
    </row>
    <row r="995" spans="1:44" hidden="1" x14ac:dyDescent="0.5">
      <c r="A995" s="31">
        <v>994</v>
      </c>
      <c r="B995" s="31">
        <v>65</v>
      </c>
      <c r="C995" s="225" t="s">
        <v>9</v>
      </c>
      <c r="D995" s="43">
        <v>27.28603</v>
      </c>
      <c r="E995" s="43">
        <v>49.566850000000002</v>
      </c>
      <c r="F995">
        <v>0.08</v>
      </c>
      <c r="G995">
        <f t="shared" si="9"/>
        <v>128.74752000000001</v>
      </c>
      <c r="H995" s="32" t="s">
        <v>49</v>
      </c>
      <c r="I995">
        <v>0</v>
      </c>
      <c r="J995">
        <v>128.57583152194701</v>
      </c>
      <c r="K995" s="26">
        <v>2016</v>
      </c>
      <c r="L995" t="s">
        <v>30</v>
      </c>
      <c r="M995" s="32">
        <v>130</v>
      </c>
      <c r="N995">
        <v>15.0852345</v>
      </c>
      <c r="O995">
        <v>24</v>
      </c>
      <c r="P995" t="s">
        <v>23</v>
      </c>
      <c r="Q995">
        <v>91</v>
      </c>
      <c r="R995" t="s">
        <v>13</v>
      </c>
      <c r="S995" t="s">
        <v>21</v>
      </c>
      <c r="T995" t="s">
        <v>28</v>
      </c>
      <c r="U995" s="34">
        <v>4</v>
      </c>
      <c r="V995" s="34">
        <v>5</v>
      </c>
      <c r="W995" s="25">
        <v>4.5</v>
      </c>
      <c r="X995" s="25">
        <v>1</v>
      </c>
      <c r="Y995">
        <v>1.228</v>
      </c>
      <c r="Z995" t="s">
        <v>816</v>
      </c>
      <c r="AA995" t="s">
        <v>660</v>
      </c>
      <c r="AB995">
        <v>1</v>
      </c>
      <c r="AC995">
        <v>188.18216029999999</v>
      </c>
      <c r="AF995" t="s">
        <v>531</v>
      </c>
      <c r="AG995" s="32" t="s">
        <v>2109</v>
      </c>
      <c r="AH995" s="32" t="s">
        <v>671</v>
      </c>
      <c r="AI995" s="32" t="s">
        <v>1129</v>
      </c>
      <c r="AJ995" s="31" t="s">
        <v>1130</v>
      </c>
      <c r="AK995" s="31">
        <v>0.59524549999999998</v>
      </c>
      <c r="AL995" s="31">
        <v>276.74697649773788</v>
      </c>
      <c r="AM995" s="31">
        <v>188.18216029999999</v>
      </c>
      <c r="AN995" s="31">
        <v>4587.6846567410603</v>
      </c>
      <c r="AO995" s="31">
        <v>3119.5296888374619</v>
      </c>
      <c r="AP995" s="31">
        <v>5.6336767584780221</v>
      </c>
      <c r="AQ995" s="31">
        <v>3.8307824578924028</v>
      </c>
      <c r="AR995" s="31">
        <v>0.55269999999999997</v>
      </c>
    </row>
    <row r="996" spans="1:44" hidden="1" x14ac:dyDescent="0.5">
      <c r="A996" s="31">
        <v>995</v>
      </c>
      <c r="B996" s="31">
        <v>65</v>
      </c>
      <c r="C996" s="225" t="s">
        <v>9</v>
      </c>
      <c r="D996" s="43">
        <v>27.28603</v>
      </c>
      <c r="E996" s="43">
        <v>49.566850000000002</v>
      </c>
      <c r="F996">
        <v>0.08</v>
      </c>
      <c r="G996">
        <f t="shared" si="9"/>
        <v>128.74752000000001</v>
      </c>
      <c r="H996" s="32" t="s">
        <v>49</v>
      </c>
      <c r="I996">
        <v>2.5</v>
      </c>
      <c r="J996">
        <v>128.57583152194701</v>
      </c>
      <c r="K996" s="26">
        <v>2016</v>
      </c>
      <c r="L996" t="s">
        <v>30</v>
      </c>
      <c r="M996" s="32">
        <v>130</v>
      </c>
      <c r="N996">
        <v>15.0852345</v>
      </c>
      <c r="O996">
        <v>24</v>
      </c>
      <c r="P996" t="s">
        <v>23</v>
      </c>
      <c r="Q996">
        <v>91</v>
      </c>
      <c r="R996" t="s">
        <v>13</v>
      </c>
      <c r="S996" t="s">
        <v>21</v>
      </c>
      <c r="T996" t="s">
        <v>28</v>
      </c>
      <c r="U996" s="34">
        <v>0</v>
      </c>
      <c r="V996" s="34">
        <v>1</v>
      </c>
      <c r="W996" s="25">
        <v>0.5</v>
      </c>
      <c r="X996" s="25">
        <v>1</v>
      </c>
      <c r="Y996">
        <v>1.228</v>
      </c>
      <c r="Z996" t="s">
        <v>816</v>
      </c>
      <c r="AA996" t="s">
        <v>660</v>
      </c>
      <c r="AB996">
        <v>1</v>
      </c>
      <c r="AC996">
        <v>119.047619</v>
      </c>
      <c r="AF996" t="s">
        <v>531</v>
      </c>
      <c r="AG996" s="32" t="s">
        <v>2110</v>
      </c>
      <c r="AH996" s="32" t="s">
        <v>671</v>
      </c>
      <c r="AI996" s="32" t="s">
        <v>1129</v>
      </c>
      <c r="AJ996" s="31" t="s">
        <v>1130</v>
      </c>
      <c r="AK996" s="31">
        <v>0.59524549999999998</v>
      </c>
      <c r="AL996" s="31">
        <v>175.07540866244722</v>
      </c>
      <c r="AM996" s="31">
        <v>119.047619</v>
      </c>
      <c r="AN996" s="31">
        <v>2902.2566976443377</v>
      </c>
      <c r="AO996" s="31">
        <v>1973.4739003095115</v>
      </c>
      <c r="AP996" s="31">
        <v>3.5639712247072466</v>
      </c>
      <c r="AQ996" s="31">
        <v>2.4234259495800798</v>
      </c>
      <c r="AR996" s="31">
        <v>0.55269999999999997</v>
      </c>
    </row>
    <row r="997" spans="1:44" customFormat="1" hidden="1" x14ac:dyDescent="0.5">
      <c r="A997">
        <v>996</v>
      </c>
      <c r="B997">
        <v>66</v>
      </c>
      <c r="C997" s="226" t="s">
        <v>9</v>
      </c>
      <c r="D997" s="30">
        <v>19.085346000000001</v>
      </c>
      <c r="E997" s="30">
        <v>108.619975</v>
      </c>
      <c r="F997">
        <v>0</v>
      </c>
      <c r="G997">
        <f t="shared" si="9"/>
        <v>0</v>
      </c>
      <c r="H997" t="s">
        <v>49</v>
      </c>
      <c r="I997">
        <v>0</v>
      </c>
      <c r="J997">
        <v>177.71758835528999</v>
      </c>
      <c r="K997" s="26">
        <v>2017</v>
      </c>
      <c r="L997" t="s">
        <v>11</v>
      </c>
      <c r="M997" s="30"/>
      <c r="N997">
        <v>1</v>
      </c>
      <c r="O997">
        <v>5</v>
      </c>
      <c r="P997" t="s">
        <v>23</v>
      </c>
      <c r="Q997">
        <v>95.5</v>
      </c>
      <c r="R997" t="s">
        <v>13</v>
      </c>
      <c r="S997" t="s">
        <v>14</v>
      </c>
      <c r="T997" t="s">
        <v>14</v>
      </c>
      <c r="U997" s="25">
        <v>0</v>
      </c>
      <c r="V997" s="25">
        <v>5</v>
      </c>
      <c r="W997" s="25">
        <v>2.5</v>
      </c>
      <c r="X997" s="25">
        <v>5</v>
      </c>
      <c r="Y997">
        <v>1.49</v>
      </c>
      <c r="Z997" t="s">
        <v>779</v>
      </c>
      <c r="AA997" t="s">
        <v>648</v>
      </c>
      <c r="AB997">
        <v>27</v>
      </c>
      <c r="AC997">
        <v>1340</v>
      </c>
      <c r="AD997">
        <v>604</v>
      </c>
      <c r="AF997" t="s">
        <v>532</v>
      </c>
      <c r="AG997" s="30">
        <v>1340</v>
      </c>
      <c r="AH997" s="30">
        <v>0.47010000000000002</v>
      </c>
      <c r="AI997" s="30">
        <v>629.93399999999997</v>
      </c>
      <c r="AJ997">
        <v>710.06600000000003</v>
      </c>
      <c r="AK997">
        <v>0.47010000000000002</v>
      </c>
      <c r="AL997">
        <v>629.93399999999997</v>
      </c>
      <c r="AM997">
        <v>710.06600000000003</v>
      </c>
      <c r="AN997">
        <v>659.61675392670156</v>
      </c>
      <c r="AO997">
        <v>743.52460732984298</v>
      </c>
      <c r="AP997">
        <v>0.9828289633507854</v>
      </c>
      <c r="AQ997">
        <v>1.107851664921466</v>
      </c>
      <c r="AR997">
        <v>0.55269999999999997</v>
      </c>
    </row>
    <row r="998" spans="1:44" customFormat="1" hidden="1" x14ac:dyDescent="0.5">
      <c r="A998">
        <v>997</v>
      </c>
      <c r="B998">
        <v>66</v>
      </c>
      <c r="C998" s="226" t="s">
        <v>9</v>
      </c>
      <c r="D998" s="30">
        <v>20.014292999999999</v>
      </c>
      <c r="E998" s="30">
        <v>110.607978</v>
      </c>
      <c r="F998">
        <v>0</v>
      </c>
      <c r="G998">
        <f t="shared" si="9"/>
        <v>0</v>
      </c>
      <c r="H998" t="s">
        <v>49</v>
      </c>
      <c r="I998">
        <v>0</v>
      </c>
      <c r="J998">
        <v>422.58051543806698</v>
      </c>
      <c r="K998" s="26">
        <v>2017</v>
      </c>
      <c r="L998" t="s">
        <v>11</v>
      </c>
      <c r="M998" s="30"/>
      <c r="N998">
        <v>1</v>
      </c>
      <c r="O998">
        <v>5</v>
      </c>
      <c r="P998" t="s">
        <v>23</v>
      </c>
      <c r="Q998">
        <v>95.5</v>
      </c>
      <c r="R998" t="s">
        <v>13</v>
      </c>
      <c r="S998" t="s">
        <v>14</v>
      </c>
      <c r="T998" t="s">
        <v>14</v>
      </c>
      <c r="U998" s="25">
        <v>0</v>
      </c>
      <c r="V998" s="25">
        <v>5</v>
      </c>
      <c r="W998" s="25">
        <v>2.5</v>
      </c>
      <c r="X998" s="25">
        <v>5</v>
      </c>
      <c r="Y998">
        <v>1.49</v>
      </c>
      <c r="Z998" t="s">
        <v>779</v>
      </c>
      <c r="AA998" t="s">
        <v>648</v>
      </c>
      <c r="AB998">
        <v>27</v>
      </c>
      <c r="AC998">
        <v>1442</v>
      </c>
      <c r="AD998">
        <v>364</v>
      </c>
      <c r="AF998" t="s">
        <v>532</v>
      </c>
      <c r="AG998" s="30">
        <v>1442</v>
      </c>
      <c r="AH998" s="30">
        <v>0.55900000000000005</v>
      </c>
      <c r="AI998" s="30">
        <v>806.07800000000009</v>
      </c>
      <c r="AJ998">
        <v>635.92199999999991</v>
      </c>
      <c r="AK998">
        <v>0.55900000000000005</v>
      </c>
      <c r="AL998">
        <v>806.07800000000009</v>
      </c>
      <c r="AM998">
        <v>635.92199999999991</v>
      </c>
      <c r="AN998">
        <v>844.06073298429328</v>
      </c>
      <c r="AO998">
        <v>665.88691099476432</v>
      </c>
      <c r="AP998">
        <v>1.257650492146597</v>
      </c>
      <c r="AQ998">
        <v>0.99217149738219879</v>
      </c>
      <c r="AR998">
        <v>0.55269999999999997</v>
      </c>
    </row>
    <row r="999" spans="1:44" customFormat="1" hidden="1" x14ac:dyDescent="0.5">
      <c r="A999">
        <v>998</v>
      </c>
      <c r="B999">
        <v>66</v>
      </c>
      <c r="C999" s="226" t="s">
        <v>9</v>
      </c>
      <c r="D999" s="30">
        <v>21.368646999999999</v>
      </c>
      <c r="E999" s="30">
        <v>109.774162</v>
      </c>
      <c r="F999">
        <v>0</v>
      </c>
      <c r="G999">
        <f t="shared" si="9"/>
        <v>0</v>
      </c>
      <c r="H999" t="s">
        <v>49</v>
      </c>
      <c r="I999">
        <v>0</v>
      </c>
      <c r="J999">
        <v>507.46131195411101</v>
      </c>
      <c r="K999" s="26">
        <v>2017</v>
      </c>
      <c r="L999" t="s">
        <v>11</v>
      </c>
      <c r="M999" s="30"/>
      <c r="N999">
        <v>1</v>
      </c>
      <c r="O999">
        <v>5</v>
      </c>
      <c r="P999" t="s">
        <v>23</v>
      </c>
      <c r="Q999">
        <v>95.5</v>
      </c>
      <c r="R999" t="s">
        <v>13</v>
      </c>
      <c r="S999" t="s">
        <v>14</v>
      </c>
      <c r="T999" t="s">
        <v>14</v>
      </c>
      <c r="U999" s="25">
        <v>0</v>
      </c>
      <c r="V999" s="25">
        <v>5</v>
      </c>
      <c r="W999" s="25">
        <v>2.5</v>
      </c>
      <c r="X999" s="25">
        <v>5</v>
      </c>
      <c r="Y999">
        <v>1.49</v>
      </c>
      <c r="Z999" t="s">
        <v>779</v>
      </c>
      <c r="AA999" t="s">
        <v>648</v>
      </c>
      <c r="AB999">
        <v>27</v>
      </c>
      <c r="AC999">
        <v>1018</v>
      </c>
      <c r="AD999">
        <v>286</v>
      </c>
      <c r="AF999" t="s">
        <v>532</v>
      </c>
      <c r="AG999" s="30">
        <v>1018</v>
      </c>
      <c r="AH999" s="30">
        <v>0.73199999999999998</v>
      </c>
      <c r="AI999" s="30">
        <v>745.17599999999993</v>
      </c>
      <c r="AJ999">
        <v>272.82400000000007</v>
      </c>
      <c r="AK999">
        <v>0.73199999999999998</v>
      </c>
      <c r="AL999">
        <v>745.17599999999993</v>
      </c>
      <c r="AM999">
        <v>272.82400000000007</v>
      </c>
      <c r="AN999">
        <v>780.28900523560208</v>
      </c>
      <c r="AO999">
        <v>285.67958115183256</v>
      </c>
      <c r="AP999">
        <v>1.162630617801047</v>
      </c>
      <c r="AQ999">
        <v>0.42566257591623052</v>
      </c>
      <c r="AR999">
        <v>0.55269999999999997</v>
      </c>
    </row>
    <row r="1000" spans="1:44" customFormat="1" hidden="1" x14ac:dyDescent="0.5">
      <c r="A1000">
        <v>999</v>
      </c>
      <c r="B1000">
        <v>66</v>
      </c>
      <c r="C1000" s="226" t="s">
        <v>9</v>
      </c>
      <c r="D1000" s="30">
        <v>21.680021</v>
      </c>
      <c r="E1000" s="30">
        <v>108.35982199999999</v>
      </c>
      <c r="F1000">
        <v>0</v>
      </c>
      <c r="G1000">
        <f t="shared" si="9"/>
        <v>0</v>
      </c>
      <c r="H1000" t="s">
        <v>49</v>
      </c>
      <c r="I1000">
        <v>0</v>
      </c>
      <c r="J1000">
        <v>215.16064441085101</v>
      </c>
      <c r="K1000" s="26">
        <v>2017</v>
      </c>
      <c r="L1000" t="s">
        <v>11</v>
      </c>
      <c r="M1000" s="30"/>
      <c r="N1000">
        <v>1</v>
      </c>
      <c r="O1000">
        <v>5</v>
      </c>
      <c r="P1000" t="s">
        <v>23</v>
      </c>
      <c r="Q1000">
        <v>95.5</v>
      </c>
      <c r="R1000" t="s">
        <v>13</v>
      </c>
      <c r="S1000" t="s">
        <v>14</v>
      </c>
      <c r="T1000" t="s">
        <v>14</v>
      </c>
      <c r="U1000" s="25">
        <v>0</v>
      </c>
      <c r="V1000" s="25">
        <v>5</v>
      </c>
      <c r="W1000" s="25">
        <v>2.5</v>
      </c>
      <c r="X1000" s="25">
        <v>5</v>
      </c>
      <c r="Y1000">
        <v>0.828872002</v>
      </c>
      <c r="Z1000" t="s">
        <v>794</v>
      </c>
      <c r="AA1000" t="s">
        <v>621</v>
      </c>
      <c r="AB1000">
        <v>27</v>
      </c>
      <c r="AC1000">
        <v>402</v>
      </c>
      <c r="AD1000">
        <v>90</v>
      </c>
      <c r="AF1000" t="s">
        <v>532</v>
      </c>
      <c r="AG1000" s="30">
        <v>402</v>
      </c>
      <c r="AH1000" s="30">
        <v>0.71899999999999997</v>
      </c>
      <c r="AI1000" s="30">
        <v>289.03800000000001</v>
      </c>
      <c r="AJ1000">
        <v>112.96199999999999</v>
      </c>
      <c r="AK1000">
        <v>0.71899999999999997</v>
      </c>
      <c r="AL1000">
        <v>289.03800000000001</v>
      </c>
      <c r="AM1000">
        <v>112.96199999999999</v>
      </c>
      <c r="AN1000">
        <v>302.65759162303664</v>
      </c>
      <c r="AO1000">
        <v>118.28481675392668</v>
      </c>
      <c r="AP1000">
        <v>0.25086440388908482</v>
      </c>
      <c r="AQ1000">
        <v>9.804297286903034E-2</v>
      </c>
      <c r="AR1000">
        <v>0.55269999999999997</v>
      </c>
    </row>
    <row r="1001" spans="1:44" customFormat="1" hidden="1" x14ac:dyDescent="0.5">
      <c r="A1001">
        <v>1000</v>
      </c>
      <c r="B1001">
        <v>66</v>
      </c>
      <c r="C1001" s="226" t="s">
        <v>9</v>
      </c>
      <c r="D1001" s="30">
        <v>22.526578000000001</v>
      </c>
      <c r="E1001" s="30">
        <v>114.011253</v>
      </c>
      <c r="F1001">
        <v>0</v>
      </c>
      <c r="G1001">
        <f t="shared" si="9"/>
        <v>0</v>
      </c>
      <c r="H1001" t="s">
        <v>49</v>
      </c>
      <c r="I1001">
        <v>0</v>
      </c>
      <c r="J1001">
        <v>2784.4484906735702</v>
      </c>
      <c r="K1001" s="26">
        <v>2017</v>
      </c>
      <c r="L1001" t="s">
        <v>11</v>
      </c>
      <c r="M1001" s="30"/>
      <c r="N1001">
        <v>1</v>
      </c>
      <c r="O1001">
        <v>5</v>
      </c>
      <c r="P1001" t="s">
        <v>23</v>
      </c>
      <c r="Q1001">
        <v>95.5</v>
      </c>
      <c r="R1001" t="s">
        <v>13</v>
      </c>
      <c r="S1001" t="s">
        <v>14</v>
      </c>
      <c r="T1001" t="s">
        <v>14</v>
      </c>
      <c r="U1001" s="25">
        <v>0</v>
      </c>
      <c r="V1001" s="25">
        <v>5</v>
      </c>
      <c r="W1001" s="25">
        <v>2.5</v>
      </c>
      <c r="X1001" s="25">
        <v>5</v>
      </c>
      <c r="Y1001">
        <v>0.3507784155</v>
      </c>
      <c r="Z1001" t="s">
        <v>780</v>
      </c>
      <c r="AA1001" t="s">
        <v>649</v>
      </c>
      <c r="AB1001">
        <v>27</v>
      </c>
      <c r="AC1001">
        <v>5131</v>
      </c>
      <c r="AD1001">
        <v>907</v>
      </c>
      <c r="AF1001" t="s">
        <v>532</v>
      </c>
      <c r="AG1001" s="30">
        <v>5131</v>
      </c>
      <c r="AH1001" s="30">
        <v>0.80130000000000001</v>
      </c>
      <c r="AI1001" s="30">
        <v>4111.4703</v>
      </c>
      <c r="AJ1001">
        <v>1019.5297</v>
      </c>
      <c r="AK1001">
        <v>0.80130000000000001</v>
      </c>
      <c r="AL1001">
        <v>4111.4703</v>
      </c>
      <c r="AM1001">
        <v>1019.5297</v>
      </c>
      <c r="AN1001">
        <v>4305.2045026178002</v>
      </c>
      <c r="AO1001">
        <v>1067.5703664921466</v>
      </c>
      <c r="AP1001">
        <v>1.5101728138317376</v>
      </c>
      <c r="AQ1001">
        <v>0.37448064159286948</v>
      </c>
      <c r="AR1001">
        <v>0.55269999999999997</v>
      </c>
    </row>
    <row r="1002" spans="1:44" customFormat="1" hidden="1" x14ac:dyDescent="0.5">
      <c r="A1002">
        <v>1001</v>
      </c>
      <c r="B1002">
        <v>66</v>
      </c>
      <c r="C1002" s="226" t="s">
        <v>9</v>
      </c>
      <c r="D1002" s="30">
        <v>23.891075000000001</v>
      </c>
      <c r="E1002" s="30">
        <v>117.496793</v>
      </c>
      <c r="F1002">
        <v>0</v>
      </c>
      <c r="G1002">
        <f t="shared" si="9"/>
        <v>0</v>
      </c>
      <c r="H1002" t="s">
        <v>49</v>
      </c>
      <c r="I1002">
        <v>0</v>
      </c>
      <c r="J1002">
        <v>807.60597344511802</v>
      </c>
      <c r="K1002" s="26">
        <v>2017</v>
      </c>
      <c r="L1002" t="s">
        <v>11</v>
      </c>
      <c r="M1002" s="30"/>
      <c r="N1002">
        <v>1</v>
      </c>
      <c r="O1002">
        <v>5</v>
      </c>
      <c r="P1002" t="s">
        <v>23</v>
      </c>
      <c r="Q1002">
        <v>95.5</v>
      </c>
      <c r="R1002" t="s">
        <v>13</v>
      </c>
      <c r="S1002" t="s">
        <v>14</v>
      </c>
      <c r="T1002" t="s">
        <v>14</v>
      </c>
      <c r="U1002" s="25">
        <v>0</v>
      </c>
      <c r="V1002" s="25">
        <v>5</v>
      </c>
      <c r="W1002" s="25">
        <v>2.5</v>
      </c>
      <c r="X1002" s="25">
        <v>5</v>
      </c>
      <c r="Y1002">
        <v>0.3507784155</v>
      </c>
      <c r="Z1002" t="s">
        <v>780</v>
      </c>
      <c r="AA1002" t="s">
        <v>649</v>
      </c>
      <c r="AB1002">
        <v>27</v>
      </c>
      <c r="AC1002">
        <v>913</v>
      </c>
      <c r="AD1002">
        <v>158</v>
      </c>
      <c r="AF1002" t="s">
        <v>532</v>
      </c>
      <c r="AG1002" s="30">
        <v>913</v>
      </c>
      <c r="AH1002" s="30">
        <v>0.79</v>
      </c>
      <c r="AI1002" s="30">
        <v>721.27</v>
      </c>
      <c r="AJ1002">
        <v>191.73000000000002</v>
      </c>
      <c r="AK1002">
        <v>0.79</v>
      </c>
      <c r="AL1002">
        <v>721.27</v>
      </c>
      <c r="AM1002">
        <v>191.73000000000002</v>
      </c>
      <c r="AN1002">
        <v>755.25654450261777</v>
      </c>
      <c r="AO1002">
        <v>200.76439790575918</v>
      </c>
      <c r="AP1002">
        <v>0.26492769397663352</v>
      </c>
      <c r="AQ1002">
        <v>7.0423817386193716E-2</v>
      </c>
      <c r="AR1002">
        <v>0.55269999999999997</v>
      </c>
    </row>
    <row r="1003" spans="1:44" customFormat="1" hidden="1" x14ac:dyDescent="0.5">
      <c r="A1003">
        <v>1006</v>
      </c>
      <c r="B1003">
        <v>67</v>
      </c>
      <c r="C1003" s="226" t="s">
        <v>9</v>
      </c>
      <c r="D1003" s="236">
        <v>-6</v>
      </c>
      <c r="E1003" s="237">
        <v>106.22</v>
      </c>
      <c r="F1003">
        <v>0.41</v>
      </c>
      <c r="G1003">
        <f t="shared" ref="G1003:G1027" si="10">F1003*1609.344</f>
        <v>659.83104000000003</v>
      </c>
      <c r="H1003" t="s">
        <v>47</v>
      </c>
      <c r="I1003">
        <v>1</v>
      </c>
      <c r="J1003">
        <v>2120.0478625802598</v>
      </c>
      <c r="K1003" s="26">
        <v>2016</v>
      </c>
      <c r="L1003" t="s">
        <v>40</v>
      </c>
      <c r="M1003" s="30"/>
      <c r="N1003">
        <v>1</v>
      </c>
      <c r="P1003" t="s">
        <v>12</v>
      </c>
      <c r="Q1003">
        <v>89</v>
      </c>
      <c r="R1003" t="s">
        <v>13</v>
      </c>
      <c r="S1003" t="s">
        <v>14</v>
      </c>
      <c r="T1003" t="s">
        <v>14</v>
      </c>
      <c r="U1003" s="25">
        <v>0</v>
      </c>
      <c r="V1003" s="25">
        <v>10</v>
      </c>
      <c r="W1003" s="25">
        <v>5</v>
      </c>
      <c r="X1003" s="25">
        <v>10</v>
      </c>
      <c r="Y1003">
        <v>0.69148334600000005</v>
      </c>
      <c r="Z1003" t="s">
        <v>719</v>
      </c>
      <c r="AA1003" t="s">
        <v>623</v>
      </c>
      <c r="AB1003">
        <v>1</v>
      </c>
      <c r="AC1003">
        <v>184</v>
      </c>
      <c r="AF1003" t="s">
        <v>531</v>
      </c>
      <c r="AG1003" s="30">
        <v>184</v>
      </c>
      <c r="AH1003" s="30">
        <v>0.187</v>
      </c>
      <c r="AI1003" s="30">
        <v>34.408000000000001</v>
      </c>
      <c r="AJ1003">
        <v>149.59199999999998</v>
      </c>
      <c r="AK1003">
        <v>0.187</v>
      </c>
      <c r="AL1003">
        <v>34.408000000000001</v>
      </c>
      <c r="AM1003">
        <v>149.59199999999998</v>
      </c>
      <c r="AN1003">
        <v>38.660674157303369</v>
      </c>
      <c r="AO1003">
        <v>168.08089887640446</v>
      </c>
      <c r="AP1003">
        <v>2.6733212324907867E-2</v>
      </c>
      <c r="AQ1003">
        <v>0.1162251423537438</v>
      </c>
      <c r="AR1003">
        <v>0.13328497964724689</v>
      </c>
    </row>
    <row r="1004" spans="1:44" customFormat="1" hidden="1" x14ac:dyDescent="0.5">
      <c r="A1004">
        <v>1016</v>
      </c>
      <c r="B1004">
        <v>67</v>
      </c>
      <c r="C1004" s="226" t="s">
        <v>9</v>
      </c>
      <c r="D1004" s="229">
        <v>-6</v>
      </c>
      <c r="E1004" s="237">
        <v>106.13</v>
      </c>
      <c r="F1004">
        <v>1.65</v>
      </c>
      <c r="G1004">
        <f t="shared" si="10"/>
        <v>2655.4175999999998</v>
      </c>
      <c r="H1004" t="s">
        <v>47</v>
      </c>
      <c r="I1004">
        <v>3</v>
      </c>
      <c r="J1004">
        <v>2074.0078831337501</v>
      </c>
      <c r="K1004" s="26">
        <v>2016</v>
      </c>
      <c r="L1004" t="s">
        <v>40</v>
      </c>
      <c r="M1004" s="30"/>
      <c r="N1004">
        <v>1</v>
      </c>
      <c r="P1004" t="s">
        <v>12</v>
      </c>
      <c r="Q1004">
        <v>89</v>
      </c>
      <c r="R1004" t="s">
        <v>13</v>
      </c>
      <c r="S1004" t="s">
        <v>14</v>
      </c>
      <c r="T1004" t="s">
        <v>14</v>
      </c>
      <c r="U1004" s="25">
        <v>0</v>
      </c>
      <c r="V1004" s="25">
        <v>10</v>
      </c>
      <c r="W1004" s="25">
        <v>5</v>
      </c>
      <c r="X1004" s="25">
        <v>10</v>
      </c>
      <c r="Y1004">
        <v>0.69148334600000005</v>
      </c>
      <c r="Z1004" t="s">
        <v>719</v>
      </c>
      <c r="AA1004" t="s">
        <v>623</v>
      </c>
      <c r="AB1004">
        <v>1</v>
      </c>
      <c r="AC1004">
        <v>331</v>
      </c>
      <c r="AF1004" t="s">
        <v>531</v>
      </c>
      <c r="AG1004" s="30">
        <v>331</v>
      </c>
      <c r="AH1004" s="30">
        <v>0.187</v>
      </c>
      <c r="AI1004" s="30">
        <v>61.896999999999998</v>
      </c>
      <c r="AJ1004">
        <v>269.10300000000001</v>
      </c>
      <c r="AK1004">
        <v>0.187</v>
      </c>
      <c r="AL1004">
        <v>61.896999999999998</v>
      </c>
      <c r="AM1004">
        <v>269.10300000000001</v>
      </c>
      <c r="AN1004">
        <v>69.547191011235952</v>
      </c>
      <c r="AO1004">
        <v>302.36292134831461</v>
      </c>
      <c r="AP1004">
        <v>4.8090724345350562E-2</v>
      </c>
      <c r="AQ1004">
        <v>0.20907892456026744</v>
      </c>
      <c r="AR1004">
        <v>0.13301817039062197</v>
      </c>
    </row>
    <row r="1005" spans="1:44" customFormat="1" hidden="1" x14ac:dyDescent="0.5">
      <c r="A1005">
        <v>1017</v>
      </c>
      <c r="B1005">
        <v>67</v>
      </c>
      <c r="C1005" s="226" t="s">
        <v>9</v>
      </c>
      <c r="D1005" s="236">
        <v>-6</v>
      </c>
      <c r="E1005" s="237">
        <v>106.19</v>
      </c>
      <c r="F1005">
        <v>1.06</v>
      </c>
      <c r="G1005">
        <f t="shared" si="10"/>
        <v>1705.9046400000002</v>
      </c>
      <c r="H1005" t="s">
        <v>47</v>
      </c>
      <c r="I1005">
        <v>5</v>
      </c>
      <c r="J1005">
        <v>2107.1898846291901</v>
      </c>
      <c r="K1005" s="26">
        <v>2016</v>
      </c>
      <c r="L1005" t="s">
        <v>40</v>
      </c>
      <c r="M1005" s="30"/>
      <c r="N1005">
        <v>1</v>
      </c>
      <c r="P1005" t="s">
        <v>12</v>
      </c>
      <c r="Q1005">
        <v>89</v>
      </c>
      <c r="R1005" t="s">
        <v>13</v>
      </c>
      <c r="S1005" t="s">
        <v>14</v>
      </c>
      <c r="T1005" t="s">
        <v>14</v>
      </c>
      <c r="U1005" s="25">
        <v>0</v>
      </c>
      <c r="V1005" s="25">
        <v>10</v>
      </c>
      <c r="W1005" s="25">
        <v>5</v>
      </c>
      <c r="X1005" s="25">
        <v>10</v>
      </c>
      <c r="Y1005">
        <v>0.69148334600000005</v>
      </c>
      <c r="Z1005" t="s">
        <v>719</v>
      </c>
      <c r="AA1005" t="s">
        <v>623</v>
      </c>
      <c r="AB1005">
        <v>1</v>
      </c>
      <c r="AC1005">
        <v>413</v>
      </c>
      <c r="AF1005" t="s">
        <v>531</v>
      </c>
      <c r="AG1005" s="30">
        <v>413</v>
      </c>
      <c r="AH1005" s="30">
        <v>0.187</v>
      </c>
      <c r="AI1005" s="30">
        <v>77.230999999999995</v>
      </c>
      <c r="AJ1005">
        <v>335.76900000000001</v>
      </c>
      <c r="AK1005">
        <v>0.187</v>
      </c>
      <c r="AL1005">
        <v>77.230999999999995</v>
      </c>
      <c r="AM1005">
        <v>335.76900000000001</v>
      </c>
      <c r="AN1005">
        <v>86.776404494382021</v>
      </c>
      <c r="AO1005">
        <v>377.26853932584271</v>
      </c>
      <c r="AP1005">
        <v>6.0004438533624721E-2</v>
      </c>
      <c r="AQ1005">
        <v>0.26087491191356632</v>
      </c>
      <c r="AR1005">
        <v>0.13275189523153463</v>
      </c>
    </row>
    <row r="1006" spans="1:44" customFormat="1" hidden="1" x14ac:dyDescent="0.5">
      <c r="A1006">
        <v>1018</v>
      </c>
      <c r="B1006">
        <v>67</v>
      </c>
      <c r="C1006" s="226" t="s">
        <v>9</v>
      </c>
      <c r="D1006" s="236">
        <v>-6</v>
      </c>
      <c r="E1006" s="237">
        <v>106.16</v>
      </c>
      <c r="F1006">
        <v>0.33</v>
      </c>
      <c r="G1006">
        <f t="shared" si="10"/>
        <v>531.08352000000002</v>
      </c>
      <c r="H1006" t="s">
        <v>47</v>
      </c>
      <c r="I1006">
        <v>5</v>
      </c>
      <c r="J1006">
        <v>2090.8678836396498</v>
      </c>
      <c r="K1006" s="26">
        <v>2016</v>
      </c>
      <c r="L1006" t="s">
        <v>40</v>
      </c>
      <c r="M1006" s="30"/>
      <c r="N1006">
        <v>1</v>
      </c>
      <c r="P1006" t="s">
        <v>12</v>
      </c>
      <c r="Q1006">
        <v>89</v>
      </c>
      <c r="R1006" t="s">
        <v>13</v>
      </c>
      <c r="S1006" t="s">
        <v>14</v>
      </c>
      <c r="T1006" t="s">
        <v>14</v>
      </c>
      <c r="U1006" s="25">
        <v>0</v>
      </c>
      <c r="V1006" s="25">
        <v>10</v>
      </c>
      <c r="W1006" s="25">
        <v>5</v>
      </c>
      <c r="X1006" s="25">
        <v>10</v>
      </c>
      <c r="Y1006">
        <v>0.69148334600000005</v>
      </c>
      <c r="Z1006" t="s">
        <v>719</v>
      </c>
      <c r="AA1006" t="s">
        <v>623</v>
      </c>
      <c r="AB1006">
        <v>1</v>
      </c>
      <c r="AC1006">
        <v>429</v>
      </c>
      <c r="AF1006" t="s">
        <v>531</v>
      </c>
      <c r="AG1006" s="30">
        <v>429</v>
      </c>
      <c r="AH1006" s="30">
        <v>0.187</v>
      </c>
      <c r="AI1006" s="30">
        <v>80.222999999999999</v>
      </c>
      <c r="AJ1006">
        <v>348.77699999999999</v>
      </c>
      <c r="AK1006">
        <v>0.187</v>
      </c>
      <c r="AL1006">
        <v>80.222999999999999</v>
      </c>
      <c r="AM1006">
        <v>348.77699999999999</v>
      </c>
      <c r="AN1006">
        <v>90.138202247191018</v>
      </c>
      <c r="AO1006">
        <v>391.88426966292133</v>
      </c>
      <c r="AP1006">
        <v>6.232906569231237E-2</v>
      </c>
      <c r="AQ1006">
        <v>0.27098144603128316</v>
      </c>
      <c r="AR1006">
        <v>0.13275189523153463</v>
      </c>
    </row>
    <row r="1007" spans="1:44" customFormat="1" hidden="1" x14ac:dyDescent="0.5">
      <c r="A1007">
        <v>1019</v>
      </c>
      <c r="B1007">
        <v>67</v>
      </c>
      <c r="C1007" s="226" t="s">
        <v>9</v>
      </c>
      <c r="D1007" s="236">
        <v>-5.97</v>
      </c>
      <c r="E1007" s="237">
        <v>106.22</v>
      </c>
      <c r="F1007">
        <v>1.67</v>
      </c>
      <c r="G1007">
        <f t="shared" si="10"/>
        <v>2687.60448</v>
      </c>
      <c r="H1007" t="s">
        <v>47</v>
      </c>
      <c r="I1007">
        <v>6</v>
      </c>
      <c r="J1007">
        <v>2127.9782884992601</v>
      </c>
      <c r="K1007" s="26">
        <v>2016</v>
      </c>
      <c r="L1007" t="s">
        <v>40</v>
      </c>
      <c r="M1007" s="30"/>
      <c r="N1007">
        <v>1</v>
      </c>
      <c r="P1007" t="s">
        <v>12</v>
      </c>
      <c r="Q1007">
        <v>89</v>
      </c>
      <c r="R1007" t="s">
        <v>13</v>
      </c>
      <c r="S1007" t="s">
        <v>14</v>
      </c>
      <c r="T1007" t="s">
        <v>14</v>
      </c>
      <c r="U1007" s="25">
        <v>0</v>
      </c>
      <c r="V1007" s="25">
        <v>10</v>
      </c>
      <c r="W1007" s="25">
        <v>5</v>
      </c>
      <c r="X1007" s="25">
        <v>10</v>
      </c>
      <c r="Y1007">
        <v>0.69148334600000005</v>
      </c>
      <c r="Z1007" t="s">
        <v>719</v>
      </c>
      <c r="AA1007" t="s">
        <v>623</v>
      </c>
      <c r="AB1007">
        <v>1</v>
      </c>
      <c r="AC1007">
        <v>294</v>
      </c>
      <c r="AF1007" t="s">
        <v>531</v>
      </c>
      <c r="AG1007" s="30">
        <v>294</v>
      </c>
      <c r="AH1007" s="30">
        <v>0.187</v>
      </c>
      <c r="AI1007" s="30">
        <v>54.978000000000002</v>
      </c>
      <c r="AJ1007">
        <v>239.02199999999999</v>
      </c>
      <c r="AK1007">
        <v>0.187</v>
      </c>
      <c r="AL1007">
        <v>54.978000000000002</v>
      </c>
      <c r="AM1007">
        <v>239.02199999999999</v>
      </c>
      <c r="AN1007">
        <v>61.773033707865167</v>
      </c>
      <c r="AO1007">
        <v>268.56404494382019</v>
      </c>
      <c r="AP1007">
        <v>4.2715024040885397E-2</v>
      </c>
      <c r="AQ1007">
        <v>0.18570756441304717</v>
      </c>
      <c r="AR1007">
        <v>0.13261895760437328</v>
      </c>
    </row>
    <row r="1008" spans="1:44" customFormat="1" hidden="1" x14ac:dyDescent="0.5">
      <c r="A1008">
        <v>1020</v>
      </c>
      <c r="B1008">
        <v>67</v>
      </c>
      <c r="C1008" s="226" t="s">
        <v>9</v>
      </c>
      <c r="D1008" s="236">
        <v>-5.97</v>
      </c>
      <c r="E1008" s="237">
        <v>106.19</v>
      </c>
      <c r="F1008">
        <v>2.87</v>
      </c>
      <c r="G1008">
        <f t="shared" si="10"/>
        <v>4618.8172800000002</v>
      </c>
      <c r="H1008" t="s">
        <v>47</v>
      </c>
      <c r="I1008">
        <v>7</v>
      </c>
      <c r="J1008">
        <v>2110.6614027381702</v>
      </c>
      <c r="K1008" s="26">
        <v>2016</v>
      </c>
      <c r="L1008" t="s">
        <v>40</v>
      </c>
      <c r="M1008" s="30"/>
      <c r="N1008">
        <v>1</v>
      </c>
      <c r="P1008" t="s">
        <v>12</v>
      </c>
      <c r="Q1008">
        <v>89</v>
      </c>
      <c r="R1008" t="s">
        <v>13</v>
      </c>
      <c r="S1008" t="s">
        <v>14</v>
      </c>
      <c r="T1008" t="s">
        <v>14</v>
      </c>
      <c r="U1008" s="25">
        <v>0</v>
      </c>
      <c r="V1008" s="25">
        <v>10</v>
      </c>
      <c r="W1008" s="25">
        <v>5</v>
      </c>
      <c r="X1008" s="25">
        <v>10</v>
      </c>
      <c r="Y1008">
        <v>0.69148334600000005</v>
      </c>
      <c r="Z1008" t="s">
        <v>719</v>
      </c>
      <c r="AA1008" t="s">
        <v>623</v>
      </c>
      <c r="AB1008">
        <v>1</v>
      </c>
      <c r="AC1008">
        <v>165</v>
      </c>
      <c r="AF1008" t="s">
        <v>531</v>
      </c>
      <c r="AG1008" s="30">
        <v>165</v>
      </c>
      <c r="AH1008" s="30">
        <v>0.187</v>
      </c>
      <c r="AI1008" s="30">
        <v>30.855</v>
      </c>
      <c r="AJ1008">
        <v>134.14500000000001</v>
      </c>
      <c r="AK1008">
        <v>0.187</v>
      </c>
      <c r="AL1008">
        <v>30.855</v>
      </c>
      <c r="AM1008">
        <v>134.14500000000001</v>
      </c>
      <c r="AN1008">
        <v>34.668539325842694</v>
      </c>
      <c r="AO1008">
        <v>150.72471910112361</v>
      </c>
      <c r="AP1008">
        <v>2.3972717573966289E-2</v>
      </c>
      <c r="AQ1008">
        <v>0.10422363308895508</v>
      </c>
      <c r="AR1008">
        <v>0.13248615310083081</v>
      </c>
    </row>
    <row r="1009" spans="1:44" customFormat="1" hidden="1" x14ac:dyDescent="0.5">
      <c r="A1009">
        <v>1021</v>
      </c>
      <c r="B1009">
        <v>67</v>
      </c>
      <c r="C1009" s="226" t="s">
        <v>9</v>
      </c>
      <c r="D1009" s="236">
        <v>-5.97</v>
      </c>
      <c r="E1009" s="237">
        <v>106.13</v>
      </c>
      <c r="F1009">
        <v>1.53</v>
      </c>
      <c r="G1009">
        <f t="shared" si="10"/>
        <v>2462.2963199999999</v>
      </c>
      <c r="H1009" t="s">
        <v>47</v>
      </c>
      <c r="I1009">
        <v>7</v>
      </c>
      <c r="J1009">
        <v>2074.4914478893202</v>
      </c>
      <c r="K1009" s="26">
        <v>2016</v>
      </c>
      <c r="L1009" t="s">
        <v>40</v>
      </c>
      <c r="M1009" s="30"/>
      <c r="N1009">
        <v>1</v>
      </c>
      <c r="P1009" t="s">
        <v>12</v>
      </c>
      <c r="Q1009">
        <v>89</v>
      </c>
      <c r="R1009" t="s">
        <v>13</v>
      </c>
      <c r="S1009" t="s">
        <v>14</v>
      </c>
      <c r="T1009" t="s">
        <v>14</v>
      </c>
      <c r="U1009" s="25">
        <v>0</v>
      </c>
      <c r="V1009" s="25">
        <v>10</v>
      </c>
      <c r="W1009" s="25">
        <v>5</v>
      </c>
      <c r="X1009" s="25">
        <v>10</v>
      </c>
      <c r="Y1009">
        <v>0.69148334600000005</v>
      </c>
      <c r="Z1009" t="s">
        <v>719</v>
      </c>
      <c r="AA1009" t="s">
        <v>623</v>
      </c>
      <c r="AB1009">
        <v>1</v>
      </c>
      <c r="AC1009">
        <v>303</v>
      </c>
      <c r="AF1009" t="s">
        <v>531</v>
      </c>
      <c r="AG1009" s="30">
        <v>303</v>
      </c>
      <c r="AH1009" s="30">
        <v>0.187</v>
      </c>
      <c r="AI1009" s="30">
        <v>56.661000000000001</v>
      </c>
      <c r="AJ1009">
        <v>246.339</v>
      </c>
      <c r="AK1009">
        <v>0.187</v>
      </c>
      <c r="AL1009">
        <v>56.661000000000001</v>
      </c>
      <c r="AM1009">
        <v>246.339</v>
      </c>
      <c r="AN1009">
        <v>63.66404494382023</v>
      </c>
      <c r="AO1009">
        <v>276.78539325842695</v>
      </c>
      <c r="AP1009">
        <v>4.4022626817647202E-2</v>
      </c>
      <c r="AQ1009">
        <v>0.19139248985426291</v>
      </c>
      <c r="AR1009">
        <v>0.13248615310083081</v>
      </c>
    </row>
    <row r="1010" spans="1:44" customFormat="1" hidden="1" x14ac:dyDescent="0.5">
      <c r="A1010">
        <v>1022</v>
      </c>
      <c r="B1010">
        <v>67</v>
      </c>
      <c r="C1010" s="226" t="s">
        <v>9</v>
      </c>
      <c r="D1010" s="236">
        <v>-5.97</v>
      </c>
      <c r="E1010" s="237">
        <v>106.16</v>
      </c>
      <c r="F1010">
        <v>1.01</v>
      </c>
      <c r="G1010">
        <f t="shared" si="10"/>
        <v>1625.4374400000002</v>
      </c>
      <c r="H1010" t="s">
        <v>47</v>
      </c>
      <c r="I1010">
        <v>8</v>
      </c>
      <c r="J1010">
        <v>2093.2809661349902</v>
      </c>
      <c r="K1010" s="26">
        <v>2016</v>
      </c>
      <c r="L1010" t="s">
        <v>40</v>
      </c>
      <c r="M1010" s="30"/>
      <c r="N1010">
        <v>1</v>
      </c>
      <c r="P1010" t="s">
        <v>12</v>
      </c>
      <c r="Q1010">
        <v>89</v>
      </c>
      <c r="R1010" t="s">
        <v>13</v>
      </c>
      <c r="S1010" t="s">
        <v>14</v>
      </c>
      <c r="T1010" t="s">
        <v>14</v>
      </c>
      <c r="U1010" s="25">
        <v>0</v>
      </c>
      <c r="V1010" s="25">
        <v>10</v>
      </c>
      <c r="W1010" s="25">
        <v>5</v>
      </c>
      <c r="X1010" s="25">
        <v>10</v>
      </c>
      <c r="Y1010">
        <v>0.69148334600000005</v>
      </c>
      <c r="Z1010" t="s">
        <v>719</v>
      </c>
      <c r="AA1010" t="s">
        <v>623</v>
      </c>
      <c r="AB1010">
        <v>1</v>
      </c>
      <c r="AC1010">
        <v>306</v>
      </c>
      <c r="AF1010" t="s">
        <v>531</v>
      </c>
      <c r="AG1010" s="30">
        <v>306</v>
      </c>
      <c r="AH1010" s="30">
        <v>0.187</v>
      </c>
      <c r="AI1010" s="30">
        <v>57.222000000000001</v>
      </c>
      <c r="AJ1010">
        <v>248.77799999999999</v>
      </c>
      <c r="AK1010">
        <v>0.187</v>
      </c>
      <c r="AL1010">
        <v>57.222000000000001</v>
      </c>
      <c r="AM1010">
        <v>248.77799999999999</v>
      </c>
      <c r="AN1010">
        <v>64.294382022471908</v>
      </c>
      <c r="AO1010">
        <v>279.52584269662918</v>
      </c>
      <c r="AP1010">
        <v>4.4458494409901128E-2</v>
      </c>
      <c r="AQ1010">
        <v>0.19328746500133481</v>
      </c>
      <c r="AR1010">
        <v>0.13235348158759747</v>
      </c>
    </row>
    <row r="1011" spans="1:44" customFormat="1" hidden="1" x14ac:dyDescent="0.5">
      <c r="A1011">
        <v>1015</v>
      </c>
      <c r="B1011">
        <v>67</v>
      </c>
      <c r="C1011" s="226" t="s">
        <v>9</v>
      </c>
      <c r="D1011" s="236">
        <v>-5.96</v>
      </c>
      <c r="E1011" s="237">
        <v>106.27</v>
      </c>
      <c r="F1011">
        <v>0.22</v>
      </c>
      <c r="G1011">
        <f t="shared" si="10"/>
        <v>354.05568</v>
      </c>
      <c r="H1011" t="s">
        <v>45</v>
      </c>
      <c r="I1011">
        <v>1</v>
      </c>
      <c r="J1011">
        <v>2161.5583971813699</v>
      </c>
      <c r="K1011" s="26">
        <v>2016</v>
      </c>
      <c r="L1011" t="s">
        <v>40</v>
      </c>
      <c r="M1011" s="30"/>
      <c r="N1011">
        <v>1</v>
      </c>
      <c r="P1011" t="s">
        <v>12</v>
      </c>
      <c r="Q1011">
        <v>89</v>
      </c>
      <c r="R1011" t="s">
        <v>13</v>
      </c>
      <c r="S1011" t="s">
        <v>14</v>
      </c>
      <c r="T1011" t="s">
        <v>14</v>
      </c>
      <c r="U1011" s="25">
        <v>0</v>
      </c>
      <c r="V1011" s="25">
        <v>10</v>
      </c>
      <c r="W1011" s="25">
        <v>5</v>
      </c>
      <c r="X1011" s="25">
        <v>10</v>
      </c>
      <c r="Y1011">
        <v>0.69148334600000005</v>
      </c>
      <c r="Z1011" t="s">
        <v>719</v>
      </c>
      <c r="AA1011" t="s">
        <v>623</v>
      </c>
      <c r="AB1011">
        <v>1</v>
      </c>
      <c r="AC1011">
        <v>212</v>
      </c>
      <c r="AF1011" t="s">
        <v>531</v>
      </c>
      <c r="AG1011" s="30">
        <v>212</v>
      </c>
      <c r="AH1011" s="30">
        <v>0.187</v>
      </c>
      <c r="AI1011" s="30">
        <v>39.643999999999998</v>
      </c>
      <c r="AJ1011">
        <v>172.35599999999999</v>
      </c>
      <c r="AK1011">
        <v>0.187</v>
      </c>
      <c r="AL1011">
        <v>39.643999999999998</v>
      </c>
      <c r="AM1011">
        <v>172.35599999999999</v>
      </c>
      <c r="AN1011">
        <v>44.543820224719099</v>
      </c>
      <c r="AO1011">
        <v>193.65842696629213</v>
      </c>
      <c r="AP1011">
        <v>3.0801309852611234E-2</v>
      </c>
      <c r="AQ1011">
        <v>0.13391157705974832</v>
      </c>
      <c r="AR1011">
        <v>0.13328497964724689</v>
      </c>
    </row>
    <row r="1012" spans="1:44" customFormat="1" hidden="1" x14ac:dyDescent="0.5">
      <c r="A1012">
        <v>1023</v>
      </c>
      <c r="B1012">
        <v>67</v>
      </c>
      <c r="C1012" s="226" t="s">
        <v>9</v>
      </c>
      <c r="D1012" s="236">
        <v>-5.95</v>
      </c>
      <c r="E1012" s="237">
        <v>106.16</v>
      </c>
      <c r="F1012">
        <v>0.46</v>
      </c>
      <c r="G1012">
        <f t="shared" si="10"/>
        <v>740.29824000000008</v>
      </c>
      <c r="H1012" t="s">
        <v>47</v>
      </c>
      <c r="I1012">
        <v>11</v>
      </c>
      <c r="J1012">
        <v>2095.7947042494002</v>
      </c>
      <c r="K1012" s="26">
        <v>2016</v>
      </c>
      <c r="L1012" t="s">
        <v>40</v>
      </c>
      <c r="M1012" s="30"/>
      <c r="N1012">
        <v>1</v>
      </c>
      <c r="P1012" t="s">
        <v>12</v>
      </c>
      <c r="Q1012">
        <v>89</v>
      </c>
      <c r="R1012" t="s">
        <v>13</v>
      </c>
      <c r="S1012" t="s">
        <v>14</v>
      </c>
      <c r="T1012" t="s">
        <v>14</v>
      </c>
      <c r="U1012" s="25">
        <v>0</v>
      </c>
      <c r="V1012" s="25">
        <v>10</v>
      </c>
      <c r="W1012" s="25">
        <v>5</v>
      </c>
      <c r="X1012" s="25">
        <v>10</v>
      </c>
      <c r="Y1012">
        <v>0.69148334600000005</v>
      </c>
      <c r="Z1012" t="s">
        <v>719</v>
      </c>
      <c r="AA1012" t="s">
        <v>623</v>
      </c>
      <c r="AB1012">
        <v>1</v>
      </c>
      <c r="AC1012">
        <v>194</v>
      </c>
      <c r="AF1012" t="s">
        <v>531</v>
      </c>
      <c r="AG1012" s="30">
        <v>194</v>
      </c>
      <c r="AH1012" s="30">
        <v>0.187</v>
      </c>
      <c r="AI1012" s="30">
        <v>36.277999999999999</v>
      </c>
      <c r="AJ1012">
        <v>157.72200000000001</v>
      </c>
      <c r="AK1012">
        <v>0.187</v>
      </c>
      <c r="AL1012">
        <v>36.277999999999999</v>
      </c>
      <c r="AM1012">
        <v>157.72200000000001</v>
      </c>
      <c r="AN1012">
        <v>40.761797752808988</v>
      </c>
      <c r="AO1012">
        <v>177.21573033707867</v>
      </c>
      <c r="AP1012">
        <v>2.8186104299087644E-2</v>
      </c>
      <c r="AQ1012">
        <v>0.12254172617731687</v>
      </c>
      <c r="AR1012">
        <v>0.13195626365865479</v>
      </c>
    </row>
    <row r="1013" spans="1:44" customFormat="1" hidden="1" x14ac:dyDescent="0.5">
      <c r="A1013">
        <v>1025</v>
      </c>
      <c r="B1013">
        <v>67</v>
      </c>
      <c r="C1013" s="226" t="s">
        <v>9</v>
      </c>
      <c r="D1013" s="236">
        <v>-5.95</v>
      </c>
      <c r="E1013" s="237">
        <v>106.37</v>
      </c>
      <c r="F1013">
        <v>1.1000000000000001</v>
      </c>
      <c r="G1013">
        <f t="shared" si="10"/>
        <v>1770.2784000000001</v>
      </c>
      <c r="H1013" t="s">
        <v>614</v>
      </c>
      <c r="I1013">
        <v>4</v>
      </c>
      <c r="J1013">
        <v>2223.0107214377999</v>
      </c>
      <c r="K1013" s="26">
        <v>2016</v>
      </c>
      <c r="L1013" t="s">
        <v>40</v>
      </c>
      <c r="M1013" s="30"/>
      <c r="N1013">
        <v>1</v>
      </c>
      <c r="P1013" t="s">
        <v>12</v>
      </c>
      <c r="Q1013">
        <v>89</v>
      </c>
      <c r="R1013" t="s">
        <v>13</v>
      </c>
      <c r="S1013" t="s">
        <v>14</v>
      </c>
      <c r="T1013" t="s">
        <v>14</v>
      </c>
      <c r="U1013" s="25">
        <v>0</v>
      </c>
      <c r="V1013" s="25">
        <v>10</v>
      </c>
      <c r="W1013" s="25">
        <v>5</v>
      </c>
      <c r="X1013" s="25">
        <v>10</v>
      </c>
      <c r="Y1013">
        <v>0.69148334600000005</v>
      </c>
      <c r="Z1013" t="s">
        <v>719</v>
      </c>
      <c r="AA1013" t="s">
        <v>623</v>
      </c>
      <c r="AB1013">
        <v>1</v>
      </c>
      <c r="AC1013">
        <v>431</v>
      </c>
      <c r="AF1013" t="s">
        <v>531</v>
      </c>
      <c r="AG1013" s="30">
        <v>431</v>
      </c>
      <c r="AH1013" s="30">
        <v>0.187</v>
      </c>
      <c r="AI1013" s="30">
        <v>80.596999999999994</v>
      </c>
      <c r="AJ1013">
        <v>350.40300000000002</v>
      </c>
      <c r="AK1013">
        <v>0.187</v>
      </c>
      <c r="AL1013">
        <v>80.596999999999994</v>
      </c>
      <c r="AM1013">
        <v>350.40300000000002</v>
      </c>
      <c r="AN1013">
        <v>90.558426966292132</v>
      </c>
      <c r="AO1013">
        <v>393.71123595505622</v>
      </c>
      <c r="AP1013">
        <v>6.2619644087148318E-2</v>
      </c>
      <c r="AQ1013">
        <v>0.2722447627959978</v>
      </c>
      <c r="AR1013">
        <v>0.13288496611575845</v>
      </c>
    </row>
    <row r="1014" spans="1:44" customFormat="1" hidden="1" x14ac:dyDescent="0.5">
      <c r="A1014">
        <v>1002</v>
      </c>
      <c r="B1014">
        <v>67</v>
      </c>
      <c r="C1014" s="226" t="s">
        <v>9</v>
      </c>
      <c r="D1014" s="236">
        <v>-5.94</v>
      </c>
      <c r="E1014" s="237">
        <v>106.29</v>
      </c>
      <c r="F1014">
        <v>1.86</v>
      </c>
      <c r="G1014">
        <f t="shared" si="10"/>
        <v>2993.3798400000001</v>
      </c>
      <c r="H1014" t="s">
        <v>614</v>
      </c>
      <c r="I1014">
        <v>5</v>
      </c>
      <c r="J1014">
        <v>2184.7581209492901</v>
      </c>
      <c r="K1014" s="26">
        <v>2016</v>
      </c>
      <c r="L1014" t="s">
        <v>40</v>
      </c>
      <c r="M1014" s="30"/>
      <c r="N1014">
        <v>1</v>
      </c>
      <c r="P1014" t="s">
        <v>12</v>
      </c>
      <c r="Q1014">
        <v>89</v>
      </c>
      <c r="R1014" t="s">
        <v>13</v>
      </c>
      <c r="S1014" t="s">
        <v>14</v>
      </c>
      <c r="T1014" t="s">
        <v>14</v>
      </c>
      <c r="U1014" s="25">
        <v>0</v>
      </c>
      <c r="V1014" s="25">
        <v>10</v>
      </c>
      <c r="W1014" s="25">
        <v>5</v>
      </c>
      <c r="X1014" s="25">
        <v>10</v>
      </c>
      <c r="Y1014">
        <v>0.69148334600000005</v>
      </c>
      <c r="Z1014" t="s">
        <v>719</v>
      </c>
      <c r="AA1014" t="s">
        <v>623</v>
      </c>
      <c r="AB1014">
        <v>1</v>
      </c>
      <c r="AC1014">
        <v>262</v>
      </c>
      <c r="AF1014" t="s">
        <v>531</v>
      </c>
      <c r="AG1014" s="30">
        <v>262</v>
      </c>
      <c r="AH1014" s="30">
        <v>0.187</v>
      </c>
      <c r="AI1014" s="30">
        <v>48.994</v>
      </c>
      <c r="AJ1014">
        <v>213.006</v>
      </c>
      <c r="AK1014">
        <v>0.187</v>
      </c>
      <c r="AL1014">
        <v>48.994</v>
      </c>
      <c r="AM1014">
        <v>213.006</v>
      </c>
      <c r="AN1014">
        <v>55.049438202247188</v>
      </c>
      <c r="AO1014">
        <v>239.33258426966293</v>
      </c>
      <c r="AP1014">
        <v>3.8065769723510112E-2</v>
      </c>
      <c r="AQ1014">
        <v>0.1654944961776135</v>
      </c>
      <c r="AR1014">
        <v>0.13275189523153463</v>
      </c>
    </row>
    <row r="1015" spans="1:44" customFormat="1" hidden="1" x14ac:dyDescent="0.5">
      <c r="A1015">
        <v>1003</v>
      </c>
      <c r="B1015">
        <v>67</v>
      </c>
      <c r="C1015" s="226" t="s">
        <v>9</v>
      </c>
      <c r="D1015" s="236">
        <v>-5.94</v>
      </c>
      <c r="E1015" s="237">
        <v>106.25</v>
      </c>
      <c r="F1015">
        <v>1.45</v>
      </c>
      <c r="G1015">
        <f t="shared" si="10"/>
        <v>2333.5488</v>
      </c>
      <c r="H1015" t="s">
        <v>614</v>
      </c>
      <c r="I1015">
        <v>5</v>
      </c>
      <c r="J1015">
        <v>2156.2042049138299</v>
      </c>
      <c r="K1015" s="26">
        <v>2016</v>
      </c>
      <c r="L1015" t="s">
        <v>40</v>
      </c>
      <c r="M1015" s="30"/>
      <c r="N1015">
        <v>1</v>
      </c>
      <c r="P1015" t="s">
        <v>12</v>
      </c>
      <c r="Q1015">
        <v>89</v>
      </c>
      <c r="R1015" t="s">
        <v>13</v>
      </c>
      <c r="S1015" t="s">
        <v>14</v>
      </c>
      <c r="T1015" t="s">
        <v>14</v>
      </c>
      <c r="U1015" s="25">
        <v>0</v>
      </c>
      <c r="V1015" s="25">
        <v>10</v>
      </c>
      <c r="W1015" s="25">
        <v>5</v>
      </c>
      <c r="X1015" s="25">
        <v>10</v>
      </c>
      <c r="Y1015">
        <v>0.69148334600000005</v>
      </c>
      <c r="Z1015" t="s">
        <v>719</v>
      </c>
      <c r="AA1015" t="s">
        <v>623</v>
      </c>
      <c r="AB1015">
        <v>1</v>
      </c>
      <c r="AC1015">
        <v>401</v>
      </c>
      <c r="AF1015" t="s">
        <v>531</v>
      </c>
      <c r="AG1015" s="30">
        <v>401</v>
      </c>
      <c r="AH1015" s="30">
        <v>0.187</v>
      </c>
      <c r="AI1015" s="30">
        <v>74.986999999999995</v>
      </c>
      <c r="AJ1015">
        <v>326.01300000000003</v>
      </c>
      <c r="AK1015">
        <v>0.187</v>
      </c>
      <c r="AL1015">
        <v>74.986999999999995</v>
      </c>
      <c r="AM1015">
        <v>326.01300000000003</v>
      </c>
      <c r="AN1015">
        <v>84.255056179775281</v>
      </c>
      <c r="AO1015">
        <v>366.30674157303378</v>
      </c>
      <c r="AP1015">
        <v>5.8260968164608996E-2</v>
      </c>
      <c r="AQ1015">
        <v>0.25329501132527871</v>
      </c>
      <c r="AR1015">
        <v>0.13275189523153463</v>
      </c>
    </row>
    <row r="1016" spans="1:44" customFormat="1" hidden="1" x14ac:dyDescent="0.5">
      <c r="A1016">
        <v>1009</v>
      </c>
      <c r="B1016">
        <v>67</v>
      </c>
      <c r="C1016" s="226" t="s">
        <v>9</v>
      </c>
      <c r="D1016" s="236">
        <v>-5.94</v>
      </c>
      <c r="E1016" s="237">
        <v>106.22</v>
      </c>
      <c r="F1016">
        <v>0.06</v>
      </c>
      <c r="G1016">
        <f t="shared" si="10"/>
        <v>96.560640000000006</v>
      </c>
      <c r="H1016" t="s">
        <v>614</v>
      </c>
      <c r="I1016">
        <v>9</v>
      </c>
      <c r="J1016">
        <v>2135.9349573934001</v>
      </c>
      <c r="K1016" s="26">
        <v>2016</v>
      </c>
      <c r="L1016" t="s">
        <v>40</v>
      </c>
      <c r="M1016" s="30"/>
      <c r="N1016">
        <v>1</v>
      </c>
      <c r="P1016" t="s">
        <v>12</v>
      </c>
      <c r="Q1016">
        <v>89</v>
      </c>
      <c r="R1016" t="s">
        <v>13</v>
      </c>
      <c r="S1016" t="s">
        <v>14</v>
      </c>
      <c r="T1016" t="s">
        <v>14</v>
      </c>
      <c r="U1016" s="25">
        <v>0</v>
      </c>
      <c r="V1016" s="25">
        <v>10</v>
      </c>
      <c r="W1016" s="25">
        <v>5</v>
      </c>
      <c r="X1016" s="25">
        <v>10</v>
      </c>
      <c r="Y1016">
        <v>0.69148334600000005</v>
      </c>
      <c r="Z1016" t="s">
        <v>719</v>
      </c>
      <c r="AA1016" t="s">
        <v>623</v>
      </c>
      <c r="AB1016">
        <v>1</v>
      </c>
      <c r="AC1016">
        <v>268</v>
      </c>
      <c r="AF1016" t="s">
        <v>531</v>
      </c>
      <c r="AG1016" s="30">
        <v>268</v>
      </c>
      <c r="AH1016" s="30">
        <v>0.187</v>
      </c>
      <c r="AI1016" s="30">
        <v>50.116</v>
      </c>
      <c r="AJ1016">
        <v>217.88400000000001</v>
      </c>
      <c r="AK1016">
        <v>0.187</v>
      </c>
      <c r="AL1016">
        <v>50.116</v>
      </c>
      <c r="AM1016">
        <v>217.88400000000001</v>
      </c>
      <c r="AN1016">
        <v>56.310112359550558</v>
      </c>
      <c r="AO1016">
        <v>244.81348314606743</v>
      </c>
      <c r="AP1016">
        <v>3.8937504908017978E-2</v>
      </c>
      <c r="AQ1016">
        <v>0.16928444647175733</v>
      </c>
      <c r="AR1016">
        <v>0.13222094293149678</v>
      </c>
    </row>
    <row r="1017" spans="1:44" customFormat="1" hidden="1" x14ac:dyDescent="0.5">
      <c r="A1017">
        <v>1010</v>
      </c>
      <c r="B1017">
        <v>67</v>
      </c>
      <c r="C1017" s="226" t="s">
        <v>9</v>
      </c>
      <c r="D1017" s="236">
        <v>-5.94</v>
      </c>
      <c r="E1017" s="237">
        <v>106.19</v>
      </c>
      <c r="F1017">
        <v>1.36</v>
      </c>
      <c r="G1017">
        <f t="shared" si="10"/>
        <v>2188.70784</v>
      </c>
      <c r="H1017" t="s">
        <v>614</v>
      </c>
      <c r="I1017">
        <v>9</v>
      </c>
      <c r="J1017">
        <v>2117.6170417451199</v>
      </c>
      <c r="K1017" s="26">
        <v>2016</v>
      </c>
      <c r="L1017" t="s">
        <v>40</v>
      </c>
      <c r="M1017" s="30"/>
      <c r="N1017">
        <v>1</v>
      </c>
      <c r="P1017" t="s">
        <v>12</v>
      </c>
      <c r="Q1017">
        <v>89</v>
      </c>
      <c r="R1017" t="s">
        <v>13</v>
      </c>
      <c r="S1017" t="s">
        <v>14</v>
      </c>
      <c r="T1017" t="s">
        <v>14</v>
      </c>
      <c r="U1017" s="25">
        <v>0</v>
      </c>
      <c r="V1017" s="25">
        <v>10</v>
      </c>
      <c r="W1017" s="25">
        <v>5</v>
      </c>
      <c r="X1017" s="25">
        <v>10</v>
      </c>
      <c r="Y1017">
        <v>0.69148334600000005</v>
      </c>
      <c r="Z1017" t="s">
        <v>719</v>
      </c>
      <c r="AA1017" t="s">
        <v>623</v>
      </c>
      <c r="AB1017">
        <v>1</v>
      </c>
      <c r="AC1017">
        <v>364</v>
      </c>
      <c r="AF1017" t="s">
        <v>531</v>
      </c>
      <c r="AG1017" s="30">
        <v>364</v>
      </c>
      <c r="AH1017" s="30">
        <v>0.187</v>
      </c>
      <c r="AI1017" s="30">
        <v>68.067999999999998</v>
      </c>
      <c r="AJ1017">
        <v>295.93200000000002</v>
      </c>
      <c r="AK1017">
        <v>0.187</v>
      </c>
      <c r="AL1017">
        <v>68.067999999999998</v>
      </c>
      <c r="AM1017">
        <v>295.93200000000002</v>
      </c>
      <c r="AN1017">
        <v>76.480898876404495</v>
      </c>
      <c r="AO1017">
        <v>332.50786516853935</v>
      </c>
      <c r="AP1017">
        <v>5.2885267860143824E-2</v>
      </c>
      <c r="AQ1017">
        <v>0.22992365117805846</v>
      </c>
      <c r="AR1017">
        <v>0.13222094293149678</v>
      </c>
    </row>
    <row r="1018" spans="1:44" customFormat="1" hidden="1" x14ac:dyDescent="0.5">
      <c r="A1018">
        <v>1024</v>
      </c>
      <c r="B1018">
        <v>67</v>
      </c>
      <c r="C1018" s="226" t="s">
        <v>9</v>
      </c>
      <c r="D1018" s="236">
        <v>-5.94</v>
      </c>
      <c r="E1018" s="237">
        <v>106.13</v>
      </c>
      <c r="F1018">
        <v>0.78</v>
      </c>
      <c r="G1018">
        <f t="shared" si="10"/>
        <v>1255.2883200000001</v>
      </c>
      <c r="H1018" t="s">
        <v>47</v>
      </c>
      <c r="I1018">
        <v>13</v>
      </c>
      <c r="J1018">
        <v>2071.37471885163</v>
      </c>
      <c r="K1018" s="26">
        <v>2016</v>
      </c>
      <c r="L1018" t="s">
        <v>40</v>
      </c>
      <c r="M1018" s="30"/>
      <c r="N1018">
        <v>1</v>
      </c>
      <c r="P1018" t="s">
        <v>12</v>
      </c>
      <c r="Q1018">
        <v>89</v>
      </c>
      <c r="R1018" t="s">
        <v>13</v>
      </c>
      <c r="S1018" t="s">
        <v>14</v>
      </c>
      <c r="T1018" t="s">
        <v>14</v>
      </c>
      <c r="U1018" s="25">
        <v>0</v>
      </c>
      <c r="V1018" s="25">
        <v>10</v>
      </c>
      <c r="W1018" s="25">
        <v>5</v>
      </c>
      <c r="X1018" s="25">
        <v>10</v>
      </c>
      <c r="Y1018">
        <v>0.69148334600000005</v>
      </c>
      <c r="Z1018" t="s">
        <v>719</v>
      </c>
      <c r="AA1018" t="s">
        <v>623</v>
      </c>
      <c r="AB1018">
        <v>1</v>
      </c>
      <c r="AC1018">
        <v>230</v>
      </c>
      <c r="AF1018" t="s">
        <v>531</v>
      </c>
      <c r="AG1018" s="30">
        <v>230</v>
      </c>
      <c r="AH1018" s="30">
        <v>0.187</v>
      </c>
      <c r="AI1018" s="30">
        <v>43.01</v>
      </c>
      <c r="AJ1018">
        <v>186.99</v>
      </c>
      <c r="AK1018">
        <v>0.187</v>
      </c>
      <c r="AL1018">
        <v>43.01</v>
      </c>
      <c r="AM1018">
        <v>186.99</v>
      </c>
      <c r="AN1018">
        <v>48.325842696629209</v>
      </c>
      <c r="AO1018">
        <v>210.10112359550561</v>
      </c>
      <c r="AP1018">
        <v>3.3416515406134828E-2</v>
      </c>
      <c r="AQ1018">
        <v>0.1452814279421798</v>
      </c>
      <c r="AR1018">
        <v>0.13169211421955859</v>
      </c>
    </row>
    <row r="1019" spans="1:44" customFormat="1" hidden="1" x14ac:dyDescent="0.5">
      <c r="A1019">
        <v>1005</v>
      </c>
      <c r="B1019">
        <v>67</v>
      </c>
      <c r="C1019" s="226" t="s">
        <v>9</v>
      </c>
      <c r="D1019" s="236">
        <v>-5.93</v>
      </c>
      <c r="E1019" s="237">
        <v>106.39</v>
      </c>
      <c r="F1019">
        <v>3.09</v>
      </c>
      <c r="G1019">
        <f t="shared" si="10"/>
        <v>4972.8729599999997</v>
      </c>
      <c r="H1019" t="s">
        <v>614</v>
      </c>
      <c r="I1019">
        <v>17</v>
      </c>
      <c r="J1019">
        <v>2252.2670702728201</v>
      </c>
      <c r="K1019" s="26">
        <v>2016</v>
      </c>
      <c r="L1019" t="s">
        <v>40</v>
      </c>
      <c r="M1019" s="30"/>
      <c r="N1019">
        <v>1</v>
      </c>
      <c r="P1019" t="s">
        <v>12</v>
      </c>
      <c r="Q1019">
        <v>89</v>
      </c>
      <c r="R1019" t="s">
        <v>13</v>
      </c>
      <c r="S1019" t="s">
        <v>14</v>
      </c>
      <c r="T1019" t="s">
        <v>14</v>
      </c>
      <c r="U1019" s="25">
        <v>0</v>
      </c>
      <c r="V1019" s="25">
        <v>10</v>
      </c>
      <c r="W1019" s="25">
        <v>5</v>
      </c>
      <c r="X1019" s="25">
        <v>10</v>
      </c>
      <c r="Y1019">
        <v>0.69148334600000005</v>
      </c>
      <c r="Z1019" t="s">
        <v>719</v>
      </c>
      <c r="AA1019" t="s">
        <v>623</v>
      </c>
      <c r="AB1019">
        <v>1</v>
      </c>
      <c r="AC1019">
        <v>204</v>
      </c>
      <c r="AF1019" t="s">
        <v>531</v>
      </c>
      <c r="AG1019" s="30">
        <v>204</v>
      </c>
      <c r="AH1019" s="30">
        <v>0.187</v>
      </c>
      <c r="AI1019" s="30">
        <v>38.148000000000003</v>
      </c>
      <c r="AJ1019">
        <v>165.852</v>
      </c>
      <c r="AK1019">
        <v>0.187</v>
      </c>
      <c r="AL1019">
        <v>38.148000000000003</v>
      </c>
      <c r="AM1019">
        <v>165.852</v>
      </c>
      <c r="AN1019">
        <v>42.862921348314607</v>
      </c>
      <c r="AO1019">
        <v>186.35056179775282</v>
      </c>
      <c r="AP1019">
        <v>2.9638996273267416E-2</v>
      </c>
      <c r="AQ1019">
        <v>0.1288583100008899</v>
      </c>
      <c r="AR1019">
        <v>0.13116540060225193</v>
      </c>
    </row>
    <row r="1020" spans="1:44" customFormat="1" hidden="1" x14ac:dyDescent="0.5">
      <c r="A1020">
        <v>1026</v>
      </c>
      <c r="B1020">
        <v>67</v>
      </c>
      <c r="C1020" s="226" t="s">
        <v>9</v>
      </c>
      <c r="D1020" s="236">
        <v>-5.93</v>
      </c>
      <c r="E1020" s="237">
        <v>106.35</v>
      </c>
      <c r="F1020">
        <v>2.19</v>
      </c>
      <c r="G1020">
        <f t="shared" si="10"/>
        <v>3524.4633600000002</v>
      </c>
      <c r="H1020" t="s">
        <v>614</v>
      </c>
      <c r="I1020">
        <v>12</v>
      </c>
      <c r="J1020">
        <v>2231.3082321138099</v>
      </c>
      <c r="K1020" s="26">
        <v>2016</v>
      </c>
      <c r="L1020" t="s">
        <v>40</v>
      </c>
      <c r="M1020" s="30"/>
      <c r="N1020">
        <v>1</v>
      </c>
      <c r="P1020" t="s">
        <v>12</v>
      </c>
      <c r="Q1020">
        <v>89</v>
      </c>
      <c r="R1020" t="s">
        <v>13</v>
      </c>
      <c r="S1020" t="s">
        <v>14</v>
      </c>
      <c r="T1020" t="s">
        <v>14</v>
      </c>
      <c r="U1020" s="25">
        <v>0</v>
      </c>
      <c r="V1020" s="25">
        <v>10</v>
      </c>
      <c r="W1020" s="25">
        <v>5</v>
      </c>
      <c r="X1020" s="25">
        <v>10</v>
      </c>
      <c r="Y1020">
        <v>0.69148334600000005</v>
      </c>
      <c r="Z1020" t="s">
        <v>719</v>
      </c>
      <c r="AA1020" t="s">
        <v>623</v>
      </c>
      <c r="AB1020">
        <v>1</v>
      </c>
      <c r="AC1020">
        <v>386</v>
      </c>
      <c r="AF1020" t="s">
        <v>531</v>
      </c>
      <c r="AG1020" s="30">
        <v>386</v>
      </c>
      <c r="AH1020" s="30">
        <v>0.187</v>
      </c>
      <c r="AI1020" s="30">
        <v>72.182000000000002</v>
      </c>
      <c r="AJ1020">
        <v>313.81799999999998</v>
      </c>
      <c r="AK1020">
        <v>0.187</v>
      </c>
      <c r="AL1020">
        <v>72.182000000000002</v>
      </c>
      <c r="AM1020">
        <v>313.81799999999998</v>
      </c>
      <c r="AN1020">
        <v>81.103370786516862</v>
      </c>
      <c r="AO1020">
        <v>352.60449438202244</v>
      </c>
      <c r="AP1020">
        <v>5.6081630203339332E-2</v>
      </c>
      <c r="AQ1020">
        <v>0.24382013558991911</v>
      </c>
      <c r="AR1020">
        <v>0.1318241227762269</v>
      </c>
    </row>
    <row r="1021" spans="1:44" customFormat="1" hidden="1" x14ac:dyDescent="0.5">
      <c r="A1021">
        <v>1004</v>
      </c>
      <c r="B1021">
        <v>67</v>
      </c>
      <c r="C1021" s="226" t="s">
        <v>9</v>
      </c>
      <c r="D1021" s="236">
        <v>-5.92</v>
      </c>
      <c r="E1021" s="237">
        <v>106.24</v>
      </c>
      <c r="F1021">
        <v>5.01</v>
      </c>
      <c r="G1021">
        <f t="shared" si="10"/>
        <v>8062.8134399999999</v>
      </c>
      <c r="H1021" t="s">
        <v>614</v>
      </c>
      <c r="I1021">
        <v>18</v>
      </c>
      <c r="J1021">
        <v>2155.66946854562</v>
      </c>
      <c r="K1021" s="26">
        <v>2016</v>
      </c>
      <c r="L1021" t="s">
        <v>40</v>
      </c>
      <c r="M1021" s="30"/>
      <c r="N1021">
        <v>1</v>
      </c>
      <c r="P1021" t="s">
        <v>12</v>
      </c>
      <c r="Q1021">
        <v>89</v>
      </c>
      <c r="R1021" t="s">
        <v>13</v>
      </c>
      <c r="S1021" t="s">
        <v>14</v>
      </c>
      <c r="T1021" t="s">
        <v>14</v>
      </c>
      <c r="U1021" s="25">
        <v>0</v>
      </c>
      <c r="V1021" s="25">
        <v>10</v>
      </c>
      <c r="W1021" s="25">
        <v>5</v>
      </c>
      <c r="X1021" s="25">
        <v>10</v>
      </c>
      <c r="Y1021">
        <v>0.69148334600000005</v>
      </c>
      <c r="Z1021" t="s">
        <v>719</v>
      </c>
      <c r="AA1021" t="s">
        <v>623</v>
      </c>
      <c r="AB1021">
        <v>1</v>
      </c>
      <c r="AC1021">
        <v>280</v>
      </c>
      <c r="AF1021" t="s">
        <v>531</v>
      </c>
      <c r="AG1021" s="30">
        <v>280</v>
      </c>
      <c r="AH1021" s="30">
        <v>0.187</v>
      </c>
      <c r="AI1021" s="30">
        <v>52.36</v>
      </c>
      <c r="AJ1021">
        <v>227.64</v>
      </c>
      <c r="AK1021">
        <v>0.187</v>
      </c>
      <c r="AL1021">
        <v>52.36</v>
      </c>
      <c r="AM1021">
        <v>227.64</v>
      </c>
      <c r="AN1021">
        <v>58.831460674157299</v>
      </c>
      <c r="AO1021">
        <v>255.77528089887639</v>
      </c>
      <c r="AP1021">
        <v>4.068097527703371E-2</v>
      </c>
      <c r="AQ1021">
        <v>0.17686434706004497</v>
      </c>
      <c r="AR1021">
        <v>0.13103405168936957</v>
      </c>
    </row>
    <row r="1022" spans="1:44" customFormat="1" hidden="1" x14ac:dyDescent="0.5">
      <c r="A1022">
        <v>1007</v>
      </c>
      <c r="B1022">
        <v>67</v>
      </c>
      <c r="C1022" s="226" t="s">
        <v>9</v>
      </c>
      <c r="D1022" s="236">
        <v>-5.92</v>
      </c>
      <c r="E1022" s="237">
        <v>106.27</v>
      </c>
      <c r="F1022">
        <v>2.63</v>
      </c>
      <c r="G1022">
        <f t="shared" si="10"/>
        <v>4232.5747199999996</v>
      </c>
      <c r="H1022" t="s">
        <v>614</v>
      </c>
      <c r="I1022">
        <v>7</v>
      </c>
      <c r="J1022">
        <v>2180.5928256809798</v>
      </c>
      <c r="K1022" s="26">
        <v>2016</v>
      </c>
      <c r="L1022" t="s">
        <v>40</v>
      </c>
      <c r="M1022" s="30"/>
      <c r="N1022">
        <v>1</v>
      </c>
      <c r="P1022" t="s">
        <v>12</v>
      </c>
      <c r="Q1022">
        <v>89</v>
      </c>
      <c r="R1022" t="s">
        <v>13</v>
      </c>
      <c r="S1022" t="s">
        <v>14</v>
      </c>
      <c r="T1022" t="s">
        <v>14</v>
      </c>
      <c r="U1022" s="25">
        <v>0</v>
      </c>
      <c r="V1022" s="25">
        <v>10</v>
      </c>
      <c r="W1022" s="25">
        <v>5</v>
      </c>
      <c r="X1022" s="25">
        <v>10</v>
      </c>
      <c r="Y1022">
        <v>0.69148334600000005</v>
      </c>
      <c r="Z1022" t="s">
        <v>719</v>
      </c>
      <c r="AA1022" t="s">
        <v>623</v>
      </c>
      <c r="AB1022">
        <v>1</v>
      </c>
      <c r="AC1022">
        <v>115</v>
      </c>
      <c r="AF1022" t="s">
        <v>531</v>
      </c>
      <c r="AG1022" s="30">
        <v>115</v>
      </c>
      <c r="AH1022" s="30">
        <v>0.187</v>
      </c>
      <c r="AI1022" s="30">
        <v>21.504999999999999</v>
      </c>
      <c r="AJ1022">
        <v>93.495000000000005</v>
      </c>
      <c r="AK1022">
        <v>0.187</v>
      </c>
      <c r="AL1022">
        <v>21.504999999999999</v>
      </c>
      <c r="AM1022">
        <v>93.495000000000005</v>
      </c>
      <c r="AN1022">
        <v>24.162921348314605</v>
      </c>
      <c r="AO1022">
        <v>105.05056179775281</v>
      </c>
      <c r="AP1022">
        <v>1.6708257703067414E-2</v>
      </c>
      <c r="AQ1022">
        <v>7.2640713971089899E-2</v>
      </c>
      <c r="AR1022">
        <v>0.13248615310083081</v>
      </c>
    </row>
    <row r="1023" spans="1:44" customFormat="1" hidden="1" x14ac:dyDescent="0.5">
      <c r="A1023">
        <v>1008</v>
      </c>
      <c r="B1023">
        <v>67</v>
      </c>
      <c r="C1023" s="226" t="s">
        <v>9</v>
      </c>
      <c r="D1023" s="236">
        <v>-5.92</v>
      </c>
      <c r="E1023" s="237">
        <v>106.3</v>
      </c>
      <c r="F1023">
        <v>3.38</v>
      </c>
      <c r="G1023">
        <f t="shared" si="10"/>
        <v>5439.5827200000003</v>
      </c>
      <c r="H1023" t="s">
        <v>614</v>
      </c>
      <c r="I1023">
        <v>8</v>
      </c>
      <c r="J1023">
        <v>2202.9296269688398</v>
      </c>
      <c r="K1023" s="26">
        <v>2016</v>
      </c>
      <c r="L1023" t="s">
        <v>40</v>
      </c>
      <c r="M1023" s="30"/>
      <c r="N1023">
        <v>1</v>
      </c>
      <c r="P1023" t="s">
        <v>12</v>
      </c>
      <c r="Q1023">
        <v>89</v>
      </c>
      <c r="R1023" t="s">
        <v>13</v>
      </c>
      <c r="S1023" t="s">
        <v>14</v>
      </c>
      <c r="T1023" t="s">
        <v>14</v>
      </c>
      <c r="U1023" s="25">
        <v>0</v>
      </c>
      <c r="V1023" s="25">
        <v>10</v>
      </c>
      <c r="W1023" s="25">
        <v>5</v>
      </c>
      <c r="X1023" s="25">
        <v>10</v>
      </c>
      <c r="Y1023">
        <v>0.69148334600000005</v>
      </c>
      <c r="Z1023" t="s">
        <v>719</v>
      </c>
      <c r="AA1023" t="s">
        <v>623</v>
      </c>
      <c r="AB1023">
        <v>1</v>
      </c>
      <c r="AC1023">
        <v>182</v>
      </c>
      <c r="AF1023" t="s">
        <v>531</v>
      </c>
      <c r="AG1023" s="30">
        <v>182</v>
      </c>
      <c r="AH1023" s="30">
        <v>0.187</v>
      </c>
      <c r="AI1023" s="30">
        <v>34.033999999999999</v>
      </c>
      <c r="AJ1023">
        <v>147.96600000000001</v>
      </c>
      <c r="AK1023">
        <v>0.187</v>
      </c>
      <c r="AL1023">
        <v>34.033999999999999</v>
      </c>
      <c r="AM1023">
        <v>147.96600000000001</v>
      </c>
      <c r="AN1023">
        <v>38.240449438202248</v>
      </c>
      <c r="AO1023">
        <v>166.25393258426968</v>
      </c>
      <c r="AP1023">
        <v>2.6442633930071912E-2</v>
      </c>
      <c r="AQ1023">
        <v>0.11496182558902923</v>
      </c>
      <c r="AR1023">
        <v>0.13235348158759747</v>
      </c>
    </row>
    <row r="1024" spans="1:44" customFormat="1" hidden="1" x14ac:dyDescent="0.5">
      <c r="A1024">
        <v>1011</v>
      </c>
      <c r="B1024">
        <v>67</v>
      </c>
      <c r="C1024" s="226" t="s">
        <v>9</v>
      </c>
      <c r="D1024" s="236">
        <v>-5.91</v>
      </c>
      <c r="E1024" s="237">
        <v>106.13</v>
      </c>
      <c r="F1024">
        <v>1.03</v>
      </c>
      <c r="G1024">
        <f t="shared" si="10"/>
        <v>1657.6243200000001</v>
      </c>
      <c r="H1024" t="s">
        <v>614</v>
      </c>
      <c r="I1024">
        <v>15</v>
      </c>
      <c r="J1024">
        <v>2068.6668327198799</v>
      </c>
      <c r="K1024" s="26">
        <v>2016</v>
      </c>
      <c r="L1024" t="s">
        <v>40</v>
      </c>
      <c r="M1024" s="30"/>
      <c r="N1024">
        <v>1</v>
      </c>
      <c r="P1024" t="s">
        <v>12</v>
      </c>
      <c r="Q1024">
        <v>89</v>
      </c>
      <c r="R1024" t="s">
        <v>13</v>
      </c>
      <c r="S1024" t="s">
        <v>14</v>
      </c>
      <c r="T1024" t="s">
        <v>14</v>
      </c>
      <c r="U1024" s="25">
        <v>0</v>
      </c>
      <c r="V1024" s="25">
        <v>10</v>
      </c>
      <c r="W1024" s="25">
        <v>5</v>
      </c>
      <c r="X1024" s="25">
        <v>10</v>
      </c>
      <c r="Y1024">
        <v>0.69148334600000005</v>
      </c>
      <c r="Z1024" t="s">
        <v>719</v>
      </c>
      <c r="AA1024" t="s">
        <v>623</v>
      </c>
      <c r="AB1024">
        <v>1</v>
      </c>
      <c r="AC1024">
        <v>250</v>
      </c>
      <c r="AF1024" t="s">
        <v>531</v>
      </c>
      <c r="AG1024" s="30">
        <v>250</v>
      </c>
      <c r="AH1024" s="30">
        <v>0.187</v>
      </c>
      <c r="AI1024" s="30">
        <v>46.75</v>
      </c>
      <c r="AJ1024">
        <v>203.25</v>
      </c>
      <c r="AK1024">
        <v>0.187</v>
      </c>
      <c r="AL1024">
        <v>46.75</v>
      </c>
      <c r="AM1024">
        <v>203.25</v>
      </c>
      <c r="AN1024">
        <v>52.528089887640448</v>
      </c>
      <c r="AO1024">
        <v>228.37078651685391</v>
      </c>
      <c r="AP1024">
        <v>3.6322299354494381E-2</v>
      </c>
      <c r="AQ1024">
        <v>0.15791459558932583</v>
      </c>
      <c r="AR1024">
        <v>0.13142849355358946</v>
      </c>
    </row>
    <row r="1025" spans="1:44" customFormat="1" hidden="1" x14ac:dyDescent="0.5">
      <c r="A1025">
        <v>1012</v>
      </c>
      <c r="B1025">
        <v>67</v>
      </c>
      <c r="C1025" s="226" t="s">
        <v>9</v>
      </c>
      <c r="D1025" s="236">
        <v>-5.91</v>
      </c>
      <c r="E1025" s="237">
        <v>106.19</v>
      </c>
      <c r="F1025">
        <v>2.11</v>
      </c>
      <c r="G1025">
        <f t="shared" si="10"/>
        <v>3395.7158399999998</v>
      </c>
      <c r="H1025" t="s">
        <v>614</v>
      </c>
      <c r="I1025">
        <v>18</v>
      </c>
      <c r="J1025">
        <v>2126.0741067730301</v>
      </c>
      <c r="K1025" s="26">
        <v>2016</v>
      </c>
      <c r="L1025" t="s">
        <v>40</v>
      </c>
      <c r="M1025" s="30"/>
      <c r="N1025">
        <v>1</v>
      </c>
      <c r="P1025" t="s">
        <v>12</v>
      </c>
      <c r="Q1025">
        <v>89</v>
      </c>
      <c r="R1025" t="s">
        <v>13</v>
      </c>
      <c r="S1025" t="s">
        <v>14</v>
      </c>
      <c r="T1025" t="s">
        <v>14</v>
      </c>
      <c r="U1025" s="25">
        <v>0</v>
      </c>
      <c r="V1025" s="25">
        <v>10</v>
      </c>
      <c r="W1025" s="25">
        <v>5</v>
      </c>
      <c r="X1025" s="25">
        <v>10</v>
      </c>
      <c r="Y1025">
        <v>0.69148334600000005</v>
      </c>
      <c r="Z1025" t="s">
        <v>719</v>
      </c>
      <c r="AA1025" t="s">
        <v>623</v>
      </c>
      <c r="AB1025">
        <v>1</v>
      </c>
      <c r="AC1025">
        <v>101</v>
      </c>
      <c r="AF1025" t="s">
        <v>531</v>
      </c>
      <c r="AG1025" s="30">
        <v>101</v>
      </c>
      <c r="AH1025" s="30">
        <v>0.187</v>
      </c>
      <c r="AI1025" s="30">
        <v>18.887</v>
      </c>
      <c r="AJ1025">
        <v>82.113</v>
      </c>
      <c r="AK1025">
        <v>0.187</v>
      </c>
      <c r="AL1025">
        <v>18.887</v>
      </c>
      <c r="AM1025">
        <v>82.113</v>
      </c>
      <c r="AN1025">
        <v>21.221348314606743</v>
      </c>
      <c r="AO1025">
        <v>92.261797752808988</v>
      </c>
      <c r="AP1025">
        <v>1.4674208939215734E-2</v>
      </c>
      <c r="AQ1025">
        <v>6.3797496618087646E-2</v>
      </c>
      <c r="AR1025">
        <v>0.13103405168936957</v>
      </c>
    </row>
    <row r="1026" spans="1:44" customFormat="1" hidden="1" x14ac:dyDescent="0.5">
      <c r="A1026">
        <v>1013</v>
      </c>
      <c r="B1026">
        <v>67</v>
      </c>
      <c r="C1026" s="226" t="s">
        <v>9</v>
      </c>
      <c r="D1026" s="236">
        <v>-5.91</v>
      </c>
      <c r="E1026" s="237">
        <v>106.22</v>
      </c>
      <c r="F1026">
        <v>2.14</v>
      </c>
      <c r="G1026">
        <f t="shared" si="10"/>
        <v>3443.9961600000001</v>
      </c>
      <c r="H1026" t="s">
        <v>614</v>
      </c>
      <c r="I1026">
        <v>19</v>
      </c>
      <c r="J1026">
        <v>2145.7025049616</v>
      </c>
      <c r="K1026" s="26">
        <v>2016</v>
      </c>
      <c r="L1026" t="s">
        <v>40</v>
      </c>
      <c r="M1026" s="30"/>
      <c r="N1026">
        <v>1</v>
      </c>
      <c r="P1026" t="s">
        <v>12</v>
      </c>
      <c r="Q1026">
        <v>89</v>
      </c>
      <c r="R1026" t="s">
        <v>13</v>
      </c>
      <c r="S1026" t="s">
        <v>14</v>
      </c>
      <c r="T1026" t="s">
        <v>14</v>
      </c>
      <c r="U1026" s="25">
        <v>0</v>
      </c>
      <c r="V1026" s="25">
        <v>10</v>
      </c>
      <c r="W1026" s="25">
        <v>5</v>
      </c>
      <c r="X1026" s="25">
        <v>10</v>
      </c>
      <c r="Y1026">
        <v>0.69148334600000005</v>
      </c>
      <c r="Z1026" t="s">
        <v>719</v>
      </c>
      <c r="AA1026" t="s">
        <v>623</v>
      </c>
      <c r="AB1026">
        <v>1</v>
      </c>
      <c r="AC1026">
        <v>135</v>
      </c>
      <c r="AF1026" t="s">
        <v>531</v>
      </c>
      <c r="AG1026" s="30">
        <v>135</v>
      </c>
      <c r="AH1026" s="30">
        <v>0.187</v>
      </c>
      <c r="AI1026" s="30">
        <v>25.245000000000001</v>
      </c>
      <c r="AJ1026">
        <v>109.755</v>
      </c>
      <c r="AK1026">
        <v>0.187</v>
      </c>
      <c r="AL1026">
        <v>25.245000000000001</v>
      </c>
      <c r="AM1026">
        <v>109.755</v>
      </c>
      <c r="AN1026">
        <v>28.36516853932584</v>
      </c>
      <c r="AO1026">
        <v>123.32022471910111</v>
      </c>
      <c r="AP1026">
        <v>1.9614041651426967E-2</v>
      </c>
      <c r="AQ1026">
        <v>8.5273881618235944E-2</v>
      </c>
      <c r="AR1026">
        <v>0.13090283430916907</v>
      </c>
    </row>
    <row r="1027" spans="1:44" customFormat="1" hidden="1" x14ac:dyDescent="0.5">
      <c r="A1027">
        <v>1014</v>
      </c>
      <c r="B1027">
        <v>67</v>
      </c>
      <c r="C1027" s="226" t="s">
        <v>9</v>
      </c>
      <c r="D1027" s="236">
        <v>-5.91</v>
      </c>
      <c r="E1027" s="237">
        <v>106.16</v>
      </c>
      <c r="F1027">
        <v>0.76</v>
      </c>
      <c r="G1027">
        <f t="shared" si="10"/>
        <v>1223.1014400000001</v>
      </c>
      <c r="H1027" t="s">
        <v>614</v>
      </c>
      <c r="I1027">
        <v>28</v>
      </c>
      <c r="J1027">
        <v>2098.6435496444301</v>
      </c>
      <c r="K1027" s="26">
        <v>2016</v>
      </c>
      <c r="L1027" t="s">
        <v>40</v>
      </c>
      <c r="M1027" s="30"/>
      <c r="N1027">
        <v>1</v>
      </c>
      <c r="P1027" t="s">
        <v>12</v>
      </c>
      <c r="Q1027">
        <v>89</v>
      </c>
      <c r="R1027" t="s">
        <v>13</v>
      </c>
      <c r="S1027" t="s">
        <v>14</v>
      </c>
      <c r="T1027" t="s">
        <v>14</v>
      </c>
      <c r="U1027" s="25">
        <v>0</v>
      </c>
      <c r="V1027" s="25">
        <v>10</v>
      </c>
      <c r="W1027" s="25">
        <v>5</v>
      </c>
      <c r="X1027" s="25">
        <v>10</v>
      </c>
      <c r="Y1027">
        <v>0.69148334600000005</v>
      </c>
      <c r="Z1027" t="s">
        <v>719</v>
      </c>
      <c r="AA1027" t="s">
        <v>623</v>
      </c>
      <c r="AB1027">
        <v>1</v>
      </c>
      <c r="AC1027">
        <v>240</v>
      </c>
      <c r="AF1027" t="s">
        <v>531</v>
      </c>
      <c r="AG1027" s="30">
        <v>240</v>
      </c>
      <c r="AH1027" s="30">
        <v>0.187</v>
      </c>
      <c r="AI1027" s="30">
        <v>44.88</v>
      </c>
      <c r="AJ1027">
        <v>195.12</v>
      </c>
      <c r="AK1027">
        <v>0.187</v>
      </c>
      <c r="AL1027">
        <v>44.88</v>
      </c>
      <c r="AM1027">
        <v>195.12</v>
      </c>
      <c r="AN1027">
        <v>50.426966292134836</v>
      </c>
      <c r="AO1027">
        <v>219.23595505617976</v>
      </c>
      <c r="AP1027">
        <v>3.4869407380314611E-2</v>
      </c>
      <c r="AQ1027">
        <v>0.15159801176575283</v>
      </c>
      <c r="AR1027">
        <v>0.12972777516826065</v>
      </c>
    </row>
    <row r="1028" spans="1:44" hidden="1" x14ac:dyDescent="0.5">
      <c r="A1028" s="31">
        <v>1027</v>
      </c>
      <c r="B1028" s="31">
        <v>68</v>
      </c>
      <c r="C1028" s="225" t="s">
        <v>9</v>
      </c>
      <c r="D1028" s="43">
        <v>28.748611</v>
      </c>
      <c r="E1028" s="43">
        <v>48.34</v>
      </c>
      <c r="F1028">
        <v>0</v>
      </c>
      <c r="G1028">
        <f t="shared" si="9"/>
        <v>0</v>
      </c>
      <c r="H1028" s="32" t="s">
        <v>10</v>
      </c>
      <c r="I1028">
        <v>0</v>
      </c>
      <c r="J1028">
        <v>184.69543927461001</v>
      </c>
      <c r="K1028" s="27">
        <v>2018</v>
      </c>
      <c r="L1028" t="s">
        <v>11</v>
      </c>
      <c r="M1028" s="32">
        <v>250</v>
      </c>
      <c r="N1028">
        <v>30.131484459999999</v>
      </c>
      <c r="O1028">
        <v>5</v>
      </c>
      <c r="P1028" t="s">
        <v>12</v>
      </c>
      <c r="Q1028">
        <v>89</v>
      </c>
      <c r="R1028" t="s">
        <v>13</v>
      </c>
      <c r="S1028" t="s">
        <v>14</v>
      </c>
      <c r="T1028" t="s">
        <v>16</v>
      </c>
      <c r="U1028" s="34">
        <v>0</v>
      </c>
      <c r="V1028" s="34">
        <v>5</v>
      </c>
      <c r="W1028" s="25">
        <v>2.5</v>
      </c>
      <c r="X1028" s="25">
        <v>5</v>
      </c>
      <c r="Y1028">
        <v>1.1762940884999999</v>
      </c>
      <c r="Z1028" t="s">
        <v>787</v>
      </c>
      <c r="AA1028" t="s">
        <v>650</v>
      </c>
      <c r="AB1028">
        <v>1</v>
      </c>
      <c r="AC1028">
        <v>0</v>
      </c>
      <c r="AF1028" t="s">
        <v>533</v>
      </c>
      <c r="AG1028" s="32">
        <v>0</v>
      </c>
      <c r="AH1028" s="32" t="s">
        <v>671</v>
      </c>
      <c r="AI1028" s="32" t="s">
        <v>1129</v>
      </c>
      <c r="AJ1028" s="31" t="s">
        <v>1130</v>
      </c>
      <c r="AK1028" s="31">
        <v>0.59524549999999998</v>
      </c>
      <c r="AL1028" s="31">
        <v>0</v>
      </c>
      <c r="AM1028" s="31">
        <v>0</v>
      </c>
      <c r="AN1028" s="31">
        <v>0</v>
      </c>
      <c r="AO1028" s="31">
        <v>0</v>
      </c>
      <c r="AP1028" s="31">
        <v>0</v>
      </c>
      <c r="AQ1028" s="31">
        <v>0</v>
      </c>
      <c r="AR1028" s="31">
        <v>0.13341858489683281</v>
      </c>
    </row>
    <row r="1029" spans="1:44" hidden="1" x14ac:dyDescent="0.5">
      <c r="A1029" s="31">
        <v>1028</v>
      </c>
      <c r="B1029" s="31">
        <v>68</v>
      </c>
      <c r="C1029" s="225" t="s">
        <v>9</v>
      </c>
      <c r="D1029" s="43">
        <v>28.759166</v>
      </c>
      <c r="E1029" s="43">
        <v>48.321389000000003</v>
      </c>
      <c r="F1029">
        <v>0</v>
      </c>
      <c r="G1029">
        <f t="shared" si="9"/>
        <v>0</v>
      </c>
      <c r="H1029" s="32" t="s">
        <v>10</v>
      </c>
      <c r="I1029">
        <v>0</v>
      </c>
      <c r="J1029">
        <v>181.61759177673699</v>
      </c>
      <c r="K1029" s="27">
        <v>2018</v>
      </c>
      <c r="L1029" t="s">
        <v>11</v>
      </c>
      <c r="M1029" s="32">
        <v>250</v>
      </c>
      <c r="N1029">
        <v>30.131484459999999</v>
      </c>
      <c r="O1029">
        <v>5</v>
      </c>
      <c r="P1029" t="s">
        <v>12</v>
      </c>
      <c r="Q1029">
        <v>89</v>
      </c>
      <c r="R1029" t="s">
        <v>13</v>
      </c>
      <c r="S1029" t="s">
        <v>14</v>
      </c>
      <c r="T1029" t="s">
        <v>16</v>
      </c>
      <c r="U1029" s="34">
        <v>0</v>
      </c>
      <c r="V1029" s="34">
        <v>5</v>
      </c>
      <c r="W1029" s="25">
        <v>2.5</v>
      </c>
      <c r="X1029" s="25">
        <v>5</v>
      </c>
      <c r="Y1029">
        <v>1.1762940884999999</v>
      </c>
      <c r="Z1029" t="s">
        <v>787</v>
      </c>
      <c r="AA1029" t="s">
        <v>650</v>
      </c>
      <c r="AB1029">
        <v>1</v>
      </c>
      <c r="AC1029">
        <v>0</v>
      </c>
      <c r="AF1029" t="s">
        <v>533</v>
      </c>
      <c r="AG1029" s="32">
        <v>0</v>
      </c>
      <c r="AH1029" s="32" t="s">
        <v>671</v>
      </c>
      <c r="AI1029" s="32" t="s">
        <v>1129</v>
      </c>
      <c r="AJ1029" s="31" t="s">
        <v>1130</v>
      </c>
      <c r="AK1029" s="31">
        <v>0.59524549999999998</v>
      </c>
      <c r="AL1029" s="31">
        <v>0</v>
      </c>
      <c r="AM1029" s="31">
        <v>0</v>
      </c>
      <c r="AN1029" s="31">
        <v>0</v>
      </c>
      <c r="AO1029" s="31">
        <v>0</v>
      </c>
      <c r="AP1029" s="31">
        <v>0</v>
      </c>
      <c r="AQ1029" s="31">
        <v>0</v>
      </c>
      <c r="AR1029" s="31">
        <v>0.13341858489683281</v>
      </c>
    </row>
    <row r="1030" spans="1:44" hidden="1" x14ac:dyDescent="0.5">
      <c r="A1030" s="31">
        <v>1029</v>
      </c>
      <c r="B1030" s="31">
        <v>68</v>
      </c>
      <c r="C1030" s="225" t="s">
        <v>9</v>
      </c>
      <c r="D1030" s="43">
        <v>28.78</v>
      </c>
      <c r="E1030" s="43">
        <v>48.295278000000003</v>
      </c>
      <c r="F1030">
        <v>0</v>
      </c>
      <c r="G1030">
        <f t="shared" si="9"/>
        <v>0</v>
      </c>
      <c r="H1030" s="32" t="s">
        <v>10</v>
      </c>
      <c r="I1030">
        <v>0</v>
      </c>
      <c r="J1030">
        <v>177.94802602397201</v>
      </c>
      <c r="K1030" s="27">
        <v>2018</v>
      </c>
      <c r="L1030" t="s">
        <v>11</v>
      </c>
      <c r="M1030" s="32">
        <v>250</v>
      </c>
      <c r="N1030">
        <v>30.131484459999999</v>
      </c>
      <c r="O1030">
        <v>5</v>
      </c>
      <c r="P1030" t="s">
        <v>12</v>
      </c>
      <c r="Q1030">
        <v>89</v>
      </c>
      <c r="R1030" t="s">
        <v>13</v>
      </c>
      <c r="S1030" t="s">
        <v>14</v>
      </c>
      <c r="T1030" t="s">
        <v>16</v>
      </c>
      <c r="U1030" s="34">
        <v>0</v>
      </c>
      <c r="V1030" s="34">
        <v>5</v>
      </c>
      <c r="W1030" s="25">
        <v>2.5</v>
      </c>
      <c r="X1030" s="25">
        <v>5</v>
      </c>
      <c r="Y1030">
        <v>1.1762940884999999</v>
      </c>
      <c r="Z1030" t="s">
        <v>787</v>
      </c>
      <c r="AA1030" t="s">
        <v>650</v>
      </c>
      <c r="AB1030">
        <v>1</v>
      </c>
      <c r="AC1030">
        <v>0</v>
      </c>
      <c r="AF1030" t="s">
        <v>533</v>
      </c>
      <c r="AG1030" s="32">
        <v>0</v>
      </c>
      <c r="AH1030" s="32" t="s">
        <v>671</v>
      </c>
      <c r="AI1030" s="32" t="s">
        <v>1129</v>
      </c>
      <c r="AJ1030" s="31" t="s">
        <v>1130</v>
      </c>
      <c r="AK1030" s="31">
        <v>0.59524549999999998</v>
      </c>
      <c r="AL1030" s="31">
        <v>0</v>
      </c>
      <c r="AM1030" s="31">
        <v>0</v>
      </c>
      <c r="AN1030" s="31">
        <v>0</v>
      </c>
      <c r="AO1030" s="31">
        <v>0</v>
      </c>
      <c r="AP1030" s="31">
        <v>0</v>
      </c>
      <c r="AQ1030" s="31">
        <v>0</v>
      </c>
      <c r="AR1030" s="31">
        <v>0.13341858489683281</v>
      </c>
    </row>
    <row r="1031" spans="1:44" hidden="1" x14ac:dyDescent="0.5">
      <c r="A1031" s="31">
        <v>1030</v>
      </c>
      <c r="B1031" s="31">
        <v>68</v>
      </c>
      <c r="C1031" s="225" t="s">
        <v>9</v>
      </c>
      <c r="D1031" s="43">
        <v>28.881111000000001</v>
      </c>
      <c r="E1031" s="43">
        <v>48.286943999999998</v>
      </c>
      <c r="F1031">
        <v>0</v>
      </c>
      <c r="G1031">
        <f t="shared" si="9"/>
        <v>0</v>
      </c>
      <c r="H1031" s="32" t="s">
        <v>10</v>
      </c>
      <c r="I1031">
        <v>0</v>
      </c>
      <c r="J1031">
        <v>181.93726935095</v>
      </c>
      <c r="K1031" s="27">
        <v>2018</v>
      </c>
      <c r="L1031" t="s">
        <v>11</v>
      </c>
      <c r="M1031" s="32">
        <v>250</v>
      </c>
      <c r="N1031">
        <v>30.131484459999999</v>
      </c>
      <c r="O1031">
        <v>5</v>
      </c>
      <c r="P1031" t="s">
        <v>12</v>
      </c>
      <c r="Q1031">
        <v>89</v>
      </c>
      <c r="R1031" t="s">
        <v>13</v>
      </c>
      <c r="S1031" t="s">
        <v>14</v>
      </c>
      <c r="T1031" t="s">
        <v>16</v>
      </c>
      <c r="U1031" s="34">
        <v>0</v>
      </c>
      <c r="V1031" s="34">
        <v>5</v>
      </c>
      <c r="W1031" s="25">
        <v>2.5</v>
      </c>
      <c r="X1031" s="25">
        <v>5</v>
      </c>
      <c r="Y1031">
        <v>1.1762940884999999</v>
      </c>
      <c r="Z1031" t="s">
        <v>787</v>
      </c>
      <c r="AA1031" t="s">
        <v>650</v>
      </c>
      <c r="AB1031">
        <v>1</v>
      </c>
      <c r="AC1031">
        <v>0</v>
      </c>
      <c r="AF1031" t="s">
        <v>533</v>
      </c>
      <c r="AG1031" s="32">
        <v>0</v>
      </c>
      <c r="AH1031" s="32" t="s">
        <v>671</v>
      </c>
      <c r="AI1031" s="32" t="s">
        <v>1129</v>
      </c>
      <c r="AJ1031" s="31" t="s">
        <v>1130</v>
      </c>
      <c r="AK1031" s="31">
        <v>0.59524549999999998</v>
      </c>
      <c r="AL1031" s="31">
        <v>0</v>
      </c>
      <c r="AM1031" s="31">
        <v>0</v>
      </c>
      <c r="AN1031" s="31">
        <v>0</v>
      </c>
      <c r="AO1031" s="31">
        <v>0</v>
      </c>
      <c r="AP1031" s="31">
        <v>0</v>
      </c>
      <c r="AQ1031" s="31">
        <v>0</v>
      </c>
      <c r="AR1031" s="31">
        <v>0.13341858489683281</v>
      </c>
    </row>
    <row r="1032" spans="1:44" hidden="1" x14ac:dyDescent="0.5">
      <c r="A1032" s="31">
        <v>1031</v>
      </c>
      <c r="B1032" s="31">
        <v>68</v>
      </c>
      <c r="C1032" s="225" t="s">
        <v>9</v>
      </c>
      <c r="D1032" s="43">
        <v>28.898056</v>
      </c>
      <c r="E1032" s="43">
        <v>48.234166999999999</v>
      </c>
      <c r="F1032">
        <v>0</v>
      </c>
      <c r="G1032">
        <f t="shared" si="9"/>
        <v>0</v>
      </c>
      <c r="H1032" s="32" t="s">
        <v>10</v>
      </c>
      <c r="I1032">
        <v>0</v>
      </c>
      <c r="J1032">
        <v>173.264663826987</v>
      </c>
      <c r="K1032" s="27">
        <v>2018</v>
      </c>
      <c r="L1032" t="s">
        <v>11</v>
      </c>
      <c r="M1032" s="32">
        <v>250</v>
      </c>
      <c r="N1032">
        <v>30.131484459999999</v>
      </c>
      <c r="O1032">
        <v>5</v>
      </c>
      <c r="P1032" t="s">
        <v>12</v>
      </c>
      <c r="Q1032">
        <v>89</v>
      </c>
      <c r="R1032" t="s">
        <v>13</v>
      </c>
      <c r="S1032" t="s">
        <v>14</v>
      </c>
      <c r="T1032" t="s">
        <v>16</v>
      </c>
      <c r="U1032" s="34">
        <v>0</v>
      </c>
      <c r="V1032" s="34">
        <v>5</v>
      </c>
      <c r="W1032" s="25">
        <v>2.5</v>
      </c>
      <c r="X1032" s="25">
        <v>5</v>
      </c>
      <c r="Y1032">
        <v>1.176294089</v>
      </c>
      <c r="Z1032" t="s">
        <v>787</v>
      </c>
      <c r="AA1032" t="s">
        <v>650</v>
      </c>
      <c r="AB1032">
        <v>1</v>
      </c>
      <c r="AC1032">
        <v>2</v>
      </c>
      <c r="AF1032" t="s">
        <v>533</v>
      </c>
      <c r="AG1032" s="32" t="s">
        <v>2111</v>
      </c>
      <c r="AH1032" s="32" t="s">
        <v>671</v>
      </c>
      <c r="AI1032" s="32" t="s">
        <v>1129</v>
      </c>
      <c r="AJ1032" s="31" t="s">
        <v>1130</v>
      </c>
      <c r="AK1032" s="31">
        <v>0.59524549999999998</v>
      </c>
      <c r="AL1032" s="31">
        <v>0.22490426333814176</v>
      </c>
      <c r="AM1032" s="31">
        <v>0.15293019880922729</v>
      </c>
      <c r="AN1032" s="31">
        <v>7.6142688941134447</v>
      </c>
      <c r="AO1032" s="31">
        <v>5.1775437178482493</v>
      </c>
      <c r="AP1032" s="31">
        <v>8.956619492202212E-3</v>
      </c>
      <c r="AQ1032" s="31">
        <v>6.0903140708439794E-3</v>
      </c>
      <c r="AR1032" s="31">
        <v>0.13341858489683281</v>
      </c>
    </row>
    <row r="1033" spans="1:44" hidden="1" x14ac:dyDescent="0.5">
      <c r="A1033" s="31">
        <v>1032</v>
      </c>
      <c r="B1033" s="31">
        <v>68</v>
      </c>
      <c r="C1033" s="225" t="s">
        <v>9</v>
      </c>
      <c r="D1033" s="43">
        <v>28.959790000000002</v>
      </c>
      <c r="E1033" s="43">
        <v>48.183653</v>
      </c>
      <c r="F1033">
        <v>0</v>
      </c>
      <c r="G1033">
        <f t="shared" si="9"/>
        <v>0</v>
      </c>
      <c r="H1033" s="32" t="s">
        <v>10</v>
      </c>
      <c r="I1033">
        <v>0</v>
      </c>
      <c r="J1033">
        <v>167.79386651693599</v>
      </c>
      <c r="K1033" s="27">
        <v>2018</v>
      </c>
      <c r="L1033" t="s">
        <v>11</v>
      </c>
      <c r="M1033" s="32">
        <v>250</v>
      </c>
      <c r="N1033">
        <v>30.131484459999999</v>
      </c>
      <c r="O1033">
        <v>5</v>
      </c>
      <c r="P1033" t="s">
        <v>12</v>
      </c>
      <c r="Q1033">
        <v>89</v>
      </c>
      <c r="R1033" t="s">
        <v>13</v>
      </c>
      <c r="S1033" t="s">
        <v>14</v>
      </c>
      <c r="T1033" t="s">
        <v>16</v>
      </c>
      <c r="U1033" s="34">
        <v>0</v>
      </c>
      <c r="V1033" s="34">
        <v>5</v>
      </c>
      <c r="W1033" s="25">
        <v>2.5</v>
      </c>
      <c r="X1033" s="25">
        <v>5</v>
      </c>
      <c r="Y1033">
        <v>1.2182593589999999</v>
      </c>
      <c r="Z1033" t="s">
        <v>787</v>
      </c>
      <c r="AA1033" t="s">
        <v>650</v>
      </c>
      <c r="AB1033">
        <v>1</v>
      </c>
      <c r="AC1033">
        <v>0</v>
      </c>
      <c r="AF1033" t="s">
        <v>533</v>
      </c>
      <c r="AG1033" s="32">
        <v>0</v>
      </c>
      <c r="AH1033" s="32" t="s">
        <v>671</v>
      </c>
      <c r="AI1033" s="32" t="s">
        <v>1129</v>
      </c>
      <c r="AJ1033" s="31" t="s">
        <v>1130</v>
      </c>
      <c r="AK1033" s="31">
        <v>0.59524549999999998</v>
      </c>
      <c r="AL1033" s="31">
        <v>0</v>
      </c>
      <c r="AM1033" s="31">
        <v>0</v>
      </c>
      <c r="AN1033" s="31">
        <v>0</v>
      </c>
      <c r="AO1033" s="31">
        <v>0</v>
      </c>
      <c r="AP1033" s="31">
        <v>0</v>
      </c>
      <c r="AQ1033" s="31">
        <v>0</v>
      </c>
      <c r="AR1033" s="31">
        <v>0.13341858489683281</v>
      </c>
    </row>
    <row r="1034" spans="1:44" hidden="1" x14ac:dyDescent="0.5">
      <c r="A1034" s="31">
        <v>1033</v>
      </c>
      <c r="B1034" s="31">
        <v>68</v>
      </c>
      <c r="C1034" s="225" t="s">
        <v>9</v>
      </c>
      <c r="D1034" s="43">
        <v>29.1</v>
      </c>
      <c r="E1034" s="43">
        <v>48.138333000000003</v>
      </c>
      <c r="F1034">
        <v>0</v>
      </c>
      <c r="G1034">
        <f t="shared" si="9"/>
        <v>0</v>
      </c>
      <c r="H1034" s="32" t="s">
        <v>10</v>
      </c>
      <c r="I1034">
        <v>0</v>
      </c>
      <c r="J1034">
        <v>164.62075830829801</v>
      </c>
      <c r="K1034" s="27">
        <v>2018</v>
      </c>
      <c r="L1034" t="s">
        <v>11</v>
      </c>
      <c r="M1034" s="32">
        <v>250</v>
      </c>
      <c r="N1034">
        <v>30.131484459999999</v>
      </c>
      <c r="O1034">
        <v>5</v>
      </c>
      <c r="P1034" t="s">
        <v>12</v>
      </c>
      <c r="Q1034">
        <v>89</v>
      </c>
      <c r="R1034" t="s">
        <v>13</v>
      </c>
      <c r="S1034" t="s">
        <v>14</v>
      </c>
      <c r="T1034" t="s">
        <v>16</v>
      </c>
      <c r="U1034" s="34">
        <v>0</v>
      </c>
      <c r="V1034" s="34">
        <v>5</v>
      </c>
      <c r="W1034" s="25">
        <v>2.5</v>
      </c>
      <c r="X1034" s="25">
        <v>5</v>
      </c>
      <c r="Y1034">
        <v>1.2182593589999999</v>
      </c>
      <c r="Z1034" t="s">
        <v>787</v>
      </c>
      <c r="AA1034" t="s">
        <v>650</v>
      </c>
      <c r="AB1034">
        <v>1</v>
      </c>
      <c r="AC1034">
        <v>0</v>
      </c>
      <c r="AF1034" t="s">
        <v>533</v>
      </c>
      <c r="AG1034" s="32">
        <v>0</v>
      </c>
      <c r="AH1034" s="32" t="s">
        <v>671</v>
      </c>
      <c r="AI1034" s="32" t="s">
        <v>1129</v>
      </c>
      <c r="AJ1034" s="31" t="s">
        <v>1130</v>
      </c>
      <c r="AK1034" s="31">
        <v>0.59524549999999998</v>
      </c>
      <c r="AL1034" s="31">
        <v>0</v>
      </c>
      <c r="AM1034" s="31">
        <v>0</v>
      </c>
      <c r="AN1034" s="31">
        <v>0</v>
      </c>
      <c r="AO1034" s="31">
        <v>0</v>
      </c>
      <c r="AP1034" s="31">
        <v>0</v>
      </c>
      <c r="AQ1034" s="31">
        <v>0</v>
      </c>
      <c r="AR1034" s="31">
        <v>0.13341858489683281</v>
      </c>
    </row>
    <row r="1035" spans="1:44" hidden="1" x14ac:dyDescent="0.5">
      <c r="A1035" s="31">
        <v>1034</v>
      </c>
      <c r="B1035" s="31">
        <v>68</v>
      </c>
      <c r="C1035" s="225" t="s">
        <v>9</v>
      </c>
      <c r="D1035" s="43">
        <v>29.154678000000001</v>
      </c>
      <c r="E1035" s="43">
        <v>48.126429000000002</v>
      </c>
      <c r="F1035">
        <v>0</v>
      </c>
      <c r="G1035">
        <f t="shared" si="9"/>
        <v>0</v>
      </c>
      <c r="H1035" s="32" t="s">
        <v>10</v>
      </c>
      <c r="I1035">
        <v>0</v>
      </c>
      <c r="J1035">
        <v>164.23520134946801</v>
      </c>
      <c r="K1035" s="27">
        <v>2018</v>
      </c>
      <c r="L1035" t="s">
        <v>11</v>
      </c>
      <c r="M1035" s="32">
        <v>250</v>
      </c>
      <c r="N1035">
        <v>30.131484459999999</v>
      </c>
      <c r="O1035">
        <v>5</v>
      </c>
      <c r="P1035" t="s">
        <v>12</v>
      </c>
      <c r="Q1035">
        <v>89</v>
      </c>
      <c r="R1035" t="s">
        <v>13</v>
      </c>
      <c r="S1035" t="s">
        <v>14</v>
      </c>
      <c r="T1035" t="s">
        <v>16</v>
      </c>
      <c r="U1035" s="34">
        <v>0</v>
      </c>
      <c r="V1035" s="34">
        <v>5</v>
      </c>
      <c r="W1035" s="25">
        <v>2.5</v>
      </c>
      <c r="X1035" s="25">
        <v>5</v>
      </c>
      <c r="Y1035">
        <v>1.2182593589999999</v>
      </c>
      <c r="Z1035" t="s">
        <v>787</v>
      </c>
      <c r="AA1035" t="s">
        <v>650</v>
      </c>
      <c r="AB1035">
        <v>1</v>
      </c>
      <c r="AC1035">
        <v>0</v>
      </c>
      <c r="AF1035" t="s">
        <v>533</v>
      </c>
      <c r="AG1035" s="32">
        <v>0</v>
      </c>
      <c r="AH1035" s="32" t="s">
        <v>671</v>
      </c>
      <c r="AI1035" s="32" t="s">
        <v>1129</v>
      </c>
      <c r="AJ1035" s="31" t="s">
        <v>1130</v>
      </c>
      <c r="AK1035" s="31">
        <v>0.59524549999999998</v>
      </c>
      <c r="AL1035" s="31">
        <v>0</v>
      </c>
      <c r="AM1035" s="31">
        <v>0</v>
      </c>
      <c r="AN1035" s="31">
        <v>0</v>
      </c>
      <c r="AO1035" s="31">
        <v>0</v>
      </c>
      <c r="AP1035" s="31">
        <v>0</v>
      </c>
      <c r="AQ1035" s="31">
        <v>0</v>
      </c>
      <c r="AR1035" s="31">
        <v>0.13341858489683281</v>
      </c>
    </row>
    <row r="1036" spans="1:44" hidden="1" x14ac:dyDescent="0.5">
      <c r="A1036" s="31">
        <v>1035</v>
      </c>
      <c r="B1036" s="31">
        <v>68</v>
      </c>
      <c r="C1036" s="225" t="s">
        <v>9</v>
      </c>
      <c r="D1036" s="43">
        <v>29.173013000000001</v>
      </c>
      <c r="E1036" s="43">
        <v>48.124282000000001</v>
      </c>
      <c r="F1036">
        <v>0</v>
      </c>
      <c r="G1036">
        <f t="shared" si="9"/>
        <v>0</v>
      </c>
      <c r="H1036" s="32" t="s">
        <v>10</v>
      </c>
      <c r="I1036">
        <v>0</v>
      </c>
      <c r="J1036">
        <v>164.300798764364</v>
      </c>
      <c r="K1036" s="27">
        <v>2018</v>
      </c>
      <c r="L1036" t="s">
        <v>11</v>
      </c>
      <c r="M1036" s="32">
        <v>250</v>
      </c>
      <c r="N1036">
        <v>30.131484459999999</v>
      </c>
      <c r="O1036">
        <v>5</v>
      </c>
      <c r="P1036" t="s">
        <v>12</v>
      </c>
      <c r="Q1036">
        <v>89</v>
      </c>
      <c r="R1036" t="s">
        <v>13</v>
      </c>
      <c r="S1036" t="s">
        <v>14</v>
      </c>
      <c r="T1036" t="s">
        <v>16</v>
      </c>
      <c r="U1036" s="34">
        <v>0</v>
      </c>
      <c r="V1036" s="34">
        <v>5</v>
      </c>
      <c r="W1036" s="25">
        <v>2.5</v>
      </c>
      <c r="X1036" s="25">
        <v>5</v>
      </c>
      <c r="Y1036">
        <v>1.2182593589999999</v>
      </c>
      <c r="Z1036" t="s">
        <v>787</v>
      </c>
      <c r="AA1036" t="s">
        <v>650</v>
      </c>
      <c r="AB1036">
        <v>1</v>
      </c>
      <c r="AC1036">
        <v>0</v>
      </c>
      <c r="AF1036" t="s">
        <v>533</v>
      </c>
      <c r="AG1036" s="32">
        <v>0</v>
      </c>
      <c r="AH1036" s="32" t="s">
        <v>671</v>
      </c>
      <c r="AI1036" s="32" t="s">
        <v>1129</v>
      </c>
      <c r="AJ1036" s="31" t="s">
        <v>1130</v>
      </c>
      <c r="AK1036" s="31">
        <v>0.59524549999999998</v>
      </c>
      <c r="AL1036" s="31">
        <v>0</v>
      </c>
      <c r="AM1036" s="31">
        <v>0</v>
      </c>
      <c r="AN1036" s="31">
        <v>0</v>
      </c>
      <c r="AO1036" s="31">
        <v>0</v>
      </c>
      <c r="AP1036" s="31">
        <v>0</v>
      </c>
      <c r="AQ1036" s="31">
        <v>0</v>
      </c>
      <c r="AR1036" s="31">
        <v>0.13341858489683281</v>
      </c>
    </row>
    <row r="1037" spans="1:44" hidden="1" x14ac:dyDescent="0.5">
      <c r="A1037" s="31">
        <v>1036</v>
      </c>
      <c r="B1037" s="31">
        <v>68</v>
      </c>
      <c r="C1037" s="225" t="s">
        <v>9</v>
      </c>
      <c r="D1037" s="43">
        <v>29.204491000000001</v>
      </c>
      <c r="E1037" s="43">
        <v>48.105321000000004</v>
      </c>
      <c r="F1037">
        <v>0</v>
      </c>
      <c r="G1037">
        <f t="shared" si="9"/>
        <v>0</v>
      </c>
      <c r="H1037" s="32" t="s">
        <v>10</v>
      </c>
      <c r="I1037">
        <v>0</v>
      </c>
      <c r="J1037">
        <v>162.271148673867</v>
      </c>
      <c r="K1037" s="27">
        <v>2018</v>
      </c>
      <c r="L1037" t="s">
        <v>11</v>
      </c>
      <c r="M1037" s="32">
        <v>250</v>
      </c>
      <c r="N1037">
        <v>30.131484459999999</v>
      </c>
      <c r="O1037">
        <v>5</v>
      </c>
      <c r="P1037" t="s">
        <v>12</v>
      </c>
      <c r="Q1037">
        <v>89</v>
      </c>
      <c r="R1037" t="s">
        <v>13</v>
      </c>
      <c r="S1037" t="s">
        <v>14</v>
      </c>
      <c r="T1037" t="s">
        <v>16</v>
      </c>
      <c r="U1037" s="34">
        <v>0</v>
      </c>
      <c r="V1037" s="34">
        <v>5</v>
      </c>
      <c r="W1037" s="25">
        <v>2.5</v>
      </c>
      <c r="X1037" s="25">
        <v>5</v>
      </c>
      <c r="Y1037">
        <v>1.2182593589999999</v>
      </c>
      <c r="Z1037" t="s">
        <v>787</v>
      </c>
      <c r="AA1037" t="s">
        <v>650</v>
      </c>
      <c r="AB1037">
        <v>1</v>
      </c>
      <c r="AC1037">
        <v>2</v>
      </c>
      <c r="AF1037" t="s">
        <v>533</v>
      </c>
      <c r="AG1037" s="32" t="s">
        <v>2112</v>
      </c>
      <c r="AH1037" s="32" t="s">
        <v>671</v>
      </c>
      <c r="AI1037" s="32" t="s">
        <v>1129</v>
      </c>
      <c r="AJ1037" s="31" t="s">
        <v>1130</v>
      </c>
      <c r="AK1037" s="31">
        <v>0.59524549999999998</v>
      </c>
      <c r="AL1037" s="31">
        <v>0.21715700651190775</v>
      </c>
      <c r="AM1037" s="31">
        <v>0.1476622260768439</v>
      </c>
      <c r="AN1037" s="31">
        <v>7.3519808619029963</v>
      </c>
      <c r="AO1037" s="31">
        <v>4.9991933374869992</v>
      </c>
      <c r="AP1037" s="31">
        <v>8.9566194922022103E-3</v>
      </c>
      <c r="AQ1037" s="31">
        <v>6.090314070843982E-3</v>
      </c>
      <c r="AR1037" s="31">
        <v>0.13341858489683281</v>
      </c>
    </row>
    <row r="1038" spans="1:44" hidden="1" x14ac:dyDescent="0.5">
      <c r="A1038" s="31">
        <v>1037</v>
      </c>
      <c r="B1038" s="31">
        <v>68</v>
      </c>
      <c r="C1038" s="225" t="s">
        <v>9</v>
      </c>
      <c r="D1038" s="43">
        <v>29.225069999999999</v>
      </c>
      <c r="E1038" s="43">
        <v>48.099117</v>
      </c>
      <c r="F1038">
        <v>0</v>
      </c>
      <c r="G1038">
        <f t="shared" si="9"/>
        <v>0</v>
      </c>
      <c r="H1038" s="32" t="s">
        <v>10</v>
      </c>
      <c r="I1038">
        <v>0</v>
      </c>
      <c r="J1038">
        <v>162.14268260825801</v>
      </c>
      <c r="K1038" s="27">
        <v>2018</v>
      </c>
      <c r="L1038" t="s">
        <v>11</v>
      </c>
      <c r="M1038" s="32">
        <v>250</v>
      </c>
      <c r="N1038">
        <v>30.131484459999999</v>
      </c>
      <c r="O1038">
        <v>5</v>
      </c>
      <c r="P1038" t="s">
        <v>12</v>
      </c>
      <c r="Q1038">
        <v>89</v>
      </c>
      <c r="R1038" t="s">
        <v>13</v>
      </c>
      <c r="S1038" t="s">
        <v>14</v>
      </c>
      <c r="T1038" t="s">
        <v>16</v>
      </c>
      <c r="U1038" s="34">
        <v>0</v>
      </c>
      <c r="V1038" s="34">
        <v>5</v>
      </c>
      <c r="W1038" s="25">
        <v>2.5</v>
      </c>
      <c r="X1038" s="25">
        <v>5</v>
      </c>
      <c r="Y1038">
        <v>1.2182593589999999</v>
      </c>
      <c r="Z1038" t="s">
        <v>787</v>
      </c>
      <c r="AA1038" t="s">
        <v>650</v>
      </c>
      <c r="AB1038">
        <v>1</v>
      </c>
      <c r="AC1038">
        <v>0</v>
      </c>
      <c r="AF1038" t="s">
        <v>533</v>
      </c>
      <c r="AG1038" s="32">
        <v>0</v>
      </c>
      <c r="AH1038" s="32" t="s">
        <v>671</v>
      </c>
      <c r="AI1038" s="32" t="s">
        <v>1129</v>
      </c>
      <c r="AJ1038" s="31" t="s">
        <v>1130</v>
      </c>
      <c r="AK1038" s="31">
        <v>0.59524549999999998</v>
      </c>
      <c r="AL1038" s="31">
        <v>0</v>
      </c>
      <c r="AM1038" s="31">
        <v>0</v>
      </c>
      <c r="AN1038" s="31">
        <v>0</v>
      </c>
      <c r="AO1038" s="31">
        <v>0</v>
      </c>
      <c r="AP1038" s="31">
        <v>0</v>
      </c>
      <c r="AQ1038" s="31">
        <v>0</v>
      </c>
      <c r="AR1038" s="31">
        <v>0.13341858489683281</v>
      </c>
    </row>
    <row r="1039" spans="1:44" hidden="1" x14ac:dyDescent="0.5">
      <c r="A1039" s="31">
        <v>1038</v>
      </c>
      <c r="B1039" s="31">
        <v>68</v>
      </c>
      <c r="C1039" s="225" t="s">
        <v>9</v>
      </c>
      <c r="D1039" s="43">
        <v>29.260852</v>
      </c>
      <c r="E1039" s="43">
        <v>48.086709999999997</v>
      </c>
      <c r="F1039">
        <v>0</v>
      </c>
      <c r="G1039">
        <f t="shared" si="9"/>
        <v>0</v>
      </c>
      <c r="H1039" s="32" t="s">
        <v>10</v>
      </c>
      <c r="I1039">
        <v>0</v>
      </c>
      <c r="J1039">
        <v>161.90590902426499</v>
      </c>
      <c r="K1039" s="27">
        <v>2018</v>
      </c>
      <c r="L1039" t="s">
        <v>11</v>
      </c>
      <c r="M1039" s="32">
        <v>250</v>
      </c>
      <c r="N1039">
        <v>30.131484459999999</v>
      </c>
      <c r="O1039">
        <v>5</v>
      </c>
      <c r="P1039" t="s">
        <v>12</v>
      </c>
      <c r="Q1039">
        <v>89</v>
      </c>
      <c r="R1039" t="s">
        <v>13</v>
      </c>
      <c r="S1039" t="s">
        <v>14</v>
      </c>
      <c r="T1039" t="s">
        <v>16</v>
      </c>
      <c r="U1039" s="34">
        <v>0</v>
      </c>
      <c r="V1039" s="34">
        <v>5</v>
      </c>
      <c r="W1039" s="25">
        <v>2.5</v>
      </c>
      <c r="X1039" s="25">
        <v>5</v>
      </c>
      <c r="Y1039">
        <v>1.2182593589999999</v>
      </c>
      <c r="Z1039" t="s">
        <v>787</v>
      </c>
      <c r="AA1039" t="s">
        <v>650</v>
      </c>
      <c r="AB1039">
        <v>1</v>
      </c>
      <c r="AC1039">
        <v>2</v>
      </c>
      <c r="AF1039" t="s">
        <v>533</v>
      </c>
      <c r="AG1039" s="32" t="s">
        <v>2112</v>
      </c>
      <c r="AH1039" s="32" t="s">
        <v>671</v>
      </c>
      <c r="AI1039" s="32" t="s">
        <v>1129</v>
      </c>
      <c r="AJ1039" s="31" t="s">
        <v>1130</v>
      </c>
      <c r="AK1039" s="31">
        <v>0.59524549999999998</v>
      </c>
      <c r="AL1039" s="31">
        <v>0.21715700651190775</v>
      </c>
      <c r="AM1039" s="31">
        <v>0.1476622260768439</v>
      </c>
      <c r="AN1039" s="31">
        <v>7.3519808619029963</v>
      </c>
      <c r="AO1039" s="31">
        <v>4.9991933374869992</v>
      </c>
      <c r="AP1039" s="31">
        <v>8.9566194922022103E-3</v>
      </c>
      <c r="AQ1039" s="31">
        <v>6.090314070843982E-3</v>
      </c>
      <c r="AR1039" s="31">
        <v>0.13341858489683281</v>
      </c>
    </row>
    <row r="1040" spans="1:44" hidden="1" x14ac:dyDescent="0.5">
      <c r="A1040" s="31">
        <v>1039</v>
      </c>
      <c r="B1040" s="31">
        <v>68</v>
      </c>
      <c r="C1040" s="225" t="s">
        <v>9</v>
      </c>
      <c r="D1040" s="43">
        <v>29.272106000000001</v>
      </c>
      <c r="E1040" s="43">
        <v>48.090288999999999</v>
      </c>
      <c r="F1040">
        <v>0</v>
      </c>
      <c r="G1040">
        <f t="shared" ref="G1040:G1103" si="11">F1040*1609.344</f>
        <v>0</v>
      </c>
      <c r="H1040" s="32" t="s">
        <v>10</v>
      </c>
      <c r="I1040">
        <v>0</v>
      </c>
      <c r="J1040">
        <v>162.697742487575</v>
      </c>
      <c r="K1040" s="27">
        <v>2018</v>
      </c>
      <c r="L1040" t="s">
        <v>11</v>
      </c>
      <c r="M1040" s="32">
        <v>250</v>
      </c>
      <c r="N1040">
        <v>30.131484459999999</v>
      </c>
      <c r="O1040">
        <v>5</v>
      </c>
      <c r="P1040" t="s">
        <v>12</v>
      </c>
      <c r="Q1040">
        <v>89</v>
      </c>
      <c r="R1040" t="s">
        <v>13</v>
      </c>
      <c r="S1040" t="s">
        <v>14</v>
      </c>
      <c r="T1040" t="s">
        <v>16</v>
      </c>
      <c r="U1040" s="34">
        <v>0</v>
      </c>
      <c r="V1040" s="34">
        <v>5</v>
      </c>
      <c r="W1040" s="25">
        <v>2.5</v>
      </c>
      <c r="X1040" s="25">
        <v>5</v>
      </c>
      <c r="Y1040">
        <v>1.2182593589999999</v>
      </c>
      <c r="Z1040" t="s">
        <v>787</v>
      </c>
      <c r="AA1040" t="s">
        <v>650</v>
      </c>
      <c r="AB1040">
        <v>1</v>
      </c>
      <c r="AC1040">
        <v>0</v>
      </c>
      <c r="AF1040" t="s">
        <v>533</v>
      </c>
      <c r="AG1040" s="32">
        <v>0</v>
      </c>
      <c r="AH1040" s="32" t="s">
        <v>671</v>
      </c>
      <c r="AI1040" s="32" t="s">
        <v>1129</v>
      </c>
      <c r="AJ1040" s="31" t="s">
        <v>1130</v>
      </c>
      <c r="AK1040" s="31">
        <v>0.59524549999999998</v>
      </c>
      <c r="AL1040" s="31">
        <v>0</v>
      </c>
      <c r="AM1040" s="31">
        <v>0</v>
      </c>
      <c r="AN1040" s="31">
        <v>0</v>
      </c>
      <c r="AO1040" s="31">
        <v>0</v>
      </c>
      <c r="AP1040" s="31">
        <v>0</v>
      </c>
      <c r="AQ1040" s="31">
        <v>0</v>
      </c>
      <c r="AR1040" s="31">
        <v>0.13341858489683281</v>
      </c>
    </row>
    <row r="1041" spans="1:44" hidden="1" x14ac:dyDescent="0.5">
      <c r="A1041" s="31">
        <v>1040</v>
      </c>
      <c r="B1041" s="31">
        <v>68</v>
      </c>
      <c r="C1041" s="225" t="s">
        <v>9</v>
      </c>
      <c r="D1041" s="43">
        <v>29.325832999999999</v>
      </c>
      <c r="E1041" s="43">
        <v>47.821111000000002</v>
      </c>
      <c r="F1041">
        <v>0</v>
      </c>
      <c r="G1041">
        <f t="shared" si="11"/>
        <v>0</v>
      </c>
      <c r="H1041" s="32" t="s">
        <v>10</v>
      </c>
      <c r="I1041">
        <v>0</v>
      </c>
      <c r="J1041">
        <v>138.84121259539501</v>
      </c>
      <c r="K1041" s="27">
        <v>2018</v>
      </c>
      <c r="L1041" t="s">
        <v>11</v>
      </c>
      <c r="M1041" s="32">
        <v>250</v>
      </c>
      <c r="N1041">
        <v>30.131484459999999</v>
      </c>
      <c r="O1041">
        <v>5</v>
      </c>
      <c r="P1041" t="s">
        <v>12</v>
      </c>
      <c r="Q1041">
        <v>89</v>
      </c>
      <c r="R1041" t="s">
        <v>13</v>
      </c>
      <c r="S1041" t="s">
        <v>14</v>
      </c>
      <c r="T1041" t="s">
        <v>16</v>
      </c>
      <c r="U1041" s="34">
        <v>0</v>
      </c>
      <c r="V1041" s="34">
        <v>5</v>
      </c>
      <c r="W1041" s="25">
        <v>2.5</v>
      </c>
      <c r="X1041" s="25">
        <v>5</v>
      </c>
      <c r="Y1041">
        <v>1.2182593589999999</v>
      </c>
      <c r="Z1041" t="s">
        <v>787</v>
      </c>
      <c r="AA1041" t="s">
        <v>650</v>
      </c>
      <c r="AB1041">
        <v>1</v>
      </c>
      <c r="AC1041">
        <v>0</v>
      </c>
      <c r="AF1041" t="s">
        <v>533</v>
      </c>
      <c r="AG1041" s="32">
        <v>0</v>
      </c>
      <c r="AH1041" s="32" t="s">
        <v>671</v>
      </c>
      <c r="AI1041" s="32" t="s">
        <v>1129</v>
      </c>
      <c r="AJ1041" s="31" t="s">
        <v>1130</v>
      </c>
      <c r="AK1041" s="31">
        <v>0.59524549999999998</v>
      </c>
      <c r="AL1041" s="31">
        <v>0</v>
      </c>
      <c r="AM1041" s="31">
        <v>0</v>
      </c>
      <c r="AN1041" s="31">
        <v>0</v>
      </c>
      <c r="AO1041" s="31">
        <v>0</v>
      </c>
      <c r="AP1041" s="31">
        <v>0</v>
      </c>
      <c r="AQ1041" s="31">
        <v>0</v>
      </c>
      <c r="AR1041" s="31">
        <v>0.13341858489683281</v>
      </c>
    </row>
    <row r="1042" spans="1:44" hidden="1" x14ac:dyDescent="0.5">
      <c r="A1042" s="31">
        <v>1041</v>
      </c>
      <c r="B1042" s="31">
        <v>68</v>
      </c>
      <c r="C1042" s="225" t="s">
        <v>9</v>
      </c>
      <c r="D1042" s="43">
        <v>29.328333000000001</v>
      </c>
      <c r="E1042" s="43">
        <v>48.093333000000001</v>
      </c>
      <c r="F1042">
        <v>0</v>
      </c>
      <c r="G1042">
        <f t="shared" si="11"/>
        <v>0</v>
      </c>
      <c r="H1042" s="32" t="s">
        <v>10</v>
      </c>
      <c r="I1042">
        <v>0</v>
      </c>
      <c r="J1042">
        <v>166.01021233341601</v>
      </c>
      <c r="K1042" s="27">
        <v>2018</v>
      </c>
      <c r="L1042" t="s">
        <v>11</v>
      </c>
      <c r="M1042" s="32">
        <v>250</v>
      </c>
      <c r="N1042">
        <v>30.131484459999999</v>
      </c>
      <c r="O1042">
        <v>5</v>
      </c>
      <c r="P1042" t="s">
        <v>12</v>
      </c>
      <c r="Q1042">
        <v>89</v>
      </c>
      <c r="R1042" t="s">
        <v>13</v>
      </c>
      <c r="S1042" t="s">
        <v>14</v>
      </c>
      <c r="T1042" t="s">
        <v>16</v>
      </c>
      <c r="U1042" s="34">
        <v>0</v>
      </c>
      <c r="V1042" s="34">
        <v>5</v>
      </c>
      <c r="W1042" s="25">
        <v>2.5</v>
      </c>
      <c r="X1042" s="25">
        <v>5</v>
      </c>
      <c r="Y1042">
        <v>1.2182593589999999</v>
      </c>
      <c r="Z1042" t="s">
        <v>787</v>
      </c>
      <c r="AA1042" t="s">
        <v>650</v>
      </c>
      <c r="AB1042">
        <v>1</v>
      </c>
      <c r="AC1042">
        <v>0</v>
      </c>
      <c r="AF1042" t="s">
        <v>533</v>
      </c>
      <c r="AG1042" s="32">
        <v>0</v>
      </c>
      <c r="AH1042" s="32" t="s">
        <v>671</v>
      </c>
      <c r="AI1042" s="32" t="s">
        <v>1129</v>
      </c>
      <c r="AJ1042" s="31" t="s">
        <v>1130</v>
      </c>
      <c r="AK1042" s="31">
        <v>0.59524549999999998</v>
      </c>
      <c r="AL1042" s="31">
        <v>0</v>
      </c>
      <c r="AM1042" s="31">
        <v>0</v>
      </c>
      <c r="AN1042" s="31">
        <v>0</v>
      </c>
      <c r="AO1042" s="31">
        <v>0</v>
      </c>
      <c r="AP1042" s="31">
        <v>0</v>
      </c>
      <c r="AQ1042" s="31">
        <v>0</v>
      </c>
      <c r="AR1042" s="31">
        <v>0.13341858489683281</v>
      </c>
    </row>
    <row r="1043" spans="1:44" hidden="1" x14ac:dyDescent="0.5">
      <c r="A1043" s="31">
        <v>1042</v>
      </c>
      <c r="B1043" s="31">
        <v>68</v>
      </c>
      <c r="C1043" s="225" t="s">
        <v>9</v>
      </c>
      <c r="D1043" s="43">
        <v>29.33229</v>
      </c>
      <c r="E1043" s="43">
        <v>47.896261000000003</v>
      </c>
      <c r="F1043">
        <v>0</v>
      </c>
      <c r="G1043">
        <f t="shared" si="11"/>
        <v>0</v>
      </c>
      <c r="H1043" s="32" t="s">
        <v>10</v>
      </c>
      <c r="I1043">
        <v>0</v>
      </c>
      <c r="J1043">
        <v>145.11297698726901</v>
      </c>
      <c r="K1043" s="27">
        <v>2018</v>
      </c>
      <c r="L1043" t="s">
        <v>11</v>
      </c>
      <c r="M1043" s="32">
        <v>250</v>
      </c>
      <c r="N1043">
        <v>30.131484459999999</v>
      </c>
      <c r="O1043">
        <v>5</v>
      </c>
      <c r="P1043" t="s">
        <v>12</v>
      </c>
      <c r="Q1043">
        <v>89</v>
      </c>
      <c r="R1043" t="s">
        <v>13</v>
      </c>
      <c r="S1043" t="s">
        <v>14</v>
      </c>
      <c r="T1043" t="s">
        <v>16</v>
      </c>
      <c r="U1043" s="34">
        <v>0</v>
      </c>
      <c r="V1043" s="34">
        <v>5</v>
      </c>
      <c r="W1043" s="25">
        <v>2.5</v>
      </c>
      <c r="X1043" s="25">
        <v>5</v>
      </c>
      <c r="Y1043">
        <v>1.2182593589999999</v>
      </c>
      <c r="Z1043" t="s">
        <v>787</v>
      </c>
      <c r="AA1043" t="s">
        <v>650</v>
      </c>
      <c r="AB1043">
        <v>1</v>
      </c>
      <c r="AC1043">
        <v>0</v>
      </c>
      <c r="AF1043" t="s">
        <v>533</v>
      </c>
      <c r="AG1043" s="32">
        <v>0</v>
      </c>
      <c r="AH1043" s="32" t="s">
        <v>671</v>
      </c>
      <c r="AI1043" s="32" t="s">
        <v>1129</v>
      </c>
      <c r="AJ1043" s="31" t="s">
        <v>1130</v>
      </c>
      <c r="AK1043" s="31">
        <v>0.59524549999999998</v>
      </c>
      <c r="AL1043" s="31">
        <v>0</v>
      </c>
      <c r="AM1043" s="31">
        <v>0</v>
      </c>
      <c r="AN1043" s="31">
        <v>0</v>
      </c>
      <c r="AO1043" s="31">
        <v>0</v>
      </c>
      <c r="AP1043" s="31">
        <v>0</v>
      </c>
      <c r="AQ1043" s="31">
        <v>0</v>
      </c>
      <c r="AR1043" s="31">
        <v>0.13341858489683281</v>
      </c>
    </row>
    <row r="1044" spans="1:44" hidden="1" x14ac:dyDescent="0.5">
      <c r="A1044" s="31">
        <v>1043</v>
      </c>
      <c r="B1044" s="31">
        <v>68</v>
      </c>
      <c r="C1044" s="225" t="s">
        <v>9</v>
      </c>
      <c r="D1044" s="43">
        <v>29.338076999999998</v>
      </c>
      <c r="E1044" s="43">
        <v>47.905594000000001</v>
      </c>
      <c r="F1044">
        <v>0</v>
      </c>
      <c r="G1044">
        <f t="shared" si="11"/>
        <v>0</v>
      </c>
      <c r="H1044" s="32" t="s">
        <v>10</v>
      </c>
      <c r="I1044">
        <v>0</v>
      </c>
      <c r="J1044">
        <v>146.201075161262</v>
      </c>
      <c r="K1044" s="27">
        <v>2018</v>
      </c>
      <c r="L1044" t="s">
        <v>11</v>
      </c>
      <c r="M1044" s="32">
        <v>250</v>
      </c>
      <c r="N1044">
        <v>30.131484459999999</v>
      </c>
      <c r="O1044">
        <v>5</v>
      </c>
      <c r="P1044" t="s">
        <v>12</v>
      </c>
      <c r="Q1044">
        <v>89</v>
      </c>
      <c r="R1044" t="s">
        <v>13</v>
      </c>
      <c r="S1044" t="s">
        <v>14</v>
      </c>
      <c r="T1044" t="s">
        <v>16</v>
      </c>
      <c r="U1044" s="34">
        <v>0</v>
      </c>
      <c r="V1044" s="34">
        <v>5</v>
      </c>
      <c r="W1044" s="25">
        <v>2.5</v>
      </c>
      <c r="X1044" s="25">
        <v>5</v>
      </c>
      <c r="Y1044">
        <v>1.2182593589999999</v>
      </c>
      <c r="Z1044" t="s">
        <v>787</v>
      </c>
      <c r="AA1044" t="s">
        <v>650</v>
      </c>
      <c r="AB1044">
        <v>1</v>
      </c>
      <c r="AC1044">
        <v>0</v>
      </c>
      <c r="AF1044" t="s">
        <v>533</v>
      </c>
      <c r="AG1044" s="32">
        <v>0</v>
      </c>
      <c r="AH1044" s="32" t="s">
        <v>671</v>
      </c>
      <c r="AI1044" s="32" t="s">
        <v>1129</v>
      </c>
      <c r="AJ1044" s="31" t="s">
        <v>1130</v>
      </c>
      <c r="AK1044" s="31">
        <v>0.59524549999999998</v>
      </c>
      <c r="AL1044" s="31">
        <v>0</v>
      </c>
      <c r="AM1044" s="31">
        <v>0</v>
      </c>
      <c r="AN1044" s="31">
        <v>0</v>
      </c>
      <c r="AO1044" s="31">
        <v>0</v>
      </c>
      <c r="AP1044" s="31">
        <v>0</v>
      </c>
      <c r="AQ1044" s="31">
        <v>0</v>
      </c>
      <c r="AR1044" s="31">
        <v>0.13341858489683281</v>
      </c>
    </row>
    <row r="1045" spans="1:44" hidden="1" x14ac:dyDescent="0.5">
      <c r="A1045" s="31">
        <v>1044</v>
      </c>
      <c r="B1045" s="31">
        <v>68</v>
      </c>
      <c r="C1045" s="225" t="s">
        <v>9</v>
      </c>
      <c r="D1045" s="43">
        <v>29.338611</v>
      </c>
      <c r="E1045" s="43">
        <v>48.095832999999999</v>
      </c>
      <c r="F1045">
        <v>0</v>
      </c>
      <c r="G1045">
        <f t="shared" si="11"/>
        <v>0</v>
      </c>
      <c r="H1045" s="32" t="s">
        <v>10</v>
      </c>
      <c r="I1045">
        <v>0</v>
      </c>
      <c r="J1045">
        <v>166.90232055390601</v>
      </c>
      <c r="K1045" s="27">
        <v>2018</v>
      </c>
      <c r="L1045" t="s">
        <v>11</v>
      </c>
      <c r="M1045" s="32">
        <v>250</v>
      </c>
      <c r="N1045">
        <v>30.131484459999999</v>
      </c>
      <c r="O1045">
        <v>5</v>
      </c>
      <c r="P1045" t="s">
        <v>12</v>
      </c>
      <c r="Q1045">
        <v>89</v>
      </c>
      <c r="R1045" t="s">
        <v>13</v>
      </c>
      <c r="S1045" t="s">
        <v>14</v>
      </c>
      <c r="T1045" t="s">
        <v>16</v>
      </c>
      <c r="U1045" s="34">
        <v>0</v>
      </c>
      <c r="V1045" s="34">
        <v>5</v>
      </c>
      <c r="W1045" s="25">
        <v>2.5</v>
      </c>
      <c r="X1045" s="25">
        <v>5</v>
      </c>
      <c r="Y1045">
        <v>1.2182593589999999</v>
      </c>
      <c r="Z1045" t="s">
        <v>787</v>
      </c>
      <c r="AA1045" t="s">
        <v>650</v>
      </c>
      <c r="AB1045">
        <v>1</v>
      </c>
      <c r="AC1045">
        <v>0</v>
      </c>
      <c r="AF1045" t="s">
        <v>533</v>
      </c>
      <c r="AG1045" s="32">
        <v>0</v>
      </c>
      <c r="AH1045" s="32" t="s">
        <v>671</v>
      </c>
      <c r="AI1045" s="32" t="s">
        <v>1129</v>
      </c>
      <c r="AJ1045" s="31" t="s">
        <v>1130</v>
      </c>
      <c r="AK1045" s="31">
        <v>0.59524549999999998</v>
      </c>
      <c r="AL1045" s="31">
        <v>0</v>
      </c>
      <c r="AM1045" s="31">
        <v>0</v>
      </c>
      <c r="AN1045" s="31">
        <v>0</v>
      </c>
      <c r="AO1045" s="31">
        <v>0</v>
      </c>
      <c r="AP1045" s="31">
        <v>0</v>
      </c>
      <c r="AQ1045" s="31">
        <v>0</v>
      </c>
      <c r="AR1045" s="31">
        <v>0.13341858489683281</v>
      </c>
    </row>
    <row r="1046" spans="1:44" hidden="1" x14ac:dyDescent="0.5">
      <c r="A1046" s="31">
        <v>1045</v>
      </c>
      <c r="B1046" s="31">
        <v>68</v>
      </c>
      <c r="C1046" s="225" t="s">
        <v>9</v>
      </c>
      <c r="D1046" s="43">
        <v>29.340986000000001</v>
      </c>
      <c r="E1046" s="45">
        <v>48.067149999999998</v>
      </c>
      <c r="F1046">
        <v>0</v>
      </c>
      <c r="G1046">
        <f t="shared" si="11"/>
        <v>0</v>
      </c>
      <c r="H1046" s="32" t="s">
        <v>10</v>
      </c>
      <c r="I1046">
        <v>0</v>
      </c>
      <c r="J1046">
        <v>163.428820878397</v>
      </c>
      <c r="K1046" s="27">
        <v>2018</v>
      </c>
      <c r="L1046" t="s">
        <v>11</v>
      </c>
      <c r="M1046" s="32">
        <v>250</v>
      </c>
      <c r="N1046">
        <v>30.131484459999999</v>
      </c>
      <c r="O1046">
        <v>5</v>
      </c>
      <c r="P1046" t="s">
        <v>12</v>
      </c>
      <c r="Q1046">
        <v>89</v>
      </c>
      <c r="R1046" t="s">
        <v>13</v>
      </c>
      <c r="S1046" t="s">
        <v>14</v>
      </c>
      <c r="T1046" t="s">
        <v>16</v>
      </c>
      <c r="U1046" s="34">
        <v>0</v>
      </c>
      <c r="V1046" s="34">
        <v>5</v>
      </c>
      <c r="W1046" s="25">
        <v>2.5</v>
      </c>
      <c r="X1046" s="25">
        <v>5</v>
      </c>
      <c r="Y1046">
        <v>1.2182593589999999</v>
      </c>
      <c r="Z1046" t="s">
        <v>787</v>
      </c>
      <c r="AA1046" t="s">
        <v>650</v>
      </c>
      <c r="AB1046">
        <v>1</v>
      </c>
      <c r="AC1046">
        <v>0</v>
      </c>
      <c r="AF1046" t="s">
        <v>533</v>
      </c>
      <c r="AG1046" s="32">
        <v>0</v>
      </c>
      <c r="AH1046" s="32" t="s">
        <v>671</v>
      </c>
      <c r="AI1046" s="32" t="s">
        <v>1129</v>
      </c>
      <c r="AJ1046" s="31" t="s">
        <v>1130</v>
      </c>
      <c r="AK1046" s="31">
        <v>0.59524549999999998</v>
      </c>
      <c r="AL1046" s="31">
        <v>0</v>
      </c>
      <c r="AM1046" s="31">
        <v>0</v>
      </c>
      <c r="AN1046" s="31">
        <v>0</v>
      </c>
      <c r="AO1046" s="31">
        <v>0</v>
      </c>
      <c r="AP1046" s="31">
        <v>0</v>
      </c>
      <c r="AQ1046" s="31">
        <v>0</v>
      </c>
      <c r="AR1046" s="31">
        <v>0.13341858489683281</v>
      </c>
    </row>
    <row r="1047" spans="1:44" hidden="1" x14ac:dyDescent="0.5">
      <c r="A1047" s="31">
        <v>1046</v>
      </c>
      <c r="B1047" s="31">
        <v>68</v>
      </c>
      <c r="C1047" s="225" t="s">
        <v>9</v>
      </c>
      <c r="D1047" s="43">
        <v>29.348147000000001</v>
      </c>
      <c r="E1047" s="45">
        <v>48.039782000000002</v>
      </c>
      <c r="F1047">
        <v>0</v>
      </c>
      <c r="G1047">
        <f t="shared" si="11"/>
        <v>0</v>
      </c>
      <c r="H1047" s="32" t="s">
        <v>10</v>
      </c>
      <c r="I1047">
        <v>0</v>
      </c>
      <c r="J1047">
        <v>160.47800923289799</v>
      </c>
      <c r="K1047" s="27">
        <v>2018</v>
      </c>
      <c r="L1047" t="s">
        <v>11</v>
      </c>
      <c r="M1047" s="32">
        <v>250</v>
      </c>
      <c r="N1047">
        <v>30.131484459999999</v>
      </c>
      <c r="O1047">
        <v>5</v>
      </c>
      <c r="P1047" t="s">
        <v>12</v>
      </c>
      <c r="Q1047">
        <v>89</v>
      </c>
      <c r="R1047" t="s">
        <v>13</v>
      </c>
      <c r="S1047" t="s">
        <v>14</v>
      </c>
      <c r="T1047" t="s">
        <v>16</v>
      </c>
      <c r="U1047" s="34">
        <v>0</v>
      </c>
      <c r="V1047" s="34">
        <v>5</v>
      </c>
      <c r="W1047" s="25">
        <v>2.5</v>
      </c>
      <c r="X1047" s="25">
        <v>5</v>
      </c>
      <c r="Y1047">
        <v>1.2182593589999999</v>
      </c>
      <c r="Z1047" t="s">
        <v>787</v>
      </c>
      <c r="AA1047" t="s">
        <v>650</v>
      </c>
      <c r="AB1047">
        <v>1</v>
      </c>
      <c r="AC1047">
        <v>0</v>
      </c>
      <c r="AF1047" t="s">
        <v>533</v>
      </c>
      <c r="AG1047" s="32">
        <v>0</v>
      </c>
      <c r="AH1047" s="32" t="s">
        <v>671</v>
      </c>
      <c r="AI1047" s="32" t="s">
        <v>1129</v>
      </c>
      <c r="AJ1047" s="31" t="s">
        <v>1130</v>
      </c>
      <c r="AK1047" s="31">
        <v>0.59524549999999998</v>
      </c>
      <c r="AL1047" s="31">
        <v>0</v>
      </c>
      <c r="AM1047" s="31">
        <v>0</v>
      </c>
      <c r="AN1047" s="31">
        <v>0</v>
      </c>
      <c r="AO1047" s="31">
        <v>0</v>
      </c>
      <c r="AP1047" s="31">
        <v>0</v>
      </c>
      <c r="AQ1047" s="31">
        <v>0</v>
      </c>
      <c r="AR1047" s="31">
        <v>0.13341858489683281</v>
      </c>
    </row>
    <row r="1048" spans="1:44" hidden="1" x14ac:dyDescent="0.5">
      <c r="A1048" s="31">
        <v>1047</v>
      </c>
      <c r="B1048" s="31">
        <v>68</v>
      </c>
      <c r="C1048" s="225" t="s">
        <v>9</v>
      </c>
      <c r="D1048" s="43">
        <v>29.356943999999999</v>
      </c>
      <c r="E1048" s="43">
        <v>47.823056000000001</v>
      </c>
      <c r="F1048">
        <v>0</v>
      </c>
      <c r="G1048">
        <f t="shared" si="11"/>
        <v>0</v>
      </c>
      <c r="H1048" s="32" t="s">
        <v>10</v>
      </c>
      <c r="I1048">
        <v>0</v>
      </c>
      <c r="J1048">
        <v>140.290094134931</v>
      </c>
      <c r="K1048" s="27">
        <v>2018</v>
      </c>
      <c r="L1048" t="s">
        <v>11</v>
      </c>
      <c r="M1048" s="32">
        <v>250</v>
      </c>
      <c r="N1048">
        <v>30.131484459999999</v>
      </c>
      <c r="O1048">
        <v>5</v>
      </c>
      <c r="P1048" t="s">
        <v>12</v>
      </c>
      <c r="Q1048">
        <v>89</v>
      </c>
      <c r="R1048" t="s">
        <v>13</v>
      </c>
      <c r="S1048" t="s">
        <v>14</v>
      </c>
      <c r="T1048" t="s">
        <v>16</v>
      </c>
      <c r="U1048" s="34">
        <v>0</v>
      </c>
      <c r="V1048" s="34">
        <v>5</v>
      </c>
      <c r="W1048" s="25">
        <v>2.5</v>
      </c>
      <c r="X1048" s="25">
        <v>5</v>
      </c>
      <c r="Y1048">
        <v>1.2182593589999999</v>
      </c>
      <c r="Z1048" t="s">
        <v>787</v>
      </c>
      <c r="AA1048" t="s">
        <v>650</v>
      </c>
      <c r="AB1048">
        <v>1</v>
      </c>
      <c r="AC1048">
        <v>0</v>
      </c>
      <c r="AF1048" t="s">
        <v>533</v>
      </c>
      <c r="AG1048" s="32">
        <v>0</v>
      </c>
      <c r="AH1048" s="32" t="s">
        <v>671</v>
      </c>
      <c r="AI1048" s="32" t="s">
        <v>1129</v>
      </c>
      <c r="AJ1048" s="31" t="s">
        <v>1130</v>
      </c>
      <c r="AK1048" s="31">
        <v>0.59524549999999998</v>
      </c>
      <c r="AL1048" s="31">
        <v>0</v>
      </c>
      <c r="AM1048" s="31">
        <v>0</v>
      </c>
      <c r="AN1048" s="31">
        <v>0</v>
      </c>
      <c r="AO1048" s="31">
        <v>0</v>
      </c>
      <c r="AP1048" s="31">
        <v>0</v>
      </c>
      <c r="AQ1048" s="31">
        <v>0</v>
      </c>
      <c r="AR1048" s="31">
        <v>0.13341858489683281</v>
      </c>
    </row>
    <row r="1049" spans="1:44" hidden="1" x14ac:dyDescent="0.5">
      <c r="A1049" s="31">
        <v>1048</v>
      </c>
      <c r="B1049" s="31">
        <v>68</v>
      </c>
      <c r="C1049" s="225" t="s">
        <v>9</v>
      </c>
      <c r="D1049" s="43">
        <v>29.357216000000001</v>
      </c>
      <c r="E1049" s="43">
        <v>47.947730999999997</v>
      </c>
      <c r="F1049">
        <v>0</v>
      </c>
      <c r="G1049">
        <f t="shared" si="11"/>
        <v>0</v>
      </c>
      <c r="H1049" s="32" t="s">
        <v>10</v>
      </c>
      <c r="I1049">
        <v>0</v>
      </c>
      <c r="J1049">
        <v>151.05253550583799</v>
      </c>
      <c r="K1049" s="27">
        <v>2018</v>
      </c>
      <c r="L1049" t="s">
        <v>11</v>
      </c>
      <c r="M1049" s="32">
        <v>250</v>
      </c>
      <c r="N1049">
        <v>30.131484459999999</v>
      </c>
      <c r="O1049">
        <v>5</v>
      </c>
      <c r="P1049" t="s">
        <v>12</v>
      </c>
      <c r="Q1049">
        <v>89</v>
      </c>
      <c r="R1049" t="s">
        <v>13</v>
      </c>
      <c r="S1049" t="s">
        <v>14</v>
      </c>
      <c r="T1049" t="s">
        <v>16</v>
      </c>
      <c r="U1049" s="34">
        <v>0</v>
      </c>
      <c r="V1049" s="34">
        <v>5</v>
      </c>
      <c r="W1049" s="25">
        <v>2.5</v>
      </c>
      <c r="X1049" s="25">
        <v>5</v>
      </c>
      <c r="Y1049">
        <v>1.2182593589999999</v>
      </c>
      <c r="Z1049" t="s">
        <v>787</v>
      </c>
      <c r="AA1049" t="s">
        <v>650</v>
      </c>
      <c r="AB1049">
        <v>1</v>
      </c>
      <c r="AC1049">
        <v>0</v>
      </c>
      <c r="AF1049" t="s">
        <v>533</v>
      </c>
      <c r="AG1049" s="32">
        <v>0</v>
      </c>
      <c r="AH1049" s="32" t="s">
        <v>671</v>
      </c>
      <c r="AI1049" s="32" t="s">
        <v>1129</v>
      </c>
      <c r="AJ1049" s="31" t="s">
        <v>1130</v>
      </c>
      <c r="AK1049" s="31">
        <v>0.59524549999999998</v>
      </c>
      <c r="AL1049" s="31">
        <v>0</v>
      </c>
      <c r="AM1049" s="31">
        <v>0</v>
      </c>
      <c r="AN1049" s="31">
        <v>0</v>
      </c>
      <c r="AO1049" s="31">
        <v>0</v>
      </c>
      <c r="AP1049" s="31">
        <v>0</v>
      </c>
      <c r="AQ1049" s="31">
        <v>0</v>
      </c>
      <c r="AR1049" s="31">
        <v>0.13341858489683281</v>
      </c>
    </row>
    <row r="1050" spans="1:44" hidden="1" x14ac:dyDescent="0.5">
      <c r="A1050" s="31">
        <v>1049</v>
      </c>
      <c r="B1050" s="31">
        <v>68</v>
      </c>
      <c r="C1050" s="225" t="s">
        <v>9</v>
      </c>
      <c r="D1050" s="43">
        <v>29.360278000000001</v>
      </c>
      <c r="E1050" s="43">
        <v>47.722499999999997</v>
      </c>
      <c r="F1050">
        <v>0</v>
      </c>
      <c r="G1050">
        <f t="shared" si="11"/>
        <v>0</v>
      </c>
      <c r="H1050" s="32" t="s">
        <v>10</v>
      </c>
      <c r="I1050">
        <v>0</v>
      </c>
      <c r="J1050">
        <v>133.29932664446599</v>
      </c>
      <c r="K1050" s="27">
        <v>2018</v>
      </c>
      <c r="L1050" t="s">
        <v>11</v>
      </c>
      <c r="M1050" s="32">
        <v>250</v>
      </c>
      <c r="N1050">
        <v>30.131484459999999</v>
      </c>
      <c r="O1050">
        <v>5</v>
      </c>
      <c r="P1050" t="s">
        <v>12</v>
      </c>
      <c r="Q1050">
        <v>89</v>
      </c>
      <c r="R1050" t="s">
        <v>13</v>
      </c>
      <c r="S1050" t="s">
        <v>14</v>
      </c>
      <c r="T1050" t="s">
        <v>16</v>
      </c>
      <c r="U1050" s="34">
        <v>0</v>
      </c>
      <c r="V1050" s="34">
        <v>5</v>
      </c>
      <c r="W1050" s="25">
        <v>2.5</v>
      </c>
      <c r="X1050" s="25">
        <v>5</v>
      </c>
      <c r="Y1050">
        <v>1.2182593589999999</v>
      </c>
      <c r="Z1050" t="s">
        <v>787</v>
      </c>
      <c r="AA1050" t="s">
        <v>650</v>
      </c>
      <c r="AB1050">
        <v>1</v>
      </c>
      <c r="AC1050">
        <v>3</v>
      </c>
      <c r="AF1050" t="s">
        <v>533</v>
      </c>
      <c r="AG1050" s="32" t="s">
        <v>2113</v>
      </c>
      <c r="AH1050" s="32" t="s">
        <v>671</v>
      </c>
      <c r="AI1050" s="32" t="s">
        <v>1129</v>
      </c>
      <c r="AJ1050" s="31" t="s">
        <v>1130</v>
      </c>
      <c r="AK1050" s="31">
        <v>0.59524549999999998</v>
      </c>
      <c r="AL1050" s="31">
        <v>0.32573550976786164</v>
      </c>
      <c r="AM1050" s="31">
        <v>0.22149333911526586</v>
      </c>
      <c r="AN1050" s="31">
        <v>11.027971292854497</v>
      </c>
      <c r="AO1050" s="31">
        <v>7.4987900062304993</v>
      </c>
      <c r="AP1050" s="31">
        <v>1.343492923830332E-2</v>
      </c>
      <c r="AQ1050" s="31">
        <v>9.1354711062659744E-3</v>
      </c>
      <c r="AR1050" s="31">
        <v>0.13341858489683281</v>
      </c>
    </row>
    <row r="1051" spans="1:44" hidden="1" x14ac:dyDescent="0.5">
      <c r="A1051" s="31">
        <v>1050</v>
      </c>
      <c r="B1051" s="31">
        <v>68</v>
      </c>
      <c r="C1051" s="225" t="s">
        <v>9</v>
      </c>
      <c r="D1051" s="43">
        <v>29.361560000000001</v>
      </c>
      <c r="E1051" s="43">
        <v>48.024976000000002</v>
      </c>
      <c r="F1051">
        <v>0</v>
      </c>
      <c r="G1051">
        <f t="shared" si="11"/>
        <v>0</v>
      </c>
      <c r="H1051" s="32" t="s">
        <v>10</v>
      </c>
      <c r="I1051">
        <v>0</v>
      </c>
      <c r="J1051">
        <v>159.41102435897099</v>
      </c>
      <c r="K1051" s="27">
        <v>2018</v>
      </c>
      <c r="L1051" t="s">
        <v>11</v>
      </c>
      <c r="M1051" s="32">
        <v>250</v>
      </c>
      <c r="N1051">
        <v>30.131484459999999</v>
      </c>
      <c r="O1051">
        <v>5</v>
      </c>
      <c r="P1051" t="s">
        <v>12</v>
      </c>
      <c r="Q1051">
        <v>89</v>
      </c>
      <c r="R1051" t="s">
        <v>13</v>
      </c>
      <c r="S1051" t="s">
        <v>14</v>
      </c>
      <c r="T1051" t="s">
        <v>16</v>
      </c>
      <c r="U1051" s="34">
        <v>0</v>
      </c>
      <c r="V1051" s="34">
        <v>5</v>
      </c>
      <c r="W1051" s="25">
        <v>2.5</v>
      </c>
      <c r="X1051" s="25">
        <v>5</v>
      </c>
      <c r="Y1051">
        <v>1.2182593589999999</v>
      </c>
      <c r="Z1051" t="s">
        <v>787</v>
      </c>
      <c r="AA1051" t="s">
        <v>650</v>
      </c>
      <c r="AB1051">
        <v>1</v>
      </c>
      <c r="AC1051">
        <v>0</v>
      </c>
      <c r="AF1051" t="s">
        <v>533</v>
      </c>
      <c r="AG1051" s="32">
        <v>0</v>
      </c>
      <c r="AH1051" s="32" t="s">
        <v>671</v>
      </c>
      <c r="AI1051" s="32" t="s">
        <v>1129</v>
      </c>
      <c r="AJ1051" s="31" t="s">
        <v>1130</v>
      </c>
      <c r="AK1051" s="31">
        <v>0.59524549999999998</v>
      </c>
      <c r="AL1051" s="31">
        <v>0</v>
      </c>
      <c r="AM1051" s="31">
        <v>0</v>
      </c>
      <c r="AN1051" s="31">
        <v>0</v>
      </c>
      <c r="AO1051" s="31">
        <v>0</v>
      </c>
      <c r="AP1051" s="31">
        <v>0</v>
      </c>
      <c r="AQ1051" s="31">
        <v>0</v>
      </c>
      <c r="AR1051" s="31">
        <v>0.13341858489683281</v>
      </c>
    </row>
    <row r="1052" spans="1:44" hidden="1" x14ac:dyDescent="0.5">
      <c r="A1052" s="31">
        <v>1051</v>
      </c>
      <c r="B1052" s="31">
        <v>68</v>
      </c>
      <c r="C1052" s="225" t="s">
        <v>9</v>
      </c>
      <c r="D1052" s="43">
        <v>29.362624</v>
      </c>
      <c r="E1052" s="43">
        <v>47.956296000000002</v>
      </c>
      <c r="F1052">
        <v>0</v>
      </c>
      <c r="G1052">
        <f t="shared" si="11"/>
        <v>0</v>
      </c>
      <c r="H1052" s="32" t="s">
        <v>10</v>
      </c>
      <c r="I1052">
        <v>0</v>
      </c>
      <c r="J1052">
        <v>152.213016993964</v>
      </c>
      <c r="K1052" s="27">
        <v>2018</v>
      </c>
      <c r="L1052" t="s">
        <v>11</v>
      </c>
      <c r="M1052" s="32">
        <v>250</v>
      </c>
      <c r="N1052">
        <v>30.131484459999999</v>
      </c>
      <c r="O1052">
        <v>5</v>
      </c>
      <c r="P1052" t="s">
        <v>12</v>
      </c>
      <c r="Q1052">
        <v>89</v>
      </c>
      <c r="R1052" t="s">
        <v>13</v>
      </c>
      <c r="S1052" t="s">
        <v>14</v>
      </c>
      <c r="T1052" t="s">
        <v>16</v>
      </c>
      <c r="U1052" s="34">
        <v>0</v>
      </c>
      <c r="V1052" s="34">
        <v>5</v>
      </c>
      <c r="W1052" s="25">
        <v>2.5</v>
      </c>
      <c r="X1052" s="25">
        <v>5</v>
      </c>
      <c r="Y1052">
        <v>1.2182593589999999</v>
      </c>
      <c r="Z1052" t="s">
        <v>787</v>
      </c>
      <c r="AA1052" t="s">
        <v>650</v>
      </c>
      <c r="AB1052">
        <v>1</v>
      </c>
      <c r="AC1052">
        <v>1</v>
      </c>
      <c r="AF1052" t="s">
        <v>533</v>
      </c>
      <c r="AG1052" s="32" t="s">
        <v>2114</v>
      </c>
      <c r="AH1052" s="32">
        <v>1</v>
      </c>
      <c r="AI1052" s="32" t="s">
        <v>2114</v>
      </c>
      <c r="AJ1052" s="31">
        <v>0</v>
      </c>
      <c r="AK1052" s="31">
        <v>1</v>
      </c>
      <c r="AL1052" s="31">
        <v>0.18240961629437583</v>
      </c>
      <c r="AM1052" s="31">
        <v>0</v>
      </c>
      <c r="AN1052" s="31">
        <v>6.1755870996949973</v>
      </c>
      <c r="AO1052" s="31">
        <v>0</v>
      </c>
      <c r="AP1052" s="31">
        <v>7.5234667815230966E-3</v>
      </c>
      <c r="AQ1052" s="31">
        <v>0</v>
      </c>
      <c r="AR1052" s="31">
        <v>0.13341858489683281</v>
      </c>
    </row>
    <row r="1053" spans="1:44" hidden="1" x14ac:dyDescent="0.5">
      <c r="A1053" s="31">
        <v>1052</v>
      </c>
      <c r="B1053" s="31">
        <v>68</v>
      </c>
      <c r="C1053" s="225" t="s">
        <v>9</v>
      </c>
      <c r="D1053" s="43">
        <v>29.367598000000001</v>
      </c>
      <c r="E1053" s="43">
        <v>48.020955999999998</v>
      </c>
      <c r="F1053">
        <v>0</v>
      </c>
      <c r="G1053">
        <f t="shared" si="11"/>
        <v>0</v>
      </c>
      <c r="H1053" s="32" t="s">
        <v>10</v>
      </c>
      <c r="I1053">
        <v>0</v>
      </c>
      <c r="J1053">
        <v>159.388415957766</v>
      </c>
      <c r="K1053" s="27">
        <v>2018</v>
      </c>
      <c r="L1053" t="s">
        <v>11</v>
      </c>
      <c r="M1053" s="32">
        <v>250</v>
      </c>
      <c r="N1053">
        <v>30.131484459999999</v>
      </c>
      <c r="O1053">
        <v>5</v>
      </c>
      <c r="P1053" t="s">
        <v>12</v>
      </c>
      <c r="Q1053">
        <v>89</v>
      </c>
      <c r="R1053" t="s">
        <v>13</v>
      </c>
      <c r="S1053" t="s">
        <v>14</v>
      </c>
      <c r="T1053" t="s">
        <v>16</v>
      </c>
      <c r="U1053" s="34">
        <v>0</v>
      </c>
      <c r="V1053" s="34">
        <v>5</v>
      </c>
      <c r="W1053" s="25">
        <v>2.5</v>
      </c>
      <c r="X1053" s="25">
        <v>5</v>
      </c>
      <c r="Y1053">
        <v>1.2182593589999999</v>
      </c>
      <c r="Z1053" t="s">
        <v>787</v>
      </c>
      <c r="AA1053" t="s">
        <v>650</v>
      </c>
      <c r="AB1053">
        <v>1</v>
      </c>
      <c r="AC1053">
        <v>0</v>
      </c>
      <c r="AF1053" t="s">
        <v>533</v>
      </c>
      <c r="AG1053" s="32">
        <v>0</v>
      </c>
      <c r="AH1053" s="32" t="s">
        <v>671</v>
      </c>
      <c r="AI1053" s="32" t="s">
        <v>1129</v>
      </c>
      <c r="AJ1053" s="31" t="s">
        <v>1130</v>
      </c>
      <c r="AK1053" s="31">
        <v>0.59524549999999998</v>
      </c>
      <c r="AL1053" s="31">
        <v>0</v>
      </c>
      <c r="AM1053" s="31">
        <v>0</v>
      </c>
      <c r="AN1053" s="31">
        <v>0</v>
      </c>
      <c r="AO1053" s="31">
        <v>0</v>
      </c>
      <c r="AP1053" s="31">
        <v>0</v>
      </c>
      <c r="AQ1053" s="31">
        <v>0</v>
      </c>
      <c r="AR1053" s="31">
        <v>0.13341858489683281</v>
      </c>
    </row>
    <row r="1054" spans="1:44" hidden="1" x14ac:dyDescent="0.5">
      <c r="A1054" s="31">
        <v>1053</v>
      </c>
      <c r="B1054" s="31">
        <v>68</v>
      </c>
      <c r="C1054" s="225" t="s">
        <v>9</v>
      </c>
      <c r="D1054" s="43">
        <v>29.370685000000002</v>
      </c>
      <c r="E1054" s="43">
        <v>47.961134999999999</v>
      </c>
      <c r="F1054">
        <v>0</v>
      </c>
      <c r="G1054">
        <f t="shared" si="11"/>
        <v>0</v>
      </c>
      <c r="H1054" s="32" t="s">
        <v>10</v>
      </c>
      <c r="I1054">
        <v>0</v>
      </c>
      <c r="J1054">
        <v>153.15146512649801</v>
      </c>
      <c r="K1054" s="27">
        <v>2018</v>
      </c>
      <c r="L1054" t="s">
        <v>11</v>
      </c>
      <c r="M1054" s="32">
        <v>250</v>
      </c>
      <c r="N1054">
        <v>30.131484459999999</v>
      </c>
      <c r="O1054">
        <v>5</v>
      </c>
      <c r="P1054" t="s">
        <v>12</v>
      </c>
      <c r="Q1054">
        <v>89</v>
      </c>
      <c r="R1054" t="s">
        <v>13</v>
      </c>
      <c r="S1054" t="s">
        <v>14</v>
      </c>
      <c r="T1054" t="s">
        <v>16</v>
      </c>
      <c r="U1054" s="34">
        <v>0</v>
      </c>
      <c r="V1054" s="34">
        <v>5</v>
      </c>
      <c r="W1054" s="25">
        <v>2.5</v>
      </c>
      <c r="X1054" s="25">
        <v>5</v>
      </c>
      <c r="Y1054">
        <v>1.2182593589999999</v>
      </c>
      <c r="Z1054" t="s">
        <v>787</v>
      </c>
      <c r="AA1054" t="s">
        <v>650</v>
      </c>
      <c r="AB1054">
        <v>1</v>
      </c>
      <c r="AC1054">
        <v>0</v>
      </c>
      <c r="AF1054" t="s">
        <v>533</v>
      </c>
      <c r="AG1054" s="32">
        <v>0</v>
      </c>
      <c r="AH1054" s="32" t="s">
        <v>671</v>
      </c>
      <c r="AI1054" s="32" t="s">
        <v>1129</v>
      </c>
      <c r="AJ1054" s="31" t="s">
        <v>1130</v>
      </c>
      <c r="AK1054" s="31">
        <v>0.59524549999999998</v>
      </c>
      <c r="AL1054" s="31">
        <v>0</v>
      </c>
      <c r="AM1054" s="31">
        <v>0</v>
      </c>
      <c r="AN1054" s="31">
        <v>0</v>
      </c>
      <c r="AO1054" s="31">
        <v>0</v>
      </c>
      <c r="AP1054" s="31">
        <v>0</v>
      </c>
      <c r="AQ1054" s="31">
        <v>0</v>
      </c>
      <c r="AR1054" s="31">
        <v>0.13341858489683281</v>
      </c>
    </row>
    <row r="1055" spans="1:44" hidden="1" x14ac:dyDescent="0.5">
      <c r="A1055" s="31">
        <v>1054</v>
      </c>
      <c r="B1055" s="31">
        <v>68</v>
      </c>
      <c r="C1055" s="225" t="s">
        <v>9</v>
      </c>
      <c r="D1055" s="43">
        <v>29.374167</v>
      </c>
      <c r="E1055" s="43">
        <v>47.755555999999999</v>
      </c>
      <c r="F1055">
        <v>0</v>
      </c>
      <c r="G1055">
        <f t="shared" si="11"/>
        <v>0</v>
      </c>
      <c r="H1055" s="32" t="s">
        <v>10</v>
      </c>
      <c r="I1055">
        <v>0</v>
      </c>
      <c r="J1055">
        <v>136.00005534818101</v>
      </c>
      <c r="K1055" s="27">
        <v>2018</v>
      </c>
      <c r="L1055" t="s">
        <v>11</v>
      </c>
      <c r="M1055" s="32">
        <v>250</v>
      </c>
      <c r="N1055">
        <v>30.131484459999999</v>
      </c>
      <c r="O1055">
        <v>5</v>
      </c>
      <c r="P1055" t="s">
        <v>12</v>
      </c>
      <c r="Q1055">
        <v>89</v>
      </c>
      <c r="R1055" t="s">
        <v>13</v>
      </c>
      <c r="S1055" t="s">
        <v>14</v>
      </c>
      <c r="T1055" t="s">
        <v>16</v>
      </c>
      <c r="U1055" s="34">
        <v>0</v>
      </c>
      <c r="V1055" s="34">
        <v>5</v>
      </c>
      <c r="W1055" s="25">
        <v>2.5</v>
      </c>
      <c r="X1055" s="25">
        <v>5</v>
      </c>
      <c r="Y1055">
        <v>1.2182593589999999</v>
      </c>
      <c r="Z1055" t="s">
        <v>787</v>
      </c>
      <c r="AA1055" t="s">
        <v>650</v>
      </c>
      <c r="AB1055">
        <v>1</v>
      </c>
      <c r="AC1055">
        <v>4</v>
      </c>
      <c r="AF1055" t="s">
        <v>533</v>
      </c>
      <c r="AG1055" s="32" t="s">
        <v>2115</v>
      </c>
      <c r="AH1055" s="32" t="s">
        <v>671</v>
      </c>
      <c r="AI1055" s="32" t="s">
        <v>1129</v>
      </c>
      <c r="AJ1055" s="31" t="s">
        <v>1130</v>
      </c>
      <c r="AK1055" s="31">
        <v>0.59524549999999998</v>
      </c>
      <c r="AL1055" s="31">
        <v>0.4343140130238155</v>
      </c>
      <c r="AM1055" s="31">
        <v>0.2953244521536878</v>
      </c>
      <c r="AN1055" s="31">
        <v>14.703961723805993</v>
      </c>
      <c r="AO1055" s="31">
        <v>9.9983866749739985</v>
      </c>
      <c r="AP1055" s="31">
        <v>1.7913238984404421E-2</v>
      </c>
      <c r="AQ1055" s="31">
        <v>1.2180628141687964E-2</v>
      </c>
      <c r="AR1055" s="31">
        <v>0.13341858489683281</v>
      </c>
    </row>
    <row r="1056" spans="1:44" hidden="1" x14ac:dyDescent="0.5">
      <c r="A1056" s="31">
        <v>1055</v>
      </c>
      <c r="B1056" s="31">
        <v>68</v>
      </c>
      <c r="C1056" s="225" t="s">
        <v>9</v>
      </c>
      <c r="D1056" s="43">
        <v>29.374262000000002</v>
      </c>
      <c r="E1056" s="43">
        <v>48.007119000000003</v>
      </c>
      <c r="F1056">
        <v>0</v>
      </c>
      <c r="G1056">
        <f t="shared" si="11"/>
        <v>0</v>
      </c>
      <c r="H1056" s="32" t="s">
        <v>10</v>
      </c>
      <c r="I1056">
        <v>0</v>
      </c>
      <c r="J1056">
        <v>158.23715688750499</v>
      </c>
      <c r="K1056" s="27">
        <v>2018</v>
      </c>
      <c r="L1056" t="s">
        <v>11</v>
      </c>
      <c r="M1056" s="32">
        <v>250</v>
      </c>
      <c r="N1056">
        <v>30.131484459999999</v>
      </c>
      <c r="O1056">
        <v>5</v>
      </c>
      <c r="P1056" t="s">
        <v>12</v>
      </c>
      <c r="Q1056">
        <v>89</v>
      </c>
      <c r="R1056" t="s">
        <v>13</v>
      </c>
      <c r="S1056" t="s">
        <v>14</v>
      </c>
      <c r="T1056" t="s">
        <v>16</v>
      </c>
      <c r="U1056" s="34">
        <v>0</v>
      </c>
      <c r="V1056" s="34">
        <v>5</v>
      </c>
      <c r="W1056" s="25">
        <v>2.5</v>
      </c>
      <c r="X1056" s="25">
        <v>5</v>
      </c>
      <c r="Y1056">
        <v>1.2182593589999999</v>
      </c>
      <c r="Z1056" t="s">
        <v>787</v>
      </c>
      <c r="AA1056" t="s">
        <v>650</v>
      </c>
      <c r="AB1056">
        <v>1</v>
      </c>
      <c r="AC1056">
        <v>0</v>
      </c>
      <c r="AF1056" t="s">
        <v>533</v>
      </c>
      <c r="AG1056" s="32">
        <v>0</v>
      </c>
      <c r="AH1056" s="32" t="s">
        <v>671</v>
      </c>
      <c r="AI1056" s="32" t="s">
        <v>1129</v>
      </c>
      <c r="AJ1056" s="31" t="s">
        <v>1130</v>
      </c>
      <c r="AK1056" s="31">
        <v>0.59524549999999998</v>
      </c>
      <c r="AL1056" s="31">
        <v>0</v>
      </c>
      <c r="AM1056" s="31">
        <v>0</v>
      </c>
      <c r="AN1056" s="31">
        <v>0</v>
      </c>
      <c r="AO1056" s="31">
        <v>0</v>
      </c>
      <c r="AP1056" s="31">
        <v>0</v>
      </c>
      <c r="AQ1056" s="31">
        <v>0</v>
      </c>
      <c r="AR1056" s="31">
        <v>0.13341858489683281</v>
      </c>
    </row>
    <row r="1057" spans="1:45" hidden="1" x14ac:dyDescent="0.5">
      <c r="A1057" s="31">
        <v>1056</v>
      </c>
      <c r="B1057" s="31">
        <v>68</v>
      </c>
      <c r="C1057" s="225" t="s">
        <v>9</v>
      </c>
      <c r="D1057" s="43">
        <v>29.375554999999999</v>
      </c>
      <c r="E1057" s="43">
        <v>47.698889000000001</v>
      </c>
      <c r="F1057">
        <v>0</v>
      </c>
      <c r="G1057">
        <f t="shared" si="11"/>
        <v>0</v>
      </c>
      <c r="H1057" s="32" t="s">
        <v>10</v>
      </c>
      <c r="I1057">
        <v>0</v>
      </c>
      <c r="J1057">
        <v>132.38793195988401</v>
      </c>
      <c r="K1057" s="27">
        <v>2018</v>
      </c>
      <c r="L1057" t="s">
        <v>11</v>
      </c>
      <c r="M1057" s="32">
        <v>250</v>
      </c>
      <c r="N1057">
        <v>30.131484459999999</v>
      </c>
      <c r="O1057">
        <v>5</v>
      </c>
      <c r="P1057" t="s">
        <v>12</v>
      </c>
      <c r="Q1057">
        <v>89</v>
      </c>
      <c r="R1057" t="s">
        <v>13</v>
      </c>
      <c r="S1057" t="s">
        <v>14</v>
      </c>
      <c r="T1057" t="s">
        <v>16</v>
      </c>
      <c r="U1057" s="34">
        <v>0</v>
      </c>
      <c r="V1057" s="34">
        <v>5</v>
      </c>
      <c r="W1057" s="25">
        <v>2.5</v>
      </c>
      <c r="X1057" s="25">
        <v>5</v>
      </c>
      <c r="Y1057">
        <v>1.2182593589999999</v>
      </c>
      <c r="Z1057" t="s">
        <v>787</v>
      </c>
      <c r="AA1057" t="s">
        <v>650</v>
      </c>
      <c r="AB1057">
        <v>1</v>
      </c>
      <c r="AC1057">
        <v>0</v>
      </c>
      <c r="AF1057" t="s">
        <v>533</v>
      </c>
      <c r="AG1057" s="32">
        <v>0</v>
      </c>
      <c r="AH1057" s="32" t="s">
        <v>671</v>
      </c>
      <c r="AI1057" s="32" t="s">
        <v>1129</v>
      </c>
      <c r="AJ1057" s="31" t="s">
        <v>1130</v>
      </c>
      <c r="AK1057" s="31">
        <v>0.59524549999999998</v>
      </c>
      <c r="AL1057" s="31">
        <v>0</v>
      </c>
      <c r="AM1057" s="31">
        <v>0</v>
      </c>
      <c r="AN1057" s="31">
        <v>0</v>
      </c>
      <c r="AO1057" s="31">
        <v>0</v>
      </c>
      <c r="AP1057" s="31">
        <v>0</v>
      </c>
      <c r="AQ1057" s="31">
        <v>0</v>
      </c>
      <c r="AR1057" s="31">
        <v>0.13341858489683281</v>
      </c>
    </row>
    <row r="1058" spans="1:45" hidden="1" x14ac:dyDescent="0.5">
      <c r="A1058" s="31">
        <v>1057</v>
      </c>
      <c r="B1058" s="31">
        <v>68</v>
      </c>
      <c r="C1058" s="225" t="s">
        <v>9</v>
      </c>
      <c r="D1058" s="43">
        <v>29.377683999999999</v>
      </c>
      <c r="E1058" s="43">
        <v>47.820881</v>
      </c>
      <c r="F1058">
        <v>0</v>
      </c>
      <c r="G1058">
        <f t="shared" si="11"/>
        <v>0</v>
      </c>
      <c r="H1058" s="32" t="s">
        <v>10</v>
      </c>
      <c r="I1058">
        <v>0</v>
      </c>
      <c r="J1058">
        <v>141.031895223812</v>
      </c>
      <c r="K1058" s="27">
        <v>2018</v>
      </c>
      <c r="L1058" t="s">
        <v>11</v>
      </c>
      <c r="M1058" s="32">
        <v>250</v>
      </c>
      <c r="N1058">
        <v>30.131484459999999</v>
      </c>
      <c r="O1058">
        <v>5</v>
      </c>
      <c r="P1058" t="s">
        <v>12</v>
      </c>
      <c r="Q1058">
        <v>89</v>
      </c>
      <c r="R1058" t="s">
        <v>13</v>
      </c>
      <c r="S1058" t="s">
        <v>14</v>
      </c>
      <c r="T1058" t="s">
        <v>16</v>
      </c>
      <c r="U1058" s="34">
        <v>0</v>
      </c>
      <c r="V1058" s="34">
        <v>5</v>
      </c>
      <c r="W1058" s="25">
        <v>2.5</v>
      </c>
      <c r="X1058" s="25">
        <v>5</v>
      </c>
      <c r="Y1058">
        <v>1.2182593589999999</v>
      </c>
      <c r="Z1058" t="s">
        <v>787</v>
      </c>
      <c r="AA1058" t="s">
        <v>650</v>
      </c>
      <c r="AB1058">
        <v>1</v>
      </c>
      <c r="AC1058">
        <v>2</v>
      </c>
      <c r="AF1058" t="s">
        <v>533</v>
      </c>
      <c r="AG1058" s="32" t="s">
        <v>2112</v>
      </c>
      <c r="AH1058" s="32" t="s">
        <v>2116</v>
      </c>
      <c r="AI1058" s="32" t="s">
        <v>2114</v>
      </c>
      <c r="AJ1058" s="31" t="s">
        <v>2114</v>
      </c>
      <c r="AK1058" s="31">
        <v>0.5</v>
      </c>
      <c r="AL1058" s="31">
        <v>0.18240961629437583</v>
      </c>
      <c r="AM1058" s="31">
        <v>0.18240961629437583</v>
      </c>
      <c r="AN1058" s="31">
        <v>6.1755870996949973</v>
      </c>
      <c r="AO1058" s="31">
        <v>6.1755870996949973</v>
      </c>
      <c r="AP1058" s="31">
        <v>7.5234667815230966E-3</v>
      </c>
      <c r="AQ1058" s="31">
        <v>7.5234667815230966E-3</v>
      </c>
      <c r="AR1058" s="31">
        <v>0.13341858489683281</v>
      </c>
    </row>
    <row r="1059" spans="1:45" hidden="1" x14ac:dyDescent="0.5">
      <c r="A1059" s="31">
        <v>1058</v>
      </c>
      <c r="B1059" s="31">
        <v>68</v>
      </c>
      <c r="C1059" s="225" t="s">
        <v>9</v>
      </c>
      <c r="D1059" s="43">
        <v>29.382080999999999</v>
      </c>
      <c r="E1059" s="43">
        <v>48.004308999999999</v>
      </c>
      <c r="F1059">
        <v>0</v>
      </c>
      <c r="G1059">
        <f t="shared" si="11"/>
        <v>0</v>
      </c>
      <c r="H1059" s="32" t="s">
        <v>10</v>
      </c>
      <c r="I1059">
        <v>0</v>
      </c>
      <c r="J1059">
        <v>158.23546850418899</v>
      </c>
      <c r="K1059" s="27">
        <v>2018</v>
      </c>
      <c r="L1059" t="s">
        <v>11</v>
      </c>
      <c r="M1059" s="32">
        <v>250</v>
      </c>
      <c r="N1059">
        <v>30.131484459999999</v>
      </c>
      <c r="O1059">
        <v>5</v>
      </c>
      <c r="P1059" t="s">
        <v>12</v>
      </c>
      <c r="Q1059">
        <v>89</v>
      </c>
      <c r="R1059" t="s">
        <v>13</v>
      </c>
      <c r="S1059" t="s">
        <v>14</v>
      </c>
      <c r="T1059" t="s">
        <v>16</v>
      </c>
      <c r="U1059" s="34">
        <v>0</v>
      </c>
      <c r="V1059" s="34">
        <v>5</v>
      </c>
      <c r="W1059" s="25">
        <v>2.5</v>
      </c>
      <c r="X1059" s="25">
        <v>5</v>
      </c>
      <c r="Y1059">
        <v>1.2182593589999999</v>
      </c>
      <c r="Z1059" t="s">
        <v>787</v>
      </c>
      <c r="AA1059" t="s">
        <v>650</v>
      </c>
      <c r="AB1059">
        <v>1</v>
      </c>
      <c r="AC1059">
        <v>0</v>
      </c>
      <c r="AF1059" t="s">
        <v>533</v>
      </c>
      <c r="AG1059" s="32">
        <v>0</v>
      </c>
      <c r="AH1059" s="32" t="s">
        <v>671</v>
      </c>
      <c r="AI1059" s="32" t="s">
        <v>1129</v>
      </c>
      <c r="AJ1059" s="31" t="s">
        <v>1130</v>
      </c>
      <c r="AK1059" s="31">
        <v>0.59524549999999998</v>
      </c>
      <c r="AL1059" s="31">
        <v>0</v>
      </c>
      <c r="AM1059" s="31">
        <v>0</v>
      </c>
      <c r="AN1059" s="31">
        <v>0</v>
      </c>
      <c r="AO1059" s="31">
        <v>0</v>
      </c>
      <c r="AP1059" s="31">
        <v>0</v>
      </c>
      <c r="AQ1059" s="31">
        <v>0</v>
      </c>
      <c r="AR1059" s="31">
        <v>0.13341858489683281</v>
      </c>
    </row>
    <row r="1060" spans="1:45" hidden="1" x14ac:dyDescent="0.5">
      <c r="A1060" s="31">
        <v>1059</v>
      </c>
      <c r="B1060" s="31">
        <v>68</v>
      </c>
      <c r="C1060" s="225" t="s">
        <v>9</v>
      </c>
      <c r="D1060" s="43">
        <v>29.386944</v>
      </c>
      <c r="E1060" s="43">
        <v>47.714444</v>
      </c>
      <c r="F1060">
        <v>0</v>
      </c>
      <c r="G1060">
        <f t="shared" si="11"/>
        <v>0</v>
      </c>
      <c r="H1060" s="32" t="s">
        <v>10</v>
      </c>
      <c r="I1060">
        <v>0</v>
      </c>
      <c r="J1060">
        <v>133.70461653491199</v>
      </c>
      <c r="K1060" s="27">
        <v>2018</v>
      </c>
      <c r="L1060" t="s">
        <v>11</v>
      </c>
      <c r="M1060" s="32">
        <v>250</v>
      </c>
      <c r="N1060">
        <v>30.131484459999999</v>
      </c>
      <c r="O1060">
        <v>5</v>
      </c>
      <c r="P1060" t="s">
        <v>12</v>
      </c>
      <c r="Q1060">
        <v>89</v>
      </c>
      <c r="R1060" t="s">
        <v>13</v>
      </c>
      <c r="S1060" t="s">
        <v>14</v>
      </c>
      <c r="T1060" t="s">
        <v>16</v>
      </c>
      <c r="U1060" s="34">
        <v>0</v>
      </c>
      <c r="V1060" s="34">
        <v>5</v>
      </c>
      <c r="W1060" s="25">
        <v>2.5</v>
      </c>
      <c r="X1060" s="25">
        <v>5</v>
      </c>
      <c r="Y1060">
        <v>1.2182593589999999</v>
      </c>
      <c r="Z1060" t="s">
        <v>787</v>
      </c>
      <c r="AA1060" t="s">
        <v>650</v>
      </c>
      <c r="AB1060">
        <v>1</v>
      </c>
      <c r="AC1060">
        <v>5</v>
      </c>
      <c r="AF1060" t="s">
        <v>533</v>
      </c>
      <c r="AG1060" s="32" t="s">
        <v>2117</v>
      </c>
      <c r="AH1060" s="32" t="s">
        <v>671</v>
      </c>
      <c r="AI1060" s="32" t="s">
        <v>1129</v>
      </c>
      <c r="AJ1060" s="31" t="s">
        <v>1130</v>
      </c>
      <c r="AK1060" s="31">
        <v>0.59524549999999998</v>
      </c>
      <c r="AL1060" s="31">
        <v>0.54289251627976942</v>
      </c>
      <c r="AM1060" s="31">
        <v>0.36915556519210968</v>
      </c>
      <c r="AN1060" s="31">
        <v>18.379952154757493</v>
      </c>
      <c r="AO1060" s="31">
        <v>12.497983343717495</v>
      </c>
      <c r="AP1060" s="31">
        <v>2.2391548730505532E-2</v>
      </c>
      <c r="AQ1060" s="31">
        <v>1.522578517710995E-2</v>
      </c>
      <c r="AR1060" s="31">
        <v>0.13341858489683281</v>
      </c>
    </row>
    <row r="1061" spans="1:45" hidden="1" x14ac:dyDescent="0.5">
      <c r="A1061" s="31">
        <v>1060</v>
      </c>
      <c r="B1061" s="31">
        <v>68</v>
      </c>
      <c r="C1061" s="225" t="s">
        <v>9</v>
      </c>
      <c r="D1061" s="43">
        <v>29.392144999999999</v>
      </c>
      <c r="E1061" s="43">
        <v>47.998958000000002</v>
      </c>
      <c r="F1061">
        <v>0</v>
      </c>
      <c r="G1061">
        <f t="shared" si="11"/>
        <v>0</v>
      </c>
      <c r="H1061" s="32" t="s">
        <v>10</v>
      </c>
      <c r="I1061">
        <v>0</v>
      </c>
      <c r="J1061">
        <v>158.17663559472399</v>
      </c>
      <c r="K1061" s="27">
        <v>2018</v>
      </c>
      <c r="L1061" t="s">
        <v>11</v>
      </c>
      <c r="M1061" s="32">
        <v>250</v>
      </c>
      <c r="N1061">
        <v>30.131484459999999</v>
      </c>
      <c r="O1061">
        <v>5</v>
      </c>
      <c r="P1061" t="s">
        <v>12</v>
      </c>
      <c r="Q1061">
        <v>89</v>
      </c>
      <c r="R1061" t="s">
        <v>13</v>
      </c>
      <c r="S1061" t="s">
        <v>14</v>
      </c>
      <c r="T1061" t="s">
        <v>16</v>
      </c>
      <c r="U1061" s="34">
        <v>0</v>
      </c>
      <c r="V1061" s="34">
        <v>5</v>
      </c>
      <c r="W1061" s="25">
        <v>2.5</v>
      </c>
      <c r="X1061" s="25">
        <v>5</v>
      </c>
      <c r="Y1061">
        <v>1.2182593589999999</v>
      </c>
      <c r="Z1061" t="s">
        <v>787</v>
      </c>
      <c r="AA1061" t="s">
        <v>650</v>
      </c>
      <c r="AB1061">
        <v>1</v>
      </c>
      <c r="AC1061">
        <v>0</v>
      </c>
      <c r="AF1061" t="s">
        <v>533</v>
      </c>
      <c r="AG1061" s="32">
        <v>0</v>
      </c>
      <c r="AH1061" s="32" t="s">
        <v>671</v>
      </c>
      <c r="AI1061" s="32" t="s">
        <v>1129</v>
      </c>
      <c r="AJ1061" s="31" t="s">
        <v>1130</v>
      </c>
      <c r="AK1061" s="31">
        <v>0.59524549999999998</v>
      </c>
      <c r="AL1061" s="31">
        <v>0</v>
      </c>
      <c r="AM1061" s="31">
        <v>0</v>
      </c>
      <c r="AN1061" s="31">
        <v>0</v>
      </c>
      <c r="AO1061" s="31">
        <v>0</v>
      </c>
      <c r="AP1061" s="31">
        <v>0</v>
      </c>
      <c r="AQ1061" s="31">
        <v>0</v>
      </c>
      <c r="AR1061" s="31">
        <v>0.13341858489683281</v>
      </c>
    </row>
    <row r="1062" spans="1:45" hidden="1" x14ac:dyDescent="0.5">
      <c r="A1062" s="31">
        <v>1061</v>
      </c>
      <c r="B1062" s="31">
        <v>68</v>
      </c>
      <c r="C1062" s="225" t="s">
        <v>9</v>
      </c>
      <c r="D1062" s="43">
        <v>29.399166999999998</v>
      </c>
      <c r="E1062" s="43">
        <v>47.723610999999998</v>
      </c>
      <c r="F1062">
        <v>0</v>
      </c>
      <c r="G1062">
        <f t="shared" si="11"/>
        <v>0</v>
      </c>
      <c r="H1062" s="32" t="s">
        <v>10</v>
      </c>
      <c r="I1062">
        <v>0</v>
      </c>
      <c r="J1062">
        <v>134.764966273939</v>
      </c>
      <c r="K1062" s="27">
        <v>2018</v>
      </c>
      <c r="L1062" t="s">
        <v>11</v>
      </c>
      <c r="M1062" s="32">
        <v>250</v>
      </c>
      <c r="N1062">
        <v>30.131484459999999</v>
      </c>
      <c r="O1062">
        <v>5</v>
      </c>
      <c r="P1062" t="s">
        <v>12</v>
      </c>
      <c r="Q1062">
        <v>89</v>
      </c>
      <c r="R1062" t="s">
        <v>13</v>
      </c>
      <c r="S1062" t="s">
        <v>14</v>
      </c>
      <c r="T1062" t="s">
        <v>16</v>
      </c>
      <c r="U1062" s="34">
        <v>0</v>
      </c>
      <c r="V1062" s="34">
        <v>5</v>
      </c>
      <c r="W1062" s="25">
        <v>2.5</v>
      </c>
      <c r="X1062" s="25">
        <v>5</v>
      </c>
      <c r="Y1062">
        <v>1.2182593589999999</v>
      </c>
      <c r="Z1062" t="s">
        <v>787</v>
      </c>
      <c r="AA1062" t="s">
        <v>650</v>
      </c>
      <c r="AB1062">
        <v>1</v>
      </c>
      <c r="AC1062">
        <v>1</v>
      </c>
      <c r="AF1062" t="s">
        <v>533</v>
      </c>
      <c r="AG1062" s="32" t="s">
        <v>2114</v>
      </c>
      <c r="AH1062" s="32" t="s">
        <v>671</v>
      </c>
      <c r="AI1062" s="32" t="s">
        <v>1129</v>
      </c>
      <c r="AJ1062" s="31" t="s">
        <v>1130</v>
      </c>
      <c r="AK1062" s="31">
        <v>0.59524549999999998</v>
      </c>
      <c r="AL1062" s="31">
        <v>0.10857850325595388</v>
      </c>
      <c r="AM1062" s="31">
        <v>7.383111303842195E-2</v>
      </c>
      <c r="AN1062" s="31">
        <v>3.6759904309514981</v>
      </c>
      <c r="AO1062" s="31">
        <v>2.4995966687434996</v>
      </c>
      <c r="AP1062" s="31">
        <v>4.4783097461011051E-3</v>
      </c>
      <c r="AQ1062" s="31">
        <v>3.045157035421991E-3</v>
      </c>
      <c r="AR1062" s="31">
        <v>0.13341858489683281</v>
      </c>
    </row>
    <row r="1063" spans="1:45" hidden="1" x14ac:dyDescent="0.5">
      <c r="A1063" s="31">
        <v>1062</v>
      </c>
      <c r="B1063" s="31">
        <v>68</v>
      </c>
      <c r="C1063" s="225" t="s">
        <v>9</v>
      </c>
      <c r="D1063" s="43">
        <v>29.402221999999998</v>
      </c>
      <c r="E1063" s="43">
        <v>47.727778000000001</v>
      </c>
      <c r="F1063">
        <v>0</v>
      </c>
      <c r="G1063">
        <f t="shared" si="11"/>
        <v>0</v>
      </c>
      <c r="H1063" s="32" t="s">
        <v>10</v>
      </c>
      <c r="I1063">
        <v>0</v>
      </c>
      <c r="J1063">
        <v>135.06739434185701</v>
      </c>
      <c r="K1063" s="27">
        <v>2018</v>
      </c>
      <c r="L1063" t="s">
        <v>11</v>
      </c>
      <c r="M1063" s="32">
        <v>250</v>
      </c>
      <c r="N1063">
        <v>30.131484459999999</v>
      </c>
      <c r="O1063">
        <v>5</v>
      </c>
      <c r="P1063" t="s">
        <v>12</v>
      </c>
      <c r="Q1063">
        <v>89</v>
      </c>
      <c r="R1063" t="s">
        <v>13</v>
      </c>
      <c r="S1063" t="s">
        <v>14</v>
      </c>
      <c r="T1063" t="s">
        <v>16</v>
      </c>
      <c r="U1063" s="34">
        <v>0</v>
      </c>
      <c r="V1063" s="34">
        <v>5</v>
      </c>
      <c r="W1063" s="25">
        <v>2.5</v>
      </c>
      <c r="X1063" s="25">
        <v>5</v>
      </c>
      <c r="Y1063">
        <v>1.2182593589999999</v>
      </c>
      <c r="Z1063" t="s">
        <v>787</v>
      </c>
      <c r="AA1063" t="s">
        <v>650</v>
      </c>
      <c r="AB1063">
        <v>1</v>
      </c>
      <c r="AC1063">
        <v>2</v>
      </c>
      <c r="AF1063" t="s">
        <v>533</v>
      </c>
      <c r="AG1063" s="32" t="s">
        <v>2112</v>
      </c>
      <c r="AH1063" s="32" t="s">
        <v>671</v>
      </c>
      <c r="AI1063" s="32" t="s">
        <v>1129</v>
      </c>
      <c r="AJ1063" s="31" t="s">
        <v>1130</v>
      </c>
      <c r="AK1063" s="31">
        <v>0.59524549999999998</v>
      </c>
      <c r="AL1063" s="31">
        <v>0.21715700651190775</v>
      </c>
      <c r="AM1063" s="31">
        <v>0.1476622260768439</v>
      </c>
      <c r="AN1063" s="31">
        <v>7.3519808619029963</v>
      </c>
      <c r="AO1063" s="31">
        <v>4.9991933374869992</v>
      </c>
      <c r="AP1063" s="31">
        <v>8.9566194922022103E-3</v>
      </c>
      <c r="AQ1063" s="31">
        <v>6.090314070843982E-3</v>
      </c>
      <c r="AR1063" s="31">
        <v>0.13341858489683281</v>
      </c>
    </row>
    <row r="1064" spans="1:45" hidden="1" x14ac:dyDescent="0.5">
      <c r="A1064" s="31">
        <v>1063</v>
      </c>
      <c r="B1064" s="31">
        <v>68</v>
      </c>
      <c r="C1064" s="225" t="s">
        <v>9</v>
      </c>
      <c r="D1064" s="43">
        <v>29.403055999999999</v>
      </c>
      <c r="E1064" s="43">
        <v>47.741943999999997</v>
      </c>
      <c r="F1064">
        <v>0</v>
      </c>
      <c r="G1064">
        <f t="shared" si="11"/>
        <v>0</v>
      </c>
      <c r="H1064" s="32" t="s">
        <v>10</v>
      </c>
      <c r="I1064">
        <v>0</v>
      </c>
      <c r="J1064">
        <v>136.12108565794799</v>
      </c>
      <c r="K1064" s="27">
        <v>2018</v>
      </c>
      <c r="L1064" t="s">
        <v>11</v>
      </c>
      <c r="M1064" s="32">
        <v>250</v>
      </c>
      <c r="N1064">
        <v>30.131484459999999</v>
      </c>
      <c r="O1064">
        <v>5</v>
      </c>
      <c r="P1064" t="s">
        <v>12</v>
      </c>
      <c r="Q1064">
        <v>89</v>
      </c>
      <c r="R1064" t="s">
        <v>13</v>
      </c>
      <c r="S1064" t="s">
        <v>14</v>
      </c>
      <c r="T1064" t="s">
        <v>16</v>
      </c>
      <c r="U1064" s="34">
        <v>0</v>
      </c>
      <c r="V1064" s="34">
        <v>5</v>
      </c>
      <c r="W1064" s="25">
        <v>2.5</v>
      </c>
      <c r="X1064" s="25">
        <v>5</v>
      </c>
      <c r="Y1064">
        <v>1.2182593589999999</v>
      </c>
      <c r="Z1064" t="s">
        <v>787</v>
      </c>
      <c r="AA1064" t="s">
        <v>650</v>
      </c>
      <c r="AB1064">
        <v>1</v>
      </c>
      <c r="AC1064">
        <v>0</v>
      </c>
      <c r="AF1064" t="s">
        <v>533</v>
      </c>
      <c r="AG1064" s="32">
        <v>0</v>
      </c>
      <c r="AH1064" s="32" t="s">
        <v>671</v>
      </c>
      <c r="AI1064" s="32" t="s">
        <v>1129</v>
      </c>
      <c r="AJ1064" s="31" t="s">
        <v>1130</v>
      </c>
      <c r="AK1064" s="31">
        <v>0.59524549999999998</v>
      </c>
      <c r="AL1064" s="31">
        <v>0</v>
      </c>
      <c r="AM1064" s="31">
        <v>0</v>
      </c>
      <c r="AN1064" s="31">
        <v>0</v>
      </c>
      <c r="AO1064" s="31">
        <v>0</v>
      </c>
      <c r="AP1064" s="31">
        <v>0</v>
      </c>
      <c r="AQ1064" s="31">
        <v>0</v>
      </c>
      <c r="AR1064" s="31">
        <v>0.13341858489683281</v>
      </c>
    </row>
    <row r="1065" spans="1:45" hidden="1" x14ac:dyDescent="0.5">
      <c r="A1065" s="31">
        <v>1064</v>
      </c>
      <c r="B1065" s="31">
        <v>68</v>
      </c>
      <c r="C1065" s="225" t="s">
        <v>9</v>
      </c>
      <c r="D1065" s="43">
        <v>29.408332999999999</v>
      </c>
      <c r="E1065" s="43">
        <v>47.755277999999997</v>
      </c>
      <c r="F1065">
        <v>0</v>
      </c>
      <c r="G1065">
        <f t="shared" si="11"/>
        <v>0</v>
      </c>
      <c r="H1065" s="32" t="s">
        <v>10</v>
      </c>
      <c r="I1065">
        <v>0</v>
      </c>
      <c r="J1065">
        <v>137.345305097146</v>
      </c>
      <c r="K1065" s="27">
        <v>2018</v>
      </c>
      <c r="L1065" t="s">
        <v>11</v>
      </c>
      <c r="M1065" s="32">
        <v>250</v>
      </c>
      <c r="N1065">
        <v>30.131484459999999</v>
      </c>
      <c r="O1065">
        <v>5</v>
      </c>
      <c r="P1065" t="s">
        <v>12</v>
      </c>
      <c r="Q1065">
        <v>89</v>
      </c>
      <c r="R1065" t="s">
        <v>13</v>
      </c>
      <c r="S1065" t="s">
        <v>14</v>
      </c>
      <c r="T1065" t="s">
        <v>16</v>
      </c>
      <c r="U1065" s="34">
        <v>0</v>
      </c>
      <c r="V1065" s="34">
        <v>5</v>
      </c>
      <c r="W1065" s="25">
        <v>2.5</v>
      </c>
      <c r="X1065" s="25">
        <v>5</v>
      </c>
      <c r="Y1065">
        <v>1.2182593589999999</v>
      </c>
      <c r="Z1065" t="s">
        <v>787</v>
      </c>
      <c r="AA1065" t="s">
        <v>650</v>
      </c>
      <c r="AB1065">
        <v>1</v>
      </c>
      <c r="AC1065">
        <v>0</v>
      </c>
      <c r="AF1065" t="s">
        <v>533</v>
      </c>
      <c r="AG1065" s="32">
        <v>0</v>
      </c>
      <c r="AH1065" s="32" t="s">
        <v>671</v>
      </c>
      <c r="AI1065" s="32" t="s">
        <v>1129</v>
      </c>
      <c r="AJ1065" s="31" t="s">
        <v>1130</v>
      </c>
      <c r="AK1065" s="31">
        <v>0.59524549999999998</v>
      </c>
      <c r="AL1065" s="31">
        <v>0</v>
      </c>
      <c r="AM1065" s="31">
        <v>0</v>
      </c>
      <c r="AN1065" s="31">
        <v>0</v>
      </c>
      <c r="AO1065" s="31">
        <v>0</v>
      </c>
      <c r="AP1065" s="31">
        <v>0</v>
      </c>
      <c r="AQ1065" s="31">
        <v>0</v>
      </c>
      <c r="AR1065" s="31">
        <v>0.13341858489683281</v>
      </c>
    </row>
    <row r="1066" spans="1:45" hidden="1" x14ac:dyDescent="0.5">
      <c r="A1066" s="31">
        <v>1065</v>
      </c>
      <c r="B1066" s="31">
        <v>68</v>
      </c>
      <c r="C1066" s="225" t="s">
        <v>9</v>
      </c>
      <c r="D1066" s="43">
        <v>29.425556</v>
      </c>
      <c r="E1066" s="43">
        <v>47.769167000000003</v>
      </c>
      <c r="F1066">
        <v>0</v>
      </c>
      <c r="G1066">
        <f t="shared" si="11"/>
        <v>0</v>
      </c>
      <c r="H1066" s="32" t="s">
        <v>10</v>
      </c>
      <c r="I1066">
        <v>0</v>
      </c>
      <c r="J1066">
        <v>138.92144218308499</v>
      </c>
      <c r="K1066" s="27">
        <v>2018</v>
      </c>
      <c r="L1066" t="s">
        <v>11</v>
      </c>
      <c r="M1066" s="32">
        <v>250</v>
      </c>
      <c r="N1066">
        <v>30.131484459999999</v>
      </c>
      <c r="O1066">
        <v>5</v>
      </c>
      <c r="P1066" t="s">
        <v>12</v>
      </c>
      <c r="Q1066">
        <v>89</v>
      </c>
      <c r="R1066" t="s">
        <v>13</v>
      </c>
      <c r="S1066" t="s">
        <v>14</v>
      </c>
      <c r="T1066" t="s">
        <v>16</v>
      </c>
      <c r="U1066" s="34">
        <v>0</v>
      </c>
      <c r="V1066" s="34">
        <v>5</v>
      </c>
      <c r="W1066" s="25">
        <v>2.5</v>
      </c>
      <c r="X1066" s="25">
        <v>5</v>
      </c>
      <c r="Y1066">
        <v>1.2182593589999999</v>
      </c>
      <c r="Z1066" t="s">
        <v>787</v>
      </c>
      <c r="AA1066" t="s">
        <v>650</v>
      </c>
      <c r="AB1066">
        <v>1</v>
      </c>
      <c r="AC1066">
        <v>2</v>
      </c>
      <c r="AF1066" t="s">
        <v>533</v>
      </c>
      <c r="AG1066" s="32" t="s">
        <v>2112</v>
      </c>
      <c r="AH1066" s="32" t="s">
        <v>671</v>
      </c>
      <c r="AI1066" s="32" t="s">
        <v>1129</v>
      </c>
      <c r="AJ1066" s="31" t="s">
        <v>1130</v>
      </c>
      <c r="AK1066" s="31">
        <v>0.59524549999999998</v>
      </c>
      <c r="AL1066" s="31">
        <v>0.21715700651190775</v>
      </c>
      <c r="AM1066" s="31">
        <v>0.1476622260768439</v>
      </c>
      <c r="AN1066" s="31">
        <v>7.3519808619029963</v>
      </c>
      <c r="AO1066" s="31">
        <v>4.9991933374869992</v>
      </c>
      <c r="AP1066" s="31">
        <v>8.9566194922022103E-3</v>
      </c>
      <c r="AQ1066" s="31">
        <v>6.090314070843982E-3</v>
      </c>
      <c r="AR1066" s="31">
        <v>0.13341858489683281</v>
      </c>
    </row>
    <row r="1067" spans="1:45" hidden="1" x14ac:dyDescent="0.5">
      <c r="A1067" s="31">
        <v>1066</v>
      </c>
      <c r="B1067" s="31">
        <v>68</v>
      </c>
      <c r="C1067" s="225" t="s">
        <v>9</v>
      </c>
      <c r="D1067" s="43">
        <v>29.446389</v>
      </c>
      <c r="E1067" s="43">
        <v>47.788611000000003</v>
      </c>
      <c r="F1067">
        <v>0</v>
      </c>
      <c r="G1067">
        <f t="shared" si="11"/>
        <v>0</v>
      </c>
      <c r="H1067" s="32" t="s">
        <v>10</v>
      </c>
      <c r="I1067">
        <v>0</v>
      </c>
      <c r="J1067">
        <v>141.677625352532</v>
      </c>
      <c r="K1067" s="27">
        <v>2018</v>
      </c>
      <c r="L1067" t="s">
        <v>11</v>
      </c>
      <c r="M1067" s="32">
        <v>250</v>
      </c>
      <c r="N1067">
        <v>30.131484459999999</v>
      </c>
      <c r="O1067">
        <v>5</v>
      </c>
      <c r="P1067" t="s">
        <v>12</v>
      </c>
      <c r="Q1067">
        <v>89</v>
      </c>
      <c r="R1067" t="s">
        <v>13</v>
      </c>
      <c r="S1067" t="s">
        <v>14</v>
      </c>
      <c r="T1067" t="s">
        <v>16</v>
      </c>
      <c r="U1067" s="34">
        <v>0</v>
      </c>
      <c r="V1067" s="34">
        <v>5</v>
      </c>
      <c r="W1067" s="25">
        <v>2.5</v>
      </c>
      <c r="X1067" s="25">
        <v>5</v>
      </c>
      <c r="Y1067">
        <v>1.2182593589999999</v>
      </c>
      <c r="Z1067" t="s">
        <v>787</v>
      </c>
      <c r="AA1067" t="s">
        <v>650</v>
      </c>
      <c r="AB1067">
        <v>1</v>
      </c>
      <c r="AC1067">
        <v>4</v>
      </c>
      <c r="AF1067" t="s">
        <v>533</v>
      </c>
      <c r="AG1067" s="32" t="s">
        <v>2115</v>
      </c>
      <c r="AH1067" s="32" t="s">
        <v>671</v>
      </c>
      <c r="AI1067" s="32" t="s">
        <v>1129</v>
      </c>
      <c r="AJ1067" s="31" t="s">
        <v>1130</v>
      </c>
      <c r="AK1067" s="31">
        <v>0.59524549999999998</v>
      </c>
      <c r="AL1067" s="31">
        <v>0.4343140130238155</v>
      </c>
      <c r="AM1067" s="31">
        <v>0.2953244521536878</v>
      </c>
      <c r="AN1067" s="31">
        <v>14.703961723805993</v>
      </c>
      <c r="AO1067" s="31">
        <v>9.9983866749739985</v>
      </c>
      <c r="AP1067" s="31">
        <v>1.7913238984404421E-2</v>
      </c>
      <c r="AQ1067" s="31">
        <v>1.2180628141687964E-2</v>
      </c>
      <c r="AR1067" s="31">
        <v>0.13341858489683281</v>
      </c>
    </row>
    <row r="1068" spans="1:45" hidden="1" x14ac:dyDescent="0.5">
      <c r="A1068" s="31">
        <v>1067</v>
      </c>
      <c r="B1068" s="31">
        <v>68</v>
      </c>
      <c r="C1068" s="225" t="s">
        <v>9</v>
      </c>
      <c r="D1068" s="43">
        <v>29.544722</v>
      </c>
      <c r="E1068" s="43">
        <v>47.914166999999999</v>
      </c>
      <c r="F1068">
        <v>0</v>
      </c>
      <c r="G1068">
        <f t="shared" si="11"/>
        <v>0</v>
      </c>
      <c r="H1068" s="32" t="s">
        <v>10</v>
      </c>
      <c r="I1068">
        <v>0</v>
      </c>
      <c r="J1068">
        <v>164.642633900986</v>
      </c>
      <c r="K1068" s="27">
        <v>2018</v>
      </c>
      <c r="L1068" t="s">
        <v>11</v>
      </c>
      <c r="M1068" s="32">
        <v>250</v>
      </c>
      <c r="N1068">
        <v>30.131484459999999</v>
      </c>
      <c r="O1068">
        <v>5</v>
      </c>
      <c r="P1068" t="s">
        <v>12</v>
      </c>
      <c r="Q1068">
        <v>89</v>
      </c>
      <c r="R1068" t="s">
        <v>13</v>
      </c>
      <c r="S1068" t="s">
        <v>14</v>
      </c>
      <c r="T1068" t="s">
        <v>16</v>
      </c>
      <c r="U1068" s="34">
        <v>0</v>
      </c>
      <c r="V1068" s="34">
        <v>5</v>
      </c>
      <c r="W1068" s="25">
        <v>2.5</v>
      </c>
      <c r="X1068" s="25">
        <v>5</v>
      </c>
      <c r="Y1068">
        <v>1.2182593589999999</v>
      </c>
      <c r="Z1068" t="s">
        <v>787</v>
      </c>
      <c r="AA1068" t="s">
        <v>650</v>
      </c>
      <c r="AB1068">
        <v>1</v>
      </c>
      <c r="AC1068">
        <v>1</v>
      </c>
      <c r="AF1068" t="s">
        <v>533</v>
      </c>
      <c r="AG1068" s="32" t="s">
        <v>2114</v>
      </c>
      <c r="AH1068" s="32" t="s">
        <v>671</v>
      </c>
      <c r="AI1068" s="32" t="s">
        <v>1129</v>
      </c>
      <c r="AJ1068" s="31" t="s">
        <v>1130</v>
      </c>
      <c r="AK1068" s="31">
        <v>0.59524549999999998</v>
      </c>
      <c r="AL1068" s="31">
        <v>0.10857850325595388</v>
      </c>
      <c r="AM1068" s="31">
        <v>7.383111303842195E-2</v>
      </c>
      <c r="AN1068" s="31">
        <v>3.6759904309514981</v>
      </c>
      <c r="AO1068" s="31">
        <v>2.4995966687434996</v>
      </c>
      <c r="AP1068" s="31">
        <v>4.4783097461011051E-3</v>
      </c>
      <c r="AQ1068" s="31">
        <v>3.045157035421991E-3</v>
      </c>
      <c r="AR1068" s="31">
        <v>0.13341858489683281</v>
      </c>
    </row>
    <row r="1069" spans="1:45" hidden="1" x14ac:dyDescent="0.5">
      <c r="A1069" s="31">
        <v>1068</v>
      </c>
      <c r="B1069" s="31">
        <v>68</v>
      </c>
      <c r="C1069" s="225" t="s">
        <v>9</v>
      </c>
      <c r="D1069" s="43">
        <v>29.571389</v>
      </c>
      <c r="E1069" s="43">
        <v>48.041111000000001</v>
      </c>
      <c r="F1069">
        <v>0</v>
      </c>
      <c r="G1069">
        <f t="shared" si="11"/>
        <v>0</v>
      </c>
      <c r="H1069" s="32" t="s">
        <v>10</v>
      </c>
      <c r="I1069">
        <v>0</v>
      </c>
      <c r="J1069">
        <v>174.98083342206701</v>
      </c>
      <c r="K1069" s="27">
        <v>2018</v>
      </c>
      <c r="L1069" t="s">
        <v>11</v>
      </c>
      <c r="M1069" s="32">
        <v>250</v>
      </c>
      <c r="N1069">
        <v>30.131484459999999</v>
      </c>
      <c r="O1069">
        <v>5</v>
      </c>
      <c r="P1069" t="s">
        <v>12</v>
      </c>
      <c r="Q1069">
        <v>89</v>
      </c>
      <c r="R1069" t="s">
        <v>13</v>
      </c>
      <c r="S1069" t="s">
        <v>14</v>
      </c>
      <c r="T1069" t="s">
        <v>16</v>
      </c>
      <c r="U1069" s="34">
        <v>0</v>
      </c>
      <c r="V1069" s="34">
        <v>5</v>
      </c>
      <c r="W1069" s="25">
        <v>2.5</v>
      </c>
      <c r="X1069" s="25">
        <v>5</v>
      </c>
      <c r="Y1069">
        <v>1.2182593589999999</v>
      </c>
      <c r="Z1069" t="s">
        <v>787</v>
      </c>
      <c r="AA1069" t="s">
        <v>650</v>
      </c>
      <c r="AB1069">
        <v>1</v>
      </c>
      <c r="AC1069">
        <v>2</v>
      </c>
      <c r="AF1069" t="s">
        <v>533</v>
      </c>
      <c r="AG1069" s="32" t="s">
        <v>2112</v>
      </c>
      <c r="AH1069" s="32" t="s">
        <v>671</v>
      </c>
      <c r="AI1069" s="32" t="s">
        <v>1129</v>
      </c>
      <c r="AJ1069" s="31" t="s">
        <v>1130</v>
      </c>
      <c r="AK1069" s="31">
        <v>0.59524549999999998</v>
      </c>
      <c r="AL1069" s="31">
        <v>0.21715700651190775</v>
      </c>
      <c r="AM1069" s="31">
        <v>0.1476622260768439</v>
      </c>
      <c r="AN1069" s="31">
        <v>7.3519808619029963</v>
      </c>
      <c r="AO1069" s="31">
        <v>4.9991933374869992</v>
      </c>
      <c r="AP1069" s="31">
        <v>8.9566194922022103E-3</v>
      </c>
      <c r="AQ1069" s="31">
        <v>6.090314070843982E-3</v>
      </c>
      <c r="AR1069" s="31">
        <v>0.13341858489683281</v>
      </c>
    </row>
    <row r="1070" spans="1:45" hidden="1" x14ac:dyDescent="0.5">
      <c r="A1070" s="31">
        <v>1069</v>
      </c>
      <c r="B1070" s="31">
        <v>68</v>
      </c>
      <c r="C1070" s="225" t="s">
        <v>9</v>
      </c>
      <c r="D1070" s="43">
        <v>29.573333000000002</v>
      </c>
      <c r="E1070" s="43">
        <v>48.043610999999999</v>
      </c>
      <c r="F1070">
        <v>0</v>
      </c>
      <c r="G1070">
        <f t="shared" si="11"/>
        <v>0</v>
      </c>
      <c r="H1070" s="32" t="s">
        <v>10</v>
      </c>
      <c r="I1070">
        <v>0</v>
      </c>
      <c r="J1070">
        <v>175.54610951874901</v>
      </c>
      <c r="K1070" s="27">
        <v>2018</v>
      </c>
      <c r="L1070" t="s">
        <v>11</v>
      </c>
      <c r="M1070" s="32">
        <v>250</v>
      </c>
      <c r="N1070">
        <v>30.131484459999999</v>
      </c>
      <c r="O1070">
        <v>5</v>
      </c>
      <c r="P1070" t="s">
        <v>12</v>
      </c>
      <c r="Q1070">
        <v>89</v>
      </c>
      <c r="R1070" t="s">
        <v>13</v>
      </c>
      <c r="S1070" t="s">
        <v>14</v>
      </c>
      <c r="T1070" t="s">
        <v>16</v>
      </c>
      <c r="U1070" s="34">
        <v>0</v>
      </c>
      <c r="V1070" s="34">
        <v>5</v>
      </c>
      <c r="W1070" s="25">
        <v>2.5</v>
      </c>
      <c r="X1070" s="25">
        <v>5</v>
      </c>
      <c r="Y1070">
        <v>1.2182593589999999</v>
      </c>
      <c r="Z1070" t="s">
        <v>787</v>
      </c>
      <c r="AA1070" t="s">
        <v>650</v>
      </c>
      <c r="AB1070">
        <v>1</v>
      </c>
      <c r="AC1070">
        <v>0</v>
      </c>
      <c r="AF1070" t="s">
        <v>533</v>
      </c>
      <c r="AG1070" s="32">
        <v>0</v>
      </c>
      <c r="AH1070" s="32" t="s">
        <v>671</v>
      </c>
      <c r="AI1070" s="32" t="s">
        <v>1129</v>
      </c>
      <c r="AJ1070" s="31" t="s">
        <v>1130</v>
      </c>
      <c r="AK1070" s="31">
        <v>0.59524549999999998</v>
      </c>
      <c r="AL1070" s="31">
        <v>0</v>
      </c>
      <c r="AM1070" s="31">
        <v>0</v>
      </c>
      <c r="AN1070" s="31">
        <v>0</v>
      </c>
      <c r="AO1070" s="31">
        <v>0</v>
      </c>
      <c r="AP1070" s="31">
        <v>0</v>
      </c>
      <c r="AQ1070" s="31">
        <v>0</v>
      </c>
      <c r="AR1070" s="31">
        <v>0.13341858489683281</v>
      </c>
    </row>
    <row r="1071" spans="1:45" hidden="1" x14ac:dyDescent="0.5">
      <c r="A1071" s="31">
        <v>1070</v>
      </c>
      <c r="B1071" s="31">
        <v>68</v>
      </c>
      <c r="C1071" s="225" t="s">
        <v>9</v>
      </c>
      <c r="D1071" s="43">
        <v>29.573611</v>
      </c>
      <c r="E1071" s="43">
        <v>47.960555999999997</v>
      </c>
      <c r="F1071">
        <v>0</v>
      </c>
      <c r="G1071">
        <f t="shared" si="11"/>
        <v>0</v>
      </c>
      <c r="H1071" s="32" t="s">
        <v>10</v>
      </c>
      <c r="I1071">
        <v>0</v>
      </c>
      <c r="J1071">
        <v>171.915107456763</v>
      </c>
      <c r="K1071" s="27">
        <v>2018</v>
      </c>
      <c r="L1071" t="s">
        <v>11</v>
      </c>
      <c r="M1071" s="32">
        <v>250</v>
      </c>
      <c r="N1071">
        <v>30.131484459999999</v>
      </c>
      <c r="O1071">
        <v>5</v>
      </c>
      <c r="P1071" t="s">
        <v>12</v>
      </c>
      <c r="Q1071">
        <v>89</v>
      </c>
      <c r="R1071" t="s">
        <v>13</v>
      </c>
      <c r="S1071" t="s">
        <v>14</v>
      </c>
      <c r="T1071" t="s">
        <v>16</v>
      </c>
      <c r="U1071" s="34">
        <v>0</v>
      </c>
      <c r="V1071" s="34">
        <v>5</v>
      </c>
      <c r="W1071" s="25">
        <v>2.5</v>
      </c>
      <c r="X1071" s="25">
        <v>5</v>
      </c>
      <c r="Y1071">
        <v>1.2182593589999999</v>
      </c>
      <c r="Z1071" t="s">
        <v>787</v>
      </c>
      <c r="AA1071" t="s">
        <v>650</v>
      </c>
      <c r="AB1071">
        <v>1</v>
      </c>
      <c r="AC1071">
        <v>1</v>
      </c>
      <c r="AF1071" t="s">
        <v>533</v>
      </c>
      <c r="AG1071" s="32" t="s">
        <v>2114</v>
      </c>
      <c r="AH1071" s="32" t="s">
        <v>671</v>
      </c>
      <c r="AI1071" s="32" t="s">
        <v>1129</v>
      </c>
      <c r="AJ1071" s="31" t="s">
        <v>1130</v>
      </c>
      <c r="AK1071" s="31">
        <v>0.59524549999999998</v>
      </c>
      <c r="AL1071" s="31">
        <v>0.10857850325595388</v>
      </c>
      <c r="AM1071" s="31">
        <v>7.383111303842195E-2</v>
      </c>
      <c r="AN1071" s="31">
        <v>3.6759904309514981</v>
      </c>
      <c r="AO1071" s="31">
        <v>2.4995966687434996</v>
      </c>
      <c r="AP1071" s="31">
        <v>4.4783097461011051E-3</v>
      </c>
      <c r="AQ1071" s="31">
        <v>3.045157035421991E-3</v>
      </c>
      <c r="AR1071" s="31">
        <v>0.13341858489683281</v>
      </c>
    </row>
    <row r="1072" spans="1:45" hidden="1" x14ac:dyDescent="0.5">
      <c r="A1072" s="31">
        <v>1071</v>
      </c>
      <c r="B1072" s="31">
        <v>69</v>
      </c>
      <c r="C1072" s="225" t="s">
        <v>9</v>
      </c>
      <c r="D1072" s="44">
        <v>36.0304833</v>
      </c>
      <c r="E1072" s="45">
        <v>120.250166666666</v>
      </c>
      <c r="F1072">
        <v>1.05</v>
      </c>
      <c r="G1072">
        <f t="shared" si="11"/>
        <v>1689.8112000000001</v>
      </c>
      <c r="H1072" s="32" t="s">
        <v>614</v>
      </c>
      <c r="I1072" s="7">
        <v>14</v>
      </c>
      <c r="J1072">
        <v>816.47083171684005</v>
      </c>
      <c r="K1072" s="26">
        <v>2017</v>
      </c>
      <c r="L1072" t="s">
        <v>40</v>
      </c>
      <c r="M1072" s="32">
        <v>300</v>
      </c>
      <c r="N1072">
        <v>36.542166029999997</v>
      </c>
      <c r="O1072">
        <v>3.7</v>
      </c>
      <c r="P1072" t="s">
        <v>23</v>
      </c>
      <c r="Q1072">
        <v>95.5</v>
      </c>
      <c r="R1072" t="s">
        <v>13</v>
      </c>
      <c r="S1072" t="s">
        <v>14</v>
      </c>
      <c r="T1072" t="s">
        <v>14</v>
      </c>
      <c r="U1072" s="34">
        <v>0</v>
      </c>
      <c r="V1072" s="34">
        <v>20</v>
      </c>
      <c r="W1072" s="25">
        <v>10</v>
      </c>
      <c r="X1072" s="25">
        <v>20</v>
      </c>
      <c r="Y1072">
        <v>0.61037440930769205</v>
      </c>
      <c r="Z1072" t="s">
        <v>812</v>
      </c>
      <c r="AA1072" t="s">
        <v>619</v>
      </c>
      <c r="AB1072">
        <v>1</v>
      </c>
      <c r="AC1072">
        <v>12</v>
      </c>
      <c r="AD1072">
        <v>3</v>
      </c>
      <c r="AE1072" t="s">
        <v>519</v>
      </c>
      <c r="AF1072" t="s">
        <v>532</v>
      </c>
      <c r="AG1072" s="32">
        <v>12</v>
      </c>
      <c r="AH1072" s="32" t="s">
        <v>1954</v>
      </c>
      <c r="AI1072" s="32">
        <v>11.1732</v>
      </c>
      <c r="AJ1072" s="31" t="s">
        <v>3157</v>
      </c>
      <c r="AK1072" s="31">
        <v>0.93110000000000004</v>
      </c>
      <c r="AL1072" s="31">
        <v>11.173200000000001</v>
      </c>
      <c r="AM1072" s="31">
        <v>0.82679999999999865</v>
      </c>
      <c r="AN1072" s="31">
        <v>427.53186333654031</v>
      </c>
      <c r="AO1072" s="31">
        <v>31.636715050894189</v>
      </c>
      <c r="AP1072" s="31">
        <v>0.26095450854425772</v>
      </c>
      <c r="AQ1072" s="31">
        <v>1.9310241261625311E-2</v>
      </c>
      <c r="AR1072" s="31">
        <v>0.13156023785613885</v>
      </c>
      <c r="AS1072" s="31">
        <f>AI1072*0.8</f>
        <v>8.9385600000000007</v>
      </c>
    </row>
    <row r="1073" spans="1:45" hidden="1" x14ac:dyDescent="0.5">
      <c r="A1073" s="31">
        <v>1072</v>
      </c>
      <c r="B1073" s="31">
        <v>69</v>
      </c>
      <c r="C1073" s="225" t="s">
        <v>9</v>
      </c>
      <c r="D1073" s="44">
        <v>36.0936667</v>
      </c>
      <c r="E1073" s="45">
        <v>120.25433333333299</v>
      </c>
      <c r="F1073">
        <v>2.4300000000000002</v>
      </c>
      <c r="G1073">
        <f t="shared" si="11"/>
        <v>3910.7059200000003</v>
      </c>
      <c r="H1073" s="32" t="s">
        <v>614</v>
      </c>
      <c r="I1073" s="7">
        <v>27</v>
      </c>
      <c r="J1073">
        <v>784.06206532698104</v>
      </c>
      <c r="K1073" s="26">
        <v>2017</v>
      </c>
      <c r="L1073" t="s">
        <v>40</v>
      </c>
      <c r="M1073" s="32">
        <v>300</v>
      </c>
      <c r="N1073">
        <v>36.542166029999997</v>
      </c>
      <c r="O1073">
        <v>3.7</v>
      </c>
      <c r="P1073" t="s">
        <v>23</v>
      </c>
      <c r="Q1073">
        <v>95.5</v>
      </c>
      <c r="R1073" t="s">
        <v>13</v>
      </c>
      <c r="S1073" t="s">
        <v>14</v>
      </c>
      <c r="T1073" t="s">
        <v>14</v>
      </c>
      <c r="U1073" s="34">
        <v>0</v>
      </c>
      <c r="V1073" s="34">
        <v>20</v>
      </c>
      <c r="W1073" s="25">
        <v>10</v>
      </c>
      <c r="X1073" s="25">
        <v>20</v>
      </c>
      <c r="Y1073">
        <v>0.61037440930769205</v>
      </c>
      <c r="Z1073" t="s">
        <v>812</v>
      </c>
      <c r="AA1073" t="s">
        <v>619</v>
      </c>
      <c r="AB1073">
        <v>1</v>
      </c>
      <c r="AC1073">
        <v>18</v>
      </c>
      <c r="AD1073">
        <v>3</v>
      </c>
      <c r="AE1073" t="s">
        <v>519</v>
      </c>
      <c r="AF1073" t="s">
        <v>532</v>
      </c>
      <c r="AG1073" s="32">
        <v>18</v>
      </c>
      <c r="AH1073" s="32" t="s">
        <v>1954</v>
      </c>
      <c r="AI1073" s="32">
        <v>16.759799999999998</v>
      </c>
      <c r="AJ1073" s="31" t="s">
        <v>3158</v>
      </c>
      <c r="AK1073" s="31">
        <v>0.93110000000000004</v>
      </c>
      <c r="AL1073" s="31">
        <v>16.759800000000002</v>
      </c>
      <c r="AM1073" s="31">
        <v>1.240199999999998</v>
      </c>
      <c r="AN1073" s="31">
        <v>641.2977950048105</v>
      </c>
      <c r="AO1073" s="31">
        <v>47.455072576341287</v>
      </c>
      <c r="AP1073" s="31">
        <v>0.39143176281638664</v>
      </c>
      <c r="AQ1073" s="31">
        <v>2.8965361892437969E-2</v>
      </c>
      <c r="AR1073" s="31">
        <v>0.12985781466577537</v>
      </c>
      <c r="AS1073" s="31">
        <f t="shared" ref="AS1073:AS1087" si="12">AI1073*0.8</f>
        <v>13.40784</v>
      </c>
    </row>
    <row r="1074" spans="1:45" hidden="1" x14ac:dyDescent="0.5">
      <c r="A1074" s="31">
        <v>1073</v>
      </c>
      <c r="B1074" s="31">
        <v>69</v>
      </c>
      <c r="C1074" s="225" t="s">
        <v>9</v>
      </c>
      <c r="D1074" s="44">
        <v>36.123166699999999</v>
      </c>
      <c r="E1074" s="45">
        <v>120.18233333333301</v>
      </c>
      <c r="F1074">
        <v>3.49</v>
      </c>
      <c r="G1074">
        <f t="shared" si="11"/>
        <v>5616.6105600000001</v>
      </c>
      <c r="H1074" s="32" t="s">
        <v>614</v>
      </c>
      <c r="I1074" s="7">
        <v>2</v>
      </c>
      <c r="J1074">
        <v>773.26784361296097</v>
      </c>
      <c r="K1074" s="26">
        <v>2017</v>
      </c>
      <c r="L1074" t="s">
        <v>40</v>
      </c>
      <c r="M1074" s="32">
        <v>300</v>
      </c>
      <c r="N1074">
        <v>36.542166029999997</v>
      </c>
      <c r="O1074">
        <v>3.7</v>
      </c>
      <c r="P1074" t="s">
        <v>23</v>
      </c>
      <c r="Q1074">
        <v>95.5</v>
      </c>
      <c r="R1074" t="s">
        <v>13</v>
      </c>
      <c r="S1074" t="s">
        <v>14</v>
      </c>
      <c r="T1074" t="s">
        <v>14</v>
      </c>
      <c r="U1074" s="34">
        <v>0</v>
      </c>
      <c r="V1074" s="34">
        <v>20</v>
      </c>
      <c r="W1074" s="25">
        <v>10</v>
      </c>
      <c r="X1074" s="25">
        <v>20</v>
      </c>
      <c r="Y1074">
        <v>0.61037440930769205</v>
      </c>
      <c r="Z1074" t="s">
        <v>812</v>
      </c>
      <c r="AA1074" t="s">
        <v>619</v>
      </c>
      <c r="AB1074">
        <v>1</v>
      </c>
      <c r="AC1074">
        <v>7</v>
      </c>
      <c r="AD1074">
        <v>3</v>
      </c>
      <c r="AE1074" t="s">
        <v>519</v>
      </c>
      <c r="AF1074" t="s">
        <v>532</v>
      </c>
      <c r="AG1074" s="32">
        <v>7</v>
      </c>
      <c r="AH1074" s="32" t="s">
        <v>1954</v>
      </c>
      <c r="AI1074" s="32">
        <v>6.5176999999999996</v>
      </c>
      <c r="AJ1074" s="31" t="s">
        <v>3159</v>
      </c>
      <c r="AK1074" s="31">
        <v>0.93110000000000004</v>
      </c>
      <c r="AL1074" s="31">
        <v>6.5177000000000005</v>
      </c>
      <c r="AM1074" s="31">
        <v>0.48229999999999951</v>
      </c>
      <c r="AN1074" s="31">
        <v>249.39358694631517</v>
      </c>
      <c r="AO1074" s="31">
        <v>18.454750446354954</v>
      </c>
      <c r="AP1074" s="31">
        <v>0.15222346331748365</v>
      </c>
      <c r="AQ1074" s="31">
        <v>1.1264307402614769E-2</v>
      </c>
      <c r="AR1074" s="31">
        <v>0.13315150818983643</v>
      </c>
      <c r="AS1074" s="31">
        <f t="shared" si="12"/>
        <v>5.2141599999999997</v>
      </c>
    </row>
    <row r="1075" spans="1:45" hidden="1" x14ac:dyDescent="0.5">
      <c r="A1075" s="31">
        <v>1074</v>
      </c>
      <c r="B1075" s="31">
        <v>69</v>
      </c>
      <c r="C1075" s="225" t="s">
        <v>9</v>
      </c>
      <c r="D1075" s="44">
        <v>36.1232167</v>
      </c>
      <c r="E1075" s="45">
        <v>120.22133333333301</v>
      </c>
      <c r="F1075">
        <v>5.51</v>
      </c>
      <c r="G1075">
        <f t="shared" si="11"/>
        <v>8867.4854400000004</v>
      </c>
      <c r="H1075" s="32" t="s">
        <v>614</v>
      </c>
      <c r="I1075" s="7">
        <v>6</v>
      </c>
      <c r="J1075">
        <v>771.60887316431297</v>
      </c>
      <c r="K1075" s="26">
        <v>2017</v>
      </c>
      <c r="L1075" t="s">
        <v>40</v>
      </c>
      <c r="M1075" s="32">
        <v>300</v>
      </c>
      <c r="N1075">
        <v>36.542166029999997</v>
      </c>
      <c r="O1075">
        <v>3.7</v>
      </c>
      <c r="P1075" t="s">
        <v>23</v>
      </c>
      <c r="Q1075">
        <v>95.5</v>
      </c>
      <c r="R1075" t="s">
        <v>13</v>
      </c>
      <c r="S1075" t="s">
        <v>14</v>
      </c>
      <c r="T1075" t="s">
        <v>14</v>
      </c>
      <c r="U1075" s="34">
        <v>0</v>
      </c>
      <c r="V1075" s="34">
        <v>20</v>
      </c>
      <c r="W1075" s="25">
        <v>10</v>
      </c>
      <c r="X1075" s="25">
        <v>20</v>
      </c>
      <c r="Y1075">
        <v>0.61037440930769205</v>
      </c>
      <c r="Z1075" t="s">
        <v>812</v>
      </c>
      <c r="AA1075" t="s">
        <v>619</v>
      </c>
      <c r="AB1075">
        <v>1</v>
      </c>
      <c r="AC1075">
        <v>17</v>
      </c>
      <c r="AD1075">
        <v>3</v>
      </c>
      <c r="AE1075" t="s">
        <v>519</v>
      </c>
      <c r="AF1075" t="s">
        <v>532</v>
      </c>
      <c r="AG1075" s="32">
        <v>17</v>
      </c>
      <c r="AH1075" s="32" t="s">
        <v>1954</v>
      </c>
      <c r="AI1075" s="32">
        <v>15.8287</v>
      </c>
      <c r="AJ1075" s="31" t="s">
        <v>3160</v>
      </c>
      <c r="AK1075" s="31">
        <v>0.93110000000000004</v>
      </c>
      <c r="AL1075" s="31">
        <v>15.828700000000001</v>
      </c>
      <c r="AM1075" s="31">
        <v>1.1712999999999987</v>
      </c>
      <c r="AN1075" s="31">
        <v>605.67013972676534</v>
      </c>
      <c r="AO1075" s="31">
        <v>44.818679655433449</v>
      </c>
      <c r="AP1075" s="31">
        <v>0.36968555377103168</v>
      </c>
      <c r="AQ1075" s="31">
        <v>2.7356175120635866E-2</v>
      </c>
      <c r="AR1075" s="31">
        <v>0.13261895760437328</v>
      </c>
      <c r="AS1075" s="31">
        <f t="shared" si="12"/>
        <v>12.66296</v>
      </c>
    </row>
    <row r="1076" spans="1:45" hidden="1" x14ac:dyDescent="0.5">
      <c r="A1076" s="31">
        <v>1075</v>
      </c>
      <c r="B1076" s="31">
        <v>69</v>
      </c>
      <c r="C1076" s="225" t="s">
        <v>9</v>
      </c>
      <c r="D1076" s="44">
        <v>36.1232167</v>
      </c>
      <c r="E1076" s="45">
        <v>120.2715</v>
      </c>
      <c r="F1076">
        <v>2.95</v>
      </c>
      <c r="G1076">
        <f t="shared" si="11"/>
        <v>4747.5648000000001</v>
      </c>
      <c r="H1076" s="32" t="s">
        <v>614</v>
      </c>
      <c r="I1076" s="7">
        <v>6</v>
      </c>
      <c r="J1076">
        <v>777.39686663015004</v>
      </c>
      <c r="K1076" s="26">
        <v>2017</v>
      </c>
      <c r="L1076" t="s">
        <v>40</v>
      </c>
      <c r="M1076" s="32">
        <v>300</v>
      </c>
      <c r="N1076">
        <v>36.542166029999997</v>
      </c>
      <c r="O1076">
        <v>3.7</v>
      </c>
      <c r="P1076" t="s">
        <v>23</v>
      </c>
      <c r="Q1076">
        <v>95.5</v>
      </c>
      <c r="R1076" t="s">
        <v>13</v>
      </c>
      <c r="S1076" t="s">
        <v>14</v>
      </c>
      <c r="T1076" t="s">
        <v>14</v>
      </c>
      <c r="U1076" s="34">
        <v>0</v>
      </c>
      <c r="V1076" s="34">
        <v>20</v>
      </c>
      <c r="W1076" s="25">
        <v>10</v>
      </c>
      <c r="X1076" s="25">
        <v>20</v>
      </c>
      <c r="Y1076">
        <v>0.61037440930769205</v>
      </c>
      <c r="Z1076" t="s">
        <v>812</v>
      </c>
      <c r="AA1076" t="s">
        <v>619</v>
      </c>
      <c r="AB1076">
        <v>1</v>
      </c>
      <c r="AC1076">
        <v>18</v>
      </c>
      <c r="AD1076">
        <v>3</v>
      </c>
      <c r="AE1076" t="s">
        <v>519</v>
      </c>
      <c r="AF1076" t="s">
        <v>532</v>
      </c>
      <c r="AG1076" s="32">
        <v>18</v>
      </c>
      <c r="AH1076" s="32" t="s">
        <v>1954</v>
      </c>
      <c r="AI1076" s="32">
        <v>16.759799999999998</v>
      </c>
      <c r="AJ1076" s="31" t="s">
        <v>3158</v>
      </c>
      <c r="AK1076" s="31">
        <v>0.93110000000000004</v>
      </c>
      <c r="AL1076" s="31">
        <v>16.759800000000002</v>
      </c>
      <c r="AM1076" s="31">
        <v>1.240199999999998</v>
      </c>
      <c r="AN1076" s="31">
        <v>641.2977950048105</v>
      </c>
      <c r="AO1076" s="31">
        <v>47.455072576341287</v>
      </c>
      <c r="AP1076" s="31">
        <v>0.39143176281638664</v>
      </c>
      <c r="AQ1076" s="31">
        <v>2.8965361892437969E-2</v>
      </c>
      <c r="AR1076" s="31">
        <v>0.13261895760437328</v>
      </c>
      <c r="AS1076" s="31">
        <f t="shared" si="12"/>
        <v>13.40784</v>
      </c>
    </row>
    <row r="1077" spans="1:45" hidden="1" x14ac:dyDescent="0.5">
      <c r="A1077" s="31">
        <v>1076</v>
      </c>
      <c r="B1077" s="31">
        <v>69</v>
      </c>
      <c r="C1077" s="225" t="s">
        <v>9</v>
      </c>
      <c r="D1077" s="44">
        <v>36.157649999999997</v>
      </c>
      <c r="E1077" s="45">
        <v>120.25083333333301</v>
      </c>
      <c r="F1077">
        <v>1.92</v>
      </c>
      <c r="G1077">
        <f t="shared" si="11"/>
        <v>3089.9404800000002</v>
      </c>
      <c r="H1077" s="32" t="s">
        <v>614</v>
      </c>
      <c r="I1077" s="7">
        <v>4</v>
      </c>
      <c r="J1077">
        <v>765.21029767686696</v>
      </c>
      <c r="K1077" s="26">
        <v>2017</v>
      </c>
      <c r="L1077" t="s">
        <v>40</v>
      </c>
      <c r="M1077" s="32">
        <v>300</v>
      </c>
      <c r="N1077">
        <v>36.542166029999997</v>
      </c>
      <c r="O1077">
        <v>3.7</v>
      </c>
      <c r="P1077" t="s">
        <v>23</v>
      </c>
      <c r="Q1077">
        <v>95.5</v>
      </c>
      <c r="R1077" t="s">
        <v>13</v>
      </c>
      <c r="S1077" t="s">
        <v>14</v>
      </c>
      <c r="T1077" t="s">
        <v>14</v>
      </c>
      <c r="U1077" s="34">
        <v>0</v>
      </c>
      <c r="V1077" s="34">
        <v>20</v>
      </c>
      <c r="W1077" s="25">
        <v>10</v>
      </c>
      <c r="X1077" s="25">
        <v>20</v>
      </c>
      <c r="Y1077">
        <v>0.61037440930769205</v>
      </c>
      <c r="Z1077" t="s">
        <v>812</v>
      </c>
      <c r="AA1077" t="s">
        <v>619</v>
      </c>
      <c r="AB1077">
        <v>1</v>
      </c>
      <c r="AC1077">
        <v>8</v>
      </c>
      <c r="AD1077">
        <v>3</v>
      </c>
      <c r="AE1077" t="s">
        <v>519</v>
      </c>
      <c r="AF1077" t="s">
        <v>532</v>
      </c>
      <c r="AG1077" s="32">
        <v>8</v>
      </c>
      <c r="AH1077" s="32" t="s">
        <v>1954</v>
      </c>
      <c r="AI1077" s="32">
        <v>7.4488000000000003</v>
      </c>
      <c r="AJ1077" s="31" t="s">
        <v>3161</v>
      </c>
      <c r="AK1077" s="31">
        <v>0.93110000000000004</v>
      </c>
      <c r="AL1077" s="31">
        <v>7.4488000000000003</v>
      </c>
      <c r="AM1077" s="31">
        <v>0.55119999999999969</v>
      </c>
      <c r="AN1077" s="31">
        <v>285.02124222436021</v>
      </c>
      <c r="AO1077" s="31">
        <v>21.091143367262813</v>
      </c>
      <c r="AP1077" s="31">
        <v>0.17396967236283847</v>
      </c>
      <c r="AQ1077" s="31">
        <v>1.2873494174416886E-2</v>
      </c>
      <c r="AR1077" s="31">
        <v>0.13288496611575845</v>
      </c>
      <c r="AS1077" s="31">
        <f t="shared" si="12"/>
        <v>5.9590400000000008</v>
      </c>
    </row>
    <row r="1078" spans="1:45" hidden="1" x14ac:dyDescent="0.5">
      <c r="A1078" s="31">
        <v>1077</v>
      </c>
      <c r="B1078" s="31">
        <v>69</v>
      </c>
      <c r="C1078" s="225" t="s">
        <v>9</v>
      </c>
      <c r="D1078" s="44">
        <v>36.158549999999998</v>
      </c>
      <c r="E1078" s="45">
        <v>120.29216666666601</v>
      </c>
      <c r="F1078">
        <v>1.6</v>
      </c>
      <c r="G1078">
        <f t="shared" si="11"/>
        <v>2574.9504000000002</v>
      </c>
      <c r="H1078" s="32" t="s">
        <v>614</v>
      </c>
      <c r="I1078" s="7">
        <v>2</v>
      </c>
      <c r="J1078">
        <v>768.46241741946903</v>
      </c>
      <c r="K1078" s="26">
        <v>2017</v>
      </c>
      <c r="L1078" t="s">
        <v>40</v>
      </c>
      <c r="M1078" s="32">
        <v>300</v>
      </c>
      <c r="N1078">
        <v>36.542166029999997</v>
      </c>
      <c r="O1078">
        <v>3.7</v>
      </c>
      <c r="P1078" t="s">
        <v>23</v>
      </c>
      <c r="Q1078">
        <v>95.5</v>
      </c>
      <c r="R1078" t="s">
        <v>13</v>
      </c>
      <c r="S1078" t="s">
        <v>14</v>
      </c>
      <c r="T1078" t="s">
        <v>14</v>
      </c>
      <c r="U1078" s="34">
        <v>0</v>
      </c>
      <c r="V1078" s="34">
        <v>20</v>
      </c>
      <c r="W1078" s="25">
        <v>10</v>
      </c>
      <c r="X1078" s="25">
        <v>20</v>
      </c>
      <c r="Y1078">
        <v>0.61037440930769205</v>
      </c>
      <c r="Z1078" t="s">
        <v>812</v>
      </c>
      <c r="AA1078" t="s">
        <v>619</v>
      </c>
      <c r="AB1078">
        <v>1</v>
      </c>
      <c r="AC1078">
        <v>12</v>
      </c>
      <c r="AD1078">
        <v>3</v>
      </c>
      <c r="AE1078" t="s">
        <v>519</v>
      </c>
      <c r="AF1078" t="s">
        <v>532</v>
      </c>
      <c r="AG1078" s="32">
        <v>12</v>
      </c>
      <c r="AH1078" s="32" t="s">
        <v>1954</v>
      </c>
      <c r="AI1078" s="32">
        <v>11.1732</v>
      </c>
      <c r="AJ1078" s="31" t="s">
        <v>3157</v>
      </c>
      <c r="AK1078" s="31">
        <v>0.93110000000000004</v>
      </c>
      <c r="AL1078" s="31">
        <v>11.173200000000001</v>
      </c>
      <c r="AM1078" s="31">
        <v>0.82679999999999865</v>
      </c>
      <c r="AN1078" s="31">
        <v>427.53186333654031</v>
      </c>
      <c r="AO1078" s="31">
        <v>31.636715050894189</v>
      </c>
      <c r="AP1078" s="31">
        <v>0.26095450854425772</v>
      </c>
      <c r="AQ1078" s="31">
        <v>1.9310241261625311E-2</v>
      </c>
      <c r="AR1078" s="31">
        <v>0.13315150818983643</v>
      </c>
      <c r="AS1078" s="31">
        <f t="shared" si="12"/>
        <v>8.9385600000000007</v>
      </c>
    </row>
    <row r="1079" spans="1:45" hidden="1" x14ac:dyDescent="0.5">
      <c r="A1079" s="31">
        <v>1078</v>
      </c>
      <c r="B1079" s="31">
        <v>69</v>
      </c>
      <c r="C1079" s="225" t="s">
        <v>9</v>
      </c>
      <c r="D1079" s="44">
        <v>36.0883167</v>
      </c>
      <c r="E1079" s="45">
        <v>120.299833333333</v>
      </c>
      <c r="F1079">
        <v>0.78</v>
      </c>
      <c r="G1079">
        <f t="shared" si="11"/>
        <v>1255.2883200000001</v>
      </c>
      <c r="H1079" s="32" t="s">
        <v>47</v>
      </c>
      <c r="I1079" s="7">
        <v>10</v>
      </c>
      <c r="J1079">
        <v>792.31850094712604</v>
      </c>
      <c r="K1079" s="26">
        <v>2017</v>
      </c>
      <c r="L1079" t="s">
        <v>40</v>
      </c>
      <c r="M1079" s="32">
        <v>300</v>
      </c>
      <c r="N1079">
        <v>36.542166029999997</v>
      </c>
      <c r="O1079">
        <v>3.7</v>
      </c>
      <c r="P1079" t="s">
        <v>23</v>
      </c>
      <c r="Q1079">
        <v>95.5</v>
      </c>
      <c r="R1079" t="s">
        <v>13</v>
      </c>
      <c r="S1079" t="s">
        <v>14</v>
      </c>
      <c r="T1079" t="s">
        <v>14</v>
      </c>
      <c r="U1079" s="34">
        <v>0</v>
      </c>
      <c r="V1079" s="34">
        <v>20</v>
      </c>
      <c r="W1079" s="25">
        <v>10</v>
      </c>
      <c r="X1079" s="25">
        <v>20</v>
      </c>
      <c r="Y1079">
        <v>0.61037440930769205</v>
      </c>
      <c r="Z1079" t="s">
        <v>812</v>
      </c>
      <c r="AA1079" t="s">
        <v>619</v>
      </c>
      <c r="AB1079">
        <v>1</v>
      </c>
      <c r="AC1079">
        <v>25</v>
      </c>
      <c r="AD1079">
        <v>5</v>
      </c>
      <c r="AE1079" t="s">
        <v>519</v>
      </c>
      <c r="AF1079" t="s">
        <v>532</v>
      </c>
      <c r="AG1079" s="32">
        <v>25</v>
      </c>
      <c r="AH1079" s="32" t="s">
        <v>1954</v>
      </c>
      <c r="AI1079" s="32">
        <v>23.2775</v>
      </c>
      <c r="AJ1079" s="31" t="s">
        <v>3162</v>
      </c>
      <c r="AK1079" s="31">
        <v>0.93110000000000004</v>
      </c>
      <c r="AL1079" s="31">
        <v>23.2775</v>
      </c>
      <c r="AM1079" s="31">
        <v>1.7225000000000001</v>
      </c>
      <c r="AN1079" s="31">
        <v>890.69138195112566</v>
      </c>
      <c r="AO1079" s="31">
        <v>65.90982302269633</v>
      </c>
      <c r="AP1079" s="31">
        <v>0.54365522613387018</v>
      </c>
      <c r="AQ1079" s="31">
        <v>4.022966929505279E-2</v>
      </c>
      <c r="AR1079" s="31">
        <v>0.13208853699948581</v>
      </c>
      <c r="AS1079" s="31">
        <f t="shared" si="12"/>
        <v>18.622</v>
      </c>
    </row>
    <row r="1080" spans="1:45" hidden="1" x14ac:dyDescent="0.5">
      <c r="A1080" s="31">
        <v>1079</v>
      </c>
      <c r="B1080" s="31">
        <v>69</v>
      </c>
      <c r="C1080" s="225" t="s">
        <v>9</v>
      </c>
      <c r="D1080" s="44">
        <v>36.123249999999999</v>
      </c>
      <c r="E1080" s="45">
        <v>120.321166666666</v>
      </c>
      <c r="F1080">
        <v>0.65</v>
      </c>
      <c r="G1080">
        <f t="shared" si="11"/>
        <v>1046.0736000000002</v>
      </c>
      <c r="H1080" s="32" t="s">
        <v>47</v>
      </c>
      <c r="I1080" s="7">
        <v>5</v>
      </c>
      <c r="J1080">
        <v>785.80589078573303</v>
      </c>
      <c r="K1080" s="26">
        <v>2017</v>
      </c>
      <c r="L1080" t="s">
        <v>40</v>
      </c>
      <c r="M1080" s="32">
        <v>300</v>
      </c>
      <c r="N1080">
        <v>36.542166029999997</v>
      </c>
      <c r="O1080">
        <v>3.7</v>
      </c>
      <c r="P1080" t="s">
        <v>23</v>
      </c>
      <c r="Q1080">
        <v>95.5</v>
      </c>
      <c r="R1080" t="s">
        <v>13</v>
      </c>
      <c r="S1080" t="s">
        <v>14</v>
      </c>
      <c r="T1080" t="s">
        <v>14</v>
      </c>
      <c r="U1080" s="34">
        <v>0</v>
      </c>
      <c r="V1080" s="34">
        <v>20</v>
      </c>
      <c r="W1080" s="25">
        <v>10</v>
      </c>
      <c r="X1080" s="25">
        <v>20</v>
      </c>
      <c r="Y1080">
        <v>0.61037440930769205</v>
      </c>
      <c r="Z1080" t="s">
        <v>812</v>
      </c>
      <c r="AA1080" t="s">
        <v>619</v>
      </c>
      <c r="AB1080">
        <v>1</v>
      </c>
      <c r="AC1080">
        <v>23</v>
      </c>
      <c r="AD1080">
        <v>3</v>
      </c>
      <c r="AE1080" t="s">
        <v>519</v>
      </c>
      <c r="AF1080" t="s">
        <v>532</v>
      </c>
      <c r="AG1080" s="32">
        <v>23</v>
      </c>
      <c r="AH1080" s="32" t="s">
        <v>1954</v>
      </c>
      <c r="AI1080" s="32">
        <v>21.415299999999998</v>
      </c>
      <c r="AJ1080" s="31" t="s">
        <v>3163</v>
      </c>
      <c r="AK1080" s="31">
        <v>0.93110000000000004</v>
      </c>
      <c r="AL1080" s="31">
        <v>21.415300000000002</v>
      </c>
      <c r="AM1080" s="31">
        <v>1.584699999999998</v>
      </c>
      <c r="AN1080" s="31">
        <v>819.43607139503558</v>
      </c>
      <c r="AO1080" s="31">
        <v>60.637037180880547</v>
      </c>
      <c r="AP1080" s="31">
        <v>0.5001628080431606</v>
      </c>
      <c r="AQ1080" s="31">
        <v>3.7011295751448521E-2</v>
      </c>
      <c r="AR1080" s="31">
        <v>0.13275189523153463</v>
      </c>
      <c r="AS1080" s="31">
        <f t="shared" si="12"/>
        <v>17.132239999999999</v>
      </c>
    </row>
    <row r="1081" spans="1:45" hidden="1" x14ac:dyDescent="0.5">
      <c r="A1081" s="31">
        <v>1080</v>
      </c>
      <c r="B1081" s="31">
        <v>69</v>
      </c>
      <c r="C1081" s="225" t="s">
        <v>9</v>
      </c>
      <c r="D1081" s="44">
        <v>36.158016699999997</v>
      </c>
      <c r="E1081" s="45">
        <v>120.335333333333</v>
      </c>
      <c r="F1081">
        <v>0.84</v>
      </c>
      <c r="G1081">
        <f t="shared" si="11"/>
        <v>1351.84896</v>
      </c>
      <c r="H1081" s="32" t="s">
        <v>47</v>
      </c>
      <c r="I1081" s="7">
        <v>4</v>
      </c>
      <c r="J1081">
        <v>772.47345849696296</v>
      </c>
      <c r="K1081" s="26">
        <v>2017</v>
      </c>
      <c r="L1081" t="s">
        <v>40</v>
      </c>
      <c r="M1081" s="32">
        <v>300</v>
      </c>
      <c r="N1081">
        <v>36.542166029999997</v>
      </c>
      <c r="O1081">
        <v>3.7</v>
      </c>
      <c r="P1081" t="s">
        <v>23</v>
      </c>
      <c r="Q1081">
        <v>95.5</v>
      </c>
      <c r="R1081" t="s">
        <v>13</v>
      </c>
      <c r="S1081" t="s">
        <v>14</v>
      </c>
      <c r="T1081" t="s">
        <v>14</v>
      </c>
      <c r="U1081" s="34">
        <v>0</v>
      </c>
      <c r="V1081" s="34">
        <v>20</v>
      </c>
      <c r="W1081" s="25">
        <v>10</v>
      </c>
      <c r="X1081" s="25">
        <v>20</v>
      </c>
      <c r="Y1081">
        <v>0.61037440930769205</v>
      </c>
      <c r="Z1081" t="s">
        <v>812</v>
      </c>
      <c r="AA1081" t="s">
        <v>619</v>
      </c>
      <c r="AB1081">
        <v>1</v>
      </c>
      <c r="AC1081">
        <v>18</v>
      </c>
      <c r="AD1081">
        <v>3</v>
      </c>
      <c r="AE1081" t="s">
        <v>519</v>
      </c>
      <c r="AF1081" t="s">
        <v>532</v>
      </c>
      <c r="AG1081" s="32">
        <v>18</v>
      </c>
      <c r="AH1081" s="32" t="s">
        <v>1954</v>
      </c>
      <c r="AI1081" s="32">
        <v>16.759799999999998</v>
      </c>
      <c r="AJ1081" s="31" t="s">
        <v>3158</v>
      </c>
      <c r="AK1081" s="31">
        <v>0.93110000000000004</v>
      </c>
      <c r="AL1081" s="31">
        <v>16.759800000000002</v>
      </c>
      <c r="AM1081" s="31">
        <v>1.240199999999998</v>
      </c>
      <c r="AN1081" s="31">
        <v>641.2977950048105</v>
      </c>
      <c r="AO1081" s="31">
        <v>47.455072576341287</v>
      </c>
      <c r="AP1081" s="31">
        <v>0.39143176281638664</v>
      </c>
      <c r="AQ1081" s="31">
        <v>2.8965361892437969E-2</v>
      </c>
      <c r="AR1081" s="31">
        <v>0.13288496611575845</v>
      </c>
      <c r="AS1081" s="31">
        <f t="shared" si="12"/>
        <v>13.40784</v>
      </c>
    </row>
    <row r="1082" spans="1:45" hidden="1" x14ac:dyDescent="0.5">
      <c r="A1082" s="31">
        <v>1081</v>
      </c>
      <c r="B1082" s="31">
        <v>69</v>
      </c>
      <c r="C1082" s="225" t="s">
        <v>9</v>
      </c>
      <c r="D1082" s="44">
        <v>36.159799999999997</v>
      </c>
      <c r="E1082" s="45">
        <v>120.219833333333</v>
      </c>
      <c r="F1082">
        <v>2.29</v>
      </c>
      <c r="G1082">
        <f t="shared" si="11"/>
        <v>3685.3977600000003</v>
      </c>
      <c r="H1082" s="32" t="s">
        <v>47</v>
      </c>
      <c r="I1082" s="7">
        <v>3</v>
      </c>
      <c r="J1082">
        <v>760.50136696052903</v>
      </c>
      <c r="K1082" s="26">
        <v>2017</v>
      </c>
      <c r="L1082" t="s">
        <v>40</v>
      </c>
      <c r="M1082" s="32">
        <v>300</v>
      </c>
      <c r="N1082">
        <v>36.542166029999997</v>
      </c>
      <c r="O1082">
        <v>3.7</v>
      </c>
      <c r="P1082" t="s">
        <v>23</v>
      </c>
      <c r="Q1082">
        <v>95.5</v>
      </c>
      <c r="R1082" t="s">
        <v>13</v>
      </c>
      <c r="S1082" t="s">
        <v>14</v>
      </c>
      <c r="T1082" t="s">
        <v>14</v>
      </c>
      <c r="U1082" s="34">
        <v>0</v>
      </c>
      <c r="V1082" s="34">
        <v>20</v>
      </c>
      <c r="W1082" s="25">
        <v>10</v>
      </c>
      <c r="X1082" s="25">
        <v>20</v>
      </c>
      <c r="Y1082">
        <v>0.61037440930769205</v>
      </c>
      <c r="Z1082" t="s">
        <v>812</v>
      </c>
      <c r="AA1082" t="s">
        <v>619</v>
      </c>
      <c r="AB1082">
        <v>1</v>
      </c>
      <c r="AC1082">
        <v>7</v>
      </c>
      <c r="AD1082">
        <v>3</v>
      </c>
      <c r="AE1082" t="s">
        <v>519</v>
      </c>
      <c r="AF1082" t="s">
        <v>532</v>
      </c>
      <c r="AG1082" s="32">
        <v>7</v>
      </c>
      <c r="AH1082" s="32" t="s">
        <v>1954</v>
      </c>
      <c r="AI1082" s="32">
        <v>6.5176999999999996</v>
      </c>
      <c r="AJ1082" s="31" t="s">
        <v>3159</v>
      </c>
      <c r="AK1082" s="31">
        <v>0.93110000000000004</v>
      </c>
      <c r="AL1082" s="31">
        <v>6.5177000000000005</v>
      </c>
      <c r="AM1082" s="31">
        <v>0.48229999999999951</v>
      </c>
      <c r="AN1082" s="31">
        <v>249.39358694631517</v>
      </c>
      <c r="AO1082" s="31">
        <v>18.454750446354954</v>
      </c>
      <c r="AP1082" s="31">
        <v>0.15222346331748365</v>
      </c>
      <c r="AQ1082" s="31">
        <v>1.1264307402614769E-2</v>
      </c>
      <c r="AR1082" s="31">
        <v>0.13301817039062197</v>
      </c>
      <c r="AS1082" s="31">
        <f t="shared" si="12"/>
        <v>5.2141599999999997</v>
      </c>
    </row>
    <row r="1083" spans="1:45" hidden="1" x14ac:dyDescent="0.5">
      <c r="A1083" s="31">
        <v>1082</v>
      </c>
      <c r="B1083" s="31">
        <v>69</v>
      </c>
      <c r="C1083" s="225" t="s">
        <v>9</v>
      </c>
      <c r="D1083" s="44">
        <v>36.182283300000002</v>
      </c>
      <c r="E1083" s="45">
        <v>120.322666666666</v>
      </c>
      <c r="F1083">
        <v>0.31</v>
      </c>
      <c r="G1083">
        <f t="shared" si="11"/>
        <v>498.89663999999999</v>
      </c>
      <c r="H1083" s="32" t="s">
        <v>47</v>
      </c>
      <c r="I1083" s="7">
        <v>3</v>
      </c>
      <c r="J1083">
        <v>762.32551539423901</v>
      </c>
      <c r="K1083" s="26">
        <v>2017</v>
      </c>
      <c r="L1083" t="s">
        <v>40</v>
      </c>
      <c r="M1083" s="32">
        <v>300</v>
      </c>
      <c r="N1083">
        <v>36.542166029999997</v>
      </c>
      <c r="O1083">
        <v>3.7</v>
      </c>
      <c r="P1083" t="s">
        <v>23</v>
      </c>
      <c r="Q1083">
        <v>95.5</v>
      </c>
      <c r="R1083" t="s">
        <v>13</v>
      </c>
      <c r="S1083" t="s">
        <v>14</v>
      </c>
      <c r="T1083" t="s">
        <v>14</v>
      </c>
      <c r="U1083" s="34">
        <v>0</v>
      </c>
      <c r="V1083" s="34">
        <v>20</v>
      </c>
      <c r="W1083" s="25">
        <v>10</v>
      </c>
      <c r="X1083" s="25">
        <v>20</v>
      </c>
      <c r="Y1083">
        <v>0.61037440930769205</v>
      </c>
      <c r="Z1083" t="s">
        <v>812</v>
      </c>
      <c r="AA1083" t="s">
        <v>619</v>
      </c>
      <c r="AB1083">
        <v>1</v>
      </c>
      <c r="AC1083">
        <v>18</v>
      </c>
      <c r="AD1083">
        <v>3</v>
      </c>
      <c r="AE1083" t="s">
        <v>519</v>
      </c>
      <c r="AF1083" t="s">
        <v>532</v>
      </c>
      <c r="AG1083" s="32">
        <v>18</v>
      </c>
      <c r="AH1083" s="32" t="s">
        <v>1954</v>
      </c>
      <c r="AI1083" s="32">
        <v>16.759799999999998</v>
      </c>
      <c r="AJ1083" s="31" t="s">
        <v>3158</v>
      </c>
      <c r="AK1083" s="31">
        <v>0.93110000000000004</v>
      </c>
      <c r="AL1083" s="31">
        <v>16.759800000000002</v>
      </c>
      <c r="AM1083" s="31">
        <v>1.240199999999998</v>
      </c>
      <c r="AN1083" s="31">
        <v>641.2977950048105</v>
      </c>
      <c r="AO1083" s="31">
        <v>47.455072576341287</v>
      </c>
      <c r="AP1083" s="31">
        <v>0.39143176281638664</v>
      </c>
      <c r="AQ1083" s="31">
        <v>2.8965361892437969E-2</v>
      </c>
      <c r="AR1083" s="31">
        <v>0.13301817039062197</v>
      </c>
      <c r="AS1083" s="31">
        <f t="shared" si="12"/>
        <v>13.40784</v>
      </c>
    </row>
    <row r="1084" spans="1:45" hidden="1" x14ac:dyDescent="0.5">
      <c r="A1084" s="31">
        <v>1083</v>
      </c>
      <c r="B1084" s="31">
        <v>69</v>
      </c>
      <c r="C1084" s="225" t="s">
        <v>9</v>
      </c>
      <c r="D1084" s="32">
        <v>36.103898999999998</v>
      </c>
      <c r="E1084" s="38">
        <v>120.11225399999999</v>
      </c>
      <c r="F1084">
        <v>0.02</v>
      </c>
      <c r="G1084">
        <f t="shared" si="11"/>
        <v>32.186880000000002</v>
      </c>
      <c r="H1084" s="32" t="s">
        <v>45</v>
      </c>
      <c r="I1084" s="7">
        <v>26</v>
      </c>
      <c r="J1084">
        <v>784.13180532917795</v>
      </c>
      <c r="K1084" s="26">
        <v>2017</v>
      </c>
      <c r="L1084" t="s">
        <v>11</v>
      </c>
      <c r="M1084" s="32">
        <v>300</v>
      </c>
      <c r="N1084">
        <v>36.542166029999997</v>
      </c>
      <c r="O1084">
        <v>3.7</v>
      </c>
      <c r="P1084" t="s">
        <v>23</v>
      </c>
      <c r="Q1084">
        <v>95.5</v>
      </c>
      <c r="S1084" t="s">
        <v>14</v>
      </c>
      <c r="T1084" t="s">
        <v>14</v>
      </c>
      <c r="U1084" s="34">
        <v>0</v>
      </c>
      <c r="V1084" s="34">
        <v>10</v>
      </c>
      <c r="W1084" s="25">
        <v>5</v>
      </c>
      <c r="X1084" s="25">
        <v>10</v>
      </c>
      <c r="Y1084">
        <v>0.61037440930769205</v>
      </c>
      <c r="Z1084" t="s">
        <v>812</v>
      </c>
      <c r="AA1084" t="s">
        <v>619</v>
      </c>
      <c r="AB1084">
        <v>1</v>
      </c>
      <c r="AC1084">
        <v>43</v>
      </c>
      <c r="AD1084">
        <v>10</v>
      </c>
      <c r="AE1084" t="s">
        <v>519</v>
      </c>
      <c r="AF1084" t="s">
        <v>532</v>
      </c>
      <c r="AG1084" s="32">
        <v>43</v>
      </c>
      <c r="AH1084" s="32" t="s">
        <v>1954</v>
      </c>
      <c r="AI1084" s="32">
        <v>40.037300000000002</v>
      </c>
      <c r="AJ1084" s="31" t="s">
        <v>3164</v>
      </c>
      <c r="AK1084" s="31">
        <v>0.93110000000000004</v>
      </c>
      <c r="AL1084" s="31">
        <v>40.037300000000002</v>
      </c>
      <c r="AM1084" s="31">
        <v>2.9626999999999981</v>
      </c>
      <c r="AN1084" s="31">
        <v>1531.9891769559363</v>
      </c>
      <c r="AO1084" s="31">
        <v>113.36489559903762</v>
      </c>
      <c r="AP1084" s="31">
        <v>0.93508698895025688</v>
      </c>
      <c r="AQ1084" s="31">
        <v>6.9195031187490763E-2</v>
      </c>
      <c r="AR1084" s="31">
        <v>0.12998798451525895</v>
      </c>
      <c r="AS1084" s="31">
        <f t="shared" si="12"/>
        <v>32.02984</v>
      </c>
    </row>
    <row r="1085" spans="1:45" hidden="1" x14ac:dyDescent="0.5">
      <c r="A1085" s="31">
        <v>1084</v>
      </c>
      <c r="B1085" s="31">
        <v>69</v>
      </c>
      <c r="C1085" s="225" t="s">
        <v>9</v>
      </c>
      <c r="D1085" s="32">
        <v>36.179698999999999</v>
      </c>
      <c r="E1085" s="38">
        <v>120.13865300000001</v>
      </c>
      <c r="F1085">
        <v>0.11</v>
      </c>
      <c r="G1085">
        <f t="shared" si="11"/>
        <v>177.02784</v>
      </c>
      <c r="H1085" s="32" t="s">
        <v>45</v>
      </c>
      <c r="I1085" s="7">
        <v>16</v>
      </c>
      <c r="J1085">
        <v>765.89473044642102</v>
      </c>
      <c r="K1085" s="26">
        <v>2017</v>
      </c>
      <c r="L1085" t="s">
        <v>11</v>
      </c>
      <c r="M1085" s="32">
        <v>300</v>
      </c>
      <c r="N1085">
        <v>36.542166029999997</v>
      </c>
      <c r="O1085">
        <v>3.7</v>
      </c>
      <c r="P1085" t="s">
        <v>23</v>
      </c>
      <c r="Q1085">
        <v>95.5</v>
      </c>
      <c r="S1085" t="s">
        <v>14</v>
      </c>
      <c r="T1085" t="s">
        <v>14</v>
      </c>
      <c r="U1085" s="34">
        <v>0</v>
      </c>
      <c r="V1085" s="34">
        <v>10</v>
      </c>
      <c r="W1085" s="25">
        <v>5</v>
      </c>
      <c r="X1085" s="25">
        <v>10</v>
      </c>
      <c r="Y1085">
        <v>0.61037440930769205</v>
      </c>
      <c r="Z1085" t="s">
        <v>812</v>
      </c>
      <c r="AA1085" t="s">
        <v>619</v>
      </c>
      <c r="AB1085">
        <v>1</v>
      </c>
      <c r="AC1085">
        <v>22</v>
      </c>
      <c r="AD1085">
        <v>3</v>
      </c>
      <c r="AE1085" t="s">
        <v>519</v>
      </c>
      <c r="AF1085" t="s">
        <v>532</v>
      </c>
      <c r="AG1085" s="32">
        <v>22</v>
      </c>
      <c r="AH1085" s="32" t="s">
        <v>1954</v>
      </c>
      <c r="AI1085" s="32">
        <v>20.484200000000001</v>
      </c>
      <c r="AJ1085" s="31" t="s">
        <v>3165</v>
      </c>
      <c r="AK1085" s="31">
        <v>0.93110000000000004</v>
      </c>
      <c r="AL1085" s="31">
        <v>20.484200000000001</v>
      </c>
      <c r="AM1085" s="31">
        <v>1.5157999999999987</v>
      </c>
      <c r="AN1085" s="31">
        <v>783.80841611699066</v>
      </c>
      <c r="AO1085" s="31">
        <v>58.000644259972724</v>
      </c>
      <c r="AP1085" s="31">
        <v>0.47841659899780586</v>
      </c>
      <c r="AQ1085" s="31">
        <v>3.5402108979646428E-2</v>
      </c>
      <c r="AR1085" s="31">
        <v>0.13129688117966493</v>
      </c>
      <c r="AS1085" s="31">
        <f t="shared" si="12"/>
        <v>16.387360000000001</v>
      </c>
    </row>
    <row r="1086" spans="1:45" hidden="1" x14ac:dyDescent="0.5">
      <c r="A1086" s="31">
        <v>1085</v>
      </c>
      <c r="B1086" s="31">
        <v>69</v>
      </c>
      <c r="C1086" s="225" t="s">
        <v>9</v>
      </c>
      <c r="D1086" s="32">
        <v>36.255127999999999</v>
      </c>
      <c r="E1086" s="38">
        <v>120.325998</v>
      </c>
      <c r="F1086">
        <v>0.1</v>
      </c>
      <c r="G1086">
        <f t="shared" si="11"/>
        <v>160.93440000000001</v>
      </c>
      <c r="H1086" s="32" t="s">
        <v>45</v>
      </c>
      <c r="I1086" s="7">
        <v>0</v>
      </c>
      <c r="J1086">
        <v>740.26925253116997</v>
      </c>
      <c r="K1086" s="26">
        <v>2017</v>
      </c>
      <c r="L1086" t="s">
        <v>11</v>
      </c>
      <c r="M1086" s="32">
        <v>300</v>
      </c>
      <c r="N1086">
        <v>36.542166029999997</v>
      </c>
      <c r="O1086">
        <v>3.7</v>
      </c>
      <c r="P1086" t="s">
        <v>23</v>
      </c>
      <c r="Q1086">
        <v>95.5</v>
      </c>
      <c r="S1086" t="s">
        <v>14</v>
      </c>
      <c r="T1086" t="s">
        <v>14</v>
      </c>
      <c r="U1086" s="34">
        <v>0</v>
      </c>
      <c r="V1086" s="34">
        <v>10</v>
      </c>
      <c r="W1086" s="25">
        <v>5</v>
      </c>
      <c r="X1086" s="25">
        <v>10</v>
      </c>
      <c r="Y1086">
        <v>0.61037440930769205</v>
      </c>
      <c r="Z1086" t="s">
        <v>812</v>
      </c>
      <c r="AA1086" t="s">
        <v>619</v>
      </c>
      <c r="AB1086">
        <v>1</v>
      </c>
      <c r="AC1086">
        <v>20</v>
      </c>
      <c r="AD1086">
        <v>5</v>
      </c>
      <c r="AE1086" t="s">
        <v>519</v>
      </c>
      <c r="AF1086" t="s">
        <v>532</v>
      </c>
      <c r="AG1086" s="32">
        <v>20</v>
      </c>
      <c r="AH1086" s="32" t="s">
        <v>1954</v>
      </c>
      <c r="AI1086" s="32">
        <v>18.622</v>
      </c>
      <c r="AJ1086" s="31" t="s">
        <v>3166</v>
      </c>
      <c r="AK1086" s="31">
        <v>0.93110000000000004</v>
      </c>
      <c r="AL1086" s="31">
        <v>18.622</v>
      </c>
      <c r="AM1086" s="31">
        <v>1.3780000000000001</v>
      </c>
      <c r="AN1086" s="31">
        <v>712.55310556090046</v>
      </c>
      <c r="AO1086" s="31">
        <v>52.727858418157069</v>
      </c>
      <c r="AP1086" s="31">
        <v>0.43492418090709617</v>
      </c>
      <c r="AQ1086" s="31">
        <v>3.2183735436042235E-2</v>
      </c>
      <c r="AR1086" s="31">
        <v>0.13341858489683281</v>
      </c>
      <c r="AS1086" s="31">
        <f t="shared" si="12"/>
        <v>14.897600000000001</v>
      </c>
    </row>
    <row r="1087" spans="1:45" hidden="1" x14ac:dyDescent="0.5">
      <c r="A1087" s="31">
        <v>1086</v>
      </c>
      <c r="B1087" s="31">
        <v>69</v>
      </c>
      <c r="C1087" s="225" t="s">
        <v>9</v>
      </c>
      <c r="D1087" s="32">
        <v>36.255898999999999</v>
      </c>
      <c r="E1087" s="38">
        <v>120.320267</v>
      </c>
      <c r="F1087">
        <v>0.28000000000000003</v>
      </c>
      <c r="G1087">
        <f t="shared" si="11"/>
        <v>450.61632000000003</v>
      </c>
      <c r="H1087" s="32" t="s">
        <v>45</v>
      </c>
      <c r="I1087" s="7">
        <v>36</v>
      </c>
      <c r="J1087">
        <v>739.90717442506195</v>
      </c>
      <c r="K1087" s="26">
        <v>2017</v>
      </c>
      <c r="L1087" t="s">
        <v>11</v>
      </c>
      <c r="M1087" s="32">
        <v>300</v>
      </c>
      <c r="N1087">
        <v>36.542166029999997</v>
      </c>
      <c r="O1087">
        <v>3.7</v>
      </c>
      <c r="P1087" t="s">
        <v>23</v>
      </c>
      <c r="Q1087">
        <v>95.5</v>
      </c>
      <c r="S1087" t="s">
        <v>14</v>
      </c>
      <c r="T1087" t="s">
        <v>14</v>
      </c>
      <c r="U1087" s="34">
        <v>0</v>
      </c>
      <c r="V1087" s="34">
        <v>10</v>
      </c>
      <c r="W1087" s="25">
        <v>5</v>
      </c>
      <c r="X1087" s="25">
        <v>10</v>
      </c>
      <c r="Y1087">
        <v>0.61037440930769205</v>
      </c>
      <c r="Z1087" t="s">
        <v>812</v>
      </c>
      <c r="AA1087" t="s">
        <v>619</v>
      </c>
      <c r="AB1087">
        <v>1</v>
      </c>
      <c r="AC1087">
        <v>13</v>
      </c>
      <c r="AD1087">
        <v>3</v>
      </c>
      <c r="AE1087" t="s">
        <v>519</v>
      </c>
      <c r="AF1087" t="s">
        <v>532</v>
      </c>
      <c r="AG1087" s="32">
        <v>13</v>
      </c>
      <c r="AH1087" s="32" t="s">
        <v>1954</v>
      </c>
      <c r="AI1087" s="32">
        <v>12.1043</v>
      </c>
      <c r="AJ1087" s="31" t="s">
        <v>3167</v>
      </c>
      <c r="AK1087" s="31">
        <v>0.93110000000000004</v>
      </c>
      <c r="AL1087" s="31">
        <v>12.1043</v>
      </c>
      <c r="AM1087" s="31">
        <v>0.89569999999999972</v>
      </c>
      <c r="AN1087" s="31">
        <v>463.15951861458535</v>
      </c>
      <c r="AO1087" s="31">
        <v>34.273107971802084</v>
      </c>
      <c r="AP1087" s="31">
        <v>0.28270071758961257</v>
      </c>
      <c r="AQ1087" s="31">
        <v>2.0919428033427445E-2</v>
      </c>
      <c r="AR1087" s="31">
        <v>0.12869213622231998</v>
      </c>
      <c r="AS1087" s="31">
        <f t="shared" si="12"/>
        <v>9.6834400000000009</v>
      </c>
    </row>
    <row r="1088" spans="1:45" hidden="1" x14ac:dyDescent="0.5">
      <c r="A1088" s="31">
        <v>1087</v>
      </c>
      <c r="B1088" s="31">
        <v>70</v>
      </c>
      <c r="C1088" s="225" t="s">
        <v>32</v>
      </c>
      <c r="D1088" s="44">
        <v>27.73</v>
      </c>
      <c r="E1088" s="45">
        <v>-82.7</v>
      </c>
      <c r="F1088">
        <v>0.42</v>
      </c>
      <c r="G1088">
        <f t="shared" si="11"/>
        <v>675.92448000000002</v>
      </c>
      <c r="H1088" s="32" t="s">
        <v>45</v>
      </c>
      <c r="I1088">
        <v>2.6</v>
      </c>
      <c r="J1088">
        <v>316.05540344047301</v>
      </c>
      <c r="K1088" s="26">
        <v>2017</v>
      </c>
      <c r="L1088" t="s">
        <v>40</v>
      </c>
      <c r="M1088" s="32">
        <v>53</v>
      </c>
      <c r="N1088">
        <v>5.8382658770000004</v>
      </c>
      <c r="P1088" t="s">
        <v>15</v>
      </c>
      <c r="Q1088">
        <v>98</v>
      </c>
      <c r="R1088" t="s">
        <v>13</v>
      </c>
      <c r="S1088" t="s">
        <v>16</v>
      </c>
      <c r="T1088" t="s">
        <v>14</v>
      </c>
      <c r="U1088" s="34">
        <v>0</v>
      </c>
      <c r="V1088" s="34">
        <v>10</v>
      </c>
      <c r="W1088" s="25">
        <v>5</v>
      </c>
      <c r="X1088" s="25">
        <v>10</v>
      </c>
      <c r="Y1088">
        <v>2.2504034769999999</v>
      </c>
      <c r="Z1088" t="s">
        <v>1121</v>
      </c>
      <c r="AA1088" t="s">
        <v>622</v>
      </c>
      <c r="AB1088">
        <v>1</v>
      </c>
      <c r="AC1088">
        <v>380</v>
      </c>
      <c r="AF1088" t="s">
        <v>532</v>
      </c>
      <c r="AG1088" s="32">
        <v>380</v>
      </c>
      <c r="AH1088" s="32" t="s">
        <v>2118</v>
      </c>
      <c r="AI1088" s="32" t="s">
        <v>2119</v>
      </c>
      <c r="AJ1088" s="31" t="s">
        <v>3168</v>
      </c>
      <c r="AK1088" s="31">
        <v>0.56000000000000005</v>
      </c>
      <c r="AL1088" s="31">
        <v>212.8</v>
      </c>
      <c r="AM1088" s="31">
        <v>167.2</v>
      </c>
      <c r="AN1088" s="31">
        <v>1267.7377332914286</v>
      </c>
      <c r="AO1088" s="31">
        <v>996.07964758612241</v>
      </c>
      <c r="AP1088" s="31">
        <v>2.8529214029231293</v>
      </c>
      <c r="AQ1088" s="31">
        <v>2.2415811022967445</v>
      </c>
      <c r="AR1088" s="31">
        <v>0.13307148947989328</v>
      </c>
    </row>
    <row r="1089" spans="1:44" hidden="1" x14ac:dyDescent="0.5">
      <c r="A1089" s="31">
        <v>1088</v>
      </c>
      <c r="B1089" s="31">
        <v>70</v>
      </c>
      <c r="C1089" s="225" t="s">
        <v>32</v>
      </c>
      <c r="D1089" s="44">
        <v>27.9528</v>
      </c>
      <c r="E1089" s="45">
        <v>-82.641599999999997</v>
      </c>
      <c r="F1089">
        <v>3.3</v>
      </c>
      <c r="G1089">
        <f t="shared" si="11"/>
        <v>5310.8351999999995</v>
      </c>
      <c r="H1089" s="32" t="s">
        <v>45</v>
      </c>
      <c r="I1089">
        <v>3.4</v>
      </c>
      <c r="J1089">
        <v>283.36950028569902</v>
      </c>
      <c r="K1089" s="26">
        <v>2017</v>
      </c>
      <c r="L1089" t="s">
        <v>40</v>
      </c>
      <c r="M1089" s="32">
        <v>53</v>
      </c>
      <c r="N1089">
        <v>5.8382658770000004</v>
      </c>
      <c r="P1089" t="s">
        <v>15</v>
      </c>
      <c r="Q1089">
        <v>98</v>
      </c>
      <c r="R1089" t="s">
        <v>13</v>
      </c>
      <c r="S1089" t="s">
        <v>16</v>
      </c>
      <c r="T1089" t="s">
        <v>14</v>
      </c>
      <c r="U1089" s="34">
        <v>0</v>
      </c>
      <c r="V1089" s="34">
        <v>10</v>
      </c>
      <c r="W1089" s="25">
        <v>5</v>
      </c>
      <c r="X1089" s="25">
        <v>10</v>
      </c>
      <c r="Y1089">
        <v>0.87880280200000005</v>
      </c>
      <c r="Z1089" t="s">
        <v>1121</v>
      </c>
      <c r="AA1089" t="s">
        <v>622</v>
      </c>
      <c r="AB1089">
        <v>1</v>
      </c>
      <c r="AC1089">
        <v>180</v>
      </c>
      <c r="AF1089" t="s">
        <v>532</v>
      </c>
      <c r="AG1089" s="32">
        <v>180</v>
      </c>
      <c r="AH1089" s="32" t="s">
        <v>2118</v>
      </c>
      <c r="AI1089" s="32" t="s">
        <v>2120</v>
      </c>
      <c r="AJ1089" s="31" t="s">
        <v>3169</v>
      </c>
      <c r="AK1089" s="31">
        <v>0.56000000000000005</v>
      </c>
      <c r="AL1089" s="31">
        <v>100.80000000000001</v>
      </c>
      <c r="AM1089" s="31">
        <v>79.199999999999989</v>
      </c>
      <c r="AN1089" s="31">
        <v>600.50734734857156</v>
      </c>
      <c r="AO1089" s="31">
        <v>471.82720148816327</v>
      </c>
      <c r="AP1089" s="31">
        <v>0.52772753947151196</v>
      </c>
      <c r="AQ1089" s="31">
        <v>0.41464306672761647</v>
      </c>
      <c r="AR1089" s="31">
        <v>0.13296487266524529</v>
      </c>
    </row>
    <row r="1090" spans="1:44" hidden="1" x14ac:dyDescent="0.5">
      <c r="A1090" s="31">
        <v>1089</v>
      </c>
      <c r="B1090" s="31">
        <v>70</v>
      </c>
      <c r="C1090" s="225" t="s">
        <v>32</v>
      </c>
      <c r="D1090" s="44">
        <v>27.611000000000001</v>
      </c>
      <c r="E1090" s="45">
        <v>-82.781999999999996</v>
      </c>
      <c r="F1090">
        <v>2.78</v>
      </c>
      <c r="G1090">
        <f t="shared" si="11"/>
        <v>4473.9763199999998</v>
      </c>
      <c r="H1090" s="32" t="s">
        <v>45</v>
      </c>
      <c r="I1090">
        <v>3.6</v>
      </c>
      <c r="J1090">
        <v>355.73437753907501</v>
      </c>
      <c r="K1090" s="26">
        <v>2017</v>
      </c>
      <c r="L1090" t="s">
        <v>40</v>
      </c>
      <c r="M1090" s="32">
        <v>53</v>
      </c>
      <c r="N1090">
        <v>5.8382658770000004</v>
      </c>
      <c r="P1090" t="s">
        <v>15</v>
      </c>
      <c r="Q1090">
        <v>98</v>
      </c>
      <c r="R1090" t="s">
        <v>13</v>
      </c>
      <c r="S1090" t="s">
        <v>16</v>
      </c>
      <c r="T1090" t="s">
        <v>14</v>
      </c>
      <c r="U1090" s="34">
        <v>0</v>
      </c>
      <c r="V1090" s="34">
        <v>10</v>
      </c>
      <c r="W1090" s="25">
        <v>5</v>
      </c>
      <c r="X1090" s="25">
        <v>10</v>
      </c>
      <c r="Y1090">
        <v>2.2504034769999999</v>
      </c>
      <c r="Z1090" t="s">
        <v>1121</v>
      </c>
      <c r="AA1090" t="s">
        <v>622</v>
      </c>
      <c r="AB1090">
        <v>1</v>
      </c>
      <c r="AC1090">
        <v>200</v>
      </c>
      <c r="AF1090" t="s">
        <v>532</v>
      </c>
      <c r="AG1090" s="32">
        <v>200</v>
      </c>
      <c r="AH1090" s="32" t="s">
        <v>2118</v>
      </c>
      <c r="AI1090" s="32">
        <v>112.00000000000001</v>
      </c>
      <c r="AJ1090" s="31">
        <v>87.999999999999986</v>
      </c>
      <c r="AK1090" s="31">
        <v>0.56000000000000005</v>
      </c>
      <c r="AL1090" s="31">
        <v>112.00000000000001</v>
      </c>
      <c r="AM1090" s="31">
        <v>87.999999999999986</v>
      </c>
      <c r="AN1090" s="31">
        <v>667.2303859428572</v>
      </c>
      <c r="AO1090" s="31">
        <v>524.25244609795914</v>
      </c>
      <c r="AP1090" s="31">
        <v>1.5015375804858577</v>
      </c>
      <c r="AQ1090" s="31">
        <v>1.1797795275246024</v>
      </c>
      <c r="AR1090" s="31">
        <v>0.13293823181134226</v>
      </c>
    </row>
    <row r="1091" spans="1:44" hidden="1" x14ac:dyDescent="0.5">
      <c r="A1091" s="31">
        <v>1090</v>
      </c>
      <c r="B1091" s="31">
        <v>70</v>
      </c>
      <c r="C1091" s="225" t="s">
        <v>32</v>
      </c>
      <c r="D1091" s="44">
        <v>27.811800000000002</v>
      </c>
      <c r="E1091" s="45">
        <v>-82.523200000000003</v>
      </c>
      <c r="F1091">
        <v>1.34</v>
      </c>
      <c r="G1091">
        <f t="shared" si="11"/>
        <v>2156.5209600000003</v>
      </c>
      <c r="H1091" s="32" t="s">
        <v>45</v>
      </c>
      <c r="I1091">
        <v>4</v>
      </c>
      <c r="J1091">
        <v>268.548353405201</v>
      </c>
      <c r="K1091" s="26">
        <v>2017</v>
      </c>
      <c r="L1091" t="s">
        <v>40</v>
      </c>
      <c r="M1091" s="32">
        <v>53</v>
      </c>
      <c r="N1091">
        <v>5.8382658770000004</v>
      </c>
      <c r="P1091" t="s">
        <v>15</v>
      </c>
      <c r="Q1091">
        <v>98</v>
      </c>
      <c r="R1091" t="s">
        <v>13</v>
      </c>
      <c r="S1091" t="s">
        <v>16</v>
      </c>
      <c r="T1091" t="s">
        <v>14</v>
      </c>
      <c r="U1091" s="34">
        <v>0</v>
      </c>
      <c r="V1091" s="34">
        <v>10</v>
      </c>
      <c r="W1091" s="25">
        <v>5</v>
      </c>
      <c r="X1091" s="25">
        <v>10</v>
      </c>
      <c r="Y1091">
        <v>2.2504034769999999</v>
      </c>
      <c r="Z1091" t="s">
        <v>1121</v>
      </c>
      <c r="AA1091" t="s">
        <v>622</v>
      </c>
      <c r="AB1091">
        <v>1</v>
      </c>
      <c r="AC1091">
        <v>30</v>
      </c>
      <c r="AF1091" t="s">
        <v>532</v>
      </c>
      <c r="AG1091" s="32">
        <v>30</v>
      </c>
      <c r="AH1091" s="32" t="s">
        <v>2118</v>
      </c>
      <c r="AI1091" s="32" t="s">
        <v>2121</v>
      </c>
      <c r="AJ1091" s="31" t="s">
        <v>3170</v>
      </c>
      <c r="AK1091" s="31">
        <v>0.56000000000000005</v>
      </c>
      <c r="AL1091" s="31">
        <v>16.8</v>
      </c>
      <c r="AM1091" s="31">
        <v>13.2</v>
      </c>
      <c r="AN1091" s="31">
        <v>100.08455789142859</v>
      </c>
      <c r="AO1091" s="31">
        <v>78.637866914693873</v>
      </c>
      <c r="AP1091" s="31">
        <v>0.22523063707287866</v>
      </c>
      <c r="AQ1091" s="31">
        <v>0.17696692912869036</v>
      </c>
      <c r="AR1091" s="31">
        <v>0.13288496611575845</v>
      </c>
    </row>
    <row r="1092" spans="1:44" hidden="1" x14ac:dyDescent="0.5">
      <c r="A1092" s="31">
        <v>1091</v>
      </c>
      <c r="B1092" s="31">
        <v>70</v>
      </c>
      <c r="C1092" s="225" t="s">
        <v>32</v>
      </c>
      <c r="D1092" s="44">
        <v>27.708400000000001</v>
      </c>
      <c r="E1092" s="45">
        <v>-82.609200000000001</v>
      </c>
      <c r="F1092">
        <v>1.48</v>
      </c>
      <c r="G1092">
        <f t="shared" si="11"/>
        <v>2381.8291199999999</v>
      </c>
      <c r="H1092" s="32" t="s">
        <v>45</v>
      </c>
      <c r="I1092">
        <v>5.3</v>
      </c>
      <c r="J1092">
        <v>294.82204215818803</v>
      </c>
      <c r="K1092" s="26">
        <v>2017</v>
      </c>
      <c r="L1092" t="s">
        <v>40</v>
      </c>
      <c r="M1092" s="32">
        <v>53</v>
      </c>
      <c r="N1092">
        <v>5.8382658770000004</v>
      </c>
      <c r="P1092" t="s">
        <v>15</v>
      </c>
      <c r="Q1092">
        <v>98</v>
      </c>
      <c r="R1092" t="s">
        <v>13</v>
      </c>
      <c r="S1092" t="s">
        <v>16</v>
      </c>
      <c r="T1092" t="s">
        <v>14</v>
      </c>
      <c r="U1092" s="34">
        <v>0</v>
      </c>
      <c r="V1092" s="34">
        <v>10</v>
      </c>
      <c r="W1092" s="25">
        <v>5</v>
      </c>
      <c r="X1092" s="25">
        <v>10</v>
      </c>
      <c r="Y1092">
        <v>2.2504034769999999</v>
      </c>
      <c r="Z1092" t="s">
        <v>1121</v>
      </c>
      <c r="AA1092" t="s">
        <v>622</v>
      </c>
      <c r="AB1092">
        <v>1</v>
      </c>
      <c r="AC1092">
        <v>40</v>
      </c>
      <c r="AF1092" t="s">
        <v>532</v>
      </c>
      <c r="AG1092" s="32">
        <v>40</v>
      </c>
      <c r="AH1092" s="32" t="s">
        <v>2118</v>
      </c>
      <c r="AI1092" s="32" t="s">
        <v>2122</v>
      </c>
      <c r="AJ1092" s="31" t="s">
        <v>3171</v>
      </c>
      <c r="AK1092" s="31">
        <v>0.56000000000000005</v>
      </c>
      <c r="AL1092" s="31">
        <v>22.400000000000002</v>
      </c>
      <c r="AM1092" s="31">
        <v>17.599999999999998</v>
      </c>
      <c r="AN1092" s="31">
        <v>133.44607718857145</v>
      </c>
      <c r="AO1092" s="31">
        <v>104.85048921959184</v>
      </c>
      <c r="AP1092" s="31">
        <v>0.3003075160971716</v>
      </c>
      <c r="AQ1092" s="31">
        <v>0.23595590550492046</v>
      </c>
      <c r="AR1092" s="31">
        <v>0.13271199995746893</v>
      </c>
    </row>
    <row r="1093" spans="1:44" hidden="1" x14ac:dyDescent="0.5">
      <c r="A1093" s="31">
        <v>1092</v>
      </c>
      <c r="B1093" s="31">
        <v>70</v>
      </c>
      <c r="C1093" s="225" t="s">
        <v>32</v>
      </c>
      <c r="D1093" s="44">
        <v>27.6279</v>
      </c>
      <c r="E1093" s="45">
        <v>-82.641499999999994</v>
      </c>
      <c r="F1093">
        <v>4.63</v>
      </c>
      <c r="G1093">
        <f t="shared" si="11"/>
        <v>7451.2627199999997</v>
      </c>
      <c r="H1093" s="32" t="s">
        <v>45</v>
      </c>
      <c r="I1093">
        <v>8.4</v>
      </c>
      <c r="J1093">
        <v>309.66896055262902</v>
      </c>
      <c r="K1093" s="26">
        <v>2017</v>
      </c>
      <c r="L1093" t="s">
        <v>40</v>
      </c>
      <c r="M1093" s="32">
        <v>53</v>
      </c>
      <c r="N1093">
        <v>5.8382658770000004</v>
      </c>
      <c r="P1093" t="s">
        <v>15</v>
      </c>
      <c r="Q1093">
        <v>98</v>
      </c>
      <c r="R1093" t="s">
        <v>13</v>
      </c>
      <c r="S1093" t="s">
        <v>16</v>
      </c>
      <c r="T1093" t="s">
        <v>14</v>
      </c>
      <c r="U1093" s="34">
        <v>0</v>
      </c>
      <c r="V1093" s="34">
        <v>10</v>
      </c>
      <c r="W1093" s="25">
        <v>5</v>
      </c>
      <c r="X1093" s="25">
        <v>10</v>
      </c>
      <c r="Y1093">
        <v>2.2504034769999999</v>
      </c>
      <c r="Z1093" t="s">
        <v>1121</v>
      </c>
      <c r="AA1093" t="s">
        <v>622</v>
      </c>
      <c r="AB1093">
        <v>1</v>
      </c>
      <c r="AC1093">
        <v>110</v>
      </c>
      <c r="AF1093" t="s">
        <v>532</v>
      </c>
      <c r="AG1093" s="32">
        <v>110</v>
      </c>
      <c r="AH1093" s="32" t="s">
        <v>2118</v>
      </c>
      <c r="AI1093" s="32" t="s">
        <v>2123</v>
      </c>
      <c r="AJ1093" s="31" t="s">
        <v>1964</v>
      </c>
      <c r="AK1093" s="31">
        <v>0.56000000000000005</v>
      </c>
      <c r="AL1093" s="31">
        <v>61.600000000000009</v>
      </c>
      <c r="AM1093" s="31">
        <v>48.399999999999991</v>
      </c>
      <c r="AN1093" s="31">
        <v>366.97671226857153</v>
      </c>
      <c r="AO1093" s="31">
        <v>288.3388453538775</v>
      </c>
      <c r="AP1093" s="31">
        <v>0.82584566926722192</v>
      </c>
      <c r="AQ1093" s="31">
        <v>0.6488787401385312</v>
      </c>
      <c r="AR1093" s="31">
        <v>0.13230045018975467</v>
      </c>
    </row>
    <row r="1094" spans="1:44" hidden="1" x14ac:dyDescent="0.5">
      <c r="A1094" s="31">
        <v>1093</v>
      </c>
      <c r="B1094" s="31">
        <v>70</v>
      </c>
      <c r="C1094" s="225" t="s">
        <v>32</v>
      </c>
      <c r="D1094" s="44">
        <v>27.852399999999999</v>
      </c>
      <c r="E1094" s="45">
        <v>-82.409300000000002</v>
      </c>
      <c r="F1094">
        <v>0.45</v>
      </c>
      <c r="G1094">
        <f t="shared" si="11"/>
        <v>724.20480000000009</v>
      </c>
      <c r="H1094" s="32" t="s">
        <v>45</v>
      </c>
      <c r="I1094">
        <v>8.9</v>
      </c>
      <c r="J1094">
        <v>252.76674513301199</v>
      </c>
      <c r="K1094" s="26">
        <v>2017</v>
      </c>
      <c r="L1094" t="s">
        <v>40</v>
      </c>
      <c r="M1094" s="32">
        <v>53</v>
      </c>
      <c r="N1094">
        <v>5.8382658770000004</v>
      </c>
      <c r="P1094" t="s">
        <v>15</v>
      </c>
      <c r="Q1094">
        <v>98</v>
      </c>
      <c r="R1094" t="s">
        <v>13</v>
      </c>
      <c r="S1094" t="s">
        <v>16</v>
      </c>
      <c r="T1094" t="s">
        <v>14</v>
      </c>
      <c r="U1094" s="34">
        <v>0</v>
      </c>
      <c r="V1094" s="34">
        <v>10</v>
      </c>
      <c r="W1094" s="25">
        <v>5</v>
      </c>
      <c r="X1094" s="25">
        <v>10</v>
      </c>
      <c r="Y1094">
        <v>2.2504034769999999</v>
      </c>
      <c r="Z1094" t="s">
        <v>1121</v>
      </c>
      <c r="AA1094" t="s">
        <v>622</v>
      </c>
      <c r="AB1094">
        <v>1</v>
      </c>
      <c r="AC1094">
        <v>60</v>
      </c>
      <c r="AF1094" t="s">
        <v>532</v>
      </c>
      <c r="AG1094" s="32">
        <v>60</v>
      </c>
      <c r="AH1094" s="32" t="s">
        <v>2118</v>
      </c>
      <c r="AI1094" s="32" t="s">
        <v>2124</v>
      </c>
      <c r="AJ1094" s="31" t="s">
        <v>3172</v>
      </c>
      <c r="AK1094" s="31">
        <v>0.56000000000000005</v>
      </c>
      <c r="AL1094" s="31">
        <v>33.6</v>
      </c>
      <c r="AM1094" s="31">
        <v>26.4</v>
      </c>
      <c r="AN1094" s="31">
        <v>200.16911578285718</v>
      </c>
      <c r="AO1094" s="31">
        <v>157.27573382938775</v>
      </c>
      <c r="AP1094" s="31">
        <v>0.45046127414575732</v>
      </c>
      <c r="AQ1094" s="31">
        <v>0.35393385825738072</v>
      </c>
      <c r="AR1094" s="31">
        <v>0.13223419082232862</v>
      </c>
    </row>
    <row r="1095" spans="1:44" hidden="1" x14ac:dyDescent="0.5">
      <c r="A1095" s="31">
        <v>1094</v>
      </c>
      <c r="B1095" s="31">
        <v>70</v>
      </c>
      <c r="C1095" s="225" t="s">
        <v>32</v>
      </c>
      <c r="D1095" s="44">
        <v>27.940950000000001</v>
      </c>
      <c r="E1095" s="45">
        <v>-82.444967000000005</v>
      </c>
      <c r="F1095">
        <v>0.13</v>
      </c>
      <c r="G1095">
        <f t="shared" si="11"/>
        <v>209.21472</v>
      </c>
      <c r="H1095" s="32" t="s">
        <v>45</v>
      </c>
      <c r="I1095">
        <v>10.5</v>
      </c>
      <c r="J1095">
        <v>253.22408211807101</v>
      </c>
      <c r="K1095" s="26">
        <v>2017</v>
      </c>
      <c r="L1095" t="s">
        <v>40</v>
      </c>
      <c r="M1095" s="32">
        <v>53</v>
      </c>
      <c r="N1095">
        <v>5.8382658770000004</v>
      </c>
      <c r="P1095" t="s">
        <v>15</v>
      </c>
      <c r="Q1095">
        <v>98</v>
      </c>
      <c r="R1095" t="s">
        <v>13</v>
      </c>
      <c r="S1095" t="s">
        <v>16</v>
      </c>
      <c r="T1095" t="s">
        <v>14</v>
      </c>
      <c r="U1095" s="34">
        <v>0</v>
      </c>
      <c r="V1095" s="34">
        <v>10</v>
      </c>
      <c r="W1095" s="25">
        <v>5</v>
      </c>
      <c r="X1095" s="25">
        <v>10</v>
      </c>
      <c r="Y1095">
        <v>0.87880280200000005</v>
      </c>
      <c r="Z1095" t="s">
        <v>1121</v>
      </c>
      <c r="AA1095" t="s">
        <v>622</v>
      </c>
      <c r="AB1095">
        <v>1</v>
      </c>
      <c r="AC1095">
        <v>790</v>
      </c>
      <c r="AF1095" t="s">
        <v>532</v>
      </c>
      <c r="AG1095" s="32">
        <v>790</v>
      </c>
      <c r="AH1095" s="32" t="s">
        <v>2118</v>
      </c>
      <c r="AI1095" s="32" t="s">
        <v>2125</v>
      </c>
      <c r="AJ1095" s="31" t="s">
        <v>3173</v>
      </c>
      <c r="AK1095" s="31">
        <v>0.56000000000000005</v>
      </c>
      <c r="AL1095" s="31">
        <v>442.40000000000003</v>
      </c>
      <c r="AM1095" s="31">
        <v>347.59999999999997</v>
      </c>
      <c r="AN1095" s="31">
        <v>2635.5600244742859</v>
      </c>
      <c r="AO1095" s="31">
        <v>2070.7971620869384</v>
      </c>
      <c r="AP1095" s="31">
        <v>2.3161375343471913</v>
      </c>
      <c r="AQ1095" s="31">
        <v>1.8198223484156497</v>
      </c>
      <c r="AR1095" s="31">
        <v>0.13202238376347447</v>
      </c>
    </row>
    <row r="1096" spans="1:44" hidden="1" x14ac:dyDescent="0.5">
      <c r="A1096" s="31">
        <v>1095</v>
      </c>
      <c r="B1096" s="31">
        <v>70</v>
      </c>
      <c r="C1096" s="225" t="s">
        <v>32</v>
      </c>
      <c r="D1096" s="32">
        <v>27.855567000000001</v>
      </c>
      <c r="E1096" s="38">
        <v>-82.392267000000004</v>
      </c>
      <c r="F1096">
        <v>0.09</v>
      </c>
      <c r="G1096">
        <f t="shared" si="11"/>
        <v>144.84096</v>
      </c>
      <c r="H1096" s="32" t="s">
        <v>45</v>
      </c>
      <c r="I1096">
        <v>11</v>
      </c>
      <c r="J1096">
        <v>251.171432355268</v>
      </c>
      <c r="K1096" s="26">
        <v>2017</v>
      </c>
      <c r="L1096" t="s">
        <v>40</v>
      </c>
      <c r="M1096" s="32">
        <v>53</v>
      </c>
      <c r="N1096">
        <v>5.8382658770000004</v>
      </c>
      <c r="P1096" t="s">
        <v>15</v>
      </c>
      <c r="Q1096">
        <v>98</v>
      </c>
      <c r="R1096" t="s">
        <v>13</v>
      </c>
      <c r="S1096" t="s">
        <v>16</v>
      </c>
      <c r="T1096" t="s">
        <v>14</v>
      </c>
      <c r="U1096" s="34">
        <v>0</v>
      </c>
      <c r="V1096" s="34">
        <v>10</v>
      </c>
      <c r="W1096" s="25">
        <v>5</v>
      </c>
      <c r="X1096" s="25">
        <v>10</v>
      </c>
      <c r="Y1096">
        <v>2.2504034769999999</v>
      </c>
      <c r="Z1096" t="s">
        <v>1121</v>
      </c>
      <c r="AA1096" t="s">
        <v>622</v>
      </c>
      <c r="AB1096">
        <v>1</v>
      </c>
      <c r="AC1096">
        <v>720</v>
      </c>
      <c r="AF1096" t="s">
        <v>532</v>
      </c>
      <c r="AG1096" s="32">
        <v>720</v>
      </c>
      <c r="AH1096" s="32" t="s">
        <v>2118</v>
      </c>
      <c r="AI1096" s="32" t="s">
        <v>2126</v>
      </c>
      <c r="AJ1096" s="31" t="s">
        <v>3174</v>
      </c>
      <c r="AK1096" s="31">
        <v>0.56000000000000005</v>
      </c>
      <c r="AL1096" s="31">
        <v>403.20000000000005</v>
      </c>
      <c r="AM1096" s="31">
        <v>316.79999999999995</v>
      </c>
      <c r="AN1096" s="31">
        <v>2402.0293893942862</v>
      </c>
      <c r="AO1096" s="31">
        <v>1887.3088059526531</v>
      </c>
      <c r="AP1096" s="31">
        <v>5.4055352897490883</v>
      </c>
      <c r="AQ1096" s="31">
        <v>4.2472062990885684</v>
      </c>
      <c r="AR1096" s="31">
        <v>0.13195626365865479</v>
      </c>
    </row>
    <row r="1097" spans="1:44" hidden="1" x14ac:dyDescent="0.5">
      <c r="A1097" s="31">
        <v>1096</v>
      </c>
      <c r="B1097" s="31">
        <v>71</v>
      </c>
      <c r="C1097" s="225" t="s">
        <v>9</v>
      </c>
      <c r="D1097" s="44">
        <v>26.5388889</v>
      </c>
      <c r="E1097" s="45">
        <v>55.608055555555502</v>
      </c>
      <c r="F1097">
        <v>6.86</v>
      </c>
      <c r="G1097">
        <f t="shared" si="11"/>
        <v>11040.099840000001</v>
      </c>
      <c r="H1097" s="32" t="s">
        <v>49</v>
      </c>
      <c r="I1097" s="7">
        <v>0</v>
      </c>
      <c r="J1097">
        <v>38.432703416451297</v>
      </c>
      <c r="K1097" s="26">
        <v>2017</v>
      </c>
      <c r="L1097" t="s">
        <v>11</v>
      </c>
      <c r="M1097" s="32">
        <v>10</v>
      </c>
      <c r="N1097">
        <v>0.99999999799999995</v>
      </c>
      <c r="O1097">
        <v>1</v>
      </c>
      <c r="P1097" t="s">
        <v>15</v>
      </c>
      <c r="Q1097">
        <v>91.3</v>
      </c>
      <c r="R1097" t="s">
        <v>13</v>
      </c>
      <c r="S1097" t="s">
        <v>14</v>
      </c>
      <c r="T1097" t="s">
        <v>14</v>
      </c>
      <c r="U1097" s="34">
        <v>0</v>
      </c>
      <c r="V1097" s="34">
        <v>5</v>
      </c>
      <c r="W1097" s="25">
        <v>2.5</v>
      </c>
      <c r="X1097" s="25">
        <v>5</v>
      </c>
      <c r="Y1097">
        <v>1.2143333333333299</v>
      </c>
      <c r="Z1097" t="s">
        <v>816</v>
      </c>
      <c r="AA1097" t="s">
        <v>660</v>
      </c>
      <c r="AB1097">
        <v>3</v>
      </c>
      <c r="AC1097">
        <v>26.5</v>
      </c>
      <c r="AD1097">
        <v>6.36</v>
      </c>
      <c r="AE1097" t="s">
        <v>519</v>
      </c>
      <c r="AF1097" t="s">
        <v>532</v>
      </c>
      <c r="AG1097" s="32" t="s">
        <v>2127</v>
      </c>
      <c r="AH1097" s="32" t="s">
        <v>2118</v>
      </c>
      <c r="AI1097" s="32" t="s">
        <v>2128</v>
      </c>
      <c r="AJ1097" s="31" t="s">
        <v>3175</v>
      </c>
      <c r="AK1097" s="31">
        <v>0.56000000000000005</v>
      </c>
      <c r="AL1097" s="31">
        <v>14.840000000000002</v>
      </c>
      <c r="AM1097" s="31">
        <v>11.659999999999998</v>
      </c>
      <c r="AN1097" s="31">
        <v>16.254107305936476</v>
      </c>
      <c r="AO1097" s="31">
        <v>12.771084311807227</v>
      </c>
      <c r="AP1097" s="31">
        <v>1.9737904305175469E-2</v>
      </c>
      <c r="AQ1097" s="31">
        <v>1.5508353382637867E-2</v>
      </c>
      <c r="AR1097" s="31">
        <v>0.55269999999999997</v>
      </c>
    </row>
    <row r="1098" spans="1:44" hidden="1" x14ac:dyDescent="0.5">
      <c r="A1098" s="31">
        <v>1097</v>
      </c>
      <c r="B1098" s="31">
        <v>71</v>
      </c>
      <c r="C1098" s="225" t="s">
        <v>9</v>
      </c>
      <c r="D1098" s="32">
        <v>26.541388999999999</v>
      </c>
      <c r="E1098" s="38">
        <v>54.890278000000002</v>
      </c>
      <c r="F1098">
        <v>0.65</v>
      </c>
      <c r="G1098">
        <f t="shared" si="11"/>
        <v>1046.0736000000002</v>
      </c>
      <c r="H1098" s="32" t="s">
        <v>49</v>
      </c>
      <c r="I1098" s="7">
        <v>0</v>
      </c>
      <c r="J1098">
        <v>22.089308976450798</v>
      </c>
      <c r="K1098" s="26">
        <v>2017</v>
      </c>
      <c r="L1098" t="s">
        <v>11</v>
      </c>
      <c r="M1098" s="32">
        <v>10</v>
      </c>
      <c r="N1098">
        <v>0.99999999799999995</v>
      </c>
      <c r="O1098">
        <v>1</v>
      </c>
      <c r="P1098" t="s">
        <v>15</v>
      </c>
      <c r="Q1098">
        <v>91.3</v>
      </c>
      <c r="R1098" t="s">
        <v>13</v>
      </c>
      <c r="S1098" t="s">
        <v>14</v>
      </c>
      <c r="T1098" t="s">
        <v>14</v>
      </c>
      <c r="U1098" s="34">
        <v>0</v>
      </c>
      <c r="V1098" s="34">
        <v>5</v>
      </c>
      <c r="W1098" s="25">
        <v>2.5</v>
      </c>
      <c r="X1098" s="25">
        <v>5</v>
      </c>
      <c r="Y1098">
        <v>1.6305000000000001</v>
      </c>
      <c r="Z1098" t="s">
        <v>816</v>
      </c>
      <c r="AA1098" t="s">
        <v>660</v>
      </c>
      <c r="AB1098">
        <v>3</v>
      </c>
      <c r="AC1098">
        <v>34.5</v>
      </c>
      <c r="AD1098">
        <v>0.71</v>
      </c>
      <c r="AE1098" t="s">
        <v>519</v>
      </c>
      <c r="AF1098" t="s">
        <v>532</v>
      </c>
      <c r="AG1098" s="32" t="s">
        <v>2129</v>
      </c>
      <c r="AH1098" s="32" t="s">
        <v>2118</v>
      </c>
      <c r="AI1098" s="32" t="s">
        <v>2130</v>
      </c>
      <c r="AJ1098" s="31" t="s">
        <v>3176</v>
      </c>
      <c r="AK1098" s="31">
        <v>0.56000000000000005</v>
      </c>
      <c r="AL1098" s="31">
        <v>19.32</v>
      </c>
      <c r="AM1098" s="31">
        <v>15.18</v>
      </c>
      <c r="AN1098" s="31">
        <v>21.16100762470975</v>
      </c>
      <c r="AO1098" s="31">
        <v>16.626505990843373</v>
      </c>
      <c r="AP1098" s="31">
        <v>3.4503022932089254E-2</v>
      </c>
      <c r="AQ1098" s="31">
        <v>2.7109518018070121E-2</v>
      </c>
      <c r="AR1098" s="31">
        <v>0.55269999999999997</v>
      </c>
    </row>
    <row r="1099" spans="1:44" hidden="1" x14ac:dyDescent="0.5">
      <c r="A1099" s="31">
        <v>1098</v>
      </c>
      <c r="B1099" s="31">
        <v>71</v>
      </c>
      <c r="C1099" s="225" t="s">
        <v>9</v>
      </c>
      <c r="D1099" s="44">
        <v>26.975000000000001</v>
      </c>
      <c r="E1099" s="45">
        <v>55.660277777777701</v>
      </c>
      <c r="F1099">
        <v>0.65</v>
      </c>
      <c r="G1099">
        <f t="shared" si="11"/>
        <v>1046.0736000000002</v>
      </c>
      <c r="H1099" s="32" t="s">
        <v>49</v>
      </c>
      <c r="I1099" s="7">
        <v>0</v>
      </c>
      <c r="J1099">
        <v>37.289165187133001</v>
      </c>
      <c r="K1099" s="26">
        <v>2017</v>
      </c>
      <c r="L1099" t="s">
        <v>11</v>
      </c>
      <c r="M1099" s="32">
        <v>10</v>
      </c>
      <c r="N1099">
        <v>0.99999999799999995</v>
      </c>
      <c r="O1099">
        <v>1</v>
      </c>
      <c r="P1099" t="s">
        <v>15</v>
      </c>
      <c r="Q1099">
        <v>91.3</v>
      </c>
      <c r="R1099" t="s">
        <v>13</v>
      </c>
      <c r="S1099" t="s">
        <v>14</v>
      </c>
      <c r="T1099" t="s">
        <v>14</v>
      </c>
      <c r="U1099" s="34">
        <v>0</v>
      </c>
      <c r="V1099" s="34">
        <v>5</v>
      </c>
      <c r="W1099" s="25">
        <v>2.5</v>
      </c>
      <c r="X1099" s="25">
        <v>5</v>
      </c>
      <c r="Y1099">
        <v>1.2143333333333299</v>
      </c>
      <c r="Z1099" t="s">
        <v>816</v>
      </c>
      <c r="AA1099" t="s">
        <v>660</v>
      </c>
      <c r="AB1099">
        <v>3</v>
      </c>
      <c r="AC1099">
        <v>21.5</v>
      </c>
      <c r="AD1099">
        <v>10.61</v>
      </c>
      <c r="AE1099" t="s">
        <v>519</v>
      </c>
      <c r="AF1099" t="s">
        <v>532</v>
      </c>
      <c r="AG1099" s="32" t="s">
        <v>2131</v>
      </c>
      <c r="AH1099" s="32" t="s">
        <v>2118</v>
      </c>
      <c r="AI1099" s="32" t="s">
        <v>2132</v>
      </c>
      <c r="AJ1099" s="31" t="s">
        <v>3177</v>
      </c>
      <c r="AK1099" s="31">
        <v>0.56000000000000005</v>
      </c>
      <c r="AL1099" s="31">
        <v>12.040000000000001</v>
      </c>
      <c r="AM1099" s="31">
        <v>9.4599999999999991</v>
      </c>
      <c r="AN1099" s="31">
        <v>13.187294606703178</v>
      </c>
      <c r="AO1099" s="31">
        <v>10.361445762409637</v>
      </c>
      <c r="AP1099" s="31">
        <v>1.6013771417406515E-2</v>
      </c>
      <c r="AQ1099" s="31">
        <v>1.2582248970819401E-2</v>
      </c>
      <c r="AR1099" s="31">
        <v>0.55269999999999997</v>
      </c>
    </row>
    <row r="1100" spans="1:44" hidden="1" x14ac:dyDescent="0.5">
      <c r="A1100" s="31">
        <v>1099</v>
      </c>
      <c r="B1100" s="31">
        <v>71</v>
      </c>
      <c r="C1100" s="225" t="s">
        <v>9</v>
      </c>
      <c r="D1100" s="44">
        <v>26.9808333</v>
      </c>
      <c r="E1100" s="43">
        <v>55.7077777777777</v>
      </c>
      <c r="F1100">
        <v>0.09</v>
      </c>
      <c r="G1100">
        <f t="shared" si="11"/>
        <v>144.84096</v>
      </c>
      <c r="H1100" s="32" t="s">
        <v>49</v>
      </c>
      <c r="I1100" s="7">
        <v>0</v>
      </c>
      <c r="J1100">
        <v>38.350946267673301</v>
      </c>
      <c r="K1100" s="26">
        <v>2017</v>
      </c>
      <c r="L1100" t="s">
        <v>11</v>
      </c>
      <c r="M1100" s="32">
        <v>10</v>
      </c>
      <c r="N1100">
        <v>0.99999999799999995</v>
      </c>
      <c r="O1100">
        <v>1</v>
      </c>
      <c r="P1100" t="s">
        <v>15</v>
      </c>
      <c r="Q1100">
        <v>91.3</v>
      </c>
      <c r="R1100" t="s">
        <v>13</v>
      </c>
      <c r="S1100" t="s">
        <v>14</v>
      </c>
      <c r="T1100" t="s">
        <v>14</v>
      </c>
      <c r="U1100" s="34">
        <v>0</v>
      </c>
      <c r="V1100" s="34">
        <v>5</v>
      </c>
      <c r="W1100" s="25">
        <v>2.5</v>
      </c>
      <c r="X1100" s="25">
        <v>5</v>
      </c>
      <c r="Y1100">
        <v>1.2143333333333299</v>
      </c>
      <c r="Z1100" t="s">
        <v>816</v>
      </c>
      <c r="AA1100" t="s">
        <v>660</v>
      </c>
      <c r="AB1100">
        <v>3</v>
      </c>
      <c r="AC1100">
        <v>19.5</v>
      </c>
      <c r="AD1100">
        <v>6.36</v>
      </c>
      <c r="AE1100" t="s">
        <v>519</v>
      </c>
      <c r="AF1100" t="s">
        <v>532</v>
      </c>
      <c r="AG1100" s="32" t="s">
        <v>2133</v>
      </c>
      <c r="AH1100" s="32" t="s">
        <v>2118</v>
      </c>
      <c r="AI1100" s="32" t="s">
        <v>2134</v>
      </c>
      <c r="AJ1100" s="31" t="s">
        <v>3178</v>
      </c>
      <c r="AK1100" s="31">
        <v>0.56000000000000005</v>
      </c>
      <c r="AL1100" s="31">
        <v>10.920000000000002</v>
      </c>
      <c r="AM1100" s="31">
        <v>8.5799999999999983</v>
      </c>
      <c r="AN1100" s="31">
        <v>11.960569527009859</v>
      </c>
      <c r="AO1100" s="31">
        <v>9.3975903426506004</v>
      </c>
      <c r="AP1100" s="31">
        <v>1.4524118262298933E-2</v>
      </c>
      <c r="AQ1100" s="31">
        <v>1.1411807206092013E-2</v>
      </c>
      <c r="AR1100" s="31">
        <v>0.55269999999999997</v>
      </c>
    </row>
    <row r="1101" spans="1:44" hidden="1" x14ac:dyDescent="0.5">
      <c r="A1101" s="31">
        <v>1100</v>
      </c>
      <c r="B1101" s="31">
        <v>71</v>
      </c>
      <c r="C1101" s="225" t="s">
        <v>9</v>
      </c>
      <c r="D1101" s="44">
        <v>26.9819444</v>
      </c>
      <c r="E1101" s="45">
        <v>55.727777777777703</v>
      </c>
      <c r="F1101">
        <v>0.06</v>
      </c>
      <c r="G1101">
        <f t="shared" si="11"/>
        <v>96.560640000000006</v>
      </c>
      <c r="H1101" s="32" t="s">
        <v>49</v>
      </c>
      <c r="I1101" s="7">
        <v>0</v>
      </c>
      <c r="J1101">
        <v>38.8061435929243</v>
      </c>
      <c r="K1101" s="26">
        <v>2017</v>
      </c>
      <c r="L1101" t="s">
        <v>11</v>
      </c>
      <c r="M1101" s="32">
        <v>10</v>
      </c>
      <c r="N1101">
        <v>0.99999999799999995</v>
      </c>
      <c r="O1101">
        <v>1</v>
      </c>
      <c r="P1101" t="s">
        <v>15</v>
      </c>
      <c r="Q1101">
        <v>91.3</v>
      </c>
      <c r="R1101" t="s">
        <v>13</v>
      </c>
      <c r="S1101" t="s">
        <v>14</v>
      </c>
      <c r="T1101" t="s">
        <v>14</v>
      </c>
      <c r="U1101" s="34">
        <v>0</v>
      </c>
      <c r="V1101" s="34">
        <v>5</v>
      </c>
      <c r="W1101" s="25">
        <v>2.5</v>
      </c>
      <c r="X1101" s="25">
        <v>5</v>
      </c>
      <c r="Y1101">
        <v>1.2143333333333299</v>
      </c>
      <c r="Z1101" t="s">
        <v>816</v>
      </c>
      <c r="AA1101" t="s">
        <v>660</v>
      </c>
      <c r="AB1101">
        <v>3</v>
      </c>
      <c r="AC1101">
        <v>34</v>
      </c>
      <c r="AD1101">
        <v>4.24</v>
      </c>
      <c r="AE1101" t="s">
        <v>519</v>
      </c>
      <c r="AF1101" t="s">
        <v>532</v>
      </c>
      <c r="AG1101" s="32">
        <v>34</v>
      </c>
      <c r="AH1101" s="32" t="s">
        <v>2118</v>
      </c>
      <c r="AI1101" s="32" t="s">
        <v>2135</v>
      </c>
      <c r="AJ1101" s="31" t="s">
        <v>3179</v>
      </c>
      <c r="AK1101" s="31">
        <v>0.56000000000000005</v>
      </c>
      <c r="AL1101" s="31">
        <v>19.040000000000003</v>
      </c>
      <c r="AM1101" s="31">
        <v>14.959999999999997</v>
      </c>
      <c r="AN1101" s="31">
        <v>20.854326354786423</v>
      </c>
      <c r="AO1101" s="31">
        <v>16.385542135903609</v>
      </c>
      <c r="AP1101" s="31">
        <v>2.5324103636828906E-2</v>
      </c>
      <c r="AQ1101" s="31">
        <v>1.9897510000365562E-2</v>
      </c>
      <c r="AR1101" s="31">
        <v>0.55269999999999997</v>
      </c>
    </row>
    <row r="1102" spans="1:44" hidden="1" x14ac:dyDescent="0.5">
      <c r="A1102" s="31">
        <v>1451</v>
      </c>
      <c r="B1102" s="31">
        <v>106</v>
      </c>
      <c r="C1102" s="225" t="s">
        <v>20</v>
      </c>
      <c r="D1102" s="44">
        <v>45.5319</v>
      </c>
      <c r="E1102" s="45">
        <v>13.6441</v>
      </c>
      <c r="F1102">
        <v>0</v>
      </c>
      <c r="G1102">
        <f t="shared" si="11"/>
        <v>0</v>
      </c>
      <c r="H1102" s="32" t="s">
        <v>10</v>
      </c>
      <c r="I1102">
        <v>0</v>
      </c>
      <c r="J1102">
        <v>130.322813556874</v>
      </c>
      <c r="K1102" s="26">
        <v>2017</v>
      </c>
      <c r="L1102" t="s">
        <v>30</v>
      </c>
      <c r="M1102" s="32">
        <v>63</v>
      </c>
      <c r="N1102">
        <v>7.0097463050000002</v>
      </c>
      <c r="O1102">
        <v>5</v>
      </c>
      <c r="P1102" t="s">
        <v>12</v>
      </c>
      <c r="Q1102">
        <v>89</v>
      </c>
      <c r="R1102" t="s">
        <v>13</v>
      </c>
      <c r="S1102" t="s">
        <v>14</v>
      </c>
      <c r="T1102" t="s">
        <v>14</v>
      </c>
      <c r="U1102" s="34">
        <v>0</v>
      </c>
      <c r="V1102" s="34">
        <v>4</v>
      </c>
      <c r="W1102" s="25">
        <v>2</v>
      </c>
      <c r="X1102" s="25">
        <v>4</v>
      </c>
      <c r="Y1102" s="244">
        <v>0.91868156199999995</v>
      </c>
      <c r="Z1102" t="s">
        <v>1100</v>
      </c>
      <c r="AA1102" t="s">
        <v>622</v>
      </c>
      <c r="AB1102">
        <v>3</v>
      </c>
      <c r="AC1102">
        <v>2.9677769999999999</v>
      </c>
      <c r="AD1102">
        <v>0.80179560000000005</v>
      </c>
      <c r="AE1102" t="s">
        <v>519</v>
      </c>
      <c r="AF1102" t="s">
        <v>532</v>
      </c>
      <c r="AG1102" s="32">
        <v>3</v>
      </c>
      <c r="AH1102" s="32" t="s">
        <v>2161</v>
      </c>
      <c r="AI1102" s="32" t="s">
        <v>2514</v>
      </c>
      <c r="AJ1102" s="31" t="s">
        <v>3353</v>
      </c>
      <c r="AK1102" s="31">
        <v>0.19</v>
      </c>
      <c r="AL1102" s="31">
        <v>0.57000000000000006</v>
      </c>
      <c r="AM1102" s="31">
        <v>2.4299999999999997</v>
      </c>
      <c r="AN1102" s="31">
        <v>4.4893880829775288</v>
      </c>
      <c r="AO1102" s="31">
        <v>19.138970248483144</v>
      </c>
      <c r="AP1102" s="31">
        <v>4.1243180564939814E-3</v>
      </c>
      <c r="AQ1102" s="31">
        <v>1.7582619082948024E-2</v>
      </c>
      <c r="AR1102" s="31">
        <v>0.13341858489683281</v>
      </c>
    </row>
    <row r="1103" spans="1:44" hidden="1" x14ac:dyDescent="0.5">
      <c r="A1103" s="31">
        <v>1448</v>
      </c>
      <c r="B1103" s="31">
        <v>106</v>
      </c>
      <c r="C1103" s="225" t="s">
        <v>20</v>
      </c>
      <c r="D1103" s="44">
        <v>45.512700000000002</v>
      </c>
      <c r="E1103" s="45">
        <v>13.5936</v>
      </c>
      <c r="F1103">
        <v>0</v>
      </c>
      <c r="G1103">
        <f t="shared" si="11"/>
        <v>0</v>
      </c>
      <c r="H1103" s="32" t="s">
        <v>10</v>
      </c>
      <c r="I1103">
        <v>0</v>
      </c>
      <c r="J1103">
        <v>128.08650742574901</v>
      </c>
      <c r="K1103" s="26">
        <v>2017</v>
      </c>
      <c r="L1103" t="s">
        <v>30</v>
      </c>
      <c r="M1103" s="32">
        <v>63</v>
      </c>
      <c r="N1103">
        <v>7.0097463050000002</v>
      </c>
      <c r="O1103">
        <v>5</v>
      </c>
      <c r="P1103" t="s">
        <v>12</v>
      </c>
      <c r="Q1103">
        <v>89</v>
      </c>
      <c r="R1103" t="s">
        <v>13</v>
      </c>
      <c r="S1103" t="s">
        <v>14</v>
      </c>
      <c r="T1103" t="s">
        <v>14</v>
      </c>
      <c r="U1103" s="34">
        <v>0</v>
      </c>
      <c r="V1103" s="34">
        <v>4</v>
      </c>
      <c r="W1103" s="25">
        <v>2</v>
      </c>
      <c r="X1103" s="25">
        <v>4</v>
      </c>
      <c r="Y1103" s="244">
        <v>0.91868156199999995</v>
      </c>
      <c r="Z1103" t="s">
        <v>1100</v>
      </c>
      <c r="AA1103" t="s">
        <v>622</v>
      </c>
      <c r="AB1103">
        <v>3</v>
      </c>
      <c r="AC1103">
        <v>0</v>
      </c>
      <c r="AD1103">
        <v>0</v>
      </c>
      <c r="AE1103" t="s">
        <v>519</v>
      </c>
      <c r="AF1103" t="s">
        <v>532</v>
      </c>
      <c r="AG1103" s="32">
        <v>0</v>
      </c>
      <c r="AH1103" s="32" t="s">
        <v>671</v>
      </c>
      <c r="AI1103" s="32" t="s">
        <v>1129</v>
      </c>
      <c r="AJ1103" s="31" t="s">
        <v>1130</v>
      </c>
      <c r="AK1103" s="31">
        <v>0.59524549999999998</v>
      </c>
      <c r="AL1103" s="31">
        <v>0</v>
      </c>
      <c r="AM1103" s="31">
        <v>0</v>
      </c>
      <c r="AN1103" s="31">
        <v>0</v>
      </c>
      <c r="AO1103" s="31">
        <v>0</v>
      </c>
      <c r="AP1103" s="31">
        <v>0</v>
      </c>
      <c r="AQ1103" s="31">
        <v>0</v>
      </c>
      <c r="AR1103" s="31">
        <v>0.13341858489683281</v>
      </c>
    </row>
    <row r="1104" spans="1:44" hidden="1" x14ac:dyDescent="0.5">
      <c r="A1104" s="31">
        <v>1449</v>
      </c>
      <c r="B1104" s="31">
        <v>106</v>
      </c>
      <c r="C1104" s="225" t="s">
        <v>20</v>
      </c>
      <c r="D1104" s="44">
        <v>45.512700000000002</v>
      </c>
      <c r="E1104" s="45">
        <v>13.5936</v>
      </c>
      <c r="F1104">
        <v>0</v>
      </c>
      <c r="G1104">
        <f t="shared" ref="G1104:G1167" si="13">F1104*1609.344</f>
        <v>0</v>
      </c>
      <c r="H1104" s="32" t="s">
        <v>10</v>
      </c>
      <c r="I1104">
        <v>0</v>
      </c>
      <c r="J1104">
        <v>128.08650742574901</v>
      </c>
      <c r="K1104" s="26">
        <v>2017</v>
      </c>
      <c r="L1104" t="s">
        <v>30</v>
      </c>
      <c r="M1104" s="32">
        <v>63</v>
      </c>
      <c r="N1104">
        <v>7.0097463050000002</v>
      </c>
      <c r="O1104">
        <v>5</v>
      </c>
      <c r="P1104" t="s">
        <v>12</v>
      </c>
      <c r="Q1104">
        <v>89</v>
      </c>
      <c r="R1104" t="s">
        <v>13</v>
      </c>
      <c r="S1104" t="s">
        <v>14</v>
      </c>
      <c r="T1104" t="s">
        <v>14</v>
      </c>
      <c r="U1104" s="34">
        <v>0</v>
      </c>
      <c r="V1104" s="34">
        <v>4</v>
      </c>
      <c r="W1104" s="25">
        <v>2</v>
      </c>
      <c r="X1104" s="25">
        <v>4</v>
      </c>
      <c r="Y1104" s="244">
        <v>0.91868156199999995</v>
      </c>
      <c r="Z1104" t="s">
        <v>1100</v>
      </c>
      <c r="AA1104" t="s">
        <v>622</v>
      </c>
      <c r="AB1104">
        <v>3</v>
      </c>
      <c r="AC1104">
        <v>5.5747499999999999</v>
      </c>
      <c r="AD1104">
        <v>3.30525</v>
      </c>
      <c r="AE1104" t="s">
        <v>519</v>
      </c>
      <c r="AF1104" t="s">
        <v>532</v>
      </c>
      <c r="AG1104" s="32" t="s">
        <v>2511</v>
      </c>
      <c r="AH1104" s="32" t="s">
        <v>2161</v>
      </c>
      <c r="AI1104" s="32" t="s">
        <v>2512</v>
      </c>
      <c r="AJ1104" s="31" t="s">
        <v>3351</v>
      </c>
      <c r="AK1104" s="31">
        <v>0.19</v>
      </c>
      <c r="AL1104" s="31">
        <v>1.0639999999999998</v>
      </c>
      <c r="AM1104" s="31">
        <v>4.5359999999999996</v>
      </c>
      <c r="AN1104" s="31">
        <v>8.3801910882247181</v>
      </c>
      <c r="AO1104" s="31">
        <v>35.726077797168536</v>
      </c>
      <c r="AP1104" s="31">
        <v>7.6987270387887628E-3</v>
      </c>
      <c r="AQ1104" s="31">
        <v>3.2820888954836307E-2</v>
      </c>
      <c r="AR1104" s="31">
        <v>0.13341858489683281</v>
      </c>
    </row>
    <row r="1105" spans="1:44" hidden="1" x14ac:dyDescent="0.5">
      <c r="A1105" s="31">
        <v>1446</v>
      </c>
      <c r="B1105" s="31">
        <v>106</v>
      </c>
      <c r="C1105" s="225" t="s">
        <v>20</v>
      </c>
      <c r="D1105" s="44">
        <v>45.499699999999997</v>
      </c>
      <c r="E1105" s="45">
        <v>13.588100000000001</v>
      </c>
      <c r="F1105">
        <v>0</v>
      </c>
      <c r="G1105">
        <f t="shared" si="13"/>
        <v>0</v>
      </c>
      <c r="H1105" s="32" t="s">
        <v>10</v>
      </c>
      <c r="I1105">
        <v>0</v>
      </c>
      <c r="J1105">
        <v>128.652189827256</v>
      </c>
      <c r="K1105" s="26">
        <v>2017</v>
      </c>
      <c r="L1105" t="s">
        <v>30</v>
      </c>
      <c r="M1105" s="32">
        <v>63</v>
      </c>
      <c r="N1105">
        <v>7.0097463050000002</v>
      </c>
      <c r="O1105">
        <v>5</v>
      </c>
      <c r="P1105" t="s">
        <v>12</v>
      </c>
      <c r="Q1105">
        <v>89</v>
      </c>
      <c r="R1105" t="s">
        <v>13</v>
      </c>
      <c r="S1105" t="s">
        <v>14</v>
      </c>
      <c r="T1105" t="s">
        <v>14</v>
      </c>
      <c r="U1105" s="34">
        <v>0</v>
      </c>
      <c r="V1105" s="34">
        <v>4</v>
      </c>
      <c r="W1105" s="25">
        <v>2</v>
      </c>
      <c r="X1105" s="25">
        <v>4</v>
      </c>
      <c r="Y1105" s="244">
        <v>0.91868156199999995</v>
      </c>
      <c r="Z1105" t="s">
        <v>1100</v>
      </c>
      <c r="AA1105" t="s">
        <v>622</v>
      </c>
      <c r="AB1105">
        <v>3</v>
      </c>
      <c r="AC1105">
        <v>38.6</v>
      </c>
      <c r="AD1105">
        <v>2.6</v>
      </c>
      <c r="AE1105" t="s">
        <v>519</v>
      </c>
      <c r="AF1105" t="s">
        <v>532</v>
      </c>
      <c r="AG1105" s="32" t="s">
        <v>2507</v>
      </c>
      <c r="AH1105" s="32" t="s">
        <v>2161</v>
      </c>
      <c r="AI1105" s="32" t="s">
        <v>2508</v>
      </c>
      <c r="AJ1105" s="31" t="s">
        <v>3349</v>
      </c>
      <c r="AK1105" s="31">
        <v>0.19</v>
      </c>
      <c r="AL1105" s="31">
        <v>7.3340000000000005</v>
      </c>
      <c r="AM1105" s="31">
        <v>31.266000000000002</v>
      </c>
      <c r="AN1105" s="31">
        <v>57.763460000977531</v>
      </c>
      <c r="AO1105" s="31">
        <v>246.25475053048316</v>
      </c>
      <c r="AP1105" s="31">
        <v>5.3066225660222559E-2</v>
      </c>
      <c r="AQ1105" s="31">
        <v>0.22622969886726457</v>
      </c>
      <c r="AR1105" s="31">
        <v>0.13341858489683281</v>
      </c>
    </row>
    <row r="1106" spans="1:44" hidden="1" x14ac:dyDescent="0.5">
      <c r="A1106" s="31">
        <v>1105</v>
      </c>
      <c r="B1106" s="31">
        <v>73</v>
      </c>
      <c r="C1106" s="225" t="s">
        <v>9</v>
      </c>
      <c r="D1106" s="32">
        <v>-6.8798519999999996</v>
      </c>
      <c r="E1106" s="38">
        <v>112.268659</v>
      </c>
      <c r="F1106">
        <v>0.03</v>
      </c>
      <c r="G1106">
        <f t="shared" si="13"/>
        <v>48.280320000000003</v>
      </c>
      <c r="H1106" s="32" t="s">
        <v>45</v>
      </c>
      <c r="I1106" s="7">
        <v>0</v>
      </c>
      <c r="J1106">
        <v>1030.0310306491899</v>
      </c>
      <c r="K1106" s="26">
        <v>2018</v>
      </c>
      <c r="L1106" t="s">
        <v>30</v>
      </c>
      <c r="M1106" s="32">
        <v>300</v>
      </c>
      <c r="N1106">
        <v>36.542166029999997</v>
      </c>
      <c r="O1106">
        <v>5</v>
      </c>
      <c r="P1106" t="s">
        <v>12</v>
      </c>
      <c r="Q1106">
        <v>89</v>
      </c>
      <c r="R1106" t="s">
        <v>13</v>
      </c>
      <c r="S1106" t="s">
        <v>16</v>
      </c>
      <c r="T1106" t="s">
        <v>16</v>
      </c>
      <c r="U1106" s="34">
        <v>0</v>
      </c>
      <c r="V1106" s="34">
        <v>5</v>
      </c>
      <c r="W1106" s="25">
        <v>2.5</v>
      </c>
      <c r="X1106" s="25">
        <v>5</v>
      </c>
      <c r="Y1106">
        <v>0.69148334628571395</v>
      </c>
      <c r="Z1106" t="s">
        <v>719</v>
      </c>
      <c r="AA1106" t="s">
        <v>623</v>
      </c>
      <c r="AB1106">
        <v>1</v>
      </c>
      <c r="AC1106">
        <v>43.01</v>
      </c>
      <c r="AD1106">
        <v>10.79</v>
      </c>
      <c r="AE1106" t="s">
        <v>525</v>
      </c>
      <c r="AF1106" t="s">
        <v>532</v>
      </c>
      <c r="AG1106" s="32" t="s">
        <v>2136</v>
      </c>
      <c r="AH1106" s="32" t="s">
        <v>2137</v>
      </c>
      <c r="AI1106" s="32" t="s">
        <v>2138</v>
      </c>
      <c r="AJ1106" s="31" t="s">
        <v>3180</v>
      </c>
      <c r="AK1106" s="31">
        <v>0.87050000000000005</v>
      </c>
      <c r="AL1106" s="31">
        <v>289.11046000000005</v>
      </c>
      <c r="AM1106" s="31">
        <v>43.009539999999959</v>
      </c>
      <c r="AN1106" s="31">
        <v>11870.474640819861</v>
      </c>
      <c r="AO1106" s="31">
        <v>1765.912080397668</v>
      </c>
      <c r="AP1106" s="31">
        <v>8.2082355266338265</v>
      </c>
      <c r="AQ1106" s="31">
        <v>1.2210987945997462</v>
      </c>
      <c r="AR1106" s="31">
        <v>0.13341858489683281</v>
      </c>
    </row>
    <row r="1107" spans="1:44" hidden="1" x14ac:dyDescent="0.5">
      <c r="A1107" s="31">
        <v>1106</v>
      </c>
      <c r="B1107" s="31">
        <v>73</v>
      </c>
      <c r="C1107" s="225" t="s">
        <v>9</v>
      </c>
      <c r="D1107" s="32">
        <v>-6.8798519999999996</v>
      </c>
      <c r="E1107" s="38">
        <v>112.268659</v>
      </c>
      <c r="F1107">
        <v>0.03</v>
      </c>
      <c r="G1107">
        <f t="shared" si="13"/>
        <v>48.280320000000003</v>
      </c>
      <c r="H1107" s="32" t="s">
        <v>45</v>
      </c>
      <c r="I1107" s="7">
        <v>0</v>
      </c>
      <c r="J1107">
        <v>1030.0310306491899</v>
      </c>
      <c r="K1107" s="26">
        <v>2018</v>
      </c>
      <c r="L1107" t="s">
        <v>30</v>
      </c>
      <c r="M1107" s="32">
        <v>300</v>
      </c>
      <c r="N1107">
        <v>36.542166029999997</v>
      </c>
      <c r="O1107">
        <v>5</v>
      </c>
      <c r="P1107" t="s">
        <v>12</v>
      </c>
      <c r="Q1107">
        <v>89</v>
      </c>
      <c r="R1107" t="s">
        <v>13</v>
      </c>
      <c r="S1107" t="s">
        <v>16</v>
      </c>
      <c r="T1107" t="s">
        <v>16</v>
      </c>
      <c r="U1107" s="34">
        <v>5</v>
      </c>
      <c r="V1107" s="34">
        <v>10</v>
      </c>
      <c r="W1107" s="25">
        <v>7.5</v>
      </c>
      <c r="X1107" s="25">
        <v>5</v>
      </c>
      <c r="Y1107">
        <v>0.69148334628571395</v>
      </c>
      <c r="Z1107" t="s">
        <v>719</v>
      </c>
      <c r="AA1107" t="s">
        <v>623</v>
      </c>
      <c r="AB1107">
        <v>1</v>
      </c>
      <c r="AC1107">
        <v>76.39</v>
      </c>
      <c r="AD1107">
        <v>52.61</v>
      </c>
      <c r="AE1107" t="s">
        <v>525</v>
      </c>
      <c r="AF1107" t="s">
        <v>532</v>
      </c>
      <c r="AG1107" s="32" t="s">
        <v>2139</v>
      </c>
      <c r="AH1107" s="32" t="s">
        <v>1492</v>
      </c>
      <c r="AI1107" s="32" t="s">
        <v>2140</v>
      </c>
      <c r="AJ1107" s="31" t="s">
        <v>3181</v>
      </c>
      <c r="AK1107" s="31">
        <v>0.86809999999999998</v>
      </c>
      <c r="AL1107" s="31">
        <v>502.76011499999998</v>
      </c>
      <c r="AM1107" s="31">
        <v>76.389884999999992</v>
      </c>
      <c r="AN1107" s="31">
        <v>20642.633253474036</v>
      </c>
      <c r="AO1107" s="31">
        <v>3136.4627648119167</v>
      </c>
      <c r="AP1107" s="31">
        <v>14.27403711826098</v>
      </c>
      <c r="AQ1107" s="31">
        <v>2.1688117681126866</v>
      </c>
      <c r="AR1107" s="31">
        <v>0.13341858489683281</v>
      </c>
    </row>
    <row r="1108" spans="1:44" hidden="1" x14ac:dyDescent="0.5">
      <c r="A1108" s="31">
        <v>1107</v>
      </c>
      <c r="B1108" s="31">
        <v>73</v>
      </c>
      <c r="C1108" s="225" t="s">
        <v>9</v>
      </c>
      <c r="D1108" s="32">
        <v>-6.8847240000000003</v>
      </c>
      <c r="E1108" s="38">
        <v>112.193853</v>
      </c>
      <c r="F1108">
        <v>0.14000000000000001</v>
      </c>
      <c r="G1108">
        <f t="shared" si="13"/>
        <v>225.30816000000002</v>
      </c>
      <c r="H1108" s="32" t="s">
        <v>49</v>
      </c>
      <c r="I1108" s="7">
        <v>0</v>
      </c>
      <c r="J1108">
        <v>1009.94195397361</v>
      </c>
      <c r="K1108" s="26">
        <v>2018</v>
      </c>
      <c r="L1108" t="s">
        <v>30</v>
      </c>
      <c r="M1108" s="32">
        <v>300</v>
      </c>
      <c r="N1108">
        <v>36.542166029999997</v>
      </c>
      <c r="O1108">
        <v>5</v>
      </c>
      <c r="P1108" t="s">
        <v>12</v>
      </c>
      <c r="Q1108">
        <v>89</v>
      </c>
      <c r="R1108" t="s">
        <v>13</v>
      </c>
      <c r="S1108" t="s">
        <v>16</v>
      </c>
      <c r="T1108" t="s">
        <v>16</v>
      </c>
      <c r="U1108" s="34">
        <v>5</v>
      </c>
      <c r="V1108" s="34">
        <v>10</v>
      </c>
      <c r="W1108" s="25">
        <v>7.5</v>
      </c>
      <c r="X1108" s="25">
        <v>5</v>
      </c>
      <c r="Y1108">
        <v>0.80058939699999998</v>
      </c>
      <c r="Z1108" t="s">
        <v>713</v>
      </c>
      <c r="AA1108" t="s">
        <v>661</v>
      </c>
      <c r="AB1108">
        <v>1</v>
      </c>
      <c r="AC1108">
        <v>5.75</v>
      </c>
      <c r="AD1108">
        <v>4.99</v>
      </c>
      <c r="AE1108" t="s">
        <v>525</v>
      </c>
      <c r="AF1108" t="s">
        <v>532</v>
      </c>
      <c r="AG1108" s="32" t="s">
        <v>2141</v>
      </c>
      <c r="AH1108" s="32" t="s">
        <v>1492</v>
      </c>
      <c r="AI1108" s="32" t="s">
        <v>2142</v>
      </c>
      <c r="AJ1108" s="31" t="s">
        <v>3182</v>
      </c>
      <c r="AK1108" s="31">
        <v>0.86809999999999998</v>
      </c>
      <c r="AL1108" s="31">
        <v>38.170356999999996</v>
      </c>
      <c r="AM1108" s="31">
        <v>5.7996430000000032</v>
      </c>
      <c r="AN1108" s="31">
        <v>1567.2219358633399</v>
      </c>
      <c r="AO1108" s="31">
        <v>238.12530047272742</v>
      </c>
      <c r="AP1108" s="31">
        <v>1.254701264598004</v>
      </c>
      <c r="AQ1108" s="31">
        <v>0.19064059071590467</v>
      </c>
      <c r="AR1108" s="31">
        <v>0.55269999999999997</v>
      </c>
    </row>
    <row r="1109" spans="1:44" hidden="1" x14ac:dyDescent="0.5">
      <c r="A1109" s="31">
        <v>1108</v>
      </c>
      <c r="B1109" s="31">
        <v>73</v>
      </c>
      <c r="C1109" s="225" t="s">
        <v>9</v>
      </c>
      <c r="D1109" s="32">
        <v>-6.8847240000000003</v>
      </c>
      <c r="E1109" s="38">
        <v>112.193853</v>
      </c>
      <c r="F1109">
        <v>0.14000000000000001</v>
      </c>
      <c r="G1109">
        <f t="shared" si="13"/>
        <v>225.30816000000002</v>
      </c>
      <c r="H1109" s="32" t="s">
        <v>49</v>
      </c>
      <c r="I1109" s="7">
        <v>0</v>
      </c>
      <c r="J1109">
        <v>1009.94195397361</v>
      </c>
      <c r="K1109" s="26">
        <v>2018</v>
      </c>
      <c r="L1109" t="s">
        <v>30</v>
      </c>
      <c r="M1109" s="32">
        <v>300</v>
      </c>
      <c r="N1109">
        <v>36.542166029999997</v>
      </c>
      <c r="O1109">
        <v>5</v>
      </c>
      <c r="P1109" t="s">
        <v>12</v>
      </c>
      <c r="Q1109">
        <v>89</v>
      </c>
      <c r="R1109" t="s">
        <v>13</v>
      </c>
      <c r="S1109" t="s">
        <v>16</v>
      </c>
      <c r="T1109" t="s">
        <v>16</v>
      </c>
      <c r="U1109" s="34">
        <v>0</v>
      </c>
      <c r="V1109" s="34">
        <v>5</v>
      </c>
      <c r="W1109" s="25">
        <v>2.5</v>
      </c>
      <c r="X1109" s="25">
        <v>5</v>
      </c>
      <c r="Y1109">
        <v>0.80058939699999998</v>
      </c>
      <c r="Z1109" t="s">
        <v>713</v>
      </c>
      <c r="AA1109" t="s">
        <v>661</v>
      </c>
      <c r="AB1109">
        <v>1</v>
      </c>
      <c r="AC1109">
        <v>11.59</v>
      </c>
      <c r="AD1109">
        <v>13.24</v>
      </c>
      <c r="AE1109" t="s">
        <v>525</v>
      </c>
      <c r="AF1109" t="s">
        <v>532</v>
      </c>
      <c r="AG1109" s="32" t="s">
        <v>2143</v>
      </c>
      <c r="AH1109" s="32" t="s">
        <v>2137</v>
      </c>
      <c r="AI1109" s="32" t="s">
        <v>2144</v>
      </c>
      <c r="AJ1109" s="31" t="s">
        <v>3183</v>
      </c>
      <c r="AK1109" s="31">
        <v>0.87050000000000005</v>
      </c>
      <c r="AL1109" s="31">
        <v>77.979390000000009</v>
      </c>
      <c r="AM1109" s="31">
        <v>11.600609999999989</v>
      </c>
      <c r="AN1109" s="31">
        <v>3201.7256362900248</v>
      </c>
      <c r="AO1109" s="31">
        <v>476.30496254975043</v>
      </c>
      <c r="AP1109" s="31">
        <v>2.5632675965168721</v>
      </c>
      <c r="AQ1109" s="31">
        <v>0.38132470275581226</v>
      </c>
      <c r="AR1109" s="31">
        <v>0.55269999999999997</v>
      </c>
    </row>
    <row r="1110" spans="1:44" hidden="1" x14ac:dyDescent="0.5">
      <c r="A1110" s="31">
        <v>1109</v>
      </c>
      <c r="B1110" s="31">
        <v>73</v>
      </c>
      <c r="C1110" s="225" t="s">
        <v>9</v>
      </c>
      <c r="D1110" s="32">
        <v>-6.86768</v>
      </c>
      <c r="E1110" s="38">
        <v>112.342806</v>
      </c>
      <c r="F1110">
        <v>0.13</v>
      </c>
      <c r="G1110">
        <f t="shared" si="13"/>
        <v>209.21472</v>
      </c>
      <c r="H1110" s="32" t="s">
        <v>47</v>
      </c>
      <c r="I1110" s="7">
        <v>0</v>
      </c>
      <c r="J1110">
        <v>1055.0147516073</v>
      </c>
      <c r="K1110" s="26">
        <v>2018</v>
      </c>
      <c r="L1110" t="s">
        <v>30</v>
      </c>
      <c r="M1110" s="32">
        <v>300</v>
      </c>
      <c r="N1110">
        <v>36.542166029999997</v>
      </c>
      <c r="O1110">
        <v>5</v>
      </c>
      <c r="P1110" t="s">
        <v>12</v>
      </c>
      <c r="Q1110">
        <v>89</v>
      </c>
      <c r="R1110" t="s">
        <v>13</v>
      </c>
      <c r="S1110" t="s">
        <v>16</v>
      </c>
      <c r="T1110" t="s">
        <v>16</v>
      </c>
      <c r="U1110" s="34">
        <v>5</v>
      </c>
      <c r="V1110" s="34">
        <v>10</v>
      </c>
      <c r="W1110" s="25">
        <v>7.5</v>
      </c>
      <c r="X1110" s="25">
        <v>5</v>
      </c>
      <c r="Y1110">
        <v>0.69148334628571395</v>
      </c>
      <c r="Z1110" t="s">
        <v>719</v>
      </c>
      <c r="AA1110" t="s">
        <v>623</v>
      </c>
      <c r="AB1110">
        <v>1</v>
      </c>
      <c r="AC1110">
        <v>33.03</v>
      </c>
      <c r="AD1110">
        <v>30.42</v>
      </c>
      <c r="AE1110" t="s">
        <v>525</v>
      </c>
      <c r="AF1110" t="s">
        <v>532</v>
      </c>
      <c r="AG1110" s="32" t="s">
        <v>2145</v>
      </c>
      <c r="AH1110" s="32" t="s">
        <v>1492</v>
      </c>
      <c r="AI1110" s="32" t="s">
        <v>2146</v>
      </c>
      <c r="AJ1110" s="31" t="s">
        <v>3184</v>
      </c>
      <c r="AK1110" s="31">
        <v>0.86809999999999998</v>
      </c>
      <c r="AL1110" s="31">
        <v>217.389602</v>
      </c>
      <c r="AM1110" s="31">
        <v>33.030397999999991</v>
      </c>
      <c r="AN1110" s="31">
        <v>8925.715651100696</v>
      </c>
      <c r="AO1110" s="31">
        <v>1356.1823457898647</v>
      </c>
      <c r="AP1110" s="31">
        <v>6.1719837264178787</v>
      </c>
      <c r="AQ1110" s="31">
        <v>0.93777750664038495</v>
      </c>
      <c r="AR1110" s="31">
        <v>0.13341858489683281</v>
      </c>
    </row>
    <row r="1111" spans="1:44" hidden="1" x14ac:dyDescent="0.5">
      <c r="A1111" s="31">
        <v>1110</v>
      </c>
      <c r="B1111" s="31">
        <v>73</v>
      </c>
      <c r="C1111" s="225" t="s">
        <v>9</v>
      </c>
      <c r="D1111" s="32">
        <v>-6.86768</v>
      </c>
      <c r="E1111" s="38">
        <v>112.342806</v>
      </c>
      <c r="F1111">
        <v>0.13</v>
      </c>
      <c r="G1111">
        <f t="shared" si="13"/>
        <v>209.21472</v>
      </c>
      <c r="H1111" s="32" t="s">
        <v>47</v>
      </c>
      <c r="I1111" s="7">
        <v>0</v>
      </c>
      <c r="J1111">
        <v>1055.0147516073</v>
      </c>
      <c r="K1111" s="26">
        <v>2018</v>
      </c>
      <c r="L1111" t="s">
        <v>30</v>
      </c>
      <c r="M1111" s="32">
        <v>300</v>
      </c>
      <c r="N1111">
        <v>36.542166029999997</v>
      </c>
      <c r="O1111">
        <v>5</v>
      </c>
      <c r="P1111" t="s">
        <v>12</v>
      </c>
      <c r="Q1111">
        <v>89</v>
      </c>
      <c r="R1111" t="s">
        <v>13</v>
      </c>
      <c r="S1111" t="s">
        <v>16</v>
      </c>
      <c r="T1111" t="s">
        <v>16</v>
      </c>
      <c r="U1111" s="34">
        <v>0</v>
      </c>
      <c r="V1111" s="34">
        <v>5</v>
      </c>
      <c r="W1111" s="25">
        <v>2.5</v>
      </c>
      <c r="X1111" s="25">
        <v>5</v>
      </c>
      <c r="Y1111">
        <v>0.69148334628571395</v>
      </c>
      <c r="Z1111" t="s">
        <v>719</v>
      </c>
      <c r="AA1111" t="s">
        <v>623</v>
      </c>
      <c r="AB1111">
        <v>1</v>
      </c>
      <c r="AC1111">
        <v>35.090000000000003</v>
      </c>
      <c r="AD1111">
        <v>38.9</v>
      </c>
      <c r="AE1111" t="s">
        <v>525</v>
      </c>
      <c r="AF1111" t="s">
        <v>532</v>
      </c>
      <c r="AG1111" s="32" t="s">
        <v>2147</v>
      </c>
      <c r="AH1111" s="32" t="s">
        <v>2137</v>
      </c>
      <c r="AI1111" s="32" t="s">
        <v>2148</v>
      </c>
      <c r="AJ1111" s="31" t="s">
        <v>3185</v>
      </c>
      <c r="AK1111" s="31">
        <v>0.87050000000000005</v>
      </c>
      <c r="AL1111" s="31">
        <v>235.87938500000004</v>
      </c>
      <c r="AM1111" s="31">
        <v>35.090614999999985</v>
      </c>
      <c r="AN1111" s="31">
        <v>9684.8805053081924</v>
      </c>
      <c r="AO1111" s="31">
        <v>1440.7719993537166</v>
      </c>
      <c r="AP1111" s="31">
        <v>6.6969335801877854</v>
      </c>
      <c r="AQ1111" s="31">
        <v>0.9962698433478665</v>
      </c>
      <c r="AR1111" s="31">
        <v>0.13341858489683281</v>
      </c>
    </row>
    <row r="1112" spans="1:44" hidden="1" x14ac:dyDescent="0.5">
      <c r="A1112" s="31">
        <v>1111</v>
      </c>
      <c r="B1112" s="31">
        <v>73</v>
      </c>
      <c r="C1112" s="225" t="s">
        <v>9</v>
      </c>
      <c r="D1112" s="32">
        <v>-6.8657529999999998</v>
      </c>
      <c r="E1112" s="38">
        <v>112.289153</v>
      </c>
      <c r="F1112">
        <v>0.08</v>
      </c>
      <c r="G1112">
        <f t="shared" si="13"/>
        <v>128.74752000000001</v>
      </c>
      <c r="H1112" s="32" t="s">
        <v>47</v>
      </c>
      <c r="I1112" s="7">
        <v>5</v>
      </c>
      <c r="J1112">
        <v>1036.57609871827</v>
      </c>
      <c r="K1112" s="26">
        <v>2018</v>
      </c>
      <c r="L1112" t="s">
        <v>30</v>
      </c>
      <c r="M1112" s="32">
        <v>300</v>
      </c>
      <c r="N1112">
        <v>36.542166029999997</v>
      </c>
      <c r="O1112">
        <v>5</v>
      </c>
      <c r="P1112" t="s">
        <v>12</v>
      </c>
      <c r="Q1112">
        <v>89</v>
      </c>
      <c r="R1112" t="s">
        <v>13</v>
      </c>
      <c r="S1112" t="s">
        <v>16</v>
      </c>
      <c r="T1112" t="s">
        <v>16</v>
      </c>
      <c r="U1112" s="34">
        <v>5</v>
      </c>
      <c r="V1112" s="34">
        <v>10</v>
      </c>
      <c r="W1112" s="25">
        <v>7.5</v>
      </c>
      <c r="X1112" s="25">
        <v>5</v>
      </c>
      <c r="Y1112">
        <v>0.69148334628571395</v>
      </c>
      <c r="Z1112" t="s">
        <v>719</v>
      </c>
      <c r="AA1112" t="s">
        <v>623</v>
      </c>
      <c r="AB1112">
        <v>1</v>
      </c>
      <c r="AC1112">
        <v>5.6</v>
      </c>
      <c r="AD1112">
        <v>9.73</v>
      </c>
      <c r="AE1112" t="s">
        <v>525</v>
      </c>
      <c r="AF1112" t="s">
        <v>532</v>
      </c>
      <c r="AG1112" s="32" t="s">
        <v>2149</v>
      </c>
      <c r="AH1112" s="32" t="s">
        <v>1492</v>
      </c>
      <c r="AI1112" s="32" t="s">
        <v>2150</v>
      </c>
      <c r="AJ1112" s="31" t="s">
        <v>3186</v>
      </c>
      <c r="AK1112" s="31">
        <v>0.86809999999999998</v>
      </c>
      <c r="AL1112" s="31">
        <v>36.859526000000002</v>
      </c>
      <c r="AM1112" s="31">
        <v>5.6004739999999984</v>
      </c>
      <c r="AN1112" s="31">
        <v>1513.4010324484291</v>
      </c>
      <c r="AO1112" s="31">
        <v>229.94769747718894</v>
      </c>
      <c r="AP1112" s="31">
        <v>1.0464916101896942</v>
      </c>
      <c r="AQ1112" s="31">
        <v>0.15900500332222162</v>
      </c>
      <c r="AR1112" s="31">
        <v>0.13275189523153463</v>
      </c>
    </row>
    <row r="1113" spans="1:44" hidden="1" x14ac:dyDescent="0.5">
      <c r="A1113" s="31">
        <v>1112</v>
      </c>
      <c r="B1113" s="31">
        <v>73</v>
      </c>
      <c r="C1113" s="225" t="s">
        <v>9</v>
      </c>
      <c r="D1113" s="32">
        <v>-6.8657529999999998</v>
      </c>
      <c r="E1113" s="38">
        <v>112.289153</v>
      </c>
      <c r="F1113">
        <v>0.08</v>
      </c>
      <c r="G1113">
        <f t="shared" si="13"/>
        <v>128.74752000000001</v>
      </c>
      <c r="H1113" s="32" t="s">
        <v>47</v>
      </c>
      <c r="I1113" s="7">
        <v>5</v>
      </c>
      <c r="J1113">
        <v>1036.57609871827</v>
      </c>
      <c r="K1113" s="26">
        <v>2018</v>
      </c>
      <c r="L1113" t="s">
        <v>30</v>
      </c>
      <c r="M1113" s="32">
        <v>300</v>
      </c>
      <c r="N1113">
        <v>36.542166029999997</v>
      </c>
      <c r="O1113">
        <v>5</v>
      </c>
      <c r="P1113" t="s">
        <v>12</v>
      </c>
      <c r="Q1113">
        <v>89</v>
      </c>
      <c r="R1113" t="s">
        <v>13</v>
      </c>
      <c r="S1113" t="s">
        <v>16</v>
      </c>
      <c r="T1113" t="s">
        <v>16</v>
      </c>
      <c r="U1113" s="34">
        <v>0</v>
      </c>
      <c r="V1113" s="34">
        <v>5</v>
      </c>
      <c r="W1113" s="25">
        <v>2.5</v>
      </c>
      <c r="X1113" s="25">
        <v>5</v>
      </c>
      <c r="Y1113">
        <v>0.69148334628571395</v>
      </c>
      <c r="Z1113" t="s">
        <v>719</v>
      </c>
      <c r="AA1113" t="s">
        <v>623</v>
      </c>
      <c r="AB1113">
        <v>1</v>
      </c>
      <c r="AC1113">
        <v>13.89</v>
      </c>
      <c r="AD1113">
        <v>17.350000000000001</v>
      </c>
      <c r="AE1113" t="s">
        <v>525</v>
      </c>
      <c r="AF1113" t="s">
        <v>532</v>
      </c>
      <c r="AG1113" s="32" t="s">
        <v>2151</v>
      </c>
      <c r="AH1113" s="32" t="s">
        <v>2137</v>
      </c>
      <c r="AI1113" s="32" t="s">
        <v>2152</v>
      </c>
      <c r="AJ1113" s="31" t="s">
        <v>3187</v>
      </c>
      <c r="AK1113" s="31">
        <v>0.87050000000000005</v>
      </c>
      <c r="AL1113" s="31">
        <v>93.369830000000007</v>
      </c>
      <c r="AM1113" s="31">
        <v>13.890169999999998</v>
      </c>
      <c r="AN1113" s="31">
        <v>3833.6357641043533</v>
      </c>
      <c r="AO1113" s="31">
        <v>570.31112171339885</v>
      </c>
      <c r="AP1113" s="31">
        <v>2.6508952866034683</v>
      </c>
      <c r="AQ1113" s="31">
        <v>0.39436064286634009</v>
      </c>
      <c r="AR1113" s="31">
        <v>0.13275189523153463</v>
      </c>
    </row>
    <row r="1114" spans="1:44" hidden="1" x14ac:dyDescent="0.5">
      <c r="A1114" s="31">
        <v>1447</v>
      </c>
      <c r="B1114" s="31">
        <v>106</v>
      </c>
      <c r="C1114" s="225" t="s">
        <v>20</v>
      </c>
      <c r="D1114" s="44">
        <v>45.499699999999997</v>
      </c>
      <c r="E1114" s="45">
        <v>13.588100000000001</v>
      </c>
      <c r="F1114">
        <v>0</v>
      </c>
      <c r="G1114">
        <f t="shared" si="13"/>
        <v>0</v>
      </c>
      <c r="H1114" s="32" t="s">
        <v>10</v>
      </c>
      <c r="I1114">
        <v>0</v>
      </c>
      <c r="J1114">
        <v>128.652189827256</v>
      </c>
      <c r="K1114" s="26">
        <v>2017</v>
      </c>
      <c r="L1114" t="s">
        <v>30</v>
      </c>
      <c r="M1114" s="32">
        <v>63</v>
      </c>
      <c r="N1114">
        <v>7.0097463050000002</v>
      </c>
      <c r="O1114">
        <v>5</v>
      </c>
      <c r="P1114" t="s">
        <v>12</v>
      </c>
      <c r="Q1114">
        <v>89</v>
      </c>
      <c r="R1114" t="s">
        <v>13</v>
      </c>
      <c r="S1114" t="s">
        <v>14</v>
      </c>
      <c r="T1114" t="s">
        <v>14</v>
      </c>
      <c r="U1114" s="34">
        <v>0</v>
      </c>
      <c r="V1114" s="34">
        <v>4</v>
      </c>
      <c r="W1114" s="25">
        <v>2</v>
      </c>
      <c r="X1114" s="25">
        <v>4</v>
      </c>
      <c r="Y1114" s="244">
        <v>0.91868156199999995</v>
      </c>
      <c r="Z1114" t="s">
        <v>1100</v>
      </c>
      <c r="AA1114" t="s">
        <v>622</v>
      </c>
      <c r="AB1114">
        <v>3</v>
      </c>
      <c r="AC1114">
        <v>64.099999999999994</v>
      </c>
      <c r="AD1114">
        <v>8.9</v>
      </c>
      <c r="AE1114" t="s">
        <v>519</v>
      </c>
      <c r="AF1114" t="s">
        <v>532</v>
      </c>
      <c r="AG1114" s="32" t="s">
        <v>2509</v>
      </c>
      <c r="AH1114" s="32" t="s">
        <v>2161</v>
      </c>
      <c r="AI1114" s="32" t="s">
        <v>2510</v>
      </c>
      <c r="AJ1114" s="31" t="s">
        <v>3350</v>
      </c>
      <c r="AK1114" s="31">
        <v>0.19</v>
      </c>
      <c r="AL1114" s="31">
        <v>12.178999999999998</v>
      </c>
      <c r="AM1114" s="31">
        <v>51.920999999999992</v>
      </c>
      <c r="AN1114" s="31">
        <v>95.923258706286504</v>
      </c>
      <c r="AO1114" s="31">
        <v>408.93599764258983</v>
      </c>
      <c r="AP1114" s="31">
        <v>8.8122929140421372E-2</v>
      </c>
      <c r="AQ1114" s="31">
        <v>0.37568196107232271</v>
      </c>
      <c r="AR1114" s="31">
        <v>0.13341858489683281</v>
      </c>
    </row>
    <row r="1115" spans="1:44" hidden="1" x14ac:dyDescent="0.5">
      <c r="A1115" s="31">
        <v>366</v>
      </c>
      <c r="B1115" s="31">
        <v>25</v>
      </c>
      <c r="C1115" s="225" t="s">
        <v>20</v>
      </c>
      <c r="D1115" s="41">
        <v>45.460324999999997</v>
      </c>
      <c r="E1115" s="43">
        <v>12.431875</v>
      </c>
      <c r="F1115">
        <v>0.35</v>
      </c>
      <c r="G1115">
        <f t="shared" si="13"/>
        <v>563.2704</v>
      </c>
      <c r="H1115" s="32" t="s">
        <v>48</v>
      </c>
      <c r="I1115">
        <v>5</v>
      </c>
      <c r="J1115">
        <v>247.983024147653</v>
      </c>
      <c r="K1115" s="27">
        <v>2011</v>
      </c>
      <c r="L1115" t="s">
        <v>30</v>
      </c>
      <c r="M1115" s="32">
        <v>32</v>
      </c>
      <c r="N1115">
        <v>3.4233292909999999</v>
      </c>
      <c r="O1115">
        <v>2.5</v>
      </c>
      <c r="P1115" t="s">
        <v>12</v>
      </c>
      <c r="Q1115">
        <v>89</v>
      </c>
      <c r="R1115" t="s">
        <v>13</v>
      </c>
      <c r="S1115" t="s">
        <v>14</v>
      </c>
      <c r="T1115" t="s">
        <v>14</v>
      </c>
      <c r="U1115" s="34">
        <v>0</v>
      </c>
      <c r="V1115" s="34">
        <v>5</v>
      </c>
      <c r="W1115" s="25">
        <v>2.5</v>
      </c>
      <c r="X1115" s="25">
        <v>5</v>
      </c>
      <c r="Y1115" s="244">
        <v>0.91868156199999995</v>
      </c>
      <c r="Z1115" t="s">
        <v>1100</v>
      </c>
      <c r="AA1115" t="s">
        <v>622</v>
      </c>
      <c r="AB1115">
        <v>2</v>
      </c>
      <c r="AC1115">
        <v>880</v>
      </c>
      <c r="AF1115" t="s">
        <v>532</v>
      </c>
      <c r="AG1115" s="32">
        <v>880</v>
      </c>
      <c r="AH1115" s="32" t="s">
        <v>1346</v>
      </c>
      <c r="AI1115" s="32" t="s">
        <v>1355</v>
      </c>
      <c r="AJ1115" s="31" t="s">
        <v>2819</v>
      </c>
      <c r="AK1115" s="31">
        <v>0.11</v>
      </c>
      <c r="AL1115" s="31">
        <v>96.8</v>
      </c>
      <c r="AM1115" s="31">
        <v>783.2</v>
      </c>
      <c r="AN1115" s="31">
        <v>372.33514086382019</v>
      </c>
      <c r="AO1115" s="31">
        <v>3012.5297760800004</v>
      </c>
      <c r="AP1115" s="31">
        <v>0.34205742879626433</v>
      </c>
      <c r="AQ1115" s="31">
        <v>2.7675555602606852</v>
      </c>
      <c r="AR1115" s="31">
        <v>0.13275189523153463</v>
      </c>
    </row>
    <row r="1116" spans="1:44" hidden="1" x14ac:dyDescent="0.5">
      <c r="A1116" s="31">
        <v>363</v>
      </c>
      <c r="B1116" s="31">
        <v>25</v>
      </c>
      <c r="C1116" s="225" t="s">
        <v>20</v>
      </c>
      <c r="D1116" s="41">
        <v>45.44144</v>
      </c>
      <c r="E1116" s="43">
        <v>12.345630999999999</v>
      </c>
      <c r="F1116">
        <v>7.0000000000000007E-2</v>
      </c>
      <c r="G1116">
        <f t="shared" si="13"/>
        <v>112.65408000000001</v>
      </c>
      <c r="H1116" s="32" t="s">
        <v>48</v>
      </c>
      <c r="I1116">
        <v>4</v>
      </c>
      <c r="J1116">
        <v>250.66719122078501</v>
      </c>
      <c r="K1116" s="27">
        <v>2011</v>
      </c>
      <c r="L1116" t="s">
        <v>30</v>
      </c>
      <c r="M1116" s="32">
        <v>32</v>
      </c>
      <c r="N1116">
        <v>3.4233292909999999</v>
      </c>
      <c r="O1116">
        <v>2.5</v>
      </c>
      <c r="P1116" t="s">
        <v>12</v>
      </c>
      <c r="Q1116">
        <v>89</v>
      </c>
      <c r="R1116" t="s">
        <v>13</v>
      </c>
      <c r="S1116" t="s">
        <v>14</v>
      </c>
      <c r="T1116" t="s">
        <v>14</v>
      </c>
      <c r="U1116" s="34">
        <v>0</v>
      </c>
      <c r="V1116" s="34">
        <v>5</v>
      </c>
      <c r="W1116" s="25">
        <v>2.5</v>
      </c>
      <c r="X1116" s="25">
        <v>5</v>
      </c>
      <c r="Y1116" s="244">
        <v>0.91868156199999995</v>
      </c>
      <c r="Z1116" t="s">
        <v>1100</v>
      </c>
      <c r="AA1116" t="s">
        <v>622</v>
      </c>
      <c r="AB1116">
        <v>2</v>
      </c>
      <c r="AC1116">
        <v>1501</v>
      </c>
      <c r="AF1116" t="s">
        <v>532</v>
      </c>
      <c r="AG1116" s="32">
        <v>1501</v>
      </c>
      <c r="AH1116" s="32" t="s">
        <v>1346</v>
      </c>
      <c r="AI1116" s="32" t="s">
        <v>1352</v>
      </c>
      <c r="AJ1116" s="31" t="s">
        <v>2816</v>
      </c>
      <c r="AK1116" s="31">
        <v>0.11</v>
      </c>
      <c r="AL1116" s="31">
        <v>165.11</v>
      </c>
      <c r="AM1116" s="31">
        <v>1335.8899999999999</v>
      </c>
      <c r="AN1116" s="31">
        <v>635.08528004158427</v>
      </c>
      <c r="AO1116" s="31">
        <v>5138.4172657909994</v>
      </c>
      <c r="AP1116" s="31">
        <v>0.58344113707181</v>
      </c>
      <c r="AQ1116" s="31">
        <v>4.7205691999446442</v>
      </c>
      <c r="AR1116" s="31">
        <v>0.13288496611575845</v>
      </c>
    </row>
    <row r="1117" spans="1:44" hidden="1" x14ac:dyDescent="0.5">
      <c r="A1117" s="31">
        <v>360</v>
      </c>
      <c r="B1117" s="31">
        <v>25</v>
      </c>
      <c r="C1117" s="225" t="s">
        <v>20</v>
      </c>
      <c r="D1117" s="41">
        <v>45.413694</v>
      </c>
      <c r="E1117" s="43">
        <v>12.274196999999999</v>
      </c>
      <c r="F1117">
        <v>0.38</v>
      </c>
      <c r="G1117">
        <f t="shared" si="13"/>
        <v>611.55072000000007</v>
      </c>
      <c r="H1117" s="32" t="s">
        <v>48</v>
      </c>
      <c r="I1117">
        <v>2</v>
      </c>
      <c r="J1117">
        <v>253.75185390031299</v>
      </c>
      <c r="K1117" s="27">
        <v>2011</v>
      </c>
      <c r="L1117" t="s">
        <v>30</v>
      </c>
      <c r="M1117" s="32">
        <v>32</v>
      </c>
      <c r="N1117">
        <v>3.4233292909999999</v>
      </c>
      <c r="O1117">
        <v>2.5</v>
      </c>
      <c r="P1117" t="s">
        <v>12</v>
      </c>
      <c r="Q1117">
        <v>89</v>
      </c>
      <c r="R1117" t="s">
        <v>13</v>
      </c>
      <c r="S1117" t="s">
        <v>14</v>
      </c>
      <c r="T1117" t="s">
        <v>14</v>
      </c>
      <c r="U1117" s="34">
        <v>0</v>
      </c>
      <c r="V1117" s="34">
        <v>5</v>
      </c>
      <c r="W1117" s="25">
        <v>2.5</v>
      </c>
      <c r="X1117" s="25">
        <v>5</v>
      </c>
      <c r="Y1117" s="244">
        <v>0.91868156199999995</v>
      </c>
      <c r="Z1117" t="s">
        <v>1100</v>
      </c>
      <c r="AA1117" t="s">
        <v>622</v>
      </c>
      <c r="AB1117">
        <v>2</v>
      </c>
      <c r="AC1117">
        <v>1908</v>
      </c>
      <c r="AF1117" t="s">
        <v>532</v>
      </c>
      <c r="AG1117" s="32">
        <v>1908</v>
      </c>
      <c r="AH1117" s="32" t="s">
        <v>1346</v>
      </c>
      <c r="AI1117" s="32" t="s">
        <v>1349</v>
      </c>
      <c r="AJ1117" s="31" t="s">
        <v>2813</v>
      </c>
      <c r="AK1117" s="31">
        <v>0.11</v>
      </c>
      <c r="AL1117" s="31">
        <v>209.88</v>
      </c>
      <c r="AM1117" s="31">
        <v>1698.12</v>
      </c>
      <c r="AN1117" s="31">
        <v>807.2902826911012</v>
      </c>
      <c r="AO1117" s="31">
        <v>6531.7122872279997</v>
      </c>
      <c r="AP1117" s="31">
        <v>0.7416426978900823</v>
      </c>
      <c r="AQ1117" s="31">
        <v>6.0005636465652108</v>
      </c>
      <c r="AR1117" s="31">
        <v>0.13315150818983643</v>
      </c>
    </row>
    <row r="1118" spans="1:44" hidden="1" x14ac:dyDescent="0.5">
      <c r="A1118" s="31">
        <v>359</v>
      </c>
      <c r="B1118" s="31">
        <v>25</v>
      </c>
      <c r="C1118" s="225" t="s">
        <v>20</v>
      </c>
      <c r="D1118" s="41">
        <v>45.402943999999998</v>
      </c>
      <c r="E1118" s="43">
        <v>12.312196999999999</v>
      </c>
      <c r="F1118">
        <v>2.0099999999999998</v>
      </c>
      <c r="G1118">
        <f t="shared" si="13"/>
        <v>3234.7814399999997</v>
      </c>
      <c r="H1118" s="32" t="s">
        <v>48</v>
      </c>
      <c r="I1118">
        <v>2</v>
      </c>
      <c r="J1118">
        <v>255.33372096756699</v>
      </c>
      <c r="K1118" s="27">
        <v>2011</v>
      </c>
      <c r="L1118" t="s">
        <v>30</v>
      </c>
      <c r="M1118" s="32">
        <v>32</v>
      </c>
      <c r="N1118">
        <v>3.4233292909999999</v>
      </c>
      <c r="O1118">
        <v>2.5</v>
      </c>
      <c r="P1118" t="s">
        <v>12</v>
      </c>
      <c r="Q1118">
        <v>89</v>
      </c>
      <c r="R1118" t="s">
        <v>13</v>
      </c>
      <c r="S1118" t="s">
        <v>14</v>
      </c>
      <c r="T1118" t="s">
        <v>14</v>
      </c>
      <c r="U1118" s="34">
        <v>0</v>
      </c>
      <c r="V1118" s="34">
        <v>5</v>
      </c>
      <c r="W1118" s="25">
        <v>2.5</v>
      </c>
      <c r="X1118" s="25">
        <v>5</v>
      </c>
      <c r="Y1118" s="244">
        <v>0.91868156199999995</v>
      </c>
      <c r="Z1118" t="s">
        <v>1100</v>
      </c>
      <c r="AA1118" t="s">
        <v>622</v>
      </c>
      <c r="AB1118">
        <v>2</v>
      </c>
      <c r="AC1118">
        <v>1353</v>
      </c>
      <c r="AF1118" t="s">
        <v>532</v>
      </c>
      <c r="AG1118" s="32">
        <v>1353</v>
      </c>
      <c r="AH1118" s="32" t="s">
        <v>1346</v>
      </c>
      <c r="AI1118" s="32" t="s">
        <v>1348</v>
      </c>
      <c r="AJ1118" s="31" t="s">
        <v>2812</v>
      </c>
      <c r="AK1118" s="31">
        <v>0.11</v>
      </c>
      <c r="AL1118" s="31">
        <v>148.83000000000001</v>
      </c>
      <c r="AM1118" s="31">
        <v>1204.17</v>
      </c>
      <c r="AN1118" s="31">
        <v>572.46527907812367</v>
      </c>
      <c r="AO1118" s="31">
        <v>4631.7645307230005</v>
      </c>
      <c r="AP1118" s="31">
        <v>0.52591329677425658</v>
      </c>
      <c r="AQ1118" s="31">
        <v>4.2551166739008028</v>
      </c>
      <c r="AR1118" s="31">
        <v>0.13315150818983643</v>
      </c>
    </row>
    <row r="1119" spans="1:44" hidden="1" x14ac:dyDescent="0.5">
      <c r="A1119" s="31">
        <v>362</v>
      </c>
      <c r="B1119" s="31">
        <v>25</v>
      </c>
      <c r="C1119" s="225" t="s">
        <v>20</v>
      </c>
      <c r="D1119" s="41">
        <v>45.337885999999997</v>
      </c>
      <c r="E1119" s="43">
        <v>12.300561</v>
      </c>
      <c r="F1119">
        <v>0.49</v>
      </c>
      <c r="G1119">
        <f t="shared" si="13"/>
        <v>788.57856000000004</v>
      </c>
      <c r="H1119" s="32" t="s">
        <v>48</v>
      </c>
      <c r="I1119">
        <v>4</v>
      </c>
      <c r="J1119">
        <v>266.54465393584701</v>
      </c>
      <c r="K1119" s="27">
        <v>2011</v>
      </c>
      <c r="L1119" t="s">
        <v>30</v>
      </c>
      <c r="M1119" s="32">
        <v>32</v>
      </c>
      <c r="N1119">
        <v>3.4233292909999999</v>
      </c>
      <c r="O1119">
        <v>2.5</v>
      </c>
      <c r="P1119" t="s">
        <v>12</v>
      </c>
      <c r="Q1119">
        <v>89</v>
      </c>
      <c r="R1119" t="s">
        <v>13</v>
      </c>
      <c r="S1119" t="s">
        <v>14</v>
      </c>
      <c r="T1119" t="s">
        <v>14</v>
      </c>
      <c r="U1119" s="34">
        <v>0</v>
      </c>
      <c r="V1119" s="34">
        <v>5</v>
      </c>
      <c r="W1119" s="25">
        <v>2.5</v>
      </c>
      <c r="X1119" s="25">
        <v>5</v>
      </c>
      <c r="Y1119" s="244">
        <v>0.91868156199999995</v>
      </c>
      <c r="Z1119" t="s">
        <v>1100</v>
      </c>
      <c r="AA1119" t="s">
        <v>622</v>
      </c>
      <c r="AB1119">
        <v>2</v>
      </c>
      <c r="AC1119">
        <v>1237</v>
      </c>
      <c r="AF1119" t="s">
        <v>532</v>
      </c>
      <c r="AG1119" s="32">
        <v>1237</v>
      </c>
      <c r="AH1119" s="32" t="s">
        <v>1346</v>
      </c>
      <c r="AI1119" s="32" t="s">
        <v>1351</v>
      </c>
      <c r="AJ1119" s="31" t="s">
        <v>2815</v>
      </c>
      <c r="AK1119" s="31">
        <v>0.11</v>
      </c>
      <c r="AL1119" s="31">
        <v>136.07</v>
      </c>
      <c r="AM1119" s="31">
        <v>1100.93</v>
      </c>
      <c r="AN1119" s="31">
        <v>523.38473778243815</v>
      </c>
      <c r="AO1119" s="31">
        <v>4234.6583329670002</v>
      </c>
      <c r="AP1119" s="31">
        <v>0.4808239084329306</v>
      </c>
      <c r="AQ1119" s="31">
        <v>3.8903025318664395</v>
      </c>
      <c r="AR1119" s="31">
        <v>0.13288496611575845</v>
      </c>
    </row>
    <row r="1120" spans="1:44" hidden="1" x14ac:dyDescent="0.5">
      <c r="A1120" s="31">
        <v>361</v>
      </c>
      <c r="B1120" s="31">
        <v>25</v>
      </c>
      <c r="C1120" s="225" t="s">
        <v>20</v>
      </c>
      <c r="D1120" s="46">
        <v>45.330556000000001</v>
      </c>
      <c r="E1120" s="47">
        <v>12.230833000000001</v>
      </c>
      <c r="F1120">
        <v>0.04</v>
      </c>
      <c r="G1120">
        <f t="shared" si="13"/>
        <v>64.373760000000004</v>
      </c>
      <c r="H1120" s="32" t="s">
        <v>48</v>
      </c>
      <c r="I1120">
        <v>4</v>
      </c>
      <c r="J1120">
        <v>268.570742735968</v>
      </c>
      <c r="K1120" s="27">
        <v>2011</v>
      </c>
      <c r="L1120" t="s">
        <v>30</v>
      </c>
      <c r="M1120" s="32">
        <v>32</v>
      </c>
      <c r="N1120">
        <v>3.4233292909999999</v>
      </c>
      <c r="O1120">
        <v>2.5</v>
      </c>
      <c r="P1120" t="s">
        <v>12</v>
      </c>
      <c r="Q1120">
        <v>89</v>
      </c>
      <c r="R1120" t="s">
        <v>13</v>
      </c>
      <c r="S1120" t="s">
        <v>14</v>
      </c>
      <c r="T1120" t="s">
        <v>14</v>
      </c>
      <c r="U1120" s="34">
        <v>0</v>
      </c>
      <c r="V1120" s="34">
        <v>5</v>
      </c>
      <c r="W1120" s="25">
        <v>2.5</v>
      </c>
      <c r="X1120" s="25">
        <v>5</v>
      </c>
      <c r="Y1120" s="244">
        <v>0.91868156199999995</v>
      </c>
      <c r="Z1120" t="s">
        <v>1100</v>
      </c>
      <c r="AA1120" t="s">
        <v>622</v>
      </c>
      <c r="AB1120">
        <v>2</v>
      </c>
      <c r="AC1120">
        <v>1476</v>
      </c>
      <c r="AF1120" t="s">
        <v>532</v>
      </c>
      <c r="AG1120" s="32">
        <v>1476</v>
      </c>
      <c r="AH1120" s="32" t="s">
        <v>1346</v>
      </c>
      <c r="AI1120" s="32" t="s">
        <v>1350</v>
      </c>
      <c r="AJ1120" s="31" t="s">
        <v>2814</v>
      </c>
      <c r="AK1120" s="31">
        <v>0.11</v>
      </c>
      <c r="AL1120" s="31">
        <v>162.36000000000001</v>
      </c>
      <c r="AM1120" s="31">
        <v>1313.6399999999999</v>
      </c>
      <c r="AN1120" s="31">
        <v>624.50757717613476</v>
      </c>
      <c r="AO1120" s="31">
        <v>5052.8340335159992</v>
      </c>
      <c r="AP1120" s="31">
        <v>0.57372359648100701</v>
      </c>
      <c r="AQ1120" s="31">
        <v>4.6419454624372385</v>
      </c>
      <c r="AR1120" s="31">
        <v>0.13288496611575845</v>
      </c>
    </row>
    <row r="1121" spans="1:44" hidden="1" x14ac:dyDescent="0.5">
      <c r="A1121" s="31">
        <v>358</v>
      </c>
      <c r="B1121" s="31">
        <v>25</v>
      </c>
      <c r="C1121" s="225" t="s">
        <v>20</v>
      </c>
      <c r="D1121" s="41">
        <v>45.327610999999997</v>
      </c>
      <c r="E1121" s="43">
        <v>12.203753000000001</v>
      </c>
      <c r="F1121">
        <v>0.13</v>
      </c>
      <c r="G1121">
        <f t="shared" si="13"/>
        <v>209.21472</v>
      </c>
      <c r="H1121" s="32" t="s">
        <v>48</v>
      </c>
      <c r="I1121">
        <v>2</v>
      </c>
      <c r="J1121">
        <v>266.34378025882802</v>
      </c>
      <c r="K1121" s="27">
        <v>2011</v>
      </c>
      <c r="L1121" t="s">
        <v>30</v>
      </c>
      <c r="M1121" s="32">
        <v>32</v>
      </c>
      <c r="N1121">
        <v>3.4233292909999999</v>
      </c>
      <c r="O1121">
        <v>2.5</v>
      </c>
      <c r="P1121" t="s">
        <v>12</v>
      </c>
      <c r="Q1121">
        <v>89</v>
      </c>
      <c r="R1121" t="s">
        <v>13</v>
      </c>
      <c r="S1121" t="s">
        <v>14</v>
      </c>
      <c r="T1121" t="s">
        <v>14</v>
      </c>
      <c r="U1121" s="34">
        <v>0</v>
      </c>
      <c r="V1121" s="34">
        <v>5</v>
      </c>
      <c r="W1121" s="25">
        <v>2.5</v>
      </c>
      <c r="X1121" s="25">
        <v>5</v>
      </c>
      <c r="Y1121" s="244">
        <v>0.91868156199999995</v>
      </c>
      <c r="Z1121" t="s">
        <v>1100</v>
      </c>
      <c r="AA1121" t="s">
        <v>622</v>
      </c>
      <c r="AB1121">
        <v>2</v>
      </c>
      <c r="AC1121">
        <v>1856</v>
      </c>
      <c r="AF1121" t="s">
        <v>532</v>
      </c>
      <c r="AG1121" s="32">
        <v>1856</v>
      </c>
      <c r="AH1121" s="32" t="s">
        <v>1346</v>
      </c>
      <c r="AI1121" s="32" t="s">
        <v>1347</v>
      </c>
      <c r="AJ1121" s="31" t="s">
        <v>2811</v>
      </c>
      <c r="AK1121" s="31">
        <v>0.11</v>
      </c>
      <c r="AL1121" s="31">
        <v>204.16</v>
      </c>
      <c r="AM1121" s="31">
        <v>1651.84</v>
      </c>
      <c r="AN1121" s="31">
        <v>785.28866073096628</v>
      </c>
      <c r="AO1121" s="31">
        <v>6353.6991640959995</v>
      </c>
      <c r="AP1121" s="31">
        <v>0.72143021346121206</v>
      </c>
      <c r="AQ1121" s="31">
        <v>5.8370262725498065</v>
      </c>
      <c r="AR1121" s="31">
        <v>0.13315150818983643</v>
      </c>
    </row>
    <row r="1122" spans="1:44" hidden="1" x14ac:dyDescent="0.5">
      <c r="A1122" s="31">
        <v>365</v>
      </c>
      <c r="B1122" s="31">
        <v>25</v>
      </c>
      <c r="C1122" s="225" t="s">
        <v>20</v>
      </c>
      <c r="D1122" s="41">
        <v>45.248697</v>
      </c>
      <c r="E1122" s="43">
        <v>12.293867000000001</v>
      </c>
      <c r="F1122">
        <v>0.24</v>
      </c>
      <c r="G1122">
        <f t="shared" si="13"/>
        <v>386.24256000000003</v>
      </c>
      <c r="H1122" s="32" t="s">
        <v>48</v>
      </c>
      <c r="I1122">
        <v>3</v>
      </c>
      <c r="J1122">
        <v>276.52280306742603</v>
      </c>
      <c r="K1122" s="27">
        <v>2011</v>
      </c>
      <c r="L1122" t="s">
        <v>30</v>
      </c>
      <c r="M1122" s="32">
        <v>32</v>
      </c>
      <c r="N1122">
        <v>3.4233292909999999</v>
      </c>
      <c r="O1122">
        <v>2.5</v>
      </c>
      <c r="P1122" t="s">
        <v>12</v>
      </c>
      <c r="Q1122">
        <v>89</v>
      </c>
      <c r="R1122" t="s">
        <v>13</v>
      </c>
      <c r="S1122" t="s">
        <v>14</v>
      </c>
      <c r="T1122" t="s">
        <v>14</v>
      </c>
      <c r="U1122" s="34">
        <v>0</v>
      </c>
      <c r="V1122" s="34">
        <v>5</v>
      </c>
      <c r="W1122" s="25">
        <v>2.5</v>
      </c>
      <c r="X1122" s="25">
        <v>5</v>
      </c>
      <c r="Y1122" s="244">
        <v>0.91868156199999995</v>
      </c>
      <c r="Z1122" t="s">
        <v>1100</v>
      </c>
      <c r="AA1122" t="s">
        <v>622</v>
      </c>
      <c r="AB1122">
        <v>2</v>
      </c>
      <c r="AC1122">
        <v>672</v>
      </c>
      <c r="AF1122" t="s">
        <v>532</v>
      </c>
      <c r="AG1122" s="32">
        <v>672</v>
      </c>
      <c r="AH1122" s="32" t="s">
        <v>1346</v>
      </c>
      <c r="AI1122" s="32" t="s">
        <v>1354</v>
      </c>
      <c r="AJ1122" s="31" t="s">
        <v>2818</v>
      </c>
      <c r="AK1122" s="31">
        <v>0.11</v>
      </c>
      <c r="AL1122" s="31">
        <v>73.92</v>
      </c>
      <c r="AM1122" s="31">
        <v>598.08000000000004</v>
      </c>
      <c r="AN1122" s="31">
        <v>284.32865302328088</v>
      </c>
      <c r="AO1122" s="31">
        <v>2300.4772835520002</v>
      </c>
      <c r="AP1122" s="31">
        <v>0.26120749108078367</v>
      </c>
      <c r="AQ1122" s="31">
        <v>2.1134060641990686</v>
      </c>
      <c r="AR1122" s="31">
        <v>0.13301817039062197</v>
      </c>
    </row>
    <row r="1123" spans="1:44" hidden="1" x14ac:dyDescent="0.5">
      <c r="A1123" s="31">
        <v>364</v>
      </c>
      <c r="B1123" s="31">
        <v>25</v>
      </c>
      <c r="C1123" s="225" t="s">
        <v>20</v>
      </c>
      <c r="D1123" s="41">
        <v>45.222499999999997</v>
      </c>
      <c r="E1123" s="43">
        <v>12.277861</v>
      </c>
      <c r="F1123">
        <v>0.01</v>
      </c>
      <c r="G1123">
        <f t="shared" si="13"/>
        <v>16.093440000000001</v>
      </c>
      <c r="H1123" s="32" t="s">
        <v>48</v>
      </c>
      <c r="I1123">
        <v>3</v>
      </c>
      <c r="J1123">
        <v>280.03129475893797</v>
      </c>
      <c r="K1123" s="27">
        <v>2011</v>
      </c>
      <c r="L1123" t="s">
        <v>30</v>
      </c>
      <c r="M1123" s="32">
        <v>32</v>
      </c>
      <c r="N1123">
        <v>3.4233292909999999</v>
      </c>
      <c r="O1123">
        <v>2.5</v>
      </c>
      <c r="P1123" t="s">
        <v>12</v>
      </c>
      <c r="Q1123">
        <v>89</v>
      </c>
      <c r="R1123" t="s">
        <v>13</v>
      </c>
      <c r="S1123" t="s">
        <v>14</v>
      </c>
      <c r="T1123" t="s">
        <v>14</v>
      </c>
      <c r="U1123" s="34">
        <v>0</v>
      </c>
      <c r="V1123" s="34">
        <v>5</v>
      </c>
      <c r="W1123" s="25">
        <v>2.5</v>
      </c>
      <c r="X1123" s="25">
        <v>5</v>
      </c>
      <c r="Y1123" s="244">
        <v>0.91868156199999995</v>
      </c>
      <c r="Z1123" t="s">
        <v>1100</v>
      </c>
      <c r="AA1123" t="s">
        <v>622</v>
      </c>
      <c r="AB1123">
        <v>2</v>
      </c>
      <c r="AC1123">
        <v>1394</v>
      </c>
      <c r="AF1123" t="s">
        <v>532</v>
      </c>
      <c r="AG1123" s="32">
        <v>1394</v>
      </c>
      <c r="AH1123" s="32" t="s">
        <v>1346</v>
      </c>
      <c r="AI1123" s="32" t="s">
        <v>1353</v>
      </c>
      <c r="AJ1123" s="31" t="s">
        <v>2817</v>
      </c>
      <c r="AK1123" s="31">
        <v>0.11</v>
      </c>
      <c r="AL1123" s="31">
        <v>153.34</v>
      </c>
      <c r="AM1123" s="31">
        <v>1240.6600000000001</v>
      </c>
      <c r="AN1123" s="31">
        <v>589.81271177746066</v>
      </c>
      <c r="AO1123" s="31">
        <v>4772.121031654</v>
      </c>
      <c r="AP1123" s="31">
        <v>0.54185006334317332</v>
      </c>
      <c r="AQ1123" s="31">
        <v>4.3840596034129478</v>
      </c>
      <c r="AR1123" s="31">
        <v>0.13301817039062197</v>
      </c>
    </row>
    <row r="1124" spans="1:44" hidden="1" x14ac:dyDescent="0.5">
      <c r="A1124" s="31">
        <v>1372</v>
      </c>
      <c r="B1124" s="31">
        <v>97</v>
      </c>
      <c r="C1124" s="225" t="s">
        <v>20</v>
      </c>
      <c r="D1124" s="41">
        <v>45.097115000000002</v>
      </c>
      <c r="E1124" s="43">
        <v>12.334842999999999</v>
      </c>
      <c r="F1124">
        <v>0</v>
      </c>
      <c r="G1124">
        <f t="shared" si="13"/>
        <v>0</v>
      </c>
      <c r="H1124" s="31" t="s">
        <v>10</v>
      </c>
      <c r="I1124">
        <v>0</v>
      </c>
      <c r="J1124">
        <v>305.11399310274999</v>
      </c>
      <c r="K1124" s="26">
        <v>2016</v>
      </c>
      <c r="L1124" t="s">
        <v>11</v>
      </c>
      <c r="M1124" s="32">
        <v>1000</v>
      </c>
      <c r="N1124">
        <v>130.61708849999999</v>
      </c>
      <c r="O1124">
        <v>5</v>
      </c>
      <c r="P1124" t="s">
        <v>23</v>
      </c>
      <c r="Q1124">
        <v>95.5</v>
      </c>
      <c r="R1124" t="s">
        <v>13</v>
      </c>
      <c r="S1124" t="s">
        <v>14</v>
      </c>
      <c r="T1124" t="s">
        <v>33</v>
      </c>
      <c r="U1124" s="240">
        <v>0</v>
      </c>
      <c r="V1124" s="240">
        <v>5</v>
      </c>
      <c r="W1124" s="25">
        <v>2.5</v>
      </c>
      <c r="X1124" s="25">
        <v>5</v>
      </c>
      <c r="Y1124" s="244">
        <v>0.91868156199999995</v>
      </c>
      <c r="Z1124" t="s">
        <v>1100</v>
      </c>
      <c r="AA1124" t="s">
        <v>622</v>
      </c>
      <c r="AB1124">
        <v>1</v>
      </c>
      <c r="AC1124">
        <v>78.8</v>
      </c>
      <c r="AF1124" t="s">
        <v>532</v>
      </c>
      <c r="AG1124" s="32">
        <v>78.8</v>
      </c>
      <c r="AH1124" s="32" t="s">
        <v>671</v>
      </c>
      <c r="AI1124" s="32" t="s">
        <v>1129</v>
      </c>
      <c r="AJ1124" s="31" t="s">
        <v>1130</v>
      </c>
      <c r="AK1124" s="31">
        <v>0.59524549999999998</v>
      </c>
      <c r="AL1124" s="31">
        <v>46.905345399999995</v>
      </c>
      <c r="AM1124" s="31">
        <v>31.894654600000003</v>
      </c>
      <c r="AN1124" s="31">
        <v>6415.3294777328438</v>
      </c>
      <c r="AO1124" s="31">
        <v>4362.2899712723893</v>
      </c>
      <c r="AP1124" s="31">
        <v>5.8936449053482525</v>
      </c>
      <c r="AQ1124" s="31">
        <v>4.0075553647054534</v>
      </c>
      <c r="AR1124" s="31">
        <v>0.13341858489683281</v>
      </c>
    </row>
    <row r="1125" spans="1:44" hidden="1" x14ac:dyDescent="0.5">
      <c r="A1125" s="31">
        <v>1371</v>
      </c>
      <c r="B1125" s="31">
        <v>97</v>
      </c>
      <c r="C1125" s="225" t="s">
        <v>20</v>
      </c>
      <c r="D1125" s="41">
        <v>45.064176000000003</v>
      </c>
      <c r="E1125" s="43">
        <v>12.372142999999999</v>
      </c>
      <c r="F1125">
        <v>0</v>
      </c>
      <c r="G1125">
        <f t="shared" si="13"/>
        <v>0</v>
      </c>
      <c r="H1125" s="31" t="s">
        <v>10</v>
      </c>
      <c r="I1125">
        <v>0</v>
      </c>
      <c r="J1125">
        <v>310.865874744488</v>
      </c>
      <c r="K1125" s="26">
        <v>2016</v>
      </c>
      <c r="L1125" t="s">
        <v>11</v>
      </c>
      <c r="M1125" s="32">
        <v>1000</v>
      </c>
      <c r="N1125">
        <v>130.61708849999999</v>
      </c>
      <c r="O1125">
        <v>5</v>
      </c>
      <c r="P1125" t="s">
        <v>23</v>
      </c>
      <c r="Q1125">
        <v>95.5</v>
      </c>
      <c r="R1125" t="s">
        <v>13</v>
      </c>
      <c r="S1125" t="s">
        <v>14</v>
      </c>
      <c r="T1125" t="s">
        <v>33</v>
      </c>
      <c r="U1125" s="240">
        <v>0</v>
      </c>
      <c r="V1125" s="240">
        <v>5</v>
      </c>
      <c r="W1125" s="25">
        <v>2.5</v>
      </c>
      <c r="X1125" s="25">
        <v>5</v>
      </c>
      <c r="Y1125" s="244">
        <v>0.91868156199999995</v>
      </c>
      <c r="Z1125" t="s">
        <v>1100</v>
      </c>
      <c r="AA1125" t="s">
        <v>622</v>
      </c>
      <c r="AB1125">
        <v>1</v>
      </c>
      <c r="AC1125">
        <v>59.4</v>
      </c>
      <c r="AF1125" t="s">
        <v>532</v>
      </c>
      <c r="AG1125" s="32">
        <v>59.4</v>
      </c>
      <c r="AH1125" s="32" t="s">
        <v>671</v>
      </c>
      <c r="AI1125" s="32" t="s">
        <v>1129</v>
      </c>
      <c r="AJ1125" s="31" t="s">
        <v>1130</v>
      </c>
      <c r="AK1125" s="31">
        <v>0.59524549999999998</v>
      </c>
      <c r="AL1125" s="31">
        <v>35.357582699999995</v>
      </c>
      <c r="AM1125" s="31">
        <v>24.042417300000004</v>
      </c>
      <c r="AN1125" s="31">
        <v>4835.9209514889717</v>
      </c>
      <c r="AO1125" s="31">
        <v>3288.325181390609</v>
      </c>
      <c r="AP1125" s="31">
        <v>4.4426714134224143</v>
      </c>
      <c r="AQ1125" s="31">
        <v>3.0209237140038581</v>
      </c>
      <c r="AR1125" s="31">
        <v>0.13341858489683281</v>
      </c>
    </row>
    <row r="1126" spans="1:44" hidden="1" x14ac:dyDescent="0.5">
      <c r="A1126" s="31">
        <v>1125</v>
      </c>
      <c r="B1126" s="31">
        <v>75</v>
      </c>
      <c r="C1126" s="225" t="s">
        <v>9</v>
      </c>
      <c r="D1126" s="44">
        <v>30.803000000000001</v>
      </c>
      <c r="E1126" s="45">
        <v>122.655</v>
      </c>
      <c r="F1126">
        <v>37.450000000000003</v>
      </c>
      <c r="G1126">
        <f t="shared" si="13"/>
        <v>60269.93280000001</v>
      </c>
      <c r="H1126" s="32" t="s">
        <v>54</v>
      </c>
      <c r="I1126">
        <v>18.2</v>
      </c>
      <c r="J1126">
        <v>1132.4472254995801</v>
      </c>
      <c r="K1126" s="26">
        <v>2018</v>
      </c>
      <c r="L1126" t="s">
        <v>30</v>
      </c>
      <c r="M1126" s="32">
        <v>50</v>
      </c>
      <c r="N1126">
        <v>5.4892152799999998</v>
      </c>
      <c r="O1126">
        <v>5</v>
      </c>
      <c r="P1126" t="s">
        <v>12</v>
      </c>
      <c r="Q1126">
        <v>97.5</v>
      </c>
      <c r="R1126" t="s">
        <v>13</v>
      </c>
      <c r="S1126" t="s">
        <v>21</v>
      </c>
      <c r="T1126" t="s">
        <v>14</v>
      </c>
      <c r="U1126" s="34">
        <v>0</v>
      </c>
      <c r="X1126" s="25"/>
      <c r="Y1126">
        <v>0.61037440930769205</v>
      </c>
      <c r="Z1126" t="s">
        <v>812</v>
      </c>
      <c r="AA1126" t="s">
        <v>619</v>
      </c>
      <c r="AB1126">
        <v>1</v>
      </c>
      <c r="AC1126">
        <v>70</v>
      </c>
      <c r="AF1126" t="s">
        <v>532</v>
      </c>
      <c r="AG1126" s="32">
        <v>70</v>
      </c>
      <c r="AH1126" s="32" t="s">
        <v>2174</v>
      </c>
      <c r="AI1126" s="32">
        <v>64.400000000000006</v>
      </c>
      <c r="AJ1126" s="31" t="s">
        <v>3200</v>
      </c>
      <c r="AK1126" s="31">
        <v>0.92</v>
      </c>
      <c r="AL1126" s="31">
        <v>64.400000000000006</v>
      </c>
      <c r="AM1126" s="31">
        <v>5.5999999999999943</v>
      </c>
      <c r="AN1126" s="31">
        <v>362.5697066994872</v>
      </c>
      <c r="AO1126" s="31">
        <v>31.527800582564069</v>
      </c>
      <c r="AP1126" s="31">
        <v>0.22130327055956264</v>
      </c>
      <c r="AQ1126" s="31">
        <v>1.9243762657353253E-2</v>
      </c>
      <c r="AR1126" s="31">
        <v>0.1310077976949317</v>
      </c>
    </row>
    <row r="1127" spans="1:44" hidden="1" x14ac:dyDescent="0.5">
      <c r="A1127" s="31">
        <v>1126</v>
      </c>
      <c r="B1127" s="31">
        <v>75</v>
      </c>
      <c r="C1127" s="225" t="s">
        <v>9</v>
      </c>
      <c r="D1127" s="44">
        <v>30.803000000000001</v>
      </c>
      <c r="E1127" s="45">
        <v>122.655</v>
      </c>
      <c r="F1127">
        <v>37.450000000000003</v>
      </c>
      <c r="G1127">
        <f t="shared" si="13"/>
        <v>60269.93280000001</v>
      </c>
      <c r="H1127" s="32" t="s">
        <v>54</v>
      </c>
      <c r="I1127">
        <v>18.2</v>
      </c>
      <c r="J1127">
        <v>1132.4472254995801</v>
      </c>
      <c r="K1127" s="26">
        <v>2018</v>
      </c>
      <c r="L1127" t="s">
        <v>30</v>
      </c>
      <c r="M1127" s="32">
        <v>50</v>
      </c>
      <c r="N1127">
        <v>5.4892152799999998</v>
      </c>
      <c r="O1127">
        <v>5</v>
      </c>
      <c r="P1127" t="s">
        <v>12</v>
      </c>
      <c r="Q1127">
        <v>97.5</v>
      </c>
      <c r="R1127" t="s">
        <v>13</v>
      </c>
      <c r="S1127" t="s">
        <v>21</v>
      </c>
      <c r="T1127" t="s">
        <v>14</v>
      </c>
      <c r="U1127" s="34">
        <v>0</v>
      </c>
      <c r="Y1127">
        <v>0.61037440930769205</v>
      </c>
      <c r="Z1127" t="s">
        <v>812</v>
      </c>
      <c r="AA1127" t="s">
        <v>619</v>
      </c>
      <c r="AB1127">
        <v>1</v>
      </c>
      <c r="AC1127">
        <v>80</v>
      </c>
      <c r="AF1127" t="s">
        <v>532</v>
      </c>
      <c r="AG1127" s="32">
        <v>80</v>
      </c>
      <c r="AH1127" s="32" t="s">
        <v>2174</v>
      </c>
      <c r="AI1127" s="32">
        <v>73.599999999999994</v>
      </c>
      <c r="AJ1127" s="31" t="s">
        <v>3201</v>
      </c>
      <c r="AK1127" s="31">
        <v>0.92</v>
      </c>
      <c r="AL1127" s="31">
        <v>73.600000000000009</v>
      </c>
      <c r="AM1127" s="31">
        <v>6.3999999999999915</v>
      </c>
      <c r="AN1127" s="31">
        <v>414.36537908512827</v>
      </c>
      <c r="AO1127" s="31">
        <v>36.031772094358928</v>
      </c>
      <c r="AP1127" s="31">
        <v>0.25291802349664305</v>
      </c>
      <c r="AQ1127" s="31">
        <v>2.1992871608403713E-2</v>
      </c>
      <c r="AR1127" s="31">
        <v>0.1310077976949317</v>
      </c>
    </row>
    <row r="1128" spans="1:44" hidden="1" x14ac:dyDescent="0.5">
      <c r="A1128" s="31">
        <v>1127</v>
      </c>
      <c r="B1128" s="31">
        <v>75</v>
      </c>
      <c r="C1128" s="225" t="s">
        <v>9</v>
      </c>
      <c r="D1128" s="44">
        <v>30.731999999999999</v>
      </c>
      <c r="E1128" s="45">
        <v>122.818</v>
      </c>
      <c r="F1128">
        <v>48</v>
      </c>
      <c r="G1128">
        <f t="shared" si="13"/>
        <v>77248.512000000002</v>
      </c>
      <c r="H1128" s="32" t="s">
        <v>54</v>
      </c>
      <c r="I1128">
        <v>22.5</v>
      </c>
      <c r="J1128">
        <v>878.26554110980101</v>
      </c>
      <c r="K1128" s="26">
        <v>2018</v>
      </c>
      <c r="L1128" t="s">
        <v>30</v>
      </c>
      <c r="M1128" s="32">
        <v>50</v>
      </c>
      <c r="N1128">
        <v>5.4892152799999998</v>
      </c>
      <c r="O1128">
        <v>5</v>
      </c>
      <c r="P1128" t="s">
        <v>12</v>
      </c>
      <c r="Q1128">
        <v>97.5</v>
      </c>
      <c r="R1128" t="s">
        <v>13</v>
      </c>
      <c r="S1128" t="s">
        <v>21</v>
      </c>
      <c r="T1128" t="s">
        <v>14</v>
      </c>
      <c r="U1128" s="34">
        <v>0</v>
      </c>
      <c r="X1128" s="25"/>
      <c r="Y1128">
        <v>0.61037440930769205</v>
      </c>
      <c r="Z1128" t="s">
        <v>812</v>
      </c>
      <c r="AA1128" t="s">
        <v>619</v>
      </c>
      <c r="AB1128">
        <v>1</v>
      </c>
      <c r="AC1128">
        <v>60</v>
      </c>
      <c r="AF1128" t="s">
        <v>532</v>
      </c>
      <c r="AG1128" s="32">
        <v>60</v>
      </c>
      <c r="AH1128" s="32" t="s">
        <v>2174</v>
      </c>
      <c r="AI1128" s="32">
        <v>55.2</v>
      </c>
      <c r="AJ1128" s="31" t="s">
        <v>3202</v>
      </c>
      <c r="AK1128" s="31">
        <v>0.92</v>
      </c>
      <c r="AL1128" s="31">
        <v>55.2</v>
      </c>
      <c r="AM1128" s="31">
        <v>4.7999999999999972</v>
      </c>
      <c r="AN1128" s="31">
        <v>310.77403431384619</v>
      </c>
      <c r="AO1128" s="31">
        <v>27.02382907076921</v>
      </c>
      <c r="AP1128" s="31">
        <v>0.18968851762248229</v>
      </c>
      <c r="AQ1128" s="31">
        <v>1.6494653706302792E-2</v>
      </c>
      <c r="AR1128" s="31">
        <v>0.13044460739786745</v>
      </c>
    </row>
    <row r="1129" spans="1:44" hidden="1" x14ac:dyDescent="0.5">
      <c r="A1129" s="31">
        <v>1128</v>
      </c>
      <c r="B1129" s="31">
        <v>75</v>
      </c>
      <c r="C1129" s="225" t="s">
        <v>9</v>
      </c>
      <c r="D1129" s="44">
        <v>30.731999999999999</v>
      </c>
      <c r="E1129" s="45">
        <v>122.818</v>
      </c>
      <c r="F1129">
        <v>48</v>
      </c>
      <c r="G1129">
        <f t="shared" si="13"/>
        <v>77248.512000000002</v>
      </c>
      <c r="H1129" s="32" t="s">
        <v>54</v>
      </c>
      <c r="I1129">
        <v>22.5</v>
      </c>
      <c r="J1129">
        <v>878.26554110980101</v>
      </c>
      <c r="K1129" s="26">
        <v>2018</v>
      </c>
      <c r="L1129" t="s">
        <v>30</v>
      </c>
      <c r="M1129" s="32">
        <v>50</v>
      </c>
      <c r="N1129">
        <v>5.4892152799999998</v>
      </c>
      <c r="O1129">
        <v>5</v>
      </c>
      <c r="P1129" t="s">
        <v>12</v>
      </c>
      <c r="Q1129">
        <v>97.5</v>
      </c>
      <c r="R1129" t="s">
        <v>13</v>
      </c>
      <c r="S1129" t="s">
        <v>21</v>
      </c>
      <c r="T1129" t="s">
        <v>14</v>
      </c>
      <c r="U1129" s="34">
        <v>0</v>
      </c>
      <c r="X1129" s="25"/>
      <c r="Y1129">
        <v>0.61037440930769205</v>
      </c>
      <c r="Z1129" t="s">
        <v>812</v>
      </c>
      <c r="AA1129" t="s">
        <v>619</v>
      </c>
      <c r="AB1129">
        <v>1</v>
      </c>
      <c r="AC1129">
        <v>80</v>
      </c>
      <c r="AF1129" t="s">
        <v>532</v>
      </c>
      <c r="AG1129" s="32">
        <v>80</v>
      </c>
      <c r="AH1129" s="32" t="s">
        <v>2174</v>
      </c>
      <c r="AI1129" s="32">
        <v>73.599999999999994</v>
      </c>
      <c r="AJ1129" s="31" t="s">
        <v>3201</v>
      </c>
      <c r="AK1129" s="31">
        <v>0.92</v>
      </c>
      <c r="AL1129" s="31">
        <v>73.600000000000009</v>
      </c>
      <c r="AM1129" s="31">
        <v>6.3999999999999915</v>
      </c>
      <c r="AN1129" s="31">
        <v>414.36537908512827</v>
      </c>
      <c r="AO1129" s="31">
        <v>36.031772094358928</v>
      </c>
      <c r="AP1129" s="31">
        <v>0.25291802349664305</v>
      </c>
      <c r="AQ1129" s="31">
        <v>2.1992871608403713E-2</v>
      </c>
      <c r="AR1129" s="31">
        <v>0.13044460739786745</v>
      </c>
    </row>
    <row r="1130" spans="1:44" hidden="1" x14ac:dyDescent="0.5">
      <c r="A1130" s="31">
        <v>1129</v>
      </c>
      <c r="B1130" s="31">
        <v>75</v>
      </c>
      <c r="C1130" s="225" t="s">
        <v>9</v>
      </c>
      <c r="D1130" s="44">
        <v>30.696999999999999</v>
      </c>
      <c r="E1130" s="45">
        <v>122.79600000000001</v>
      </c>
      <c r="F1130">
        <v>47.44</v>
      </c>
      <c r="G1130">
        <f t="shared" si="13"/>
        <v>76347.27936</v>
      </c>
      <c r="H1130" s="32" t="s">
        <v>54</v>
      </c>
      <c r="I1130">
        <v>23.8</v>
      </c>
      <c r="J1130">
        <v>924.967273050882</v>
      </c>
      <c r="K1130" s="26">
        <v>2018</v>
      </c>
      <c r="L1130" t="s">
        <v>30</v>
      </c>
      <c r="M1130" s="32">
        <v>50</v>
      </c>
      <c r="N1130">
        <v>5.4892152799999998</v>
      </c>
      <c r="O1130">
        <v>5</v>
      </c>
      <c r="P1130" t="s">
        <v>12</v>
      </c>
      <c r="Q1130">
        <v>97.5</v>
      </c>
      <c r="R1130" t="s">
        <v>13</v>
      </c>
      <c r="S1130" t="s">
        <v>21</v>
      </c>
      <c r="T1130" t="s">
        <v>14</v>
      </c>
      <c r="U1130" s="34">
        <v>0</v>
      </c>
      <c r="X1130" s="25"/>
      <c r="Y1130">
        <v>0.61037440930769205</v>
      </c>
      <c r="Z1130" t="s">
        <v>812</v>
      </c>
      <c r="AA1130" t="s">
        <v>619</v>
      </c>
      <c r="AB1130">
        <v>1</v>
      </c>
      <c r="AC1130">
        <v>50</v>
      </c>
      <c r="AF1130" t="s">
        <v>532</v>
      </c>
      <c r="AG1130" s="32">
        <v>50</v>
      </c>
      <c r="AH1130" s="32" t="s">
        <v>2174</v>
      </c>
      <c r="AI1130" s="32">
        <v>46</v>
      </c>
      <c r="AJ1130" s="31">
        <v>4</v>
      </c>
      <c r="AK1130" s="31">
        <v>0.92</v>
      </c>
      <c r="AL1130" s="31">
        <v>46</v>
      </c>
      <c r="AM1130" s="31">
        <v>4</v>
      </c>
      <c r="AN1130" s="31">
        <v>258.97836192820512</v>
      </c>
      <c r="AO1130" s="31">
        <v>22.519857558974358</v>
      </c>
      <c r="AP1130" s="31">
        <v>0.15807376468540188</v>
      </c>
      <c r="AQ1130" s="31">
        <v>1.3745544755252337E-2</v>
      </c>
      <c r="AR1130" s="31">
        <v>0.13027481766716506</v>
      </c>
    </row>
    <row r="1131" spans="1:44" hidden="1" x14ac:dyDescent="0.5">
      <c r="A1131" s="31">
        <v>1130</v>
      </c>
      <c r="B1131" s="31">
        <v>75</v>
      </c>
      <c r="C1131" s="225" t="s">
        <v>9</v>
      </c>
      <c r="D1131" s="44">
        <v>30.696999999999999</v>
      </c>
      <c r="E1131" s="45">
        <v>122.79600000000001</v>
      </c>
      <c r="F1131">
        <v>47.44</v>
      </c>
      <c r="G1131">
        <f t="shared" si="13"/>
        <v>76347.27936</v>
      </c>
      <c r="H1131" s="32" t="s">
        <v>54</v>
      </c>
      <c r="I1131">
        <v>23.8</v>
      </c>
      <c r="J1131">
        <v>924.967273050882</v>
      </c>
      <c r="K1131" s="26">
        <v>2018</v>
      </c>
      <c r="L1131" t="s">
        <v>30</v>
      </c>
      <c r="M1131" s="32">
        <v>50</v>
      </c>
      <c r="N1131">
        <v>5.4892152799999998</v>
      </c>
      <c r="O1131">
        <v>5</v>
      </c>
      <c r="P1131" t="s">
        <v>12</v>
      </c>
      <c r="Q1131">
        <v>97.5</v>
      </c>
      <c r="R1131" t="s">
        <v>13</v>
      </c>
      <c r="S1131" t="s">
        <v>21</v>
      </c>
      <c r="T1131" t="s">
        <v>14</v>
      </c>
      <c r="U1131" s="34">
        <v>0</v>
      </c>
      <c r="X1131" s="25"/>
      <c r="Y1131">
        <v>0.61037440930769205</v>
      </c>
      <c r="Z1131" t="s">
        <v>812</v>
      </c>
      <c r="AA1131" t="s">
        <v>619</v>
      </c>
      <c r="AB1131">
        <v>1</v>
      </c>
      <c r="AC1131">
        <v>70</v>
      </c>
      <c r="AF1131" t="s">
        <v>532</v>
      </c>
      <c r="AG1131" s="32">
        <v>70</v>
      </c>
      <c r="AH1131" s="32" t="s">
        <v>2174</v>
      </c>
      <c r="AI1131" s="32">
        <v>64.400000000000006</v>
      </c>
      <c r="AJ1131" s="31" t="s">
        <v>3200</v>
      </c>
      <c r="AK1131" s="31">
        <v>0.92</v>
      </c>
      <c r="AL1131" s="31">
        <v>64.400000000000006</v>
      </c>
      <c r="AM1131" s="31">
        <v>5.5999999999999943</v>
      </c>
      <c r="AN1131" s="31">
        <v>362.5697066994872</v>
      </c>
      <c r="AO1131" s="31">
        <v>31.527800582564069</v>
      </c>
      <c r="AP1131" s="31">
        <v>0.22130327055956264</v>
      </c>
      <c r="AQ1131" s="31">
        <v>1.9243762657353253E-2</v>
      </c>
      <c r="AR1131" s="31">
        <v>0.13027481766716506</v>
      </c>
    </row>
    <row r="1132" spans="1:44" hidden="1" x14ac:dyDescent="0.5">
      <c r="A1132" s="31">
        <v>1131</v>
      </c>
      <c r="B1132" s="31">
        <v>75</v>
      </c>
      <c r="C1132" s="225" t="s">
        <v>9</v>
      </c>
      <c r="D1132" s="44">
        <v>30.774999999999999</v>
      </c>
      <c r="E1132" s="45">
        <v>122.64100000000001</v>
      </c>
      <c r="F1132">
        <v>36.729999999999997</v>
      </c>
      <c r="G1132">
        <f t="shared" si="13"/>
        <v>59111.205119999999</v>
      </c>
      <c r="H1132" s="32" t="s">
        <v>54</v>
      </c>
      <c r="I1132">
        <v>25.3</v>
      </c>
      <c r="J1132">
        <v>1118.9305072913401</v>
      </c>
      <c r="K1132" s="26">
        <v>2018</v>
      </c>
      <c r="L1132" t="s">
        <v>30</v>
      </c>
      <c r="M1132" s="32">
        <v>50</v>
      </c>
      <c r="N1132">
        <v>5.4892152799999998</v>
      </c>
      <c r="O1132">
        <v>5</v>
      </c>
      <c r="P1132" t="s">
        <v>12</v>
      </c>
      <c r="Q1132">
        <v>97.5</v>
      </c>
      <c r="R1132" t="s">
        <v>13</v>
      </c>
      <c r="S1132" t="s">
        <v>21</v>
      </c>
      <c r="T1132" t="s">
        <v>14</v>
      </c>
      <c r="U1132" s="34">
        <v>0</v>
      </c>
      <c r="X1132" s="25"/>
      <c r="Y1132">
        <v>0.61037440930769205</v>
      </c>
      <c r="Z1132" t="s">
        <v>812</v>
      </c>
      <c r="AA1132" t="s">
        <v>619</v>
      </c>
      <c r="AB1132">
        <v>1</v>
      </c>
      <c r="AC1132">
        <v>30</v>
      </c>
      <c r="AF1132" t="s">
        <v>532</v>
      </c>
      <c r="AG1132" s="32">
        <v>30</v>
      </c>
      <c r="AH1132" s="32" t="s">
        <v>2174</v>
      </c>
      <c r="AI1132" s="32">
        <v>27.6</v>
      </c>
      <c r="AJ1132" s="31" t="s">
        <v>3203</v>
      </c>
      <c r="AK1132" s="31">
        <v>0.92</v>
      </c>
      <c r="AL1132" s="31">
        <v>27.6</v>
      </c>
      <c r="AM1132" s="31">
        <v>2.3999999999999986</v>
      </c>
      <c r="AN1132" s="31">
        <v>155.38701715692309</v>
      </c>
      <c r="AO1132" s="31">
        <v>13.511914535384605</v>
      </c>
      <c r="AP1132" s="31">
        <v>9.4844258811241144E-2</v>
      </c>
      <c r="AQ1132" s="31">
        <v>8.247326853151396E-3</v>
      </c>
      <c r="AR1132" s="31">
        <v>0.13007918103928487</v>
      </c>
    </row>
    <row r="1133" spans="1:44" hidden="1" x14ac:dyDescent="0.5">
      <c r="A1133" s="31">
        <v>1132</v>
      </c>
      <c r="B1133" s="31">
        <v>75</v>
      </c>
      <c r="C1133" s="225" t="s">
        <v>9</v>
      </c>
      <c r="D1133" s="44">
        <v>30.774999999999999</v>
      </c>
      <c r="E1133" s="45">
        <v>122.64100000000001</v>
      </c>
      <c r="F1133">
        <v>36.729999999999997</v>
      </c>
      <c r="G1133">
        <f t="shared" si="13"/>
        <v>59111.205119999999</v>
      </c>
      <c r="H1133" s="32" t="s">
        <v>54</v>
      </c>
      <c r="I1133">
        <v>25.3</v>
      </c>
      <c r="J1133">
        <v>1118.9305072913401</v>
      </c>
      <c r="K1133" s="26">
        <v>2018</v>
      </c>
      <c r="L1133" t="s">
        <v>30</v>
      </c>
      <c r="M1133" s="32">
        <v>50</v>
      </c>
      <c r="N1133">
        <v>5.4892152799999998</v>
      </c>
      <c r="O1133">
        <v>5</v>
      </c>
      <c r="P1133" t="s">
        <v>12</v>
      </c>
      <c r="Q1133">
        <v>97.5</v>
      </c>
      <c r="R1133" t="s">
        <v>13</v>
      </c>
      <c r="S1133" t="s">
        <v>21</v>
      </c>
      <c r="T1133" t="s">
        <v>14</v>
      </c>
      <c r="U1133" s="34">
        <v>0</v>
      </c>
      <c r="X1133" s="25"/>
      <c r="Y1133">
        <v>0.61037440930769205</v>
      </c>
      <c r="Z1133" t="s">
        <v>812</v>
      </c>
      <c r="AA1133" t="s">
        <v>619</v>
      </c>
      <c r="AB1133">
        <v>1</v>
      </c>
      <c r="AC1133">
        <v>30</v>
      </c>
      <c r="AF1133" t="s">
        <v>532</v>
      </c>
      <c r="AG1133" s="32">
        <v>30</v>
      </c>
      <c r="AH1133" s="32" t="s">
        <v>2174</v>
      </c>
      <c r="AI1133" s="32">
        <v>27.6</v>
      </c>
      <c r="AJ1133" s="31" t="s">
        <v>3203</v>
      </c>
      <c r="AK1133" s="31">
        <v>0.92</v>
      </c>
      <c r="AL1133" s="31">
        <v>27.6</v>
      </c>
      <c r="AM1133" s="31">
        <v>2.3999999999999986</v>
      </c>
      <c r="AN1133" s="31">
        <v>155.38701715692309</v>
      </c>
      <c r="AO1133" s="31">
        <v>13.511914535384605</v>
      </c>
      <c r="AP1133" s="31">
        <v>9.4844258811241144E-2</v>
      </c>
      <c r="AQ1133" s="31">
        <v>8.247326853151396E-3</v>
      </c>
      <c r="AR1133" s="31">
        <v>0.13007918103928487</v>
      </c>
    </row>
    <row r="1134" spans="1:44" hidden="1" x14ac:dyDescent="0.5">
      <c r="A1134" s="31">
        <v>1133</v>
      </c>
      <c r="B1134" s="31">
        <v>75</v>
      </c>
      <c r="C1134" s="225" t="s">
        <v>9</v>
      </c>
      <c r="D1134" s="44">
        <v>30.771000000000001</v>
      </c>
      <c r="E1134" s="45">
        <v>122.733</v>
      </c>
      <c r="F1134">
        <v>42.4</v>
      </c>
      <c r="G1134">
        <f t="shared" si="13"/>
        <v>68236.185599999997</v>
      </c>
      <c r="H1134" s="32" t="s">
        <v>54</v>
      </c>
      <c r="I1134">
        <v>33.6</v>
      </c>
      <c r="J1134">
        <v>968.81982851289797</v>
      </c>
      <c r="K1134" s="26">
        <v>2018</v>
      </c>
      <c r="L1134" t="s">
        <v>30</v>
      </c>
      <c r="M1134" s="32">
        <v>50</v>
      </c>
      <c r="N1134">
        <v>5.4892152799999998</v>
      </c>
      <c r="O1134">
        <v>5</v>
      </c>
      <c r="P1134" t="s">
        <v>12</v>
      </c>
      <c r="Q1134">
        <v>97.5</v>
      </c>
      <c r="R1134" t="s">
        <v>13</v>
      </c>
      <c r="S1134" t="s">
        <v>21</v>
      </c>
      <c r="T1134" t="s">
        <v>14</v>
      </c>
      <c r="U1134" s="34">
        <v>0</v>
      </c>
      <c r="X1134" s="25"/>
      <c r="Y1134">
        <v>0.61037440930769205</v>
      </c>
      <c r="Z1134" t="s">
        <v>812</v>
      </c>
      <c r="AA1134" t="s">
        <v>619</v>
      </c>
      <c r="AB1134">
        <v>1</v>
      </c>
      <c r="AC1134">
        <v>80</v>
      </c>
      <c r="AF1134" t="s">
        <v>532</v>
      </c>
      <c r="AG1134" s="32">
        <v>80</v>
      </c>
      <c r="AH1134" s="32" t="s">
        <v>2174</v>
      </c>
      <c r="AI1134" s="32">
        <v>73.599999999999994</v>
      </c>
      <c r="AJ1134" s="31" t="s">
        <v>3201</v>
      </c>
      <c r="AK1134" s="31">
        <v>0.92</v>
      </c>
      <c r="AL1134" s="31">
        <v>73.600000000000009</v>
      </c>
      <c r="AM1134" s="31">
        <v>6.3999999999999915</v>
      </c>
      <c r="AN1134" s="31">
        <v>414.36537908512827</v>
      </c>
      <c r="AO1134" s="31">
        <v>36.031772094358928</v>
      </c>
      <c r="AP1134" s="31">
        <v>0.25291802349664305</v>
      </c>
      <c r="AQ1134" s="31">
        <v>2.1992871608403713E-2</v>
      </c>
      <c r="AR1134" s="31">
        <v>0.12900195678250043</v>
      </c>
    </row>
    <row r="1135" spans="1:44" hidden="1" x14ac:dyDescent="0.5">
      <c r="A1135" s="31">
        <v>1134</v>
      </c>
      <c r="B1135" s="31">
        <v>75</v>
      </c>
      <c r="C1135" s="225" t="s">
        <v>9</v>
      </c>
      <c r="D1135" s="44">
        <v>30.771000000000001</v>
      </c>
      <c r="E1135" s="45">
        <v>122.733</v>
      </c>
      <c r="F1135">
        <v>42.4</v>
      </c>
      <c r="G1135">
        <f t="shared" si="13"/>
        <v>68236.185599999997</v>
      </c>
      <c r="H1135" s="32" t="s">
        <v>54</v>
      </c>
      <c r="I1135">
        <v>33.6</v>
      </c>
      <c r="J1135">
        <v>968.81982851289797</v>
      </c>
      <c r="K1135" s="26">
        <v>2018</v>
      </c>
      <c r="L1135" t="s">
        <v>30</v>
      </c>
      <c r="M1135" s="32">
        <v>50</v>
      </c>
      <c r="N1135">
        <v>5.4892152799999998</v>
      </c>
      <c r="O1135">
        <v>5</v>
      </c>
      <c r="P1135" t="s">
        <v>12</v>
      </c>
      <c r="Q1135">
        <v>97.5</v>
      </c>
      <c r="R1135" t="s">
        <v>13</v>
      </c>
      <c r="S1135" t="s">
        <v>21</v>
      </c>
      <c r="T1135" t="s">
        <v>14</v>
      </c>
      <c r="U1135" s="34">
        <v>0</v>
      </c>
      <c r="X1135" s="25"/>
      <c r="Y1135">
        <v>0.61037440930769205</v>
      </c>
      <c r="Z1135" t="s">
        <v>812</v>
      </c>
      <c r="AA1135" t="s">
        <v>619</v>
      </c>
      <c r="AB1135">
        <v>1</v>
      </c>
      <c r="AC1135">
        <v>80</v>
      </c>
      <c r="AF1135" t="s">
        <v>532</v>
      </c>
      <c r="AG1135" s="32">
        <v>80</v>
      </c>
      <c r="AH1135" s="32" t="s">
        <v>2174</v>
      </c>
      <c r="AI1135" s="32">
        <v>73.599999999999994</v>
      </c>
      <c r="AJ1135" s="31" t="s">
        <v>3201</v>
      </c>
      <c r="AK1135" s="31">
        <v>0.92</v>
      </c>
      <c r="AL1135" s="31">
        <v>73.600000000000009</v>
      </c>
      <c r="AM1135" s="31">
        <v>6.3999999999999915</v>
      </c>
      <c r="AN1135" s="31">
        <v>414.36537908512827</v>
      </c>
      <c r="AO1135" s="31">
        <v>36.031772094358928</v>
      </c>
      <c r="AP1135" s="31">
        <v>0.25291802349664305</v>
      </c>
      <c r="AQ1135" s="31">
        <v>2.1992871608403713E-2</v>
      </c>
      <c r="AR1135" s="31">
        <v>0.12900195678250043</v>
      </c>
    </row>
    <row r="1136" spans="1:44" hidden="1" x14ac:dyDescent="0.5">
      <c r="A1136" s="31">
        <v>1135</v>
      </c>
      <c r="B1136" s="31">
        <v>75</v>
      </c>
      <c r="C1136" s="225" t="s">
        <v>9</v>
      </c>
      <c r="D1136" s="44">
        <v>30.762</v>
      </c>
      <c r="E1136" s="45">
        <v>122.65900000000001</v>
      </c>
      <c r="F1136">
        <v>38.35</v>
      </c>
      <c r="G1136">
        <f t="shared" si="13"/>
        <v>61718.342400000001</v>
      </c>
      <c r="H1136" s="32" t="s">
        <v>54</v>
      </c>
      <c r="I1136">
        <v>40.1</v>
      </c>
      <c r="J1136">
        <v>1069.6289998546499</v>
      </c>
      <c r="K1136" s="26">
        <v>2018</v>
      </c>
      <c r="L1136" t="s">
        <v>30</v>
      </c>
      <c r="M1136" s="32">
        <v>50</v>
      </c>
      <c r="N1136">
        <v>5.4892152799999998</v>
      </c>
      <c r="O1136">
        <v>5</v>
      </c>
      <c r="P1136" t="s">
        <v>12</v>
      </c>
      <c r="Q1136">
        <v>97.5</v>
      </c>
      <c r="R1136" t="s">
        <v>13</v>
      </c>
      <c r="S1136" t="s">
        <v>21</v>
      </c>
      <c r="T1136" t="s">
        <v>14</v>
      </c>
      <c r="U1136" s="34">
        <v>0</v>
      </c>
      <c r="X1136" s="25"/>
      <c r="Y1136">
        <v>0.61037440930769205</v>
      </c>
      <c r="Z1136" t="s">
        <v>812</v>
      </c>
      <c r="AA1136" t="s">
        <v>619</v>
      </c>
      <c r="AB1136">
        <v>1</v>
      </c>
      <c r="AC1136">
        <v>70</v>
      </c>
      <c r="AF1136" t="s">
        <v>532</v>
      </c>
      <c r="AG1136" s="32">
        <v>70</v>
      </c>
      <c r="AH1136" s="32" t="s">
        <v>2174</v>
      </c>
      <c r="AI1136" s="32">
        <v>64.400000000000006</v>
      </c>
      <c r="AJ1136" s="31" t="s">
        <v>3200</v>
      </c>
      <c r="AK1136" s="31">
        <v>0.92</v>
      </c>
      <c r="AL1136" s="31">
        <v>64.400000000000006</v>
      </c>
      <c r="AM1136" s="31">
        <v>5.5999999999999943</v>
      </c>
      <c r="AN1136" s="31">
        <v>362.5697066994872</v>
      </c>
      <c r="AO1136" s="31">
        <v>31.527800582564069</v>
      </c>
      <c r="AP1136" s="31">
        <v>0.22130327055956264</v>
      </c>
      <c r="AQ1136" s="31">
        <v>1.9243762657353253E-2</v>
      </c>
      <c r="AR1136" s="31">
        <v>0.12816457980462806</v>
      </c>
    </row>
    <row r="1137" spans="1:44" hidden="1" x14ac:dyDescent="0.5">
      <c r="A1137" s="31">
        <v>1136</v>
      </c>
      <c r="B1137" s="31">
        <v>75</v>
      </c>
      <c r="C1137" s="225" t="s">
        <v>9</v>
      </c>
      <c r="D1137" s="44">
        <v>30.762</v>
      </c>
      <c r="E1137" s="45">
        <v>122.65900000000001</v>
      </c>
      <c r="F1137">
        <v>38.35</v>
      </c>
      <c r="G1137">
        <f t="shared" si="13"/>
        <v>61718.342400000001</v>
      </c>
      <c r="H1137" s="32" t="s">
        <v>54</v>
      </c>
      <c r="I1137">
        <v>40.1</v>
      </c>
      <c r="J1137">
        <v>1069.6289998546499</v>
      </c>
      <c r="K1137" s="26">
        <v>2018</v>
      </c>
      <c r="L1137" t="s">
        <v>30</v>
      </c>
      <c r="M1137" s="32">
        <v>50</v>
      </c>
      <c r="N1137">
        <v>5.4892152799999998</v>
      </c>
      <c r="O1137">
        <v>5</v>
      </c>
      <c r="P1137" t="s">
        <v>12</v>
      </c>
      <c r="Q1137">
        <v>97.5</v>
      </c>
      <c r="R1137" t="s">
        <v>13</v>
      </c>
      <c r="S1137" t="s">
        <v>21</v>
      </c>
      <c r="T1137" t="s">
        <v>14</v>
      </c>
      <c r="U1137" s="34">
        <v>0</v>
      </c>
      <c r="X1137" s="25"/>
      <c r="Y1137">
        <v>0.61037440930769205</v>
      </c>
      <c r="Z1137" t="s">
        <v>812</v>
      </c>
      <c r="AA1137" t="s">
        <v>619</v>
      </c>
      <c r="AB1137">
        <v>1</v>
      </c>
      <c r="AC1137">
        <v>90</v>
      </c>
      <c r="AF1137" t="s">
        <v>532</v>
      </c>
      <c r="AG1137" s="32">
        <v>90</v>
      </c>
      <c r="AH1137" s="32" t="s">
        <v>2174</v>
      </c>
      <c r="AI1137" s="32">
        <v>82.8</v>
      </c>
      <c r="AJ1137" s="31" t="s">
        <v>1426</v>
      </c>
      <c r="AK1137" s="31">
        <v>0.92</v>
      </c>
      <c r="AL1137" s="31">
        <v>82.8</v>
      </c>
      <c r="AM1137" s="31">
        <v>7.2000000000000028</v>
      </c>
      <c r="AN1137" s="31">
        <v>466.16105147076922</v>
      </c>
      <c r="AO1137" s="31">
        <v>40.535743606153858</v>
      </c>
      <c r="AP1137" s="31">
        <v>0.28453277643372343</v>
      </c>
      <c r="AQ1137" s="31">
        <v>2.4741980559454212E-2</v>
      </c>
      <c r="AR1137" s="31">
        <v>0.12816457980462806</v>
      </c>
    </row>
    <row r="1138" spans="1:44" hidden="1" x14ac:dyDescent="0.5">
      <c r="A1138" s="31">
        <v>1137</v>
      </c>
      <c r="B1138" s="31">
        <v>76</v>
      </c>
      <c r="C1138" s="225" t="s">
        <v>9</v>
      </c>
      <c r="D1138" s="41">
        <v>18.407564000000001</v>
      </c>
      <c r="E1138" s="43">
        <v>109.98518</v>
      </c>
      <c r="F1138">
        <v>0.1</v>
      </c>
      <c r="G1138">
        <f t="shared" si="13"/>
        <v>160.93440000000001</v>
      </c>
      <c r="H1138" s="32" t="s">
        <v>47</v>
      </c>
      <c r="I1138">
        <v>4.2</v>
      </c>
      <c r="J1138">
        <v>209.148613899476</v>
      </c>
      <c r="K1138" s="26">
        <v>2018</v>
      </c>
      <c r="L1138" t="s">
        <v>11</v>
      </c>
      <c r="M1138" s="32">
        <v>8</v>
      </c>
      <c r="N1138">
        <v>0.78971285099999999</v>
      </c>
      <c r="O1138">
        <v>5</v>
      </c>
      <c r="P1138" t="s">
        <v>23</v>
      </c>
      <c r="Q1138">
        <v>94.8</v>
      </c>
      <c r="R1138" t="s">
        <v>13</v>
      </c>
      <c r="S1138" t="s">
        <v>21</v>
      </c>
      <c r="T1138" t="s">
        <v>14</v>
      </c>
      <c r="U1138" s="34">
        <v>0</v>
      </c>
      <c r="V1138" s="34">
        <v>5</v>
      </c>
      <c r="W1138" s="25">
        <v>2.5</v>
      </c>
      <c r="X1138" s="25">
        <v>5</v>
      </c>
      <c r="Y1138">
        <v>1.3837435549999999</v>
      </c>
      <c r="Z1138" t="s">
        <v>762</v>
      </c>
      <c r="AA1138" t="s">
        <v>620</v>
      </c>
      <c r="AB1138">
        <v>3</v>
      </c>
      <c r="AC1138">
        <v>93.3</v>
      </c>
      <c r="AD1138">
        <v>15.3</v>
      </c>
      <c r="AE1138" t="s">
        <v>519</v>
      </c>
      <c r="AF1138" t="s">
        <v>532</v>
      </c>
      <c r="AG1138" s="32">
        <v>93.3</v>
      </c>
      <c r="AH1138" s="32" t="s">
        <v>2176</v>
      </c>
      <c r="AI1138" s="32" t="s">
        <v>2177</v>
      </c>
      <c r="AJ1138" s="31" t="s">
        <v>3204</v>
      </c>
      <c r="AK1138" s="31">
        <v>0.68</v>
      </c>
      <c r="AL1138" s="31">
        <v>63.444000000000003</v>
      </c>
      <c r="AM1138" s="31">
        <v>29.855999999999995</v>
      </c>
      <c r="AN1138" s="31">
        <v>52.850782825784812</v>
      </c>
      <c r="AO1138" s="31">
        <v>24.870956623898731</v>
      </c>
      <c r="AP1138" s="31">
        <v>7.3131930111884416E-2</v>
      </c>
      <c r="AQ1138" s="31">
        <v>3.4415025935004423E-2</v>
      </c>
      <c r="AR1138" s="31">
        <v>0.13285834127193891</v>
      </c>
    </row>
    <row r="1139" spans="1:44" hidden="1" x14ac:dyDescent="0.5">
      <c r="A1139" s="31">
        <v>1138</v>
      </c>
      <c r="B1139" s="31">
        <v>76</v>
      </c>
      <c r="C1139" s="225" t="s">
        <v>9</v>
      </c>
      <c r="D1139" s="41">
        <v>18.415724000000001</v>
      </c>
      <c r="E1139" s="45">
        <v>110.05434099999999</v>
      </c>
      <c r="F1139">
        <v>0.15</v>
      </c>
      <c r="G1139">
        <f t="shared" si="13"/>
        <v>241.4016</v>
      </c>
      <c r="H1139" s="32" t="s">
        <v>47</v>
      </c>
      <c r="I1139">
        <v>5.5</v>
      </c>
      <c r="J1139">
        <v>218.52688964793401</v>
      </c>
      <c r="K1139" s="26">
        <v>2018</v>
      </c>
      <c r="L1139" t="s">
        <v>11</v>
      </c>
      <c r="M1139" s="32">
        <v>8</v>
      </c>
      <c r="N1139">
        <v>0.78971285099999999</v>
      </c>
      <c r="O1139">
        <v>5</v>
      </c>
      <c r="P1139" t="s">
        <v>23</v>
      </c>
      <c r="Q1139">
        <v>94.8</v>
      </c>
      <c r="R1139" t="s">
        <v>13</v>
      </c>
      <c r="S1139" t="s">
        <v>21</v>
      </c>
      <c r="T1139" t="s">
        <v>14</v>
      </c>
      <c r="U1139" s="34">
        <v>0</v>
      </c>
      <c r="V1139" s="34">
        <v>5</v>
      </c>
      <c r="W1139" s="25">
        <v>2.5</v>
      </c>
      <c r="X1139" s="25">
        <v>5</v>
      </c>
      <c r="Y1139">
        <v>1.3837435549999999</v>
      </c>
      <c r="Z1139" t="s">
        <v>762</v>
      </c>
      <c r="AA1139" t="s">
        <v>620</v>
      </c>
      <c r="AB1139">
        <v>3</v>
      </c>
      <c r="AC1139">
        <v>267.10000000000002</v>
      </c>
      <c r="AD1139">
        <v>60.5</v>
      </c>
      <c r="AE1139" t="s">
        <v>519</v>
      </c>
      <c r="AF1139" t="s">
        <v>532</v>
      </c>
      <c r="AG1139" s="32">
        <v>267.10000000000002</v>
      </c>
      <c r="AH1139" s="32" t="s">
        <v>2118</v>
      </c>
      <c r="AI1139" s="32" t="s">
        <v>2178</v>
      </c>
      <c r="AJ1139" s="31" t="s">
        <v>3205</v>
      </c>
      <c r="AK1139" s="31">
        <v>0.56000000000000005</v>
      </c>
      <c r="AL1139" s="31">
        <v>149.57600000000002</v>
      </c>
      <c r="AM1139" s="31">
        <v>117.524</v>
      </c>
      <c r="AN1139" s="31">
        <v>124.60136012782279</v>
      </c>
      <c r="AO1139" s="31">
        <v>97.90106867186077</v>
      </c>
      <c r="AP1139" s="31">
        <v>0.17241632902110876</v>
      </c>
      <c r="AQ1139" s="31">
        <v>0.13546997280229975</v>
      </c>
      <c r="AR1139" s="31">
        <v>0.13268540976916446</v>
      </c>
    </row>
    <row r="1140" spans="1:44" hidden="1" x14ac:dyDescent="0.5">
      <c r="A1140" s="31">
        <v>1139</v>
      </c>
      <c r="B1140" s="31">
        <v>76</v>
      </c>
      <c r="C1140" s="225" t="s">
        <v>9</v>
      </c>
      <c r="D1140" s="41">
        <v>18.407564000000001</v>
      </c>
      <c r="E1140" s="43">
        <v>109.98518</v>
      </c>
      <c r="F1140">
        <v>0.09</v>
      </c>
      <c r="G1140">
        <f t="shared" si="13"/>
        <v>144.84096</v>
      </c>
      <c r="H1140" s="32" t="s">
        <v>57</v>
      </c>
      <c r="I1140">
        <v>4.2</v>
      </c>
      <c r="J1140">
        <v>209.148613899476</v>
      </c>
      <c r="K1140" s="26">
        <v>2018</v>
      </c>
      <c r="L1140" t="s">
        <v>11</v>
      </c>
      <c r="M1140" s="32">
        <v>8</v>
      </c>
      <c r="N1140">
        <v>0.78971285099999999</v>
      </c>
      <c r="O1140">
        <v>5</v>
      </c>
      <c r="P1140" t="s">
        <v>23</v>
      </c>
      <c r="Q1140">
        <v>94.8</v>
      </c>
      <c r="R1140" t="s">
        <v>13</v>
      </c>
      <c r="S1140" t="s">
        <v>21</v>
      </c>
      <c r="T1140" t="s">
        <v>14</v>
      </c>
      <c r="U1140" s="34">
        <v>0</v>
      </c>
      <c r="V1140" s="34">
        <v>5</v>
      </c>
      <c r="W1140" s="25">
        <v>2.5</v>
      </c>
      <c r="X1140" s="25">
        <v>5</v>
      </c>
      <c r="Y1140">
        <v>1.658930486</v>
      </c>
      <c r="Z1140" t="s">
        <v>799</v>
      </c>
      <c r="AA1140" t="s">
        <v>651</v>
      </c>
      <c r="AB1140">
        <v>3</v>
      </c>
      <c r="AC1140">
        <v>196.7</v>
      </c>
      <c r="AD1140">
        <v>16.100000000000001</v>
      </c>
      <c r="AE1140" t="s">
        <v>519</v>
      </c>
      <c r="AF1140" t="s">
        <v>532</v>
      </c>
      <c r="AG1140" s="32">
        <v>196.7</v>
      </c>
      <c r="AH1140" s="32" t="s">
        <v>2179</v>
      </c>
      <c r="AI1140" s="32" t="s">
        <v>2180</v>
      </c>
      <c r="AJ1140" s="31" t="s">
        <v>3206</v>
      </c>
      <c r="AK1140" s="31">
        <v>0.71499999999999997</v>
      </c>
      <c r="AL1140" s="31">
        <v>140.64049999999997</v>
      </c>
      <c r="AM1140" s="31">
        <v>56.059500000000014</v>
      </c>
      <c r="AN1140" s="31">
        <v>117.15781668888765</v>
      </c>
      <c r="AO1140" s="31">
        <v>46.699269589276916</v>
      </c>
      <c r="AP1140" s="31">
        <v>0.1943566737783953</v>
      </c>
      <c r="AQ1140" s="31">
        <v>7.7470841995584169E-2</v>
      </c>
      <c r="AR1140" s="31">
        <v>0.20269999999999999</v>
      </c>
    </row>
    <row r="1141" spans="1:44" hidden="1" x14ac:dyDescent="0.5">
      <c r="A1141" s="31">
        <v>1140</v>
      </c>
      <c r="B1141" s="31">
        <v>76</v>
      </c>
      <c r="C1141" s="225" t="s">
        <v>9</v>
      </c>
      <c r="D1141" s="41">
        <v>18.415724000000001</v>
      </c>
      <c r="E1141" s="45">
        <v>110.05434099999999</v>
      </c>
      <c r="F1141">
        <v>0.16</v>
      </c>
      <c r="G1141">
        <f t="shared" si="13"/>
        <v>257.49504000000002</v>
      </c>
      <c r="H1141" s="32" t="s">
        <v>57</v>
      </c>
      <c r="I1141">
        <v>5.5</v>
      </c>
      <c r="J1141">
        <v>218.52688964793401</v>
      </c>
      <c r="K1141" s="26">
        <v>2018</v>
      </c>
      <c r="L1141" t="s">
        <v>11</v>
      </c>
      <c r="M1141" s="32">
        <v>8</v>
      </c>
      <c r="N1141">
        <v>0.78971285099999999</v>
      </c>
      <c r="O1141">
        <v>5</v>
      </c>
      <c r="P1141" t="s">
        <v>23</v>
      </c>
      <c r="Q1141">
        <v>94.8</v>
      </c>
      <c r="R1141" t="s">
        <v>13</v>
      </c>
      <c r="S1141" t="s">
        <v>21</v>
      </c>
      <c r="T1141" t="s">
        <v>14</v>
      </c>
      <c r="U1141" s="34">
        <v>0</v>
      </c>
      <c r="V1141" s="34">
        <v>5</v>
      </c>
      <c r="W1141" s="25">
        <v>2.5</v>
      </c>
      <c r="X1141" s="25">
        <v>5</v>
      </c>
      <c r="Y1141">
        <v>1.658930486</v>
      </c>
      <c r="Z1141" t="s">
        <v>799</v>
      </c>
      <c r="AA1141" t="s">
        <v>651</v>
      </c>
      <c r="AB1141">
        <v>3</v>
      </c>
      <c r="AC1141">
        <v>780.2</v>
      </c>
      <c r="AD1141">
        <v>147</v>
      </c>
      <c r="AE1141" t="s">
        <v>519</v>
      </c>
      <c r="AF1141" t="s">
        <v>532</v>
      </c>
      <c r="AG1141" s="32">
        <v>780.2</v>
      </c>
      <c r="AH1141" s="32" t="s">
        <v>2181</v>
      </c>
      <c r="AI1141" s="32" t="s">
        <v>2182</v>
      </c>
      <c r="AJ1141" s="31" t="s">
        <v>3207</v>
      </c>
      <c r="AK1141" s="31">
        <v>0.39</v>
      </c>
      <c r="AL1141" s="31">
        <v>304.27800000000002</v>
      </c>
      <c r="AM1141" s="31">
        <v>475.92200000000003</v>
      </c>
      <c r="AN1141" s="31">
        <v>253.47283425799372</v>
      </c>
      <c r="AO1141" s="31">
        <v>396.45750999327214</v>
      </c>
      <c r="AP1141" s="31">
        <v>0.42049381212341097</v>
      </c>
      <c r="AQ1141" s="31">
        <v>0.65769544973148875</v>
      </c>
      <c r="AR1141" s="31">
        <v>0.20269999999999999</v>
      </c>
    </row>
    <row r="1142" spans="1:44" customFormat="1" hidden="1" x14ac:dyDescent="0.5">
      <c r="A1142">
        <v>1291</v>
      </c>
      <c r="B1142">
        <v>88</v>
      </c>
      <c r="C1142" s="226" t="s">
        <v>20</v>
      </c>
      <c r="D1142" s="229">
        <v>45.057380000000002</v>
      </c>
      <c r="E1142" s="237">
        <v>12.378202999999999</v>
      </c>
      <c r="F1142">
        <v>0</v>
      </c>
      <c r="G1142">
        <f t="shared" si="13"/>
        <v>0</v>
      </c>
      <c r="H1142" s="30" t="s">
        <v>10</v>
      </c>
      <c r="I1142">
        <v>0</v>
      </c>
      <c r="J1142">
        <v>312.081615442756</v>
      </c>
      <c r="K1142" s="26">
        <v>2016</v>
      </c>
      <c r="L1142" t="s">
        <v>11</v>
      </c>
      <c r="M1142" s="30">
        <v>300</v>
      </c>
      <c r="N1142">
        <v>36.542166029999997</v>
      </c>
      <c r="O1142">
        <v>4.75</v>
      </c>
      <c r="P1142" t="s">
        <v>23</v>
      </c>
      <c r="Q1142">
        <v>95.5</v>
      </c>
      <c r="R1142" t="s">
        <v>13</v>
      </c>
      <c r="S1142" t="s">
        <v>14</v>
      </c>
      <c r="T1142" t="s">
        <v>14</v>
      </c>
      <c r="U1142" s="29">
        <v>0</v>
      </c>
      <c r="V1142" s="29">
        <v>5</v>
      </c>
      <c r="W1142" s="25">
        <v>2.5</v>
      </c>
      <c r="X1142" s="25">
        <v>5</v>
      </c>
      <c r="Y1142" s="244">
        <v>0.91868156199999995</v>
      </c>
      <c r="Z1142" t="s">
        <v>1100</v>
      </c>
      <c r="AA1142" t="s">
        <v>622</v>
      </c>
      <c r="AB1142">
        <v>1</v>
      </c>
      <c r="AC1142">
        <v>5.29</v>
      </c>
      <c r="AF1142" t="s">
        <v>532</v>
      </c>
      <c r="AG1142" s="30" t="s">
        <v>1188</v>
      </c>
      <c r="AH1142" s="30" t="s">
        <v>1199</v>
      </c>
      <c r="AI1142" s="30" t="s">
        <v>2407</v>
      </c>
      <c r="AJ1142" t="s">
        <v>3288</v>
      </c>
      <c r="AK1142">
        <v>5.0000000000000001E-3</v>
      </c>
      <c r="AL1142">
        <v>2.6499999999999999E-2</v>
      </c>
      <c r="AM1142">
        <v>5.2734999999999994</v>
      </c>
      <c r="AN1142">
        <v>1.0139972772722512</v>
      </c>
      <c r="AO1142">
        <v>201.78545817717799</v>
      </c>
      <c r="AP1142">
        <v>9.3154060254821869E-4</v>
      </c>
      <c r="AQ1142">
        <v>0.18537657990709555</v>
      </c>
      <c r="AR1142">
        <v>0.13341858489683281</v>
      </c>
    </row>
    <row r="1143" spans="1:44" customFormat="1" hidden="1" x14ac:dyDescent="0.5">
      <c r="A1143">
        <v>1286</v>
      </c>
      <c r="B1143">
        <v>88</v>
      </c>
      <c r="C1143" s="226" t="s">
        <v>20</v>
      </c>
      <c r="D1143" s="229">
        <v>45.057380000000002</v>
      </c>
      <c r="E1143" s="237">
        <v>12.378202999999999</v>
      </c>
      <c r="F1143">
        <v>0</v>
      </c>
      <c r="G1143">
        <f t="shared" si="13"/>
        <v>0</v>
      </c>
      <c r="H1143" t="s">
        <v>10</v>
      </c>
      <c r="I1143">
        <v>0</v>
      </c>
      <c r="J1143">
        <v>312.081615442756</v>
      </c>
      <c r="K1143" s="26">
        <v>2016</v>
      </c>
      <c r="L1143" t="s">
        <v>11</v>
      </c>
      <c r="M1143" s="30">
        <v>1000</v>
      </c>
      <c r="N1143">
        <v>130.61708849999999</v>
      </c>
      <c r="O1143">
        <v>5</v>
      </c>
      <c r="P1143" t="s">
        <v>23</v>
      </c>
      <c r="Q1143">
        <v>95.5</v>
      </c>
      <c r="R1143" t="s">
        <v>13</v>
      </c>
      <c r="S1143" t="s">
        <v>14</v>
      </c>
      <c r="T1143" t="s">
        <v>14</v>
      </c>
      <c r="U1143" s="25">
        <v>0</v>
      </c>
      <c r="V1143" s="25">
        <v>5</v>
      </c>
      <c r="W1143" s="25">
        <v>2.5</v>
      </c>
      <c r="X1143" s="25">
        <v>5</v>
      </c>
      <c r="Y1143" s="244">
        <v>0.91868156199999995</v>
      </c>
      <c r="Z1143" t="s">
        <v>1100</v>
      </c>
      <c r="AA1143" t="s">
        <v>622</v>
      </c>
      <c r="AB1143">
        <v>1</v>
      </c>
      <c r="AC1143">
        <v>0.96</v>
      </c>
      <c r="AF1143" t="s">
        <v>532</v>
      </c>
      <c r="AG1143" s="30">
        <v>1</v>
      </c>
      <c r="AH1143" s="30">
        <v>5.0000000000000001E-3</v>
      </c>
      <c r="AI1143" s="30">
        <v>5.0000000000000001E-3</v>
      </c>
      <c r="AJ1143">
        <v>0.995</v>
      </c>
      <c r="AK1143">
        <v>5.0000000000000001E-3</v>
      </c>
      <c r="AL1143">
        <v>5.0000000000000001E-3</v>
      </c>
      <c r="AM1143">
        <v>0.995</v>
      </c>
      <c r="AN1143">
        <v>0.68385910209424083</v>
      </c>
      <c r="AO1143">
        <v>136.0879613167539</v>
      </c>
      <c r="AP1143">
        <v>6.2824874809985461E-4</v>
      </c>
      <c r="AQ1143">
        <v>0.12502150087187106</v>
      </c>
      <c r="AR1143">
        <v>0.13341858489683281</v>
      </c>
    </row>
    <row r="1144" spans="1:44" customFormat="1" hidden="1" x14ac:dyDescent="0.5">
      <c r="A1144">
        <v>1287</v>
      </c>
      <c r="B1144">
        <v>88</v>
      </c>
      <c r="C1144" s="226" t="s">
        <v>20</v>
      </c>
      <c r="D1144" s="229">
        <v>45.057380000000002</v>
      </c>
      <c r="E1144" s="237">
        <v>12.378202999999999</v>
      </c>
      <c r="F1144">
        <v>0</v>
      </c>
      <c r="G1144">
        <f t="shared" si="13"/>
        <v>0</v>
      </c>
      <c r="H1144" t="s">
        <v>10</v>
      </c>
      <c r="I1144">
        <v>0</v>
      </c>
      <c r="J1144">
        <v>312.081615442756</v>
      </c>
      <c r="K1144" s="26">
        <v>2016</v>
      </c>
      <c r="L1144" t="s">
        <v>11</v>
      </c>
      <c r="M1144" s="30">
        <v>1000</v>
      </c>
      <c r="N1144">
        <v>130.61708849999999</v>
      </c>
      <c r="O1144">
        <v>5</v>
      </c>
      <c r="P1144" t="s">
        <v>23</v>
      </c>
      <c r="Q1144">
        <v>95.5</v>
      </c>
      <c r="R1144" t="s">
        <v>13</v>
      </c>
      <c r="S1144" t="s">
        <v>14</v>
      </c>
      <c r="T1144" t="s">
        <v>14</v>
      </c>
      <c r="U1144" s="25">
        <v>0</v>
      </c>
      <c r="V1144" s="25">
        <v>5</v>
      </c>
      <c r="W1144" s="25">
        <v>2.5</v>
      </c>
      <c r="X1144" s="25">
        <v>5</v>
      </c>
      <c r="Y1144" s="244">
        <v>0.91868156199999995</v>
      </c>
      <c r="Z1144" t="s">
        <v>1100</v>
      </c>
      <c r="AA1144" t="s">
        <v>622</v>
      </c>
      <c r="AB1144">
        <v>1</v>
      </c>
      <c r="AC1144">
        <v>0.96</v>
      </c>
      <c r="AF1144" t="s">
        <v>532</v>
      </c>
      <c r="AG1144" s="30">
        <v>1</v>
      </c>
      <c r="AH1144" s="30">
        <v>5.0000000000000001E-3</v>
      </c>
      <c r="AI1144" s="30">
        <v>5.0000000000000001E-3</v>
      </c>
      <c r="AJ1144">
        <v>0.995</v>
      </c>
      <c r="AK1144">
        <v>5.0000000000000001E-3</v>
      </c>
      <c r="AL1144">
        <v>5.0000000000000001E-3</v>
      </c>
      <c r="AM1144">
        <v>0.995</v>
      </c>
      <c r="AN1144">
        <v>0.68385910209424083</v>
      </c>
      <c r="AO1144">
        <v>136.0879613167539</v>
      </c>
      <c r="AP1144">
        <v>6.2824874809985461E-4</v>
      </c>
      <c r="AQ1144">
        <v>0.12502150087187106</v>
      </c>
      <c r="AR1144">
        <v>0.13341858489683281</v>
      </c>
    </row>
    <row r="1145" spans="1:44" hidden="1" x14ac:dyDescent="0.5">
      <c r="A1145" s="31">
        <v>1144</v>
      </c>
      <c r="B1145" s="31">
        <v>78</v>
      </c>
      <c r="C1145" s="225" t="s">
        <v>9</v>
      </c>
      <c r="D1145" s="44">
        <v>-7.3073059999999996</v>
      </c>
      <c r="E1145" s="45">
        <v>112.849639</v>
      </c>
      <c r="F1145">
        <v>0.3</v>
      </c>
      <c r="G1145">
        <f t="shared" si="13"/>
        <v>482.8032</v>
      </c>
      <c r="H1145" s="32" t="s">
        <v>614</v>
      </c>
      <c r="I1145" s="7">
        <v>3</v>
      </c>
      <c r="J1145">
        <v>1081.36980728559</v>
      </c>
      <c r="K1145" s="27">
        <v>2018</v>
      </c>
      <c r="L1145" t="s">
        <v>40</v>
      </c>
      <c r="M1145" s="32">
        <v>300</v>
      </c>
      <c r="N1145">
        <v>36.542166029999997</v>
      </c>
      <c r="O1145">
        <v>5</v>
      </c>
      <c r="P1145" t="s">
        <v>12</v>
      </c>
      <c r="Q1145">
        <v>89</v>
      </c>
      <c r="R1145" t="s">
        <v>13</v>
      </c>
      <c r="S1145" t="s">
        <v>14</v>
      </c>
      <c r="T1145" t="s">
        <v>33</v>
      </c>
      <c r="U1145" s="34">
        <v>0</v>
      </c>
      <c r="V1145" s="34">
        <v>10</v>
      </c>
      <c r="W1145" s="25">
        <v>5</v>
      </c>
      <c r="X1145" s="25">
        <v>10</v>
      </c>
      <c r="Y1145">
        <v>0.69148334628571395</v>
      </c>
      <c r="Z1145" t="s">
        <v>719</v>
      </c>
      <c r="AA1145" t="s">
        <v>623</v>
      </c>
      <c r="AB1145">
        <v>1</v>
      </c>
      <c r="AC1145">
        <v>484</v>
      </c>
      <c r="AF1145" t="s">
        <v>532</v>
      </c>
      <c r="AG1145" s="32">
        <v>484</v>
      </c>
      <c r="AH1145" s="32" t="s">
        <v>2183</v>
      </c>
      <c r="AI1145" s="32" t="s">
        <v>2184</v>
      </c>
      <c r="AJ1145" s="31" t="s">
        <v>3208</v>
      </c>
      <c r="AK1145" s="31">
        <v>0.55000000000000004</v>
      </c>
      <c r="AL1145" s="31">
        <v>266.20000000000005</v>
      </c>
      <c r="AM1145" s="31">
        <v>217.79999999999995</v>
      </c>
      <c r="AN1145" s="31">
        <v>10929.802918186517</v>
      </c>
      <c r="AO1145" s="31">
        <v>8942.5660239707831</v>
      </c>
      <c r="AP1145" s="31">
        <v>7.5577766961109747</v>
      </c>
      <c r="AQ1145" s="31">
        <v>6.1836354786362495</v>
      </c>
      <c r="AR1145" s="31">
        <v>0.13301817039062197</v>
      </c>
    </row>
    <row r="1146" spans="1:44" hidden="1" x14ac:dyDescent="0.5">
      <c r="A1146" s="31">
        <v>1145</v>
      </c>
      <c r="B1146" s="31">
        <v>78</v>
      </c>
      <c r="C1146" s="225" t="s">
        <v>9</v>
      </c>
      <c r="D1146" s="44">
        <v>-7.2991190000000001</v>
      </c>
      <c r="E1146" s="45">
        <v>112.84932499999999</v>
      </c>
      <c r="F1146">
        <v>0.35</v>
      </c>
      <c r="G1146">
        <f t="shared" si="13"/>
        <v>563.2704</v>
      </c>
      <c r="H1146" s="32" t="s">
        <v>614</v>
      </c>
      <c r="I1146" s="7">
        <v>3</v>
      </c>
      <c r="J1146">
        <v>1083.5704148833099</v>
      </c>
      <c r="K1146" s="27">
        <v>2018</v>
      </c>
      <c r="L1146" t="s">
        <v>40</v>
      </c>
      <c r="M1146" s="32">
        <v>300</v>
      </c>
      <c r="N1146">
        <v>36.542166029999997</v>
      </c>
      <c r="O1146">
        <v>5</v>
      </c>
      <c r="P1146" t="s">
        <v>12</v>
      </c>
      <c r="Q1146">
        <v>89</v>
      </c>
      <c r="R1146" t="s">
        <v>13</v>
      </c>
      <c r="S1146" t="s">
        <v>14</v>
      </c>
      <c r="T1146" t="s">
        <v>33</v>
      </c>
      <c r="U1146" s="34">
        <v>0</v>
      </c>
      <c r="V1146" s="34">
        <v>10</v>
      </c>
      <c r="W1146" s="25">
        <v>5</v>
      </c>
      <c r="X1146" s="25">
        <v>10</v>
      </c>
      <c r="Y1146">
        <v>0.69148334628571395</v>
      </c>
      <c r="Z1146" t="s">
        <v>719</v>
      </c>
      <c r="AA1146" t="s">
        <v>623</v>
      </c>
      <c r="AB1146">
        <v>1</v>
      </c>
      <c r="AC1146">
        <v>590</v>
      </c>
      <c r="AF1146" t="s">
        <v>532</v>
      </c>
      <c r="AG1146" s="32">
        <v>590</v>
      </c>
      <c r="AH1146" s="32" t="s">
        <v>2185</v>
      </c>
      <c r="AI1146" s="32" t="s">
        <v>2186</v>
      </c>
      <c r="AJ1146" s="31" t="s">
        <v>3209</v>
      </c>
      <c r="AK1146" s="31">
        <v>0.53</v>
      </c>
      <c r="AL1146" s="31">
        <v>312.7</v>
      </c>
      <c r="AM1146" s="31">
        <v>277.3</v>
      </c>
      <c r="AN1146" s="31">
        <v>12839.028446720224</v>
      </c>
      <c r="AO1146" s="31">
        <v>11385.553528223596</v>
      </c>
      <c r="AP1146" s="31">
        <v>8.8779743533955724</v>
      </c>
      <c r="AQ1146" s="31">
        <v>7.8729206530111693</v>
      </c>
      <c r="AR1146" s="31">
        <v>0.13301817039062197</v>
      </c>
    </row>
    <row r="1147" spans="1:44" hidden="1" x14ac:dyDescent="0.5">
      <c r="A1147" s="31">
        <v>1146</v>
      </c>
      <c r="B1147" s="31">
        <v>78</v>
      </c>
      <c r="C1147" s="225" t="s">
        <v>9</v>
      </c>
      <c r="D1147" s="44">
        <v>-7.3099249999999998</v>
      </c>
      <c r="E1147" s="45">
        <v>112.83758899999999</v>
      </c>
      <c r="F1147">
        <v>0</v>
      </c>
      <c r="G1147">
        <f t="shared" si="13"/>
        <v>0</v>
      </c>
      <c r="H1147" s="32" t="s">
        <v>45</v>
      </c>
      <c r="I1147" s="7">
        <v>0</v>
      </c>
      <c r="J1147">
        <v>1081.3002171222799</v>
      </c>
      <c r="K1147" s="27">
        <v>2018</v>
      </c>
      <c r="L1147" t="s">
        <v>40</v>
      </c>
      <c r="M1147" s="32">
        <v>300</v>
      </c>
      <c r="N1147">
        <v>36.542166029999997</v>
      </c>
      <c r="O1147">
        <v>5</v>
      </c>
      <c r="P1147" t="s">
        <v>12</v>
      </c>
      <c r="Q1147">
        <v>89</v>
      </c>
      <c r="R1147" t="s">
        <v>13</v>
      </c>
      <c r="S1147" t="s">
        <v>14</v>
      </c>
      <c r="T1147" t="s">
        <v>33</v>
      </c>
      <c r="U1147" s="34">
        <v>0</v>
      </c>
      <c r="V1147" s="34">
        <v>10</v>
      </c>
      <c r="W1147" s="25">
        <v>5</v>
      </c>
      <c r="X1147" s="25">
        <v>10</v>
      </c>
      <c r="Y1147">
        <v>0.69148334628571395</v>
      </c>
      <c r="Z1147" t="s">
        <v>719</v>
      </c>
      <c r="AA1147" t="s">
        <v>623</v>
      </c>
      <c r="AB1147">
        <v>1</v>
      </c>
      <c r="AC1147">
        <v>146</v>
      </c>
      <c r="AF1147" t="s">
        <v>532</v>
      </c>
      <c r="AG1147" s="32">
        <v>146</v>
      </c>
      <c r="AH1147" s="32" t="s">
        <v>2187</v>
      </c>
      <c r="AI1147" s="32" t="s">
        <v>2188</v>
      </c>
      <c r="AJ1147" s="31" t="s">
        <v>3210</v>
      </c>
      <c r="AK1147" s="31">
        <v>0.79</v>
      </c>
      <c r="AL1147" s="31">
        <v>115.34</v>
      </c>
      <c r="AM1147" s="31">
        <v>30.659999999999997</v>
      </c>
      <c r="AN1147" s="31">
        <v>4735.700483033932</v>
      </c>
      <c r="AO1147" s="31">
        <v>1258.8570904267413</v>
      </c>
      <c r="AP1147" s="31">
        <v>3.2746580170151751</v>
      </c>
      <c r="AQ1147" s="31">
        <v>0.87047871338378069</v>
      </c>
      <c r="AR1147" s="31">
        <v>0.13341858489683281</v>
      </c>
    </row>
    <row r="1148" spans="1:44" hidden="1" x14ac:dyDescent="0.5">
      <c r="A1148" s="31">
        <v>1147</v>
      </c>
      <c r="B1148" s="31">
        <v>78</v>
      </c>
      <c r="C1148" s="225" t="s">
        <v>9</v>
      </c>
      <c r="D1148" s="44">
        <v>-7.307042</v>
      </c>
      <c r="E1148" s="45">
        <v>112.824253</v>
      </c>
      <c r="F1148">
        <v>0</v>
      </c>
      <c r="G1148">
        <f t="shared" si="13"/>
        <v>0</v>
      </c>
      <c r="H1148" s="32" t="s">
        <v>45</v>
      </c>
      <c r="I1148" s="7">
        <v>0</v>
      </c>
      <c r="J1148">
        <v>1082.7967524660601</v>
      </c>
      <c r="K1148" s="27">
        <v>2018</v>
      </c>
      <c r="L1148" t="s">
        <v>40</v>
      </c>
      <c r="M1148" s="32">
        <v>300</v>
      </c>
      <c r="N1148">
        <v>36.542166029999997</v>
      </c>
      <c r="O1148">
        <v>5</v>
      </c>
      <c r="P1148" t="s">
        <v>12</v>
      </c>
      <c r="Q1148">
        <v>89</v>
      </c>
      <c r="R1148" t="s">
        <v>13</v>
      </c>
      <c r="S1148" t="s">
        <v>14</v>
      </c>
      <c r="T1148" t="s">
        <v>33</v>
      </c>
      <c r="U1148" s="34">
        <v>0</v>
      </c>
      <c r="V1148" s="34">
        <v>10</v>
      </c>
      <c r="W1148" s="25">
        <v>5</v>
      </c>
      <c r="X1148" s="25">
        <v>10</v>
      </c>
      <c r="Y1148">
        <v>0.69148334628571395</v>
      </c>
      <c r="Z1148" t="s">
        <v>719</v>
      </c>
      <c r="AA1148" t="s">
        <v>623</v>
      </c>
      <c r="AB1148">
        <v>1</v>
      </c>
      <c r="AC1148">
        <v>92</v>
      </c>
      <c r="AF1148" t="s">
        <v>532</v>
      </c>
      <c r="AG1148" s="32">
        <v>92</v>
      </c>
      <c r="AH1148" s="32" t="s">
        <v>2189</v>
      </c>
      <c r="AI1148" s="32" t="s">
        <v>2190</v>
      </c>
      <c r="AJ1148" s="31" t="s">
        <v>3211</v>
      </c>
      <c r="AK1148" s="31">
        <v>0.83</v>
      </c>
      <c r="AL1148" s="31">
        <v>76.36</v>
      </c>
      <c r="AM1148" s="31">
        <v>15.64</v>
      </c>
      <c r="AN1148" s="31">
        <v>3135.2357281469663</v>
      </c>
      <c r="AO1148" s="31">
        <v>642.1567154035954</v>
      </c>
      <c r="AP1148" s="31">
        <v>2.167963292693591</v>
      </c>
      <c r="AQ1148" s="31">
        <v>0.44404067440712103</v>
      </c>
      <c r="AR1148" s="31">
        <v>0.13341858489683281</v>
      </c>
    </row>
    <row r="1149" spans="1:44" hidden="1" x14ac:dyDescent="0.5">
      <c r="A1149" s="31">
        <v>1148</v>
      </c>
      <c r="B1149" s="31">
        <v>78</v>
      </c>
      <c r="C1149" s="225" t="s">
        <v>9</v>
      </c>
      <c r="D1149" s="44">
        <v>-7.3037640000000001</v>
      </c>
      <c r="E1149" s="45">
        <v>112.845664</v>
      </c>
      <c r="F1149">
        <v>0</v>
      </c>
      <c r="G1149">
        <f t="shared" si="13"/>
        <v>0</v>
      </c>
      <c r="H1149" s="32" t="s">
        <v>45</v>
      </c>
      <c r="I1149" s="7">
        <v>3</v>
      </c>
      <c r="J1149">
        <v>1082.51179240176</v>
      </c>
      <c r="K1149" s="27">
        <v>2018</v>
      </c>
      <c r="L1149" t="s">
        <v>40</v>
      </c>
      <c r="M1149" s="32">
        <v>300</v>
      </c>
      <c r="N1149">
        <v>36.542166029999997</v>
      </c>
      <c r="O1149">
        <v>5</v>
      </c>
      <c r="P1149" t="s">
        <v>12</v>
      </c>
      <c r="Q1149">
        <v>89</v>
      </c>
      <c r="R1149" t="s">
        <v>13</v>
      </c>
      <c r="S1149" t="s">
        <v>14</v>
      </c>
      <c r="T1149" t="s">
        <v>33</v>
      </c>
      <c r="U1149" s="34">
        <v>0</v>
      </c>
      <c r="V1149" s="34">
        <v>10</v>
      </c>
      <c r="W1149" s="25">
        <v>5</v>
      </c>
      <c r="X1149" s="25">
        <v>10</v>
      </c>
      <c r="Y1149">
        <v>0.69148334628571395</v>
      </c>
      <c r="Z1149" t="s">
        <v>719</v>
      </c>
      <c r="AA1149" t="s">
        <v>623</v>
      </c>
      <c r="AB1149">
        <v>1</v>
      </c>
      <c r="AC1149">
        <v>414</v>
      </c>
      <c r="AF1149" t="s">
        <v>532</v>
      </c>
      <c r="AG1149" s="32">
        <v>414</v>
      </c>
      <c r="AH1149" s="32" t="s">
        <v>2116</v>
      </c>
      <c r="AI1149" s="32">
        <v>207</v>
      </c>
      <c r="AJ1149" s="31">
        <v>207</v>
      </c>
      <c r="AK1149" s="31">
        <v>0.5</v>
      </c>
      <c r="AL1149" s="31">
        <v>207</v>
      </c>
      <c r="AM1149" s="31">
        <v>207</v>
      </c>
      <c r="AN1149" s="31">
        <v>8499.1329979887632</v>
      </c>
      <c r="AO1149" s="31">
        <v>8499.1329979887632</v>
      </c>
      <c r="AP1149" s="31">
        <v>5.8770089259766021</v>
      </c>
      <c r="AQ1149" s="31">
        <v>5.8770089259766021</v>
      </c>
      <c r="AR1149" s="31">
        <v>0.13301817039062197</v>
      </c>
    </row>
    <row r="1150" spans="1:44" hidden="1" x14ac:dyDescent="0.5">
      <c r="A1150" s="31">
        <v>1149</v>
      </c>
      <c r="B1150" s="31">
        <v>79</v>
      </c>
      <c r="C1150" s="225" t="s">
        <v>9</v>
      </c>
      <c r="D1150" s="41">
        <v>27.958919999999999</v>
      </c>
      <c r="E1150" s="43">
        <v>120.945971</v>
      </c>
      <c r="F1150">
        <v>0</v>
      </c>
      <c r="G1150">
        <f t="shared" si="13"/>
        <v>0</v>
      </c>
      <c r="H1150" s="32" t="s">
        <v>51</v>
      </c>
      <c r="I1150">
        <v>0</v>
      </c>
      <c r="J1150">
        <v>885.90418214986005</v>
      </c>
      <c r="K1150" s="26">
        <v>2016</v>
      </c>
      <c r="L1150" t="s">
        <v>11</v>
      </c>
      <c r="M1150" s="32">
        <v>25</v>
      </c>
      <c r="N1150">
        <v>2.6364560030000002</v>
      </c>
      <c r="O1150">
        <v>5</v>
      </c>
      <c r="P1150" t="s">
        <v>23</v>
      </c>
      <c r="Q1150">
        <v>95.5</v>
      </c>
      <c r="S1150" t="s">
        <v>14</v>
      </c>
      <c r="T1150" t="s">
        <v>14</v>
      </c>
      <c r="U1150" s="34">
        <v>0</v>
      </c>
      <c r="V1150" s="34">
        <v>2</v>
      </c>
      <c r="W1150" s="25">
        <v>1</v>
      </c>
      <c r="X1150" s="25">
        <v>2</v>
      </c>
      <c r="Y1150">
        <v>0.61037440930769205</v>
      </c>
      <c r="Z1150" t="s">
        <v>812</v>
      </c>
      <c r="AA1150" t="s">
        <v>619</v>
      </c>
      <c r="AB1150">
        <v>5</v>
      </c>
      <c r="AC1150">
        <v>37375</v>
      </c>
      <c r="AD1150">
        <v>40325</v>
      </c>
      <c r="AE1150" t="s">
        <v>519</v>
      </c>
      <c r="AF1150" t="s">
        <v>521</v>
      </c>
      <c r="AG1150" s="32" t="s">
        <v>2191</v>
      </c>
      <c r="AH1150" s="32" t="s">
        <v>2192</v>
      </c>
      <c r="AI1150" s="32" t="s">
        <v>2193</v>
      </c>
      <c r="AJ1150" s="31" t="s">
        <v>3212</v>
      </c>
      <c r="AK1150" s="31">
        <v>0.28000000000000003</v>
      </c>
      <c r="AL1150" s="31">
        <v>857.26071083728505</v>
      </c>
      <c r="AM1150" s="31">
        <v>2204.3846850101613</v>
      </c>
      <c r="AN1150" s="31">
        <v>2366.6284264115261</v>
      </c>
      <c r="AO1150" s="31">
        <v>6085.6159536296373</v>
      </c>
      <c r="AP1150" s="31">
        <v>1.444529427821728</v>
      </c>
      <c r="AQ1150" s="31">
        <v>3.7145042429701567</v>
      </c>
      <c r="AR1150" s="31">
        <v>0.13341858489683281</v>
      </c>
    </row>
    <row r="1151" spans="1:44" hidden="1" x14ac:dyDescent="0.5">
      <c r="A1151" s="31">
        <v>1288</v>
      </c>
      <c r="B1151" s="31">
        <v>88</v>
      </c>
      <c r="C1151" s="225" t="s">
        <v>20</v>
      </c>
      <c r="D1151" s="41">
        <v>45.057380000000002</v>
      </c>
      <c r="E1151" s="45">
        <v>12.378202999999999</v>
      </c>
      <c r="F1151">
        <v>0</v>
      </c>
      <c r="G1151">
        <f t="shared" si="13"/>
        <v>0</v>
      </c>
      <c r="H1151" s="31" t="s">
        <v>10</v>
      </c>
      <c r="I1151">
        <v>0</v>
      </c>
      <c r="J1151">
        <v>312.081615442756</v>
      </c>
      <c r="K1151" s="26">
        <v>2016</v>
      </c>
      <c r="L1151" t="s">
        <v>11</v>
      </c>
      <c r="M1151" s="32">
        <v>1000</v>
      </c>
      <c r="N1151">
        <v>130.61708849999999</v>
      </c>
      <c r="O1151">
        <v>5</v>
      </c>
      <c r="P1151" t="s">
        <v>23</v>
      </c>
      <c r="Q1151">
        <v>95.5</v>
      </c>
      <c r="R1151" t="s">
        <v>13</v>
      </c>
      <c r="S1151" t="s">
        <v>14</v>
      </c>
      <c r="T1151" t="s">
        <v>14</v>
      </c>
      <c r="U1151" s="240">
        <v>0</v>
      </c>
      <c r="V1151" s="240">
        <v>5</v>
      </c>
      <c r="W1151" s="25">
        <v>2.5</v>
      </c>
      <c r="X1151" s="25">
        <v>5</v>
      </c>
      <c r="Y1151" s="244">
        <v>0.91868156199999995</v>
      </c>
      <c r="Z1151" t="s">
        <v>1100</v>
      </c>
      <c r="AA1151" t="s">
        <v>622</v>
      </c>
      <c r="AB1151">
        <v>1</v>
      </c>
      <c r="AC1151">
        <v>2.65</v>
      </c>
      <c r="AF1151" t="s">
        <v>532</v>
      </c>
      <c r="AG1151" s="32">
        <v>2.7</v>
      </c>
      <c r="AH1151" s="32">
        <v>5.0000000000000001E-3</v>
      </c>
      <c r="AI1151" s="32">
        <v>1.3500000000000002E-2</v>
      </c>
      <c r="AJ1151" s="31">
        <v>2.6865000000000001</v>
      </c>
      <c r="AK1151" s="31">
        <v>5.0000000000000001E-3</v>
      </c>
      <c r="AL1151" s="31">
        <v>1.3500000000000002E-2</v>
      </c>
      <c r="AM1151" s="31">
        <v>2.6865000000000001</v>
      </c>
      <c r="AN1151" s="31">
        <v>1.8464195756544504</v>
      </c>
      <c r="AO1151" s="31">
        <v>367.43749555523561</v>
      </c>
      <c r="AP1151" s="31">
        <v>1.6962716198696075E-3</v>
      </c>
      <c r="AQ1151" s="31">
        <v>0.3375580523540519</v>
      </c>
      <c r="AR1151" s="31">
        <v>0.13341858489683281</v>
      </c>
    </row>
    <row r="1152" spans="1:44" hidden="1" x14ac:dyDescent="0.5">
      <c r="A1152" s="31">
        <v>1289</v>
      </c>
      <c r="B1152" s="31">
        <v>88</v>
      </c>
      <c r="C1152" s="225" t="s">
        <v>20</v>
      </c>
      <c r="D1152" s="41">
        <v>45.057380000000002</v>
      </c>
      <c r="E1152" s="45">
        <v>12.378202999999999</v>
      </c>
      <c r="F1152">
        <v>0</v>
      </c>
      <c r="G1152">
        <f t="shared" si="13"/>
        <v>0</v>
      </c>
      <c r="H1152" s="31" t="s">
        <v>10</v>
      </c>
      <c r="I1152">
        <v>0</v>
      </c>
      <c r="J1152">
        <v>312.081615442756</v>
      </c>
      <c r="K1152" s="26">
        <v>2016</v>
      </c>
      <c r="L1152" t="s">
        <v>11</v>
      </c>
      <c r="M1152" s="32">
        <v>1000</v>
      </c>
      <c r="N1152">
        <v>130.61708849999999</v>
      </c>
      <c r="O1152">
        <v>5</v>
      </c>
      <c r="P1152" t="s">
        <v>23</v>
      </c>
      <c r="Q1152">
        <v>95.5</v>
      </c>
      <c r="R1152" t="s">
        <v>13</v>
      </c>
      <c r="S1152" t="s">
        <v>14</v>
      </c>
      <c r="T1152" t="s">
        <v>14</v>
      </c>
      <c r="U1152" s="240">
        <v>0</v>
      </c>
      <c r="V1152" s="240">
        <v>5</v>
      </c>
      <c r="W1152" s="25">
        <v>2.5</v>
      </c>
      <c r="X1152" s="25">
        <v>5</v>
      </c>
      <c r="Y1152" s="244">
        <v>0.91868156199999995</v>
      </c>
      <c r="Z1152" t="s">
        <v>1100</v>
      </c>
      <c r="AA1152" t="s">
        <v>622</v>
      </c>
      <c r="AB1152">
        <v>1</v>
      </c>
      <c r="AC1152">
        <v>2.78</v>
      </c>
      <c r="AF1152" t="s">
        <v>532</v>
      </c>
      <c r="AG1152" s="32">
        <v>2.8</v>
      </c>
      <c r="AH1152" s="32">
        <v>5.0000000000000001E-3</v>
      </c>
      <c r="AI1152" s="32">
        <v>1.3999999999999999E-2</v>
      </c>
      <c r="AJ1152" s="31">
        <v>2.786</v>
      </c>
      <c r="AK1152" s="31">
        <v>5.0000000000000001E-3</v>
      </c>
      <c r="AL1152" s="31">
        <v>1.3999999999999999E-2</v>
      </c>
      <c r="AM1152" s="31">
        <v>2.786</v>
      </c>
      <c r="AN1152" s="31">
        <v>1.9148054858638741</v>
      </c>
      <c r="AO1152" s="31">
        <v>381.04629168691099</v>
      </c>
      <c r="AP1152" s="31">
        <v>1.7590964946795928E-3</v>
      </c>
      <c r="AQ1152" s="31">
        <v>0.35006020244123898</v>
      </c>
      <c r="AR1152" s="31">
        <v>0.13341858489683281</v>
      </c>
    </row>
    <row r="1153" spans="1:44" hidden="1" x14ac:dyDescent="0.5">
      <c r="A1153" s="31">
        <v>1290</v>
      </c>
      <c r="B1153" s="31">
        <v>88</v>
      </c>
      <c r="C1153" s="225" t="s">
        <v>20</v>
      </c>
      <c r="D1153" s="41">
        <v>45.057380000000002</v>
      </c>
      <c r="E1153" s="45">
        <v>12.378202999999999</v>
      </c>
      <c r="F1153">
        <v>0</v>
      </c>
      <c r="G1153">
        <f t="shared" si="13"/>
        <v>0</v>
      </c>
      <c r="H1153" s="31" t="s">
        <v>10</v>
      </c>
      <c r="I1153">
        <v>0</v>
      </c>
      <c r="J1153">
        <v>312.081615442756</v>
      </c>
      <c r="K1153" s="26">
        <v>2016</v>
      </c>
      <c r="L1153" t="s">
        <v>11</v>
      </c>
      <c r="M1153" s="32">
        <v>1000</v>
      </c>
      <c r="N1153">
        <v>130.61708849999999</v>
      </c>
      <c r="O1153">
        <v>5</v>
      </c>
      <c r="P1153" t="s">
        <v>23</v>
      </c>
      <c r="Q1153">
        <v>95.5</v>
      </c>
      <c r="R1153" t="s">
        <v>13</v>
      </c>
      <c r="S1153" t="s">
        <v>14</v>
      </c>
      <c r="T1153" t="s">
        <v>14</v>
      </c>
      <c r="U1153" s="240">
        <v>0</v>
      </c>
      <c r="V1153" s="240">
        <v>5</v>
      </c>
      <c r="W1153" s="25">
        <v>2.5</v>
      </c>
      <c r="X1153" s="25">
        <v>5</v>
      </c>
      <c r="Y1153" s="244">
        <v>0.91868156199999995</v>
      </c>
      <c r="Z1153" t="s">
        <v>1100</v>
      </c>
      <c r="AA1153" t="s">
        <v>622</v>
      </c>
      <c r="AB1153">
        <v>1</v>
      </c>
      <c r="AC1153">
        <v>3.56</v>
      </c>
      <c r="AF1153" t="s">
        <v>532</v>
      </c>
      <c r="AG1153" s="32">
        <v>3.6</v>
      </c>
      <c r="AH1153" s="32">
        <v>5.0000000000000001E-3</v>
      </c>
      <c r="AI1153" s="32">
        <v>1.8000000000000002E-2</v>
      </c>
      <c r="AJ1153" s="31">
        <v>3.5820000000000003</v>
      </c>
      <c r="AK1153" s="31">
        <v>5.0000000000000001E-3</v>
      </c>
      <c r="AL1153" s="31">
        <v>1.8000000000000002E-2</v>
      </c>
      <c r="AM1153" s="31">
        <v>3.5820000000000003</v>
      </c>
      <c r="AN1153" s="31">
        <v>2.461892767539267</v>
      </c>
      <c r="AO1153" s="31">
        <v>489.91666074031411</v>
      </c>
      <c r="AP1153" s="31">
        <v>2.2616954931594766E-3</v>
      </c>
      <c r="AQ1153" s="31">
        <v>0.45007740313873579</v>
      </c>
      <c r="AR1153" s="31">
        <v>0.13341858489683281</v>
      </c>
    </row>
    <row r="1154" spans="1:44" x14ac:dyDescent="0.5">
      <c r="A1154" s="31">
        <v>1153</v>
      </c>
      <c r="B1154" s="31">
        <v>81</v>
      </c>
      <c r="C1154" s="225" t="s">
        <v>9</v>
      </c>
      <c r="D1154" s="44">
        <v>9.99</v>
      </c>
      <c r="E1154" s="45">
        <v>114.69</v>
      </c>
      <c r="F1154">
        <v>201.44</v>
      </c>
      <c r="G1154">
        <f t="shared" si="13"/>
        <v>324186.25536000001</v>
      </c>
      <c r="H1154" s="32" t="s">
        <v>54</v>
      </c>
      <c r="I1154">
        <v>0.5</v>
      </c>
      <c r="J1154">
        <v>0</v>
      </c>
      <c r="K1154" s="26">
        <v>2016</v>
      </c>
      <c r="L1154" t="s">
        <v>11</v>
      </c>
      <c r="M1154" s="32">
        <v>300</v>
      </c>
      <c r="N1154">
        <v>36.542166029999997</v>
      </c>
      <c r="O1154">
        <v>5</v>
      </c>
      <c r="P1154" t="s">
        <v>56</v>
      </c>
      <c r="Q1154">
        <v>93.3</v>
      </c>
      <c r="R1154" t="s">
        <v>13</v>
      </c>
      <c r="S1154" t="s">
        <v>14</v>
      </c>
      <c r="T1154" t="s">
        <v>14</v>
      </c>
      <c r="U1154" s="34">
        <v>0</v>
      </c>
      <c r="X1154" s="25"/>
      <c r="Y1154">
        <v>0.92302978700000005</v>
      </c>
      <c r="Z1154" t="s">
        <v>831</v>
      </c>
      <c r="AA1154" t="s">
        <v>665</v>
      </c>
      <c r="AB1154">
        <v>3</v>
      </c>
      <c r="AC1154">
        <v>40</v>
      </c>
      <c r="AD1154">
        <v>1</v>
      </c>
      <c r="AE1154" t="s">
        <v>519</v>
      </c>
      <c r="AF1154" t="s">
        <v>532</v>
      </c>
      <c r="AG1154" s="32">
        <v>40</v>
      </c>
      <c r="AH1154" s="32" t="s">
        <v>671</v>
      </c>
      <c r="AI1154" s="32" t="s">
        <v>1129</v>
      </c>
      <c r="AJ1154" s="31" t="s">
        <v>1130</v>
      </c>
      <c r="AK1154" s="31">
        <v>0.59524549999999998</v>
      </c>
      <c r="AL1154" s="31">
        <v>23.809819999999998</v>
      </c>
      <c r="AM1154" s="31">
        <v>16.190180000000002</v>
      </c>
      <c r="AN1154" s="31">
        <v>932.54276054063712</v>
      </c>
      <c r="AO1154" s="31">
        <v>634.10958801241748</v>
      </c>
      <c r="AP1154" s="31">
        <v>0.86076474563021632</v>
      </c>
      <c r="AQ1154" s="31">
        <v>0.58530203795775948</v>
      </c>
      <c r="AR1154" s="31">
        <v>0.13335176553963896</v>
      </c>
    </row>
    <row r="1155" spans="1:44" x14ac:dyDescent="0.5">
      <c r="A1155" s="31">
        <v>1154</v>
      </c>
      <c r="B1155" s="31">
        <v>81</v>
      </c>
      <c r="C1155" s="225" t="s">
        <v>9</v>
      </c>
      <c r="D1155" s="44">
        <v>10.02</v>
      </c>
      <c r="E1155" s="45">
        <v>113.82</v>
      </c>
      <c r="F1155">
        <v>249.09</v>
      </c>
      <c r="G1155">
        <f t="shared" si="13"/>
        <v>400871.49696000002</v>
      </c>
      <c r="H1155" s="32" t="s">
        <v>54</v>
      </c>
      <c r="I1155">
        <v>0.5</v>
      </c>
      <c r="J1155">
        <v>0</v>
      </c>
      <c r="K1155" s="26">
        <v>2016</v>
      </c>
      <c r="L1155" t="s">
        <v>11</v>
      </c>
      <c r="M1155" s="32">
        <v>300</v>
      </c>
      <c r="N1155">
        <v>36.542166029999997</v>
      </c>
      <c r="O1155">
        <v>5</v>
      </c>
      <c r="P1155" t="s">
        <v>56</v>
      </c>
      <c r="Q1155">
        <v>93.3</v>
      </c>
      <c r="R1155" t="s">
        <v>13</v>
      </c>
      <c r="S1155" t="s">
        <v>14</v>
      </c>
      <c r="T1155" t="s">
        <v>14</v>
      </c>
      <c r="U1155" s="34">
        <v>0</v>
      </c>
      <c r="X1155" s="25"/>
      <c r="Y1155">
        <v>0.92302978700000005</v>
      </c>
      <c r="Z1155" t="s">
        <v>831</v>
      </c>
      <c r="AA1155" t="s">
        <v>665</v>
      </c>
      <c r="AB1155">
        <v>3</v>
      </c>
      <c r="AC1155" t="s">
        <v>539</v>
      </c>
      <c r="AD1155">
        <v>6</v>
      </c>
      <c r="AE1155" t="s">
        <v>519</v>
      </c>
      <c r="AF1155" t="s">
        <v>532</v>
      </c>
      <c r="AG1155" s="32">
        <v>80</v>
      </c>
      <c r="AH1155" s="32" t="s">
        <v>671</v>
      </c>
      <c r="AI1155" s="32" t="s">
        <v>1129</v>
      </c>
      <c r="AJ1155" s="31" t="s">
        <v>1130</v>
      </c>
      <c r="AK1155" s="31">
        <v>0.59524549999999998</v>
      </c>
      <c r="AL1155" s="31">
        <v>47.619639999999997</v>
      </c>
      <c r="AM1155" s="31">
        <v>32.380360000000003</v>
      </c>
      <c r="AN1155" s="31">
        <v>1865.0855210812742</v>
      </c>
      <c r="AO1155" s="31">
        <v>1268.219176024835</v>
      </c>
      <c r="AP1155" s="31">
        <v>1.7215294912604326</v>
      </c>
      <c r="AQ1155" s="31">
        <v>1.170604075915519</v>
      </c>
      <c r="AR1155" s="31">
        <v>0.13335176553963896</v>
      </c>
    </row>
    <row r="1156" spans="1:44" x14ac:dyDescent="0.5">
      <c r="A1156" s="31">
        <v>1155</v>
      </c>
      <c r="B1156" s="31">
        <v>81</v>
      </c>
      <c r="C1156" s="225" t="s">
        <v>9</v>
      </c>
      <c r="D1156" s="44">
        <v>10.86</v>
      </c>
      <c r="E1156" s="45">
        <v>114.1</v>
      </c>
      <c r="F1156">
        <v>332</v>
      </c>
      <c r="G1156">
        <f t="shared" si="13"/>
        <v>534302.20799999998</v>
      </c>
      <c r="H1156" s="32" t="s">
        <v>54</v>
      </c>
      <c r="I1156">
        <v>0.5</v>
      </c>
      <c r="J1156">
        <v>0</v>
      </c>
      <c r="K1156" s="26">
        <v>2016</v>
      </c>
      <c r="L1156" t="s">
        <v>11</v>
      </c>
      <c r="M1156" s="32">
        <v>300</v>
      </c>
      <c r="N1156">
        <v>36.542166029999997</v>
      </c>
      <c r="O1156">
        <v>5</v>
      </c>
      <c r="P1156" t="s">
        <v>56</v>
      </c>
      <c r="Q1156">
        <v>93.3</v>
      </c>
      <c r="R1156" t="s">
        <v>13</v>
      </c>
      <c r="S1156" t="s">
        <v>14</v>
      </c>
      <c r="T1156" t="s">
        <v>14</v>
      </c>
      <c r="U1156" s="34">
        <v>0</v>
      </c>
      <c r="X1156" s="25"/>
      <c r="Y1156">
        <v>0.92302978700000005</v>
      </c>
      <c r="Z1156" t="s">
        <v>831</v>
      </c>
      <c r="AA1156" t="s">
        <v>665</v>
      </c>
      <c r="AB1156">
        <v>3</v>
      </c>
      <c r="AC1156">
        <v>100</v>
      </c>
      <c r="AD1156">
        <v>2</v>
      </c>
      <c r="AE1156" t="s">
        <v>519</v>
      </c>
      <c r="AF1156" t="s">
        <v>532</v>
      </c>
      <c r="AG1156" s="32">
        <v>100</v>
      </c>
      <c r="AH1156" s="32" t="s">
        <v>671</v>
      </c>
      <c r="AI1156" s="32" t="s">
        <v>1129</v>
      </c>
      <c r="AJ1156" s="31" t="s">
        <v>1130</v>
      </c>
      <c r="AK1156" s="31">
        <v>0.59524549999999998</v>
      </c>
      <c r="AL1156" s="31">
        <v>59.524549999999998</v>
      </c>
      <c r="AM1156" s="31">
        <v>40.475450000000002</v>
      </c>
      <c r="AN1156" s="31">
        <v>2331.356901351593</v>
      </c>
      <c r="AO1156" s="31">
        <v>1585.2739700310433</v>
      </c>
      <c r="AP1156" s="31">
        <v>2.151911864075541</v>
      </c>
      <c r="AQ1156" s="31">
        <v>1.4632550948943983</v>
      </c>
      <c r="AR1156" s="31">
        <v>0.13335176553963896</v>
      </c>
    </row>
    <row r="1157" spans="1:44" hidden="1" x14ac:dyDescent="0.5">
      <c r="A1157" s="31">
        <v>1156</v>
      </c>
      <c r="B1157" s="31">
        <v>81</v>
      </c>
      <c r="C1157" s="225" t="s">
        <v>9</v>
      </c>
      <c r="D1157" s="44">
        <v>15.11</v>
      </c>
      <c r="E1157" s="45">
        <v>117.85299999999999</v>
      </c>
      <c r="F1157">
        <v>135.49</v>
      </c>
      <c r="G1157">
        <f t="shared" si="13"/>
        <v>218050.01856000003</v>
      </c>
      <c r="H1157" s="32" t="s">
        <v>54</v>
      </c>
      <c r="I1157">
        <v>0.5</v>
      </c>
      <c r="J1157">
        <v>0</v>
      </c>
      <c r="K1157" s="26">
        <v>2016</v>
      </c>
      <c r="L1157" t="s">
        <v>11</v>
      </c>
      <c r="M1157" s="32">
        <v>300</v>
      </c>
      <c r="N1157">
        <v>36.542166029999997</v>
      </c>
      <c r="O1157">
        <v>5</v>
      </c>
      <c r="P1157" t="s">
        <v>56</v>
      </c>
      <c r="Q1157">
        <v>93.3</v>
      </c>
      <c r="R1157" t="s">
        <v>13</v>
      </c>
      <c r="S1157" t="s">
        <v>14</v>
      </c>
      <c r="T1157" t="s">
        <v>14</v>
      </c>
      <c r="U1157" s="34">
        <v>0</v>
      </c>
      <c r="X1157" s="25"/>
      <c r="Y1157">
        <v>0.92302978700000005</v>
      </c>
      <c r="Z1157" t="s">
        <v>831</v>
      </c>
      <c r="AA1157" t="s">
        <v>665</v>
      </c>
      <c r="AB1157">
        <v>3</v>
      </c>
      <c r="AC1157" t="s">
        <v>546</v>
      </c>
      <c r="AD1157">
        <v>16</v>
      </c>
      <c r="AE1157" t="s">
        <v>519</v>
      </c>
      <c r="AF1157" t="s">
        <v>532</v>
      </c>
      <c r="AG1157" s="32">
        <v>280</v>
      </c>
      <c r="AH1157" s="32" t="s">
        <v>671</v>
      </c>
      <c r="AI1157" s="32" t="s">
        <v>1129</v>
      </c>
      <c r="AJ1157" s="31" t="s">
        <v>1130</v>
      </c>
      <c r="AK1157" s="31">
        <v>0.59524549999999998</v>
      </c>
      <c r="AL1157" s="31">
        <v>166.66873999999999</v>
      </c>
      <c r="AM1157" s="31">
        <v>113.33126000000001</v>
      </c>
      <c r="AN1157" s="31">
        <v>6527.7993237844594</v>
      </c>
      <c r="AO1157" s="31">
        <v>4438.7671160869222</v>
      </c>
      <c r="AP1157" s="31">
        <v>6.0253532194115138</v>
      </c>
      <c r="AQ1157" s="31">
        <v>4.0971142657043167</v>
      </c>
      <c r="AR1157" s="31">
        <v>0.13335176553963896</v>
      </c>
    </row>
    <row r="1158" spans="1:44" hidden="1" x14ac:dyDescent="0.5">
      <c r="A1158" s="31">
        <v>1157</v>
      </c>
      <c r="B1158" s="31">
        <v>81</v>
      </c>
      <c r="C1158" s="225" t="s">
        <v>9</v>
      </c>
      <c r="D1158" s="44">
        <v>16.010000000000002</v>
      </c>
      <c r="E1158" s="45">
        <v>111.78</v>
      </c>
      <c r="F1158">
        <v>201.76</v>
      </c>
      <c r="G1158">
        <f t="shared" si="13"/>
        <v>324701.24543999997</v>
      </c>
      <c r="H1158" s="32" t="s">
        <v>54</v>
      </c>
      <c r="I1158">
        <v>0.5</v>
      </c>
      <c r="J1158">
        <v>23.173576470577402</v>
      </c>
      <c r="K1158" s="26">
        <v>2016</v>
      </c>
      <c r="L1158" t="s">
        <v>11</v>
      </c>
      <c r="M1158" s="32">
        <v>300</v>
      </c>
      <c r="N1158">
        <v>36.542166029999997</v>
      </c>
      <c r="O1158">
        <v>5</v>
      </c>
      <c r="P1158" t="s">
        <v>56</v>
      </c>
      <c r="Q1158">
        <v>93.3</v>
      </c>
      <c r="R1158" t="s">
        <v>13</v>
      </c>
      <c r="S1158" t="s">
        <v>14</v>
      </c>
      <c r="T1158" t="s">
        <v>14</v>
      </c>
      <c r="U1158" s="34">
        <v>0</v>
      </c>
      <c r="X1158" s="25"/>
      <c r="Y1158">
        <v>1.3837435549999999</v>
      </c>
      <c r="Z1158" t="s">
        <v>762</v>
      </c>
      <c r="AA1158" t="s">
        <v>620</v>
      </c>
      <c r="AB1158">
        <v>3</v>
      </c>
      <c r="AC1158" t="s">
        <v>549</v>
      </c>
      <c r="AD1158">
        <v>11</v>
      </c>
      <c r="AE1158" t="s">
        <v>519</v>
      </c>
      <c r="AF1158" t="s">
        <v>532</v>
      </c>
      <c r="AG1158" s="32">
        <v>610</v>
      </c>
      <c r="AH1158" s="32" t="s">
        <v>671</v>
      </c>
      <c r="AI1158" s="32" t="s">
        <v>1129</v>
      </c>
      <c r="AJ1158" s="31" t="s">
        <v>1130</v>
      </c>
      <c r="AK1158" s="31">
        <v>0.59524549999999998</v>
      </c>
      <c r="AL1158" s="31">
        <v>363.09975500000002</v>
      </c>
      <c r="AM1158" s="31">
        <v>246.90024499999998</v>
      </c>
      <c r="AN1158" s="31">
        <v>14221.277098244718</v>
      </c>
      <c r="AO1158" s="31">
        <v>9670.1712171893632</v>
      </c>
      <c r="AP1158" s="31">
        <v>19.67860052856523</v>
      </c>
      <c r="AQ1158" s="31">
        <v>13.381037097532285</v>
      </c>
      <c r="AR1158" s="31">
        <v>0.13335176553963896</v>
      </c>
    </row>
    <row r="1159" spans="1:44" hidden="1" x14ac:dyDescent="0.5">
      <c r="A1159" s="31">
        <v>1158</v>
      </c>
      <c r="B1159" s="31">
        <v>81</v>
      </c>
      <c r="C1159" s="225" t="s">
        <v>9</v>
      </c>
      <c r="D1159" s="44">
        <v>16.04</v>
      </c>
      <c r="E1159" s="45">
        <v>112.51</v>
      </c>
      <c r="F1159">
        <v>232.11</v>
      </c>
      <c r="G1159">
        <f t="shared" si="13"/>
        <v>373544.83584000001</v>
      </c>
      <c r="H1159" s="32" t="s">
        <v>54</v>
      </c>
      <c r="I1159">
        <v>0.5</v>
      </c>
      <c r="J1159">
        <v>23.173576620758599</v>
      </c>
      <c r="K1159" s="26">
        <v>2016</v>
      </c>
      <c r="L1159" t="s">
        <v>11</v>
      </c>
      <c r="M1159" s="32">
        <v>300</v>
      </c>
      <c r="N1159">
        <v>36.542166029999997</v>
      </c>
      <c r="O1159">
        <v>5</v>
      </c>
      <c r="P1159" t="s">
        <v>56</v>
      </c>
      <c r="Q1159">
        <v>93.3</v>
      </c>
      <c r="R1159" t="s">
        <v>13</v>
      </c>
      <c r="S1159" t="s">
        <v>14</v>
      </c>
      <c r="T1159" t="s">
        <v>14</v>
      </c>
      <c r="U1159" s="34">
        <v>0</v>
      </c>
      <c r="X1159" s="25"/>
      <c r="Y1159">
        <v>1.3837435549999999</v>
      </c>
      <c r="Z1159" t="s">
        <v>762</v>
      </c>
      <c r="AA1159" t="s">
        <v>620</v>
      </c>
      <c r="AB1159">
        <v>3</v>
      </c>
      <c r="AC1159" t="s">
        <v>545</v>
      </c>
      <c r="AD1159">
        <v>8</v>
      </c>
      <c r="AE1159" t="s">
        <v>519</v>
      </c>
      <c r="AF1159" t="s">
        <v>532</v>
      </c>
      <c r="AG1159" s="32">
        <v>220</v>
      </c>
      <c r="AH1159" s="32" t="s">
        <v>671</v>
      </c>
      <c r="AI1159" s="32" t="s">
        <v>1129</v>
      </c>
      <c r="AJ1159" s="31" t="s">
        <v>1130</v>
      </c>
      <c r="AK1159" s="31">
        <v>0.59524549999999998</v>
      </c>
      <c r="AL1159" s="31">
        <v>130.95400999999998</v>
      </c>
      <c r="AM1159" s="31">
        <v>89.045990000000018</v>
      </c>
      <c r="AN1159" s="31">
        <v>5128.9851829735035</v>
      </c>
      <c r="AO1159" s="31">
        <v>3487.6027340682958</v>
      </c>
      <c r="AP1159" s="31">
        <v>7.0972001906300806</v>
      </c>
      <c r="AQ1159" s="31">
        <v>4.8259478056673828</v>
      </c>
      <c r="AR1159" s="31">
        <v>0.13335176553963896</v>
      </c>
    </row>
    <row r="1160" spans="1:44" hidden="1" x14ac:dyDescent="0.5">
      <c r="A1160" s="31">
        <v>1159</v>
      </c>
      <c r="B1160" s="31">
        <v>81</v>
      </c>
      <c r="C1160" s="225" t="s">
        <v>9</v>
      </c>
      <c r="D1160" s="44">
        <v>16.2</v>
      </c>
      <c r="E1160" s="45">
        <v>111.79</v>
      </c>
      <c r="F1160">
        <v>203.38</v>
      </c>
      <c r="G1160">
        <f t="shared" si="13"/>
        <v>327308.38271999999</v>
      </c>
      <c r="H1160" s="32" t="s">
        <v>54</v>
      </c>
      <c r="I1160">
        <v>0.5</v>
      </c>
      <c r="J1160">
        <v>23.173576516620201</v>
      </c>
      <c r="K1160" s="26">
        <v>2016</v>
      </c>
      <c r="L1160" t="s">
        <v>11</v>
      </c>
      <c r="M1160" s="32">
        <v>300</v>
      </c>
      <c r="N1160">
        <v>36.542166029999997</v>
      </c>
      <c r="O1160">
        <v>5</v>
      </c>
      <c r="P1160" t="s">
        <v>56</v>
      </c>
      <c r="Q1160">
        <v>93.3</v>
      </c>
      <c r="R1160" t="s">
        <v>13</v>
      </c>
      <c r="S1160" t="s">
        <v>14</v>
      </c>
      <c r="T1160" t="s">
        <v>14</v>
      </c>
      <c r="U1160" s="34">
        <v>0</v>
      </c>
      <c r="X1160" s="25"/>
      <c r="Y1160">
        <v>1.3837435549999999</v>
      </c>
      <c r="Z1160" t="s">
        <v>762</v>
      </c>
      <c r="AA1160" t="s">
        <v>620</v>
      </c>
      <c r="AB1160">
        <v>3</v>
      </c>
      <c r="AC1160" t="s">
        <v>547</v>
      </c>
      <c r="AD1160">
        <v>2</v>
      </c>
      <c r="AE1160" t="s">
        <v>519</v>
      </c>
      <c r="AF1160" t="s">
        <v>532</v>
      </c>
      <c r="AG1160" s="32">
        <v>360</v>
      </c>
      <c r="AH1160" s="32" t="s">
        <v>671</v>
      </c>
      <c r="AI1160" s="32" t="s">
        <v>1129</v>
      </c>
      <c r="AJ1160" s="31" t="s">
        <v>1130</v>
      </c>
      <c r="AK1160" s="31">
        <v>0.59524549999999998</v>
      </c>
      <c r="AL1160" s="31">
        <v>214.28837999999999</v>
      </c>
      <c r="AM1160" s="31">
        <v>145.71162000000001</v>
      </c>
      <c r="AN1160" s="31">
        <v>8392.8848448657354</v>
      </c>
      <c r="AO1160" s="31">
        <v>5706.9862921117565</v>
      </c>
      <c r="AP1160" s="31">
        <v>11.613600311940136</v>
      </c>
      <c r="AQ1160" s="31">
        <v>7.8970055001829902</v>
      </c>
      <c r="AR1160" s="31">
        <v>0.13335176553963896</v>
      </c>
    </row>
    <row r="1161" spans="1:44" hidden="1" x14ac:dyDescent="0.5">
      <c r="A1161" s="31">
        <v>1160</v>
      </c>
      <c r="B1161" s="31">
        <v>81</v>
      </c>
      <c r="C1161" s="225" t="s">
        <v>9</v>
      </c>
      <c r="D1161" s="44">
        <v>16.34</v>
      </c>
      <c r="E1161" s="45">
        <v>112.02</v>
      </c>
      <c r="F1161">
        <v>194</v>
      </c>
      <c r="G1161">
        <f t="shared" si="13"/>
        <v>312212.73600000003</v>
      </c>
      <c r="H1161" s="32" t="s">
        <v>54</v>
      </c>
      <c r="I1161">
        <v>0.5</v>
      </c>
      <c r="J1161">
        <v>23.1735766063365</v>
      </c>
      <c r="K1161" s="26">
        <v>2016</v>
      </c>
      <c r="L1161" t="s">
        <v>11</v>
      </c>
      <c r="M1161" s="32">
        <v>300</v>
      </c>
      <c r="N1161">
        <v>36.542166029999997</v>
      </c>
      <c r="O1161">
        <v>5</v>
      </c>
      <c r="P1161" t="s">
        <v>56</v>
      </c>
      <c r="Q1161">
        <v>93.3</v>
      </c>
      <c r="R1161" t="s">
        <v>13</v>
      </c>
      <c r="S1161" t="s">
        <v>14</v>
      </c>
      <c r="T1161" t="s">
        <v>14</v>
      </c>
      <c r="U1161" s="34">
        <v>0</v>
      </c>
      <c r="X1161" s="25"/>
      <c r="Y1161">
        <v>1.3837435549999999</v>
      </c>
      <c r="Z1161" t="s">
        <v>762</v>
      </c>
      <c r="AA1161" t="s">
        <v>620</v>
      </c>
      <c r="AB1161">
        <v>3</v>
      </c>
      <c r="AC1161" t="s">
        <v>542</v>
      </c>
      <c r="AD1161">
        <v>5</v>
      </c>
      <c r="AE1161" t="s">
        <v>519</v>
      </c>
      <c r="AF1161" t="s">
        <v>532</v>
      </c>
      <c r="AG1161" s="32">
        <v>110</v>
      </c>
      <c r="AH1161" s="32" t="s">
        <v>671</v>
      </c>
      <c r="AI1161" s="32" t="s">
        <v>1129</v>
      </c>
      <c r="AJ1161" s="31" t="s">
        <v>1130</v>
      </c>
      <c r="AK1161" s="31">
        <v>0.59524549999999998</v>
      </c>
      <c r="AL1161" s="31">
        <v>65.477004999999991</v>
      </c>
      <c r="AM1161" s="31">
        <v>44.522995000000009</v>
      </c>
      <c r="AN1161" s="31">
        <v>2564.4925914867517</v>
      </c>
      <c r="AO1161" s="31">
        <v>1743.8013670341479</v>
      </c>
      <c r="AP1161" s="31">
        <v>3.5486000953150403</v>
      </c>
      <c r="AQ1161" s="31">
        <v>2.4129739028336914</v>
      </c>
      <c r="AR1161" s="31">
        <v>0.13335176553963896</v>
      </c>
    </row>
    <row r="1162" spans="1:44" hidden="1" x14ac:dyDescent="0.5">
      <c r="A1162" s="31">
        <v>1161</v>
      </c>
      <c r="B1162" s="31">
        <v>81</v>
      </c>
      <c r="C1162" s="225" t="s">
        <v>9</v>
      </c>
      <c r="D1162" s="44">
        <v>16.97</v>
      </c>
      <c r="E1162" s="45">
        <v>112.25</v>
      </c>
      <c r="F1162">
        <v>174.34</v>
      </c>
      <c r="G1162">
        <f t="shared" si="13"/>
        <v>280573.03296000004</v>
      </c>
      <c r="H1162" s="32" t="s">
        <v>54</v>
      </c>
      <c r="I1162">
        <v>0.5</v>
      </c>
      <c r="J1162">
        <v>23.173576631853699</v>
      </c>
      <c r="K1162" s="26">
        <v>2016</v>
      </c>
      <c r="L1162" t="s">
        <v>11</v>
      </c>
      <c r="M1162" s="32">
        <v>300</v>
      </c>
      <c r="N1162">
        <v>36.542166029999997</v>
      </c>
      <c r="O1162">
        <v>5</v>
      </c>
      <c r="P1162" t="s">
        <v>56</v>
      </c>
      <c r="Q1162">
        <v>93.3</v>
      </c>
      <c r="R1162" t="s">
        <v>13</v>
      </c>
      <c r="S1162" t="s">
        <v>14</v>
      </c>
      <c r="T1162" t="s">
        <v>14</v>
      </c>
      <c r="U1162" s="34">
        <v>0</v>
      </c>
      <c r="X1162" s="25"/>
      <c r="Y1162">
        <v>1.3837435549999999</v>
      </c>
      <c r="Z1162" t="s">
        <v>762</v>
      </c>
      <c r="AA1162" t="s">
        <v>620</v>
      </c>
      <c r="AB1162">
        <v>3</v>
      </c>
      <c r="AC1162">
        <v>180</v>
      </c>
      <c r="AD1162">
        <v>5</v>
      </c>
      <c r="AE1162" t="s">
        <v>519</v>
      </c>
      <c r="AF1162" t="s">
        <v>532</v>
      </c>
      <c r="AG1162" s="32">
        <v>180</v>
      </c>
      <c r="AH1162" s="32" t="s">
        <v>671</v>
      </c>
      <c r="AI1162" s="32" t="s">
        <v>1129</v>
      </c>
      <c r="AJ1162" s="31" t="s">
        <v>1130</v>
      </c>
      <c r="AK1162" s="31">
        <v>0.59524549999999998</v>
      </c>
      <c r="AL1162" s="31">
        <v>107.14418999999999</v>
      </c>
      <c r="AM1162" s="31">
        <v>72.855810000000005</v>
      </c>
      <c r="AN1162" s="31">
        <v>4196.4424224328677</v>
      </c>
      <c r="AO1162" s="31">
        <v>2853.4931460558782</v>
      </c>
      <c r="AP1162" s="31">
        <v>5.8068001559700679</v>
      </c>
      <c r="AQ1162" s="31">
        <v>3.9485027500914951</v>
      </c>
      <c r="AR1162" s="31">
        <v>0.13335176553963896</v>
      </c>
    </row>
    <row r="1163" spans="1:44" hidden="1" x14ac:dyDescent="0.5">
      <c r="A1163" s="31">
        <v>1162</v>
      </c>
      <c r="B1163" s="31">
        <v>81</v>
      </c>
      <c r="C1163" s="225" t="s">
        <v>9</v>
      </c>
      <c r="D1163" s="44">
        <v>17.059999999999999</v>
      </c>
      <c r="E1163" s="45">
        <v>111.46</v>
      </c>
      <c r="F1163">
        <v>131.28</v>
      </c>
      <c r="G1163">
        <f t="shared" si="13"/>
        <v>211274.68032000001</v>
      </c>
      <c r="H1163" s="32" t="s">
        <v>54</v>
      </c>
      <c r="I1163">
        <v>0.5</v>
      </c>
      <c r="J1163">
        <v>23.173576586955299</v>
      </c>
      <c r="K1163" s="26">
        <v>2016</v>
      </c>
      <c r="L1163" t="s">
        <v>11</v>
      </c>
      <c r="M1163" s="32">
        <v>300</v>
      </c>
      <c r="N1163">
        <v>36.542166029999997</v>
      </c>
      <c r="O1163">
        <v>5</v>
      </c>
      <c r="P1163" t="s">
        <v>56</v>
      </c>
      <c r="Q1163">
        <v>93.3</v>
      </c>
      <c r="R1163" t="s">
        <v>13</v>
      </c>
      <c r="S1163" t="s">
        <v>14</v>
      </c>
      <c r="T1163" t="s">
        <v>14</v>
      </c>
      <c r="U1163" s="34">
        <v>0</v>
      </c>
      <c r="X1163" s="25"/>
      <c r="Y1163">
        <v>1.3837435549999999</v>
      </c>
      <c r="Z1163" t="s">
        <v>762</v>
      </c>
      <c r="AA1163" t="s">
        <v>620</v>
      </c>
      <c r="AB1163">
        <v>3</v>
      </c>
      <c r="AC1163" t="s">
        <v>536</v>
      </c>
      <c r="AD1163">
        <v>3</v>
      </c>
      <c r="AE1163" t="s">
        <v>519</v>
      </c>
      <c r="AF1163" t="s">
        <v>532</v>
      </c>
      <c r="AG1163" s="32">
        <v>60</v>
      </c>
      <c r="AH1163" s="32" t="s">
        <v>671</v>
      </c>
      <c r="AI1163" s="32" t="s">
        <v>1129</v>
      </c>
      <c r="AJ1163" s="31" t="s">
        <v>1130</v>
      </c>
      <c r="AK1163" s="31">
        <v>0.59524549999999998</v>
      </c>
      <c r="AL1163" s="31">
        <v>35.714729999999996</v>
      </c>
      <c r="AM1163" s="31">
        <v>24.285270000000004</v>
      </c>
      <c r="AN1163" s="31">
        <v>1398.8141408109555</v>
      </c>
      <c r="AO1163" s="31">
        <v>951.16438201862616</v>
      </c>
      <c r="AP1163" s="31">
        <v>1.9356000519900218</v>
      </c>
      <c r="AQ1163" s="31">
        <v>1.3161675833638318</v>
      </c>
      <c r="AR1163" s="31">
        <v>0.13335176553963896</v>
      </c>
    </row>
    <row r="1164" spans="1:44" hidden="1" x14ac:dyDescent="0.5">
      <c r="A1164" s="31">
        <v>1163</v>
      </c>
      <c r="B1164" s="31">
        <v>81</v>
      </c>
      <c r="C1164" s="225" t="s">
        <v>9</v>
      </c>
      <c r="D1164" s="44">
        <v>18.149999999999999</v>
      </c>
      <c r="E1164" s="45">
        <v>109.43</v>
      </c>
      <c r="F1164">
        <v>81</v>
      </c>
      <c r="G1164">
        <f t="shared" si="13"/>
        <v>130356.864</v>
      </c>
      <c r="H1164" s="32" t="s">
        <v>54</v>
      </c>
      <c r="I1164">
        <v>0.5</v>
      </c>
      <c r="J1164">
        <v>183.35939724215399</v>
      </c>
      <c r="K1164" s="26">
        <v>2016</v>
      </c>
      <c r="L1164" t="s">
        <v>11</v>
      </c>
      <c r="M1164" s="32">
        <v>300</v>
      </c>
      <c r="N1164">
        <v>36.542166029999997</v>
      </c>
      <c r="O1164">
        <v>5</v>
      </c>
      <c r="P1164" t="s">
        <v>56</v>
      </c>
      <c r="Q1164">
        <v>93.3</v>
      </c>
      <c r="R1164" t="s">
        <v>13</v>
      </c>
      <c r="S1164" t="s">
        <v>14</v>
      </c>
      <c r="T1164" t="s">
        <v>14</v>
      </c>
      <c r="U1164" s="34">
        <v>0</v>
      </c>
      <c r="X1164" s="25"/>
      <c r="Y1164">
        <v>1.3837435549999999</v>
      </c>
      <c r="Z1164" t="s">
        <v>762</v>
      </c>
      <c r="AA1164" t="s">
        <v>620</v>
      </c>
      <c r="AB1164">
        <v>3</v>
      </c>
      <c r="AC1164" t="s">
        <v>535</v>
      </c>
      <c r="AD1164">
        <v>3</v>
      </c>
      <c r="AE1164" t="s">
        <v>519</v>
      </c>
      <c r="AF1164" t="s">
        <v>532</v>
      </c>
      <c r="AG1164" s="32">
        <v>50</v>
      </c>
      <c r="AH1164" s="32" t="s">
        <v>671</v>
      </c>
      <c r="AI1164" s="32" t="s">
        <v>1129</v>
      </c>
      <c r="AJ1164" s="31" t="s">
        <v>1130</v>
      </c>
      <c r="AK1164" s="31">
        <v>0.59524549999999998</v>
      </c>
      <c r="AL1164" s="31">
        <v>29.762274999999999</v>
      </c>
      <c r="AM1164" s="31">
        <v>20.237725000000001</v>
      </c>
      <c r="AN1164" s="31">
        <v>1165.6784506757965</v>
      </c>
      <c r="AO1164" s="31">
        <v>792.63698501552165</v>
      </c>
      <c r="AP1164" s="31">
        <v>1.6130000433250187</v>
      </c>
      <c r="AQ1164" s="31">
        <v>1.0968063194698594</v>
      </c>
      <c r="AR1164" s="31">
        <v>0.13335176553963896</v>
      </c>
    </row>
    <row r="1165" spans="1:44" hidden="1" x14ac:dyDescent="0.5">
      <c r="A1165" s="31">
        <v>1164</v>
      </c>
      <c r="B1165" s="31">
        <v>81</v>
      </c>
      <c r="C1165" s="225" t="s">
        <v>9</v>
      </c>
      <c r="D1165" s="44">
        <v>18.149999999999999</v>
      </c>
      <c r="E1165" s="45">
        <v>109.43</v>
      </c>
      <c r="F1165">
        <v>81</v>
      </c>
      <c r="G1165">
        <f t="shared" si="13"/>
        <v>130356.864</v>
      </c>
      <c r="H1165" s="32" t="s">
        <v>54</v>
      </c>
      <c r="I1165">
        <v>0.5</v>
      </c>
      <c r="J1165">
        <v>183.35939724215399</v>
      </c>
      <c r="K1165" s="26">
        <v>2016</v>
      </c>
      <c r="L1165" t="s">
        <v>11</v>
      </c>
      <c r="M1165" s="32">
        <v>300</v>
      </c>
      <c r="N1165">
        <v>36.542166029999997</v>
      </c>
      <c r="O1165">
        <v>5</v>
      </c>
      <c r="P1165" t="s">
        <v>56</v>
      </c>
      <c r="Q1165">
        <v>93.3</v>
      </c>
      <c r="R1165" t="s">
        <v>13</v>
      </c>
      <c r="S1165" t="s">
        <v>14</v>
      </c>
      <c r="T1165" t="s">
        <v>14</v>
      </c>
      <c r="U1165" s="34">
        <v>0</v>
      </c>
      <c r="X1165" s="25"/>
      <c r="Y1165">
        <v>1.3837435549999999</v>
      </c>
      <c r="Z1165" t="s">
        <v>762</v>
      </c>
      <c r="AA1165" t="s">
        <v>620</v>
      </c>
      <c r="AB1165">
        <v>3</v>
      </c>
      <c r="AC1165" t="s">
        <v>537</v>
      </c>
      <c r="AD1165">
        <v>3</v>
      </c>
      <c r="AE1165" t="s">
        <v>519</v>
      </c>
      <c r="AF1165" t="s">
        <v>532</v>
      </c>
      <c r="AG1165" s="32">
        <v>60</v>
      </c>
      <c r="AH1165" s="32" t="s">
        <v>671</v>
      </c>
      <c r="AI1165" s="32" t="s">
        <v>1129</v>
      </c>
      <c r="AJ1165" s="31" t="s">
        <v>1130</v>
      </c>
      <c r="AK1165" s="31">
        <v>0.59524549999999998</v>
      </c>
      <c r="AL1165" s="31">
        <v>35.714729999999996</v>
      </c>
      <c r="AM1165" s="31">
        <v>24.285270000000004</v>
      </c>
      <c r="AN1165" s="31">
        <v>1398.8141408109555</v>
      </c>
      <c r="AO1165" s="31">
        <v>951.16438201862616</v>
      </c>
      <c r="AP1165" s="31">
        <v>1.9356000519900218</v>
      </c>
      <c r="AQ1165" s="31">
        <v>1.3161675833638318</v>
      </c>
      <c r="AR1165" s="31">
        <v>0.13335176553963896</v>
      </c>
    </row>
    <row r="1166" spans="1:44" hidden="1" x14ac:dyDescent="0.5">
      <c r="A1166" s="31">
        <v>1165</v>
      </c>
      <c r="B1166" s="31">
        <v>81</v>
      </c>
      <c r="C1166" s="225" t="s">
        <v>9</v>
      </c>
      <c r="D1166" s="44">
        <v>18.149999999999999</v>
      </c>
      <c r="E1166" s="45">
        <v>109.43</v>
      </c>
      <c r="F1166">
        <v>81</v>
      </c>
      <c r="G1166">
        <f t="shared" si="13"/>
        <v>130356.864</v>
      </c>
      <c r="H1166" s="32" t="s">
        <v>54</v>
      </c>
      <c r="I1166">
        <v>0.5</v>
      </c>
      <c r="J1166">
        <v>183.35939724215399</v>
      </c>
      <c r="K1166" s="26">
        <v>2016</v>
      </c>
      <c r="L1166" t="s">
        <v>11</v>
      </c>
      <c r="M1166" s="32">
        <v>300</v>
      </c>
      <c r="N1166">
        <v>36.542166029999997</v>
      </c>
      <c r="O1166">
        <v>5</v>
      </c>
      <c r="P1166" t="s">
        <v>56</v>
      </c>
      <c r="Q1166">
        <v>93.3</v>
      </c>
      <c r="R1166" t="s">
        <v>13</v>
      </c>
      <c r="S1166" t="s">
        <v>14</v>
      </c>
      <c r="T1166" t="s">
        <v>14</v>
      </c>
      <c r="U1166" s="34">
        <v>0</v>
      </c>
      <c r="X1166" s="25"/>
      <c r="Y1166">
        <v>1.3837435549999999</v>
      </c>
      <c r="Z1166" t="s">
        <v>762</v>
      </c>
      <c r="AA1166" t="s">
        <v>620</v>
      </c>
      <c r="AB1166">
        <v>3</v>
      </c>
      <c r="AC1166" t="s">
        <v>540</v>
      </c>
      <c r="AD1166">
        <v>8</v>
      </c>
      <c r="AE1166" t="s">
        <v>519</v>
      </c>
      <c r="AF1166" t="s">
        <v>532</v>
      </c>
      <c r="AG1166" s="32">
        <v>80</v>
      </c>
      <c r="AH1166" s="32" t="s">
        <v>671</v>
      </c>
      <c r="AI1166" s="32" t="s">
        <v>1129</v>
      </c>
      <c r="AJ1166" s="31" t="s">
        <v>1130</v>
      </c>
      <c r="AK1166" s="31">
        <v>0.59524549999999998</v>
      </c>
      <c r="AL1166" s="31">
        <v>47.619639999999997</v>
      </c>
      <c r="AM1166" s="31">
        <v>32.380360000000003</v>
      </c>
      <c r="AN1166" s="31">
        <v>1865.0855210812742</v>
      </c>
      <c r="AO1166" s="31">
        <v>1268.219176024835</v>
      </c>
      <c r="AP1166" s="31">
        <v>2.5808000693200297</v>
      </c>
      <c r="AQ1166" s="31">
        <v>1.7548901111517756</v>
      </c>
      <c r="AR1166" s="31">
        <v>0.13335176553963896</v>
      </c>
    </row>
    <row r="1167" spans="1:44" hidden="1" x14ac:dyDescent="0.5">
      <c r="A1167" s="31">
        <v>1166</v>
      </c>
      <c r="B1167" s="31">
        <v>81</v>
      </c>
      <c r="C1167" s="225" t="s">
        <v>9</v>
      </c>
      <c r="D1167" s="44">
        <v>18.149999999999999</v>
      </c>
      <c r="E1167" s="45">
        <v>109.43</v>
      </c>
      <c r="F1167">
        <v>81</v>
      </c>
      <c r="G1167">
        <f t="shared" si="13"/>
        <v>130356.864</v>
      </c>
      <c r="H1167" s="32" t="s">
        <v>54</v>
      </c>
      <c r="I1167">
        <v>0.5</v>
      </c>
      <c r="J1167">
        <v>183.35939724215399</v>
      </c>
      <c r="K1167" s="26">
        <v>2016</v>
      </c>
      <c r="L1167" t="s">
        <v>11</v>
      </c>
      <c r="M1167" s="32">
        <v>300</v>
      </c>
      <c r="N1167">
        <v>36.542166029999997</v>
      </c>
      <c r="O1167">
        <v>5</v>
      </c>
      <c r="P1167" t="s">
        <v>56</v>
      </c>
      <c r="Q1167">
        <v>93.3</v>
      </c>
      <c r="R1167" t="s">
        <v>13</v>
      </c>
      <c r="S1167" t="s">
        <v>14</v>
      </c>
      <c r="T1167" t="s">
        <v>14</v>
      </c>
      <c r="U1167" s="34">
        <v>0</v>
      </c>
      <c r="X1167" s="25"/>
      <c r="Y1167">
        <v>1.3837435549999999</v>
      </c>
      <c r="Z1167" t="s">
        <v>762</v>
      </c>
      <c r="AA1167" t="s">
        <v>620</v>
      </c>
      <c r="AB1167">
        <v>3</v>
      </c>
      <c r="AC1167" t="s">
        <v>543</v>
      </c>
      <c r="AD1167">
        <v>9</v>
      </c>
      <c r="AE1167" t="s">
        <v>519</v>
      </c>
      <c r="AF1167" t="s">
        <v>532</v>
      </c>
      <c r="AG1167" s="32">
        <v>120</v>
      </c>
      <c r="AH1167" s="32" t="s">
        <v>671</v>
      </c>
      <c r="AI1167" s="32" t="s">
        <v>1129</v>
      </c>
      <c r="AJ1167" s="31" t="s">
        <v>1130</v>
      </c>
      <c r="AK1167" s="31">
        <v>0.59524549999999998</v>
      </c>
      <c r="AL1167" s="31">
        <v>71.429459999999992</v>
      </c>
      <c r="AM1167" s="31">
        <v>48.570540000000008</v>
      </c>
      <c r="AN1167" s="31">
        <v>2797.6282816219109</v>
      </c>
      <c r="AO1167" s="31">
        <v>1902.3287640372523</v>
      </c>
      <c r="AP1167" s="31">
        <v>3.8712001039800437</v>
      </c>
      <c r="AQ1167" s="31">
        <v>2.6323351667276635</v>
      </c>
      <c r="AR1167" s="31">
        <v>0.13335176553963896</v>
      </c>
    </row>
    <row r="1168" spans="1:44" hidden="1" x14ac:dyDescent="0.5">
      <c r="A1168" s="31">
        <v>1167</v>
      </c>
      <c r="B1168" s="31">
        <v>81</v>
      </c>
      <c r="C1168" s="225" t="s">
        <v>9</v>
      </c>
      <c r="D1168" s="44">
        <v>18.149999999999999</v>
      </c>
      <c r="E1168" s="45">
        <v>109.43</v>
      </c>
      <c r="F1168">
        <v>81</v>
      </c>
      <c r="G1168">
        <f t="shared" ref="G1168:G1231" si="14">F1168*1609.344</f>
        <v>130356.864</v>
      </c>
      <c r="H1168" s="32" t="s">
        <v>54</v>
      </c>
      <c r="I1168">
        <v>0.5</v>
      </c>
      <c r="J1168">
        <v>183.35939724215399</v>
      </c>
      <c r="K1168" s="26">
        <v>2016</v>
      </c>
      <c r="L1168" t="s">
        <v>11</v>
      </c>
      <c r="M1168" s="32">
        <v>300</v>
      </c>
      <c r="N1168">
        <v>36.542166029999997</v>
      </c>
      <c r="O1168">
        <v>5</v>
      </c>
      <c r="P1168" t="s">
        <v>56</v>
      </c>
      <c r="Q1168">
        <v>93.3</v>
      </c>
      <c r="R1168" t="s">
        <v>13</v>
      </c>
      <c r="S1168" t="s">
        <v>14</v>
      </c>
      <c r="T1168" t="s">
        <v>14</v>
      </c>
      <c r="U1168" s="34">
        <v>0</v>
      </c>
      <c r="X1168" s="25"/>
      <c r="Y1168">
        <v>1.3837435549999999</v>
      </c>
      <c r="Z1168" t="s">
        <v>762</v>
      </c>
      <c r="AA1168" t="s">
        <v>620</v>
      </c>
      <c r="AB1168">
        <v>3</v>
      </c>
      <c r="AC1168" t="s">
        <v>544</v>
      </c>
      <c r="AD1168">
        <v>15</v>
      </c>
      <c r="AE1168" t="s">
        <v>519</v>
      </c>
      <c r="AF1168" t="s">
        <v>532</v>
      </c>
      <c r="AG1168" s="32">
        <v>170</v>
      </c>
      <c r="AH1168" s="32" t="s">
        <v>671</v>
      </c>
      <c r="AI1168" s="32" t="s">
        <v>1129</v>
      </c>
      <c r="AJ1168" s="31" t="s">
        <v>1130</v>
      </c>
      <c r="AK1168" s="31">
        <v>0.59524549999999998</v>
      </c>
      <c r="AL1168" s="31">
        <v>101.19173499999999</v>
      </c>
      <c r="AM1168" s="31">
        <v>68.808265000000006</v>
      </c>
      <c r="AN1168" s="31">
        <v>3963.3067322977085</v>
      </c>
      <c r="AO1168" s="31">
        <v>2694.9657490527743</v>
      </c>
      <c r="AP1168" s="31">
        <v>5.4842001473050637</v>
      </c>
      <c r="AQ1168" s="31">
        <v>3.7291414861975234</v>
      </c>
      <c r="AR1168" s="31">
        <v>0.13335176553963896</v>
      </c>
    </row>
    <row r="1169" spans="1:44" hidden="1" x14ac:dyDescent="0.5">
      <c r="A1169" s="31">
        <v>1168</v>
      </c>
      <c r="B1169" s="31">
        <v>81</v>
      </c>
      <c r="C1169" s="225" t="s">
        <v>9</v>
      </c>
      <c r="D1169" s="44">
        <v>18.149999999999999</v>
      </c>
      <c r="E1169" s="45">
        <v>109.43</v>
      </c>
      <c r="F1169">
        <v>81</v>
      </c>
      <c r="G1169">
        <f t="shared" si="14"/>
        <v>130356.864</v>
      </c>
      <c r="H1169" s="32" t="s">
        <v>54</v>
      </c>
      <c r="I1169">
        <v>0.5</v>
      </c>
      <c r="J1169">
        <v>183.35939724215399</v>
      </c>
      <c r="K1169" s="26">
        <v>2016</v>
      </c>
      <c r="L1169" t="s">
        <v>11</v>
      </c>
      <c r="M1169" s="32">
        <v>300</v>
      </c>
      <c r="N1169">
        <v>36.542166029999997</v>
      </c>
      <c r="O1169">
        <v>5</v>
      </c>
      <c r="P1169" t="s">
        <v>56</v>
      </c>
      <c r="Q1169">
        <v>93.3</v>
      </c>
      <c r="R1169" t="s">
        <v>13</v>
      </c>
      <c r="S1169" t="s">
        <v>14</v>
      </c>
      <c r="T1169" t="s">
        <v>14</v>
      </c>
      <c r="U1169" s="34">
        <v>0</v>
      </c>
      <c r="X1169" s="25"/>
      <c r="Y1169">
        <v>1.3837435549999999</v>
      </c>
      <c r="Z1169" t="s">
        <v>762</v>
      </c>
      <c r="AA1169" t="s">
        <v>620</v>
      </c>
      <c r="AB1169">
        <v>3</v>
      </c>
      <c r="AC1169" t="s">
        <v>548</v>
      </c>
      <c r="AD1169">
        <v>7</v>
      </c>
      <c r="AE1169" t="s">
        <v>519</v>
      </c>
      <c r="AF1169" t="s">
        <v>532</v>
      </c>
      <c r="AG1169" s="32">
        <v>530</v>
      </c>
      <c r="AH1169" s="32" t="s">
        <v>671</v>
      </c>
      <c r="AI1169" s="32" t="s">
        <v>1129</v>
      </c>
      <c r="AJ1169" s="31" t="s">
        <v>1130</v>
      </c>
      <c r="AK1169" s="31">
        <v>0.59524549999999998</v>
      </c>
      <c r="AL1169" s="31">
        <v>315.48011500000001</v>
      </c>
      <c r="AM1169" s="31">
        <v>214.51988499999999</v>
      </c>
      <c r="AN1169" s="31">
        <v>12356.191577163443</v>
      </c>
      <c r="AO1169" s="31">
        <v>8401.9520411645281</v>
      </c>
      <c r="AP1169" s="31">
        <v>17.0978004592452</v>
      </c>
      <c r="AQ1169" s="31">
        <v>11.626146986380508</v>
      </c>
      <c r="AR1169" s="31">
        <v>0.13335176553963896</v>
      </c>
    </row>
    <row r="1170" spans="1:44" hidden="1" x14ac:dyDescent="0.5">
      <c r="A1170" s="31">
        <v>1169</v>
      </c>
      <c r="B1170" s="31">
        <v>81</v>
      </c>
      <c r="C1170" s="225" t="s">
        <v>9</v>
      </c>
      <c r="D1170" s="44">
        <v>21.05</v>
      </c>
      <c r="E1170" s="45">
        <v>109.12</v>
      </c>
      <c r="F1170">
        <v>23.72</v>
      </c>
      <c r="G1170">
        <f t="shared" si="14"/>
        <v>38173.63968</v>
      </c>
      <c r="H1170" s="32" t="s">
        <v>54</v>
      </c>
      <c r="I1170">
        <v>0.5</v>
      </c>
      <c r="J1170">
        <v>404.11519863960899</v>
      </c>
      <c r="K1170" s="26">
        <v>2016</v>
      </c>
      <c r="L1170" t="s">
        <v>11</v>
      </c>
      <c r="M1170" s="32">
        <v>300</v>
      </c>
      <c r="N1170">
        <v>36.542166029999997</v>
      </c>
      <c r="O1170">
        <v>5</v>
      </c>
      <c r="P1170" t="s">
        <v>56</v>
      </c>
      <c r="Q1170">
        <v>93.3</v>
      </c>
      <c r="R1170" t="s">
        <v>13</v>
      </c>
      <c r="S1170" t="s">
        <v>14</v>
      </c>
      <c r="T1170" t="s">
        <v>14</v>
      </c>
      <c r="U1170" s="34">
        <v>0</v>
      </c>
      <c r="X1170" s="25"/>
      <c r="Y1170">
        <v>0.64629065622222204</v>
      </c>
      <c r="Z1170" t="s">
        <v>735</v>
      </c>
      <c r="AA1170" t="s">
        <v>620</v>
      </c>
      <c r="AB1170">
        <v>3</v>
      </c>
      <c r="AC1170" t="s">
        <v>537</v>
      </c>
      <c r="AD1170">
        <v>2</v>
      </c>
      <c r="AE1170" t="s">
        <v>519</v>
      </c>
      <c r="AF1170" t="s">
        <v>532</v>
      </c>
      <c r="AG1170" s="32">
        <v>60</v>
      </c>
      <c r="AH1170" s="32" t="s">
        <v>671</v>
      </c>
      <c r="AI1170" s="32" t="s">
        <v>1129</v>
      </c>
      <c r="AJ1170" s="31" t="s">
        <v>1130</v>
      </c>
      <c r="AK1170" s="31">
        <v>0.59524549999999998</v>
      </c>
      <c r="AL1170" s="31">
        <v>35.714729999999996</v>
      </c>
      <c r="AM1170" s="31">
        <v>24.285270000000004</v>
      </c>
      <c r="AN1170" s="31">
        <v>1398.8141408109555</v>
      </c>
      <c r="AO1170" s="31">
        <v>951.16438201862616</v>
      </c>
      <c r="AP1170" s="31">
        <v>0.90404050899763599</v>
      </c>
      <c r="AQ1170" s="31">
        <v>0.61472865263002219</v>
      </c>
      <c r="AR1170" s="31">
        <v>0.13335176553963896</v>
      </c>
    </row>
    <row r="1171" spans="1:44" hidden="1" x14ac:dyDescent="0.5">
      <c r="A1171" s="31">
        <v>1170</v>
      </c>
      <c r="B1171" s="31">
        <v>81</v>
      </c>
      <c r="C1171" s="225" t="s">
        <v>9</v>
      </c>
      <c r="D1171" s="44">
        <v>21.05</v>
      </c>
      <c r="E1171" s="45">
        <v>109.12</v>
      </c>
      <c r="F1171">
        <v>23.72</v>
      </c>
      <c r="G1171">
        <f t="shared" si="14"/>
        <v>38173.63968</v>
      </c>
      <c r="H1171" s="32" t="s">
        <v>54</v>
      </c>
      <c r="I1171">
        <v>0.5</v>
      </c>
      <c r="J1171">
        <v>404.11519863960899</v>
      </c>
      <c r="K1171" s="26">
        <v>2016</v>
      </c>
      <c r="L1171" t="s">
        <v>11</v>
      </c>
      <c r="M1171" s="32">
        <v>300</v>
      </c>
      <c r="N1171">
        <v>36.542166029999997</v>
      </c>
      <c r="O1171">
        <v>5</v>
      </c>
      <c r="P1171" t="s">
        <v>56</v>
      </c>
      <c r="Q1171">
        <v>93.3</v>
      </c>
      <c r="R1171" t="s">
        <v>13</v>
      </c>
      <c r="S1171" t="s">
        <v>14</v>
      </c>
      <c r="T1171" t="s">
        <v>14</v>
      </c>
      <c r="U1171" s="34">
        <v>0</v>
      </c>
      <c r="X1171" s="25"/>
      <c r="Y1171">
        <v>0.64629065622222204</v>
      </c>
      <c r="Z1171" t="s">
        <v>735</v>
      </c>
      <c r="AA1171" t="s">
        <v>620</v>
      </c>
      <c r="AB1171">
        <v>3</v>
      </c>
      <c r="AC1171" t="s">
        <v>538</v>
      </c>
      <c r="AD1171">
        <v>4</v>
      </c>
      <c r="AE1171" t="s">
        <v>519</v>
      </c>
      <c r="AF1171" t="s">
        <v>532</v>
      </c>
      <c r="AG1171" s="32">
        <v>70</v>
      </c>
      <c r="AH1171" s="32" t="s">
        <v>671</v>
      </c>
      <c r="AI1171" s="32" t="s">
        <v>1129</v>
      </c>
      <c r="AJ1171" s="31" t="s">
        <v>1130</v>
      </c>
      <c r="AK1171" s="31">
        <v>0.59524549999999998</v>
      </c>
      <c r="AL1171" s="31">
        <v>41.667184999999996</v>
      </c>
      <c r="AM1171" s="31">
        <v>28.332815000000004</v>
      </c>
      <c r="AN1171" s="31">
        <v>1631.9498309461148</v>
      </c>
      <c r="AO1171" s="31">
        <v>1109.6917790217306</v>
      </c>
      <c r="AP1171" s="31">
        <v>1.054713927163909</v>
      </c>
      <c r="AQ1171" s="31">
        <v>0.71718342806835933</v>
      </c>
      <c r="AR1171" s="31">
        <v>0.13335176553963896</v>
      </c>
    </row>
    <row r="1172" spans="1:44" hidden="1" x14ac:dyDescent="0.5">
      <c r="A1172" s="31">
        <v>1171</v>
      </c>
      <c r="B1172" s="31">
        <v>81</v>
      </c>
      <c r="C1172" s="225" t="s">
        <v>9</v>
      </c>
      <c r="D1172" s="44">
        <v>21.05</v>
      </c>
      <c r="E1172" s="45">
        <v>109.12</v>
      </c>
      <c r="F1172">
        <v>23.72</v>
      </c>
      <c r="G1172">
        <f t="shared" si="14"/>
        <v>38173.63968</v>
      </c>
      <c r="H1172" s="32" t="s">
        <v>54</v>
      </c>
      <c r="I1172">
        <v>0.5</v>
      </c>
      <c r="J1172">
        <v>404.11519863960899</v>
      </c>
      <c r="K1172" s="26">
        <v>2016</v>
      </c>
      <c r="L1172" t="s">
        <v>11</v>
      </c>
      <c r="M1172" s="32">
        <v>300</v>
      </c>
      <c r="N1172">
        <v>36.542166029999997</v>
      </c>
      <c r="O1172">
        <v>5</v>
      </c>
      <c r="P1172" t="s">
        <v>56</v>
      </c>
      <c r="Q1172">
        <v>93.3</v>
      </c>
      <c r="R1172" t="s">
        <v>13</v>
      </c>
      <c r="S1172" t="s">
        <v>14</v>
      </c>
      <c r="T1172" t="s">
        <v>14</v>
      </c>
      <c r="U1172" s="34">
        <v>0</v>
      </c>
      <c r="X1172" s="25"/>
      <c r="Y1172">
        <v>0.64629065622222204</v>
      </c>
      <c r="Z1172" t="s">
        <v>735</v>
      </c>
      <c r="AA1172" t="s">
        <v>620</v>
      </c>
      <c r="AB1172">
        <v>3</v>
      </c>
      <c r="AC1172" t="s">
        <v>540</v>
      </c>
      <c r="AD1172">
        <v>11</v>
      </c>
      <c r="AE1172" t="s">
        <v>519</v>
      </c>
      <c r="AF1172" t="s">
        <v>532</v>
      </c>
      <c r="AG1172" s="32">
        <v>80</v>
      </c>
      <c r="AH1172" s="32" t="s">
        <v>671</v>
      </c>
      <c r="AI1172" s="32" t="s">
        <v>1129</v>
      </c>
      <c r="AJ1172" s="31" t="s">
        <v>1130</v>
      </c>
      <c r="AK1172" s="31">
        <v>0.59524549999999998</v>
      </c>
      <c r="AL1172" s="31">
        <v>47.619639999999997</v>
      </c>
      <c r="AM1172" s="31">
        <v>32.380360000000003</v>
      </c>
      <c r="AN1172" s="31">
        <v>1865.0855210812742</v>
      </c>
      <c r="AO1172" s="31">
        <v>1268.219176024835</v>
      </c>
      <c r="AP1172" s="31">
        <v>1.2053873453301815</v>
      </c>
      <c r="AQ1172" s="31">
        <v>0.81963820350669625</v>
      </c>
      <c r="AR1172" s="31">
        <v>0.13335176553963896</v>
      </c>
    </row>
    <row r="1173" spans="1:44" hidden="1" x14ac:dyDescent="0.5">
      <c r="A1173" s="31">
        <v>1172</v>
      </c>
      <c r="B1173" s="31">
        <v>81</v>
      </c>
      <c r="C1173" s="225" t="s">
        <v>9</v>
      </c>
      <c r="D1173" s="44">
        <v>21.05</v>
      </c>
      <c r="E1173" s="45">
        <v>109.12</v>
      </c>
      <c r="F1173">
        <v>23.72</v>
      </c>
      <c r="G1173">
        <f t="shared" si="14"/>
        <v>38173.63968</v>
      </c>
      <c r="H1173" s="32" t="s">
        <v>54</v>
      </c>
      <c r="I1173">
        <v>0.5</v>
      </c>
      <c r="J1173">
        <v>404.11519863960899</v>
      </c>
      <c r="K1173" s="26">
        <v>2016</v>
      </c>
      <c r="L1173" t="s">
        <v>11</v>
      </c>
      <c r="M1173" s="32">
        <v>300</v>
      </c>
      <c r="N1173">
        <v>36.542166029999997</v>
      </c>
      <c r="O1173">
        <v>5</v>
      </c>
      <c r="P1173" t="s">
        <v>56</v>
      </c>
      <c r="Q1173">
        <v>93.3</v>
      </c>
      <c r="R1173" t="s">
        <v>13</v>
      </c>
      <c r="S1173" t="s">
        <v>14</v>
      </c>
      <c r="T1173" t="s">
        <v>14</v>
      </c>
      <c r="U1173" s="34">
        <v>0</v>
      </c>
      <c r="X1173" s="25"/>
      <c r="Y1173">
        <v>0.64629065622222204</v>
      </c>
      <c r="Z1173" t="s">
        <v>735</v>
      </c>
      <c r="AA1173" t="s">
        <v>620</v>
      </c>
      <c r="AB1173">
        <v>3</v>
      </c>
      <c r="AC1173" t="s">
        <v>541</v>
      </c>
      <c r="AD1173">
        <v>5</v>
      </c>
      <c r="AE1173" t="s">
        <v>519</v>
      </c>
      <c r="AF1173" t="s">
        <v>532</v>
      </c>
      <c r="AG1173" s="32">
        <v>90</v>
      </c>
      <c r="AH1173" s="32" t="s">
        <v>671</v>
      </c>
      <c r="AI1173" s="32" t="s">
        <v>1129</v>
      </c>
      <c r="AJ1173" s="31" t="s">
        <v>1130</v>
      </c>
      <c r="AK1173" s="31">
        <v>0.59524549999999998</v>
      </c>
      <c r="AL1173" s="31">
        <v>53.572094999999997</v>
      </c>
      <c r="AM1173" s="31">
        <v>36.427905000000003</v>
      </c>
      <c r="AN1173" s="31">
        <v>2098.2212112164339</v>
      </c>
      <c r="AO1173" s="31">
        <v>1426.7465730279391</v>
      </c>
      <c r="AP1173" s="31">
        <v>1.3560607634964545</v>
      </c>
      <c r="AQ1173" s="31">
        <v>0.92209297894503328</v>
      </c>
      <c r="AR1173" s="31">
        <v>0.13335176553963896</v>
      </c>
    </row>
    <row r="1174" spans="1:44" hidden="1" x14ac:dyDescent="0.5">
      <c r="A1174" s="31">
        <v>1173</v>
      </c>
      <c r="B1174" s="31">
        <v>82</v>
      </c>
      <c r="C1174" s="225" t="s">
        <v>9</v>
      </c>
      <c r="D1174" s="32">
        <v>27.159140000000001</v>
      </c>
      <c r="E1174" s="38">
        <v>56.237245999999999</v>
      </c>
      <c r="F1174">
        <v>0</v>
      </c>
      <c r="G1174">
        <f t="shared" si="14"/>
        <v>0</v>
      </c>
      <c r="H1174" s="32" t="s">
        <v>10</v>
      </c>
      <c r="I1174">
        <v>0</v>
      </c>
      <c r="J1174">
        <v>44.654023561806198</v>
      </c>
      <c r="K1174" s="26">
        <v>2018</v>
      </c>
      <c r="L1174" t="s">
        <v>30</v>
      </c>
      <c r="M1174" s="32">
        <v>38</v>
      </c>
      <c r="N1174">
        <v>4.1059253030000002</v>
      </c>
      <c r="P1174" t="s">
        <v>23</v>
      </c>
      <c r="Q1174">
        <v>95.5</v>
      </c>
      <c r="R1174" t="s">
        <v>13</v>
      </c>
      <c r="S1174" t="s">
        <v>14</v>
      </c>
      <c r="T1174" t="s">
        <v>16</v>
      </c>
      <c r="U1174" s="34">
        <v>0</v>
      </c>
      <c r="V1174" s="34">
        <v>5</v>
      </c>
      <c r="W1174" s="25">
        <v>2.5</v>
      </c>
      <c r="X1174" s="25">
        <v>5</v>
      </c>
      <c r="Y1174">
        <v>1.0985454240000001</v>
      </c>
      <c r="Z1174" t="s">
        <v>784</v>
      </c>
      <c r="AA1174" t="s">
        <v>631</v>
      </c>
      <c r="AB1174">
        <v>3</v>
      </c>
      <c r="AC1174">
        <v>174.5</v>
      </c>
      <c r="AD1174">
        <v>12.099999999999994</v>
      </c>
      <c r="AE1174" t="s">
        <v>519</v>
      </c>
      <c r="AF1174" t="s">
        <v>532</v>
      </c>
      <c r="AG1174" s="32" t="s">
        <v>2197</v>
      </c>
      <c r="AH1174" s="32" t="s">
        <v>2198</v>
      </c>
      <c r="AI1174" s="32" t="s">
        <v>2199</v>
      </c>
      <c r="AJ1174" s="31" t="s">
        <v>3215</v>
      </c>
      <c r="AK1174" s="31">
        <v>0.93569999999999998</v>
      </c>
      <c r="AL1174" s="31">
        <v>163.27965</v>
      </c>
      <c r="AM1174" s="31">
        <v>11.220349999999996</v>
      </c>
      <c r="AN1174" s="31">
        <v>702.00423706804611</v>
      </c>
      <c r="AO1174" s="31">
        <v>48.240752851849258</v>
      </c>
      <c r="AP1174" s="31">
        <v>0.77118354225971331</v>
      </c>
      <c r="AQ1174" s="31">
        <v>5.2994658295713953E-2</v>
      </c>
      <c r="AR1174" s="31">
        <v>0.13341858489683281</v>
      </c>
    </row>
    <row r="1175" spans="1:44" hidden="1" x14ac:dyDescent="0.5">
      <c r="A1175" s="31">
        <v>1174</v>
      </c>
      <c r="B1175" s="31">
        <v>82</v>
      </c>
      <c r="C1175" s="225" t="s">
        <v>9</v>
      </c>
      <c r="D1175" s="32">
        <v>27.190930999999999</v>
      </c>
      <c r="E1175" s="38">
        <v>56.365067000000003</v>
      </c>
      <c r="F1175">
        <v>0</v>
      </c>
      <c r="G1175">
        <f t="shared" si="14"/>
        <v>0</v>
      </c>
      <c r="H1175" s="32" t="s">
        <v>51</v>
      </c>
      <c r="I1175">
        <v>0</v>
      </c>
      <c r="J1175">
        <v>44.850588108837201</v>
      </c>
      <c r="K1175" s="26">
        <v>2018</v>
      </c>
      <c r="L1175" t="s">
        <v>30</v>
      </c>
      <c r="M1175" s="32">
        <v>38</v>
      </c>
      <c r="N1175">
        <v>4.1059253030000002</v>
      </c>
      <c r="P1175" t="s">
        <v>23</v>
      </c>
      <c r="Q1175">
        <v>95.5</v>
      </c>
      <c r="R1175" t="s">
        <v>13</v>
      </c>
      <c r="S1175" t="s">
        <v>14</v>
      </c>
      <c r="T1175" t="s">
        <v>16</v>
      </c>
      <c r="U1175" s="34">
        <v>0</v>
      </c>
      <c r="V1175" s="34">
        <v>5</v>
      </c>
      <c r="W1175" s="25">
        <v>2.5</v>
      </c>
      <c r="X1175" s="25">
        <v>5</v>
      </c>
      <c r="Y1175">
        <v>1.0985454240000001</v>
      </c>
      <c r="Z1175" t="s">
        <v>784</v>
      </c>
      <c r="AA1175" t="s">
        <v>631</v>
      </c>
      <c r="AB1175">
        <v>3</v>
      </c>
      <c r="AC1175">
        <v>365.6</v>
      </c>
      <c r="AD1175">
        <v>85.399999999999977</v>
      </c>
      <c r="AE1175" t="s">
        <v>519</v>
      </c>
      <c r="AF1175" t="s">
        <v>532</v>
      </c>
      <c r="AG1175" s="32" t="s">
        <v>2200</v>
      </c>
      <c r="AH1175" s="32" t="s">
        <v>2201</v>
      </c>
      <c r="AI1175" s="32" t="s">
        <v>2202</v>
      </c>
      <c r="AJ1175" s="31" t="s">
        <v>3216</v>
      </c>
      <c r="AK1175" s="31">
        <v>0.91830000000000001</v>
      </c>
      <c r="AL1175" s="31">
        <v>335.73048</v>
      </c>
      <c r="AM1175" s="31">
        <v>29.869520000000023</v>
      </c>
      <c r="AN1175" s="31">
        <v>1443.4390291312413</v>
      </c>
      <c r="AO1175" s="31">
        <v>128.42096121095776</v>
      </c>
      <c r="AP1175" s="31">
        <v>1.585683340275128</v>
      </c>
      <c r="AQ1175" s="31">
        <v>0.14107625928397916</v>
      </c>
      <c r="AR1175" s="31">
        <v>0.13341858489683281</v>
      </c>
    </row>
    <row r="1176" spans="1:44" hidden="1" x14ac:dyDescent="0.5">
      <c r="A1176" s="31">
        <v>1175</v>
      </c>
      <c r="B1176" s="31">
        <v>82</v>
      </c>
      <c r="C1176" s="225" t="s">
        <v>9</v>
      </c>
      <c r="D1176" s="32">
        <v>27.179327000000001</v>
      </c>
      <c r="E1176" s="38">
        <v>56.292403</v>
      </c>
      <c r="F1176">
        <v>0</v>
      </c>
      <c r="G1176">
        <f t="shared" si="14"/>
        <v>0</v>
      </c>
      <c r="H1176" s="32" t="s">
        <v>51</v>
      </c>
      <c r="I1176">
        <v>0</v>
      </c>
      <c r="J1176">
        <v>44.688738277114801</v>
      </c>
      <c r="K1176" s="26">
        <v>2018</v>
      </c>
      <c r="L1176" t="s">
        <v>30</v>
      </c>
      <c r="M1176" s="32">
        <v>38</v>
      </c>
      <c r="N1176">
        <v>4.1059253030000002</v>
      </c>
      <c r="P1176" t="s">
        <v>23</v>
      </c>
      <c r="Q1176">
        <v>95.5</v>
      </c>
      <c r="R1176" t="s">
        <v>13</v>
      </c>
      <c r="S1176" t="s">
        <v>14</v>
      </c>
      <c r="T1176" t="s">
        <v>16</v>
      </c>
      <c r="U1176" s="34">
        <v>0</v>
      </c>
      <c r="V1176" s="34">
        <v>5</v>
      </c>
      <c r="W1176" s="25">
        <v>2.5</v>
      </c>
      <c r="X1176" s="25">
        <v>5</v>
      </c>
      <c r="Y1176">
        <v>1.0985454240000001</v>
      </c>
      <c r="Z1176" t="s">
        <v>784</v>
      </c>
      <c r="AA1176" t="s">
        <v>631</v>
      </c>
      <c r="AB1176">
        <v>3</v>
      </c>
      <c r="AC1176">
        <v>36.1</v>
      </c>
      <c r="AD1176">
        <v>8.6000000000000014</v>
      </c>
      <c r="AE1176" t="s">
        <v>519</v>
      </c>
      <c r="AF1176" t="s">
        <v>532</v>
      </c>
      <c r="AG1176" s="32" t="s">
        <v>2203</v>
      </c>
      <c r="AH1176" s="32" t="s">
        <v>2204</v>
      </c>
      <c r="AI1176" s="32" t="s">
        <v>2205</v>
      </c>
      <c r="AJ1176" s="31" t="s">
        <v>3217</v>
      </c>
      <c r="AK1176" s="31">
        <v>0.1074</v>
      </c>
      <c r="AL1176" s="31">
        <v>3.8771399999999998</v>
      </c>
      <c r="AM1176" s="31">
        <v>32.222860000000004</v>
      </c>
      <c r="AN1176" s="31">
        <v>16.669368826464314</v>
      </c>
      <c r="AO1176" s="31">
        <v>138.53890702515875</v>
      </c>
      <c r="AP1176" s="31">
        <v>1.8312058845280622E-2</v>
      </c>
      <c r="AQ1176" s="31">
        <v>0.15219128235844961</v>
      </c>
      <c r="AR1176" s="31">
        <v>0.13341858489683281</v>
      </c>
    </row>
    <row r="1177" spans="1:44" hidden="1" x14ac:dyDescent="0.5">
      <c r="A1177" s="31">
        <v>1292</v>
      </c>
      <c r="B1177" s="31">
        <v>88</v>
      </c>
      <c r="C1177" s="225" t="s">
        <v>20</v>
      </c>
      <c r="D1177" s="41">
        <v>45.057380000000002</v>
      </c>
      <c r="E1177" s="45">
        <v>12.378202999999999</v>
      </c>
      <c r="F1177">
        <v>0</v>
      </c>
      <c r="G1177">
        <f t="shared" si="14"/>
        <v>0</v>
      </c>
      <c r="H1177" s="31" t="s">
        <v>10</v>
      </c>
      <c r="I1177">
        <v>0</v>
      </c>
      <c r="J1177">
        <v>312.081615442756</v>
      </c>
      <c r="K1177" s="26">
        <v>2016</v>
      </c>
      <c r="L1177" t="s">
        <v>11</v>
      </c>
      <c r="M1177" s="32">
        <v>1000</v>
      </c>
      <c r="N1177">
        <v>130.61708849999999</v>
      </c>
      <c r="O1177">
        <v>5</v>
      </c>
      <c r="P1177" t="s">
        <v>23</v>
      </c>
      <c r="Q1177">
        <v>95.5</v>
      </c>
      <c r="R1177" t="s">
        <v>13</v>
      </c>
      <c r="S1177" t="s">
        <v>14</v>
      </c>
      <c r="T1177" t="s">
        <v>14</v>
      </c>
      <c r="U1177" s="240">
        <v>0</v>
      </c>
      <c r="V1177" s="240">
        <v>5</v>
      </c>
      <c r="W1177" s="25">
        <v>2.5</v>
      </c>
      <c r="X1177" s="25">
        <v>5</v>
      </c>
      <c r="Y1177" s="244">
        <v>0.91868156199999995</v>
      </c>
      <c r="Z1177" t="s">
        <v>1100</v>
      </c>
      <c r="AA1177" t="s">
        <v>622</v>
      </c>
      <c r="AB1177">
        <v>1</v>
      </c>
      <c r="AC1177">
        <v>5.29</v>
      </c>
      <c r="AF1177" t="s">
        <v>532</v>
      </c>
      <c r="AG1177" s="32">
        <v>5.3</v>
      </c>
      <c r="AH1177" s="32">
        <v>5.0000000000000001E-3</v>
      </c>
      <c r="AI1177" s="32">
        <v>2.6499999999999999E-2</v>
      </c>
      <c r="AJ1177" s="31">
        <v>5.2734999999999994</v>
      </c>
      <c r="AK1177" s="31">
        <v>5.0000000000000001E-3</v>
      </c>
      <c r="AL1177" s="31">
        <v>2.6499999999999999E-2</v>
      </c>
      <c r="AM1177" s="31">
        <v>5.2734999999999994</v>
      </c>
      <c r="AN1177" s="31">
        <v>3.6244532410994763</v>
      </c>
      <c r="AO1177" s="31">
        <v>721.26619497879562</v>
      </c>
      <c r="AP1177" s="31">
        <v>3.3297183649292294E-3</v>
      </c>
      <c r="AQ1177" s="31">
        <v>0.66261395462091643</v>
      </c>
      <c r="AR1177" s="31">
        <v>0.13341858489683281</v>
      </c>
    </row>
    <row r="1178" spans="1:44" hidden="1" x14ac:dyDescent="0.5">
      <c r="A1178" s="31">
        <v>1293</v>
      </c>
      <c r="B1178" s="31">
        <v>88</v>
      </c>
      <c r="C1178" s="225" t="s">
        <v>20</v>
      </c>
      <c r="D1178" s="41">
        <v>45.057380000000002</v>
      </c>
      <c r="E1178" s="45">
        <v>12.378202999999999</v>
      </c>
      <c r="F1178">
        <v>0</v>
      </c>
      <c r="G1178">
        <f t="shared" si="14"/>
        <v>0</v>
      </c>
      <c r="H1178" s="31" t="s">
        <v>10</v>
      </c>
      <c r="I1178">
        <v>0</v>
      </c>
      <c r="J1178">
        <v>312.081615442756</v>
      </c>
      <c r="K1178" s="26">
        <v>2016</v>
      </c>
      <c r="L1178" t="s">
        <v>11</v>
      </c>
      <c r="M1178" s="32">
        <v>1000</v>
      </c>
      <c r="N1178">
        <v>130.61708849999999</v>
      </c>
      <c r="O1178">
        <v>5</v>
      </c>
      <c r="P1178" t="s">
        <v>23</v>
      </c>
      <c r="Q1178">
        <v>95.5</v>
      </c>
      <c r="R1178" t="s">
        <v>13</v>
      </c>
      <c r="S1178" t="s">
        <v>14</v>
      </c>
      <c r="T1178" t="s">
        <v>14</v>
      </c>
      <c r="U1178" s="240">
        <v>0</v>
      </c>
      <c r="V1178" s="240">
        <v>5</v>
      </c>
      <c r="W1178" s="25">
        <v>2.5</v>
      </c>
      <c r="X1178" s="25">
        <v>5</v>
      </c>
      <c r="Y1178" s="244">
        <v>0.91868156199999995</v>
      </c>
      <c r="Z1178" t="s">
        <v>1100</v>
      </c>
      <c r="AA1178" t="s">
        <v>622</v>
      </c>
      <c r="AB1178">
        <v>1</v>
      </c>
      <c r="AC1178">
        <v>5.87</v>
      </c>
      <c r="AF1178" t="s">
        <v>532</v>
      </c>
      <c r="AG1178" s="32">
        <v>5.9</v>
      </c>
      <c r="AH1178" s="32">
        <v>5.0000000000000001E-3</v>
      </c>
      <c r="AI1178" s="32">
        <v>2.9500000000000002E-2</v>
      </c>
      <c r="AJ1178" s="31">
        <v>5.8705000000000007</v>
      </c>
      <c r="AK1178" s="31">
        <v>5.0000000000000001E-3</v>
      </c>
      <c r="AL1178" s="31">
        <v>2.9500000000000002E-2</v>
      </c>
      <c r="AM1178" s="31">
        <v>5.8705000000000007</v>
      </c>
      <c r="AN1178" s="31">
        <v>4.034768702356021</v>
      </c>
      <c r="AO1178" s="31">
        <v>802.91897176884834</v>
      </c>
      <c r="AP1178" s="31">
        <v>3.7066676137891422E-3</v>
      </c>
      <c r="AQ1178" s="31">
        <v>0.73762685514403947</v>
      </c>
      <c r="AR1178" s="31">
        <v>0.13341858489683281</v>
      </c>
    </row>
    <row r="1179" spans="1:44" hidden="1" x14ac:dyDescent="0.5">
      <c r="A1179" s="31">
        <v>1294</v>
      </c>
      <c r="B1179" s="31">
        <v>88</v>
      </c>
      <c r="C1179" s="225" t="s">
        <v>20</v>
      </c>
      <c r="D1179" s="41">
        <v>45.057380000000002</v>
      </c>
      <c r="E1179" s="45">
        <v>12.378202999999999</v>
      </c>
      <c r="F1179">
        <v>0</v>
      </c>
      <c r="G1179">
        <f t="shared" si="14"/>
        <v>0</v>
      </c>
      <c r="H1179" s="31" t="s">
        <v>10</v>
      </c>
      <c r="I1179">
        <v>0</v>
      </c>
      <c r="J1179">
        <v>312.081615442756</v>
      </c>
      <c r="K1179" s="26">
        <v>2016</v>
      </c>
      <c r="L1179" t="s">
        <v>11</v>
      </c>
      <c r="M1179" s="32">
        <v>1000</v>
      </c>
      <c r="N1179">
        <v>130.61708849999999</v>
      </c>
      <c r="O1179">
        <v>5</v>
      </c>
      <c r="P1179" t="s">
        <v>23</v>
      </c>
      <c r="Q1179">
        <v>95.5</v>
      </c>
      <c r="R1179" t="s">
        <v>13</v>
      </c>
      <c r="S1179" t="s">
        <v>14</v>
      </c>
      <c r="T1179" t="s">
        <v>14</v>
      </c>
      <c r="U1179" s="240">
        <v>0</v>
      </c>
      <c r="V1179" s="240">
        <v>5</v>
      </c>
      <c r="W1179" s="25">
        <v>2.5</v>
      </c>
      <c r="X1179" s="25">
        <v>5</v>
      </c>
      <c r="Y1179" s="244">
        <v>0.91868156199999995</v>
      </c>
      <c r="Z1179" t="s">
        <v>1100</v>
      </c>
      <c r="AA1179" t="s">
        <v>622</v>
      </c>
      <c r="AB1179">
        <v>1</v>
      </c>
      <c r="AC1179">
        <v>6.1</v>
      </c>
      <c r="AF1179" t="s">
        <v>532</v>
      </c>
      <c r="AG1179" s="32">
        <v>6.1</v>
      </c>
      <c r="AH1179" s="32">
        <v>5.0000000000000001E-3</v>
      </c>
      <c r="AI1179" s="32">
        <v>3.0499999999999999E-2</v>
      </c>
      <c r="AJ1179" s="31">
        <v>6.0694999999999997</v>
      </c>
      <c r="AK1179" s="31">
        <v>5.0000000000000001E-3</v>
      </c>
      <c r="AL1179" s="31">
        <v>3.0499999999999999E-2</v>
      </c>
      <c r="AM1179" s="31">
        <v>6.0694999999999997</v>
      </c>
      <c r="AN1179" s="31">
        <v>4.171540522774869</v>
      </c>
      <c r="AO1179" s="31">
        <v>830.13656403219875</v>
      </c>
      <c r="AP1179" s="31">
        <v>3.8323173634091131E-3</v>
      </c>
      <c r="AQ1179" s="31">
        <v>0.7626311553184133</v>
      </c>
      <c r="AR1179" s="31">
        <v>0.13341858489683281</v>
      </c>
    </row>
    <row r="1180" spans="1:44" hidden="1" x14ac:dyDescent="0.5">
      <c r="A1180" s="31">
        <v>1295</v>
      </c>
      <c r="B1180" s="31">
        <v>88</v>
      </c>
      <c r="C1180" s="225" t="s">
        <v>20</v>
      </c>
      <c r="D1180" s="41">
        <v>45.057380000000002</v>
      </c>
      <c r="E1180" s="45">
        <v>12.378202999999999</v>
      </c>
      <c r="F1180">
        <v>0</v>
      </c>
      <c r="G1180">
        <f t="shared" si="14"/>
        <v>0</v>
      </c>
      <c r="H1180" s="31" t="s">
        <v>10</v>
      </c>
      <c r="I1180">
        <v>0</v>
      </c>
      <c r="J1180">
        <v>312.081615442756</v>
      </c>
      <c r="K1180" s="26">
        <v>2016</v>
      </c>
      <c r="L1180" t="s">
        <v>11</v>
      </c>
      <c r="M1180" s="32">
        <v>1000</v>
      </c>
      <c r="N1180">
        <v>130.61708849999999</v>
      </c>
      <c r="O1180">
        <v>5</v>
      </c>
      <c r="P1180" t="s">
        <v>23</v>
      </c>
      <c r="Q1180">
        <v>95.5</v>
      </c>
      <c r="R1180" t="s">
        <v>13</v>
      </c>
      <c r="S1180" t="s">
        <v>14</v>
      </c>
      <c r="T1180" t="s">
        <v>14</v>
      </c>
      <c r="U1180" s="240">
        <v>0</v>
      </c>
      <c r="V1180" s="240">
        <v>5</v>
      </c>
      <c r="W1180" s="25">
        <v>2.5</v>
      </c>
      <c r="X1180" s="25">
        <v>5</v>
      </c>
      <c r="Y1180" s="244">
        <v>0.91868156199999995</v>
      </c>
      <c r="Z1180" t="s">
        <v>1100</v>
      </c>
      <c r="AA1180" t="s">
        <v>622</v>
      </c>
      <c r="AB1180">
        <v>1</v>
      </c>
      <c r="AC1180">
        <v>10.59</v>
      </c>
      <c r="AF1180" t="s">
        <v>532</v>
      </c>
      <c r="AG1180" s="32">
        <v>10.6</v>
      </c>
      <c r="AH1180" s="32">
        <v>5.0000000000000001E-3</v>
      </c>
      <c r="AI1180" s="32">
        <v>5.2999999999999999E-2</v>
      </c>
      <c r="AJ1180" s="31">
        <v>10.546999999999999</v>
      </c>
      <c r="AK1180" s="31">
        <v>5.0000000000000001E-3</v>
      </c>
      <c r="AL1180" s="31">
        <v>5.2999999999999999E-2</v>
      </c>
      <c r="AM1180" s="31">
        <v>10.546999999999999</v>
      </c>
      <c r="AN1180" s="31">
        <v>7.2489064821989526</v>
      </c>
      <c r="AO1180" s="31">
        <v>1442.5323899575912</v>
      </c>
      <c r="AP1180" s="31">
        <v>6.6594367298584587E-3</v>
      </c>
      <c r="AQ1180" s="31">
        <v>1.3252279092418329</v>
      </c>
      <c r="AR1180" s="31">
        <v>0.13341858489683281</v>
      </c>
    </row>
    <row r="1181" spans="1:44" hidden="1" x14ac:dyDescent="0.5">
      <c r="A1181" s="31">
        <v>1296</v>
      </c>
      <c r="B1181" s="31">
        <v>88</v>
      </c>
      <c r="C1181" s="225" t="s">
        <v>20</v>
      </c>
      <c r="D1181" s="41">
        <v>45.057380000000002</v>
      </c>
      <c r="E1181" s="45">
        <v>12.378202999999999</v>
      </c>
      <c r="F1181">
        <v>0</v>
      </c>
      <c r="G1181">
        <f t="shared" si="14"/>
        <v>0</v>
      </c>
      <c r="H1181" s="31" t="s">
        <v>10</v>
      </c>
      <c r="I1181">
        <v>0</v>
      </c>
      <c r="J1181">
        <v>312.081615442756</v>
      </c>
      <c r="K1181" s="26">
        <v>2016</v>
      </c>
      <c r="L1181" t="s">
        <v>11</v>
      </c>
      <c r="M1181" s="32">
        <v>1000</v>
      </c>
      <c r="N1181">
        <v>130.61708849999999</v>
      </c>
      <c r="O1181">
        <v>5</v>
      </c>
      <c r="P1181" t="s">
        <v>23</v>
      </c>
      <c r="Q1181">
        <v>95.5</v>
      </c>
      <c r="R1181" t="s">
        <v>13</v>
      </c>
      <c r="S1181" t="s">
        <v>14</v>
      </c>
      <c r="T1181" t="s">
        <v>14</v>
      </c>
      <c r="U1181" s="240">
        <v>0</v>
      </c>
      <c r="V1181" s="240">
        <v>5</v>
      </c>
      <c r="W1181" s="25">
        <v>2.5</v>
      </c>
      <c r="X1181" s="25">
        <v>5</v>
      </c>
      <c r="Y1181" s="244">
        <v>0.91868156199999995</v>
      </c>
      <c r="Z1181" t="s">
        <v>1100</v>
      </c>
      <c r="AA1181" t="s">
        <v>622</v>
      </c>
      <c r="AB1181">
        <v>1</v>
      </c>
      <c r="AC1181">
        <v>18.899999999999999</v>
      </c>
      <c r="AF1181" t="s">
        <v>532</v>
      </c>
      <c r="AG1181" s="32">
        <v>18.899999999999999</v>
      </c>
      <c r="AH1181" s="32">
        <v>5.0000000000000001E-3</v>
      </c>
      <c r="AI1181" s="32">
        <v>9.4500000000000001E-2</v>
      </c>
      <c r="AJ1181" s="31">
        <v>18.805499999999999</v>
      </c>
      <c r="AK1181" s="31">
        <v>5.0000000000000001E-3</v>
      </c>
      <c r="AL1181" s="31">
        <v>9.4500000000000001E-2</v>
      </c>
      <c r="AM1181" s="31">
        <v>18.805499999999999</v>
      </c>
      <c r="AN1181" s="31">
        <v>12.924937029581152</v>
      </c>
      <c r="AO1181" s="31">
        <v>2572.0624688866492</v>
      </c>
      <c r="AP1181" s="31">
        <v>1.1873901339087251E-2</v>
      </c>
      <c r="AQ1181" s="31">
        <v>2.3629063664783634</v>
      </c>
      <c r="AR1181" s="31">
        <v>0.13341858489683281</v>
      </c>
    </row>
    <row r="1182" spans="1:44" hidden="1" x14ac:dyDescent="0.5">
      <c r="A1182" s="31">
        <v>1370</v>
      </c>
      <c r="B1182" s="31">
        <v>97</v>
      </c>
      <c r="C1182" s="225" t="s">
        <v>20</v>
      </c>
      <c r="D1182" s="41">
        <v>45.016025999999997</v>
      </c>
      <c r="E1182" s="43">
        <v>12.438603000000001</v>
      </c>
      <c r="F1182">
        <v>0</v>
      </c>
      <c r="G1182">
        <f t="shared" si="14"/>
        <v>0</v>
      </c>
      <c r="H1182" s="31" t="s">
        <v>10</v>
      </c>
      <c r="I1182">
        <v>0</v>
      </c>
      <c r="J1182">
        <v>316.37773849619401</v>
      </c>
      <c r="K1182" s="26">
        <v>2016</v>
      </c>
      <c r="L1182" t="s">
        <v>11</v>
      </c>
      <c r="M1182" s="32">
        <v>1000</v>
      </c>
      <c r="N1182">
        <v>130.61708849999999</v>
      </c>
      <c r="O1182">
        <v>5</v>
      </c>
      <c r="P1182" t="s">
        <v>23</v>
      </c>
      <c r="Q1182">
        <v>95.5</v>
      </c>
      <c r="R1182" t="s">
        <v>13</v>
      </c>
      <c r="S1182" t="s">
        <v>14</v>
      </c>
      <c r="T1182" t="s">
        <v>33</v>
      </c>
      <c r="U1182" s="240">
        <v>0</v>
      </c>
      <c r="V1182" s="240">
        <v>5</v>
      </c>
      <c r="W1182" s="25">
        <v>2.5</v>
      </c>
      <c r="X1182" s="25">
        <v>5</v>
      </c>
      <c r="Y1182" s="244">
        <v>0.91868156199999995</v>
      </c>
      <c r="Z1182" t="s">
        <v>1100</v>
      </c>
      <c r="AA1182" t="s">
        <v>622</v>
      </c>
      <c r="AB1182">
        <v>1</v>
      </c>
      <c r="AC1182">
        <v>3.9</v>
      </c>
      <c r="AF1182" t="s">
        <v>532</v>
      </c>
      <c r="AG1182" s="32">
        <v>3.9</v>
      </c>
      <c r="AH1182" s="32" t="s">
        <v>671</v>
      </c>
      <c r="AI1182" s="32" t="s">
        <v>1129</v>
      </c>
      <c r="AJ1182" s="31" t="s">
        <v>1130</v>
      </c>
      <c r="AK1182" s="31">
        <v>0.59524549999999998</v>
      </c>
      <c r="AL1182" s="31">
        <v>2.32145745</v>
      </c>
      <c r="AM1182" s="31">
        <v>1.5785425499999999</v>
      </c>
      <c r="AN1182" s="31">
        <v>317.50996146139715</v>
      </c>
      <c r="AO1182" s="31">
        <v>215.90013817211062</v>
      </c>
      <c r="AP1182" s="31">
        <v>0.2916905473459161</v>
      </c>
      <c r="AQ1182" s="31">
        <v>0.1983434761719704</v>
      </c>
      <c r="AR1182" s="31">
        <v>0.13341858489683281</v>
      </c>
    </row>
    <row r="1183" spans="1:44" hidden="1" x14ac:dyDescent="0.5">
      <c r="A1183" s="31">
        <v>1369</v>
      </c>
      <c r="B1183" s="31">
        <v>97</v>
      </c>
      <c r="C1183" s="225" t="s">
        <v>20</v>
      </c>
      <c r="D1183" s="41">
        <v>44.992232999999999</v>
      </c>
      <c r="E1183" s="43">
        <v>12.510111</v>
      </c>
      <c r="F1183">
        <v>0</v>
      </c>
      <c r="G1183">
        <f t="shared" si="14"/>
        <v>0</v>
      </c>
      <c r="H1183" s="31" t="s">
        <v>10</v>
      </c>
      <c r="I1183">
        <v>0</v>
      </c>
      <c r="J1183">
        <v>320.72974757633699</v>
      </c>
      <c r="K1183" s="26">
        <v>2016</v>
      </c>
      <c r="L1183" t="s">
        <v>11</v>
      </c>
      <c r="M1183" s="32">
        <v>1000</v>
      </c>
      <c r="N1183">
        <v>130.61708849999999</v>
      </c>
      <c r="O1183">
        <v>5</v>
      </c>
      <c r="P1183" t="s">
        <v>23</v>
      </c>
      <c r="Q1183">
        <v>95.5</v>
      </c>
      <c r="R1183" t="s">
        <v>13</v>
      </c>
      <c r="S1183" t="s">
        <v>14</v>
      </c>
      <c r="T1183" t="s">
        <v>33</v>
      </c>
      <c r="U1183" s="240">
        <v>0</v>
      </c>
      <c r="V1183" s="240">
        <v>5</v>
      </c>
      <c r="W1183" s="25">
        <v>2.5</v>
      </c>
      <c r="X1183" s="25">
        <v>5</v>
      </c>
      <c r="Y1183" s="244">
        <v>0.91868156199999995</v>
      </c>
      <c r="Z1183" t="s">
        <v>1100</v>
      </c>
      <c r="AA1183" t="s">
        <v>622</v>
      </c>
      <c r="AB1183">
        <v>1</v>
      </c>
      <c r="AC1183">
        <v>2.2000000000000002</v>
      </c>
      <c r="AF1183" t="s">
        <v>532</v>
      </c>
      <c r="AG1183" s="32">
        <v>2.2000000000000002</v>
      </c>
      <c r="AH1183" s="32" t="s">
        <v>671</v>
      </c>
      <c r="AI1183" s="32" t="s">
        <v>1129</v>
      </c>
      <c r="AJ1183" s="31" t="s">
        <v>1130</v>
      </c>
      <c r="AK1183" s="31">
        <v>0.59524549999999998</v>
      </c>
      <c r="AL1183" s="31">
        <v>1.3095401</v>
      </c>
      <c r="AM1183" s="31">
        <v>0.89045990000000019</v>
      </c>
      <c r="AN1183" s="31">
        <v>179.10818338848046</v>
      </c>
      <c r="AO1183" s="31">
        <v>121.78982153298551</v>
      </c>
      <c r="AP1183" s="31">
        <v>0.16454338568231167</v>
      </c>
      <c r="AQ1183" s="31">
        <v>0.11188606348162436</v>
      </c>
      <c r="AR1183" s="31">
        <v>0.13341858489683281</v>
      </c>
    </row>
    <row r="1184" spans="1:44" hidden="1" x14ac:dyDescent="0.5">
      <c r="A1184" s="31">
        <v>1280</v>
      </c>
      <c r="B1184" s="31">
        <v>88</v>
      </c>
      <c r="C1184" s="225" t="s">
        <v>20</v>
      </c>
      <c r="D1184" s="41">
        <v>44.976441999999999</v>
      </c>
      <c r="E1184" s="45">
        <v>12.537701999999999</v>
      </c>
      <c r="F1184">
        <v>0</v>
      </c>
      <c r="G1184">
        <f t="shared" si="14"/>
        <v>0</v>
      </c>
      <c r="H1184" s="31" t="s">
        <v>10</v>
      </c>
      <c r="I1184">
        <v>0</v>
      </c>
      <c r="J1184">
        <v>322.22145480790499</v>
      </c>
      <c r="K1184" s="26">
        <v>2016</v>
      </c>
      <c r="L1184" t="s">
        <v>11</v>
      </c>
      <c r="M1184" s="32">
        <v>1000</v>
      </c>
      <c r="N1184">
        <v>130.61708849999999</v>
      </c>
      <c r="O1184">
        <v>5</v>
      </c>
      <c r="P1184" t="s">
        <v>23</v>
      </c>
      <c r="Q1184">
        <v>95.5</v>
      </c>
      <c r="R1184" t="s">
        <v>13</v>
      </c>
      <c r="S1184" t="s">
        <v>14</v>
      </c>
      <c r="T1184" t="s">
        <v>14</v>
      </c>
      <c r="U1184" s="240">
        <v>0</v>
      </c>
      <c r="V1184" s="240">
        <v>5</v>
      </c>
      <c r="W1184" s="25">
        <v>2.5</v>
      </c>
      <c r="X1184" s="25">
        <v>5</v>
      </c>
      <c r="Y1184" s="244">
        <v>0.91868156199999995</v>
      </c>
      <c r="Z1184" t="s">
        <v>1100</v>
      </c>
      <c r="AA1184" t="s">
        <v>622</v>
      </c>
      <c r="AB1184">
        <v>1</v>
      </c>
      <c r="AC1184">
        <v>3.09</v>
      </c>
      <c r="AF1184" t="s">
        <v>532</v>
      </c>
      <c r="AG1184" s="32">
        <v>3.1</v>
      </c>
      <c r="AH1184" s="32">
        <v>5.1999999999999998E-2</v>
      </c>
      <c r="AI1184" s="32">
        <v>0.16120000000000001</v>
      </c>
      <c r="AJ1184" s="31">
        <v>2.9388000000000001</v>
      </c>
      <c r="AK1184" s="31">
        <v>5.1999999999999998E-2</v>
      </c>
      <c r="AL1184" s="31">
        <v>0.16120000000000001</v>
      </c>
      <c r="AM1184" s="31">
        <v>2.9388000000000001</v>
      </c>
      <c r="AN1184" s="31">
        <v>22.047617451518324</v>
      </c>
      <c r="AO1184" s="31">
        <v>401.94502584691099</v>
      </c>
      <c r="AP1184" s="31">
        <v>2.0254739638739312E-2</v>
      </c>
      <c r="AQ1184" s="31">
        <v>0.36925948418317056</v>
      </c>
      <c r="AR1184" s="31">
        <v>0.13341858489683281</v>
      </c>
    </row>
    <row r="1185" spans="1:44" hidden="1" x14ac:dyDescent="0.5">
      <c r="A1185" s="31">
        <v>1281</v>
      </c>
      <c r="B1185" s="31">
        <v>88</v>
      </c>
      <c r="C1185" s="225" t="s">
        <v>20</v>
      </c>
      <c r="D1185" s="41">
        <v>44.976441999999999</v>
      </c>
      <c r="E1185" s="45">
        <v>12.537701999999999</v>
      </c>
      <c r="F1185">
        <v>0</v>
      </c>
      <c r="G1185">
        <f t="shared" si="14"/>
        <v>0</v>
      </c>
      <c r="H1185" s="31" t="s">
        <v>10</v>
      </c>
      <c r="I1185">
        <v>0</v>
      </c>
      <c r="J1185">
        <v>322.22145480790499</v>
      </c>
      <c r="K1185" s="26">
        <v>2016</v>
      </c>
      <c r="L1185" t="s">
        <v>11</v>
      </c>
      <c r="M1185" s="32">
        <v>1000</v>
      </c>
      <c r="N1185">
        <v>130.61708849999999</v>
      </c>
      <c r="O1185">
        <v>5</v>
      </c>
      <c r="P1185" t="s">
        <v>23</v>
      </c>
      <c r="Q1185">
        <v>95.5</v>
      </c>
      <c r="R1185" t="s">
        <v>13</v>
      </c>
      <c r="S1185" t="s">
        <v>14</v>
      </c>
      <c r="T1185" t="s">
        <v>14</v>
      </c>
      <c r="U1185" s="240">
        <v>0</v>
      </c>
      <c r="V1185" s="240">
        <v>5</v>
      </c>
      <c r="W1185" s="25">
        <v>2.5</v>
      </c>
      <c r="X1185" s="25">
        <v>5</v>
      </c>
      <c r="Y1185" s="244">
        <v>0.91868156199999995</v>
      </c>
      <c r="Z1185" t="s">
        <v>1100</v>
      </c>
      <c r="AA1185" t="s">
        <v>622</v>
      </c>
      <c r="AB1185">
        <v>1</v>
      </c>
      <c r="AC1185">
        <v>3.57</v>
      </c>
      <c r="AF1185" t="s">
        <v>532</v>
      </c>
      <c r="AG1185" s="32">
        <v>3.6</v>
      </c>
      <c r="AH1185" s="32">
        <v>5.1999999999999998E-2</v>
      </c>
      <c r="AI1185" s="32">
        <v>0.18720000000000001</v>
      </c>
      <c r="AJ1185" s="31">
        <v>3.4128000000000003</v>
      </c>
      <c r="AK1185" s="31">
        <v>5.1999999999999998E-2</v>
      </c>
      <c r="AL1185" s="31">
        <v>0.18720000000000001</v>
      </c>
      <c r="AM1185" s="31">
        <v>3.4128000000000003</v>
      </c>
      <c r="AN1185" s="31">
        <v>25.603684782408376</v>
      </c>
      <c r="AO1185" s="31">
        <v>466.774868725445</v>
      </c>
      <c r="AP1185" s="31">
        <v>2.3521633128858556E-2</v>
      </c>
      <c r="AQ1185" s="31">
        <v>0.42881746550303673</v>
      </c>
      <c r="AR1185" s="31">
        <v>0.13341858489683281</v>
      </c>
    </row>
    <row r="1186" spans="1:44" hidden="1" x14ac:dyDescent="0.5">
      <c r="A1186" s="31">
        <v>1282</v>
      </c>
      <c r="B1186" s="31">
        <v>88</v>
      </c>
      <c r="C1186" s="225" t="s">
        <v>20</v>
      </c>
      <c r="D1186" s="41">
        <v>44.976441999999999</v>
      </c>
      <c r="E1186" s="45">
        <v>12.537701999999999</v>
      </c>
      <c r="F1186">
        <v>0</v>
      </c>
      <c r="G1186">
        <f t="shared" si="14"/>
        <v>0</v>
      </c>
      <c r="H1186" s="31" t="s">
        <v>10</v>
      </c>
      <c r="I1186">
        <v>0</v>
      </c>
      <c r="J1186">
        <v>322.22145480790499</v>
      </c>
      <c r="K1186" s="26">
        <v>2016</v>
      </c>
      <c r="L1186" t="s">
        <v>11</v>
      </c>
      <c r="M1186" s="32">
        <v>1000</v>
      </c>
      <c r="N1186">
        <v>130.61708849999999</v>
      </c>
      <c r="O1186">
        <v>5</v>
      </c>
      <c r="P1186" t="s">
        <v>23</v>
      </c>
      <c r="Q1186">
        <v>95.5</v>
      </c>
      <c r="R1186" t="s">
        <v>13</v>
      </c>
      <c r="S1186" t="s">
        <v>14</v>
      </c>
      <c r="T1186" t="s">
        <v>14</v>
      </c>
      <c r="U1186" s="240">
        <v>0</v>
      </c>
      <c r="V1186" s="240">
        <v>5</v>
      </c>
      <c r="W1186" s="25">
        <v>2.5</v>
      </c>
      <c r="X1186" s="25">
        <v>5</v>
      </c>
      <c r="Y1186" s="244">
        <v>0.91868156199999995</v>
      </c>
      <c r="Z1186" t="s">
        <v>1100</v>
      </c>
      <c r="AA1186" t="s">
        <v>622</v>
      </c>
      <c r="AB1186">
        <v>1</v>
      </c>
      <c r="AC1186">
        <v>3.74</v>
      </c>
      <c r="AF1186" t="s">
        <v>532</v>
      </c>
      <c r="AG1186" s="32">
        <v>3.7</v>
      </c>
      <c r="AH1186" s="32">
        <v>5.1999999999999998E-2</v>
      </c>
      <c r="AI1186" s="32">
        <v>0.19239999999999999</v>
      </c>
      <c r="AJ1186" s="31">
        <v>3.5076000000000001</v>
      </c>
      <c r="AK1186" s="31">
        <v>5.1999999999999998E-2</v>
      </c>
      <c r="AL1186" s="31">
        <v>0.19239999999999999</v>
      </c>
      <c r="AM1186" s="31">
        <v>3.5076000000000001</v>
      </c>
      <c r="AN1186" s="31">
        <v>26.314898248586381</v>
      </c>
      <c r="AO1186" s="31">
        <v>479.74083730115183</v>
      </c>
      <c r="AP1186" s="31">
        <v>2.4175011826882399E-2</v>
      </c>
      <c r="AQ1186" s="31">
        <v>0.44072906176700999</v>
      </c>
      <c r="AR1186" s="31">
        <v>0.13341858489683281</v>
      </c>
    </row>
    <row r="1187" spans="1:44" hidden="1" x14ac:dyDescent="0.5">
      <c r="A1187" s="31">
        <v>1283</v>
      </c>
      <c r="B1187" s="31">
        <v>88</v>
      </c>
      <c r="C1187" s="225" t="s">
        <v>20</v>
      </c>
      <c r="D1187" s="41">
        <v>44.976441999999999</v>
      </c>
      <c r="E1187" s="45">
        <v>12.537701999999999</v>
      </c>
      <c r="F1187">
        <v>0</v>
      </c>
      <c r="G1187">
        <f t="shared" si="14"/>
        <v>0</v>
      </c>
      <c r="H1187" s="31" t="s">
        <v>10</v>
      </c>
      <c r="I1187">
        <v>0</v>
      </c>
      <c r="J1187">
        <v>322.22145480790499</v>
      </c>
      <c r="K1187" s="26">
        <v>2016</v>
      </c>
      <c r="L1187" t="s">
        <v>11</v>
      </c>
      <c r="M1187" s="32">
        <v>1000</v>
      </c>
      <c r="N1187">
        <v>130.61708849999999</v>
      </c>
      <c r="O1187">
        <v>5</v>
      </c>
      <c r="P1187" t="s">
        <v>23</v>
      </c>
      <c r="Q1187">
        <v>95.5</v>
      </c>
      <c r="R1187" t="s">
        <v>13</v>
      </c>
      <c r="S1187" t="s">
        <v>14</v>
      </c>
      <c r="T1187" t="s">
        <v>14</v>
      </c>
      <c r="U1187" s="240">
        <v>0</v>
      </c>
      <c r="V1187" s="240">
        <v>5</v>
      </c>
      <c r="W1187" s="25">
        <v>2.5</v>
      </c>
      <c r="X1187" s="25">
        <v>5</v>
      </c>
      <c r="Y1187" s="244">
        <v>0.91868156199999995</v>
      </c>
      <c r="Z1187" t="s">
        <v>1100</v>
      </c>
      <c r="AA1187" t="s">
        <v>622</v>
      </c>
      <c r="AB1187">
        <v>1</v>
      </c>
      <c r="AC1187">
        <v>4.13</v>
      </c>
      <c r="AF1187" t="s">
        <v>532</v>
      </c>
      <c r="AG1187" s="32">
        <v>4.0999999999999996</v>
      </c>
      <c r="AH1187" s="32">
        <v>5.1999999999999998E-2</v>
      </c>
      <c r="AI1187" s="32">
        <v>0.21319999999999997</v>
      </c>
      <c r="AJ1187" s="31">
        <v>3.8867999999999996</v>
      </c>
      <c r="AK1187" s="31">
        <v>5.1999999999999998E-2</v>
      </c>
      <c r="AL1187" s="31">
        <v>0.21319999999999997</v>
      </c>
      <c r="AM1187" s="31">
        <v>3.8867999999999996</v>
      </c>
      <c r="AN1187" s="31">
        <v>29.159752113298428</v>
      </c>
      <c r="AO1187" s="31">
        <v>531.6047116039789</v>
      </c>
      <c r="AP1187" s="31">
        <v>2.67885266189778E-2</v>
      </c>
      <c r="AQ1187" s="31">
        <v>0.48837544682290285</v>
      </c>
      <c r="AR1187" s="31">
        <v>0.13341858489683281</v>
      </c>
    </row>
    <row r="1188" spans="1:44" hidden="1" x14ac:dyDescent="0.5">
      <c r="A1188" s="31">
        <v>1284</v>
      </c>
      <c r="B1188" s="31">
        <v>88</v>
      </c>
      <c r="C1188" s="225" t="s">
        <v>20</v>
      </c>
      <c r="D1188" s="41">
        <v>44.976441999999999</v>
      </c>
      <c r="E1188" s="45">
        <v>12.537701999999999</v>
      </c>
      <c r="F1188">
        <v>0</v>
      </c>
      <c r="G1188">
        <f t="shared" si="14"/>
        <v>0</v>
      </c>
      <c r="H1188" s="31" t="s">
        <v>10</v>
      </c>
      <c r="I1188">
        <v>0</v>
      </c>
      <c r="J1188">
        <v>322.22145480790499</v>
      </c>
      <c r="K1188" s="26">
        <v>2016</v>
      </c>
      <c r="L1188" t="s">
        <v>11</v>
      </c>
      <c r="M1188" s="32">
        <v>1000</v>
      </c>
      <c r="N1188">
        <v>130.61708849999999</v>
      </c>
      <c r="O1188">
        <v>5</v>
      </c>
      <c r="P1188" t="s">
        <v>23</v>
      </c>
      <c r="Q1188">
        <v>95.5</v>
      </c>
      <c r="R1188" t="s">
        <v>13</v>
      </c>
      <c r="S1188" t="s">
        <v>14</v>
      </c>
      <c r="T1188" t="s">
        <v>14</v>
      </c>
      <c r="U1188" s="240">
        <v>0</v>
      </c>
      <c r="V1188" s="240">
        <v>5</v>
      </c>
      <c r="W1188" s="25">
        <v>2.5</v>
      </c>
      <c r="X1188" s="25">
        <v>5</v>
      </c>
      <c r="Y1188" s="244">
        <v>0.91868156199999995</v>
      </c>
      <c r="Z1188" t="s">
        <v>1100</v>
      </c>
      <c r="AA1188" t="s">
        <v>622</v>
      </c>
      <c r="AB1188">
        <v>1</v>
      </c>
      <c r="AC1188">
        <v>4.75</v>
      </c>
      <c r="AF1188" t="s">
        <v>532</v>
      </c>
      <c r="AG1188" s="32">
        <v>4.8</v>
      </c>
      <c r="AH1188" s="32">
        <v>5.1999999999999998E-2</v>
      </c>
      <c r="AI1188" s="32">
        <v>0.24959999999999999</v>
      </c>
      <c r="AJ1188" s="31">
        <v>4.5503999999999998</v>
      </c>
      <c r="AK1188" s="31">
        <v>5.1999999999999998E-2</v>
      </c>
      <c r="AL1188" s="31">
        <v>0.24959999999999999</v>
      </c>
      <c r="AM1188" s="31">
        <v>4.5503999999999998</v>
      </c>
      <c r="AN1188" s="31">
        <v>34.138246376544501</v>
      </c>
      <c r="AO1188" s="31">
        <v>622.36649163392656</v>
      </c>
      <c r="AP1188" s="31">
        <v>3.1362177505144744E-2</v>
      </c>
      <c r="AQ1188" s="31">
        <v>0.57175662067071553</v>
      </c>
      <c r="AR1188" s="31">
        <v>0.13341858489683281</v>
      </c>
    </row>
    <row r="1189" spans="1:44" hidden="1" x14ac:dyDescent="0.5">
      <c r="A1189" s="31">
        <v>1285</v>
      </c>
      <c r="B1189" s="31">
        <v>88</v>
      </c>
      <c r="C1189" s="225" t="s">
        <v>20</v>
      </c>
      <c r="D1189" s="41">
        <v>44.976441999999999</v>
      </c>
      <c r="E1189" s="45">
        <v>12.537701999999999</v>
      </c>
      <c r="F1189">
        <v>0</v>
      </c>
      <c r="G1189">
        <f t="shared" si="14"/>
        <v>0</v>
      </c>
      <c r="H1189" s="31" t="s">
        <v>10</v>
      </c>
      <c r="I1189">
        <v>0</v>
      </c>
      <c r="J1189">
        <v>322.22145480790499</v>
      </c>
      <c r="K1189" s="26">
        <v>2016</v>
      </c>
      <c r="L1189" t="s">
        <v>11</v>
      </c>
      <c r="M1189" s="32">
        <v>1000</v>
      </c>
      <c r="N1189">
        <v>130.61708849999999</v>
      </c>
      <c r="O1189">
        <v>5</v>
      </c>
      <c r="P1189" t="s">
        <v>23</v>
      </c>
      <c r="Q1189">
        <v>95.5</v>
      </c>
      <c r="R1189" t="s">
        <v>13</v>
      </c>
      <c r="S1189" t="s">
        <v>14</v>
      </c>
      <c r="T1189" t="s">
        <v>14</v>
      </c>
      <c r="U1189" s="240">
        <v>0</v>
      </c>
      <c r="V1189" s="240">
        <v>5</v>
      </c>
      <c r="W1189" s="25">
        <v>2.5</v>
      </c>
      <c r="X1189" s="25">
        <v>5</v>
      </c>
      <c r="Y1189" s="244">
        <v>0.91868156199999995</v>
      </c>
      <c r="Z1189" t="s">
        <v>1100</v>
      </c>
      <c r="AA1189" t="s">
        <v>622</v>
      </c>
      <c r="AB1189">
        <v>1</v>
      </c>
      <c r="AC1189">
        <v>6.8</v>
      </c>
      <c r="AF1189" t="s">
        <v>532</v>
      </c>
      <c r="AG1189" s="32">
        <v>6.8</v>
      </c>
      <c r="AH1189" s="32">
        <v>5.1999999999999998E-2</v>
      </c>
      <c r="AI1189" s="32">
        <v>0.35359999999999997</v>
      </c>
      <c r="AJ1189" s="31">
        <v>6.4463999999999997</v>
      </c>
      <c r="AK1189" s="31">
        <v>5.1999999999999998E-2</v>
      </c>
      <c r="AL1189" s="31">
        <v>0.35359999999999997</v>
      </c>
      <c r="AM1189" s="31">
        <v>6.4463999999999997</v>
      </c>
      <c r="AN1189" s="31">
        <v>48.362515700104701</v>
      </c>
      <c r="AO1189" s="31">
        <v>881.68586314806271</v>
      </c>
      <c r="AP1189" s="31">
        <v>4.4429751465621704E-2</v>
      </c>
      <c r="AQ1189" s="31">
        <v>0.80998854595018044</v>
      </c>
      <c r="AR1189" s="31">
        <v>0.13341858489683281</v>
      </c>
    </row>
    <row r="1190" spans="1:44" hidden="1" x14ac:dyDescent="0.5">
      <c r="A1190" s="31">
        <v>1368</v>
      </c>
      <c r="B1190" s="31">
        <v>97</v>
      </c>
      <c r="C1190" s="225" t="s">
        <v>20</v>
      </c>
      <c r="D1190" s="41">
        <v>44.974977000000003</v>
      </c>
      <c r="E1190" s="43">
        <v>12.539555</v>
      </c>
      <c r="F1190">
        <v>0</v>
      </c>
      <c r="G1190">
        <f t="shared" si="14"/>
        <v>0</v>
      </c>
      <c r="H1190" s="31" t="s">
        <v>10</v>
      </c>
      <c r="I1190">
        <v>0</v>
      </c>
      <c r="J1190">
        <v>322.26799003158197</v>
      </c>
      <c r="K1190" s="26">
        <v>2016</v>
      </c>
      <c r="L1190" t="s">
        <v>11</v>
      </c>
      <c r="M1190" s="32">
        <v>1000</v>
      </c>
      <c r="N1190">
        <v>130.61708849999999</v>
      </c>
      <c r="O1190">
        <v>5</v>
      </c>
      <c r="P1190" t="s">
        <v>23</v>
      </c>
      <c r="Q1190">
        <v>95.5</v>
      </c>
      <c r="R1190" t="s">
        <v>13</v>
      </c>
      <c r="S1190" t="s">
        <v>14</v>
      </c>
      <c r="T1190" t="s">
        <v>33</v>
      </c>
      <c r="U1190" s="240">
        <v>0</v>
      </c>
      <c r="V1190" s="240">
        <v>5</v>
      </c>
      <c r="W1190" s="25">
        <v>2.5</v>
      </c>
      <c r="X1190" s="25">
        <v>5</v>
      </c>
      <c r="Y1190" s="244">
        <v>0.91868156199999995</v>
      </c>
      <c r="Z1190" t="s">
        <v>1100</v>
      </c>
      <c r="AA1190" t="s">
        <v>622</v>
      </c>
      <c r="AB1190">
        <v>1</v>
      </c>
      <c r="AC1190">
        <v>3.6</v>
      </c>
      <c r="AF1190" t="s">
        <v>532</v>
      </c>
      <c r="AG1190" s="32">
        <v>3.6</v>
      </c>
      <c r="AH1190" s="32" t="s">
        <v>671</v>
      </c>
      <c r="AI1190" s="32" t="s">
        <v>1129</v>
      </c>
      <c r="AJ1190" s="31" t="s">
        <v>1130</v>
      </c>
      <c r="AK1190" s="31">
        <v>0.59524549999999998</v>
      </c>
      <c r="AL1190" s="31">
        <v>2.1428837999999999</v>
      </c>
      <c r="AM1190" s="31">
        <v>1.4571162000000002</v>
      </c>
      <c r="AN1190" s="31">
        <v>293.08611827205891</v>
      </c>
      <c r="AO1190" s="31">
        <v>199.29243523579447</v>
      </c>
      <c r="AP1190" s="31">
        <v>0.26925281293469183</v>
      </c>
      <c r="AQ1190" s="31">
        <v>0.1830862856972035</v>
      </c>
      <c r="AR1190" s="31">
        <v>0.13341858489683281</v>
      </c>
    </row>
    <row r="1191" spans="1:44" hidden="1" x14ac:dyDescent="0.5">
      <c r="A1191" s="31">
        <v>1367</v>
      </c>
      <c r="B1191" s="31">
        <v>97</v>
      </c>
      <c r="C1191" s="225" t="s">
        <v>20</v>
      </c>
      <c r="D1191" s="41">
        <v>44.944021999999997</v>
      </c>
      <c r="E1191" s="43">
        <v>12.523571</v>
      </c>
      <c r="F1191">
        <v>0</v>
      </c>
      <c r="G1191">
        <f t="shared" si="14"/>
        <v>0</v>
      </c>
      <c r="H1191" s="31" t="s">
        <v>10</v>
      </c>
      <c r="I1191">
        <v>0</v>
      </c>
      <c r="J1191">
        <v>317.48616493784903</v>
      </c>
      <c r="K1191" s="26">
        <v>2016</v>
      </c>
      <c r="L1191" t="s">
        <v>11</v>
      </c>
      <c r="M1191" s="32">
        <v>1000</v>
      </c>
      <c r="N1191">
        <v>130.61708849999999</v>
      </c>
      <c r="O1191">
        <v>5</v>
      </c>
      <c r="P1191" t="s">
        <v>23</v>
      </c>
      <c r="Q1191">
        <v>95.5</v>
      </c>
      <c r="R1191" t="s">
        <v>13</v>
      </c>
      <c r="S1191" t="s">
        <v>14</v>
      </c>
      <c r="T1191" t="s">
        <v>33</v>
      </c>
      <c r="U1191" s="240">
        <v>0</v>
      </c>
      <c r="V1191" s="240">
        <v>5</v>
      </c>
      <c r="W1191" s="25">
        <v>2.5</v>
      </c>
      <c r="X1191" s="25">
        <v>5</v>
      </c>
      <c r="Y1191" s="244">
        <v>0.91868156199999995</v>
      </c>
      <c r="Z1191" t="s">
        <v>1100</v>
      </c>
      <c r="AA1191" t="s">
        <v>622</v>
      </c>
      <c r="AB1191">
        <v>1</v>
      </c>
      <c r="AC1191">
        <v>8.4</v>
      </c>
      <c r="AF1191" t="s">
        <v>532</v>
      </c>
      <c r="AG1191" s="32">
        <v>8.4</v>
      </c>
      <c r="AH1191" s="32" t="s">
        <v>671</v>
      </c>
      <c r="AI1191" s="32" t="s">
        <v>1129</v>
      </c>
      <c r="AJ1191" s="31" t="s">
        <v>1130</v>
      </c>
      <c r="AK1191" s="31">
        <v>0.59524549999999998</v>
      </c>
      <c r="AL1191" s="31">
        <v>5.0000622000000003</v>
      </c>
      <c r="AM1191" s="31">
        <v>3.3999378</v>
      </c>
      <c r="AN1191" s="31">
        <v>683.86760930147091</v>
      </c>
      <c r="AO1191" s="31">
        <v>465.01568221685369</v>
      </c>
      <c r="AP1191" s="31">
        <v>0.62825656351428105</v>
      </c>
      <c r="AQ1191" s="31">
        <v>0.42720133329347476</v>
      </c>
      <c r="AR1191" s="31">
        <v>0.13341858489683281</v>
      </c>
    </row>
    <row r="1192" spans="1:44" hidden="1" x14ac:dyDescent="0.5">
      <c r="A1192" s="31">
        <v>1271</v>
      </c>
      <c r="B1192" s="31">
        <v>88</v>
      </c>
      <c r="C1192" s="225" t="s">
        <v>20</v>
      </c>
      <c r="D1192" s="41">
        <v>44.881704999999997</v>
      </c>
      <c r="E1192" s="45">
        <v>12.486390999999999</v>
      </c>
      <c r="F1192">
        <v>0</v>
      </c>
      <c r="G1192">
        <f t="shared" si="14"/>
        <v>0</v>
      </c>
      <c r="H1192" s="31" t="s">
        <v>10</v>
      </c>
      <c r="I1192">
        <v>0</v>
      </c>
      <c r="J1192">
        <v>307.46045586038099</v>
      </c>
      <c r="K1192" s="26">
        <v>2016</v>
      </c>
      <c r="L1192" t="s">
        <v>11</v>
      </c>
      <c r="M1192" s="32">
        <v>1000</v>
      </c>
      <c r="N1192">
        <v>130.61708849999999</v>
      </c>
      <c r="O1192">
        <v>5</v>
      </c>
      <c r="P1192" t="s">
        <v>23</v>
      </c>
      <c r="Q1192">
        <v>95.5</v>
      </c>
      <c r="R1192" t="s">
        <v>13</v>
      </c>
      <c r="S1192" t="s">
        <v>14</v>
      </c>
      <c r="T1192" t="s">
        <v>14</v>
      </c>
      <c r="U1192" s="240">
        <v>0</v>
      </c>
      <c r="V1192" s="240">
        <v>5</v>
      </c>
      <c r="W1192" s="25">
        <v>2.5</v>
      </c>
      <c r="X1192" s="25">
        <v>5</v>
      </c>
      <c r="Y1192" s="244">
        <v>0.91868156199999995</v>
      </c>
      <c r="Z1192" t="s">
        <v>1100</v>
      </c>
      <c r="AA1192" t="s">
        <v>622</v>
      </c>
      <c r="AB1192">
        <v>1</v>
      </c>
      <c r="AC1192">
        <v>0</v>
      </c>
      <c r="AF1192" t="s">
        <v>532</v>
      </c>
      <c r="AG1192" s="32">
        <v>0</v>
      </c>
      <c r="AH1192" s="32" t="s">
        <v>671</v>
      </c>
      <c r="AI1192" s="32" t="s">
        <v>1129</v>
      </c>
      <c r="AJ1192" s="31" t="s">
        <v>1130</v>
      </c>
      <c r="AK1192" s="31">
        <v>0.59524549999999998</v>
      </c>
      <c r="AL1192" s="31">
        <v>0</v>
      </c>
      <c r="AM1192" s="31">
        <v>0</v>
      </c>
      <c r="AN1192" s="31">
        <v>0</v>
      </c>
      <c r="AO1192" s="31">
        <v>0</v>
      </c>
      <c r="AP1192" s="31">
        <v>0</v>
      </c>
      <c r="AQ1192" s="31">
        <v>0</v>
      </c>
      <c r="AR1192" s="31">
        <v>0.13341858489683281</v>
      </c>
    </row>
    <row r="1193" spans="1:44" hidden="1" x14ac:dyDescent="0.5">
      <c r="A1193" s="31">
        <v>1272</v>
      </c>
      <c r="B1193" s="31">
        <v>88</v>
      </c>
      <c r="C1193" s="225" t="s">
        <v>20</v>
      </c>
      <c r="D1193" s="41">
        <v>44.881704999999997</v>
      </c>
      <c r="E1193" s="45">
        <v>12.486390999999999</v>
      </c>
      <c r="F1193">
        <v>0</v>
      </c>
      <c r="G1193">
        <f t="shared" si="14"/>
        <v>0</v>
      </c>
      <c r="H1193" s="31" t="s">
        <v>10</v>
      </c>
      <c r="I1193">
        <v>0</v>
      </c>
      <c r="J1193">
        <v>307.46045586038099</v>
      </c>
      <c r="K1193" s="26">
        <v>2016</v>
      </c>
      <c r="L1193" t="s">
        <v>11</v>
      </c>
      <c r="M1193" s="32">
        <v>1000</v>
      </c>
      <c r="N1193">
        <v>130.61708849999999</v>
      </c>
      <c r="O1193">
        <v>5</v>
      </c>
      <c r="P1193" t="s">
        <v>23</v>
      </c>
      <c r="Q1193">
        <v>95.5</v>
      </c>
      <c r="R1193" t="s">
        <v>13</v>
      </c>
      <c r="S1193" t="s">
        <v>14</v>
      </c>
      <c r="T1193" t="s">
        <v>14</v>
      </c>
      <c r="U1193" s="240">
        <v>0</v>
      </c>
      <c r="V1193" s="240">
        <v>5</v>
      </c>
      <c r="W1193" s="25">
        <v>2.5</v>
      </c>
      <c r="X1193" s="25">
        <v>5</v>
      </c>
      <c r="Y1193" s="244">
        <v>0.91868156199999995</v>
      </c>
      <c r="Z1193" t="s">
        <v>1100</v>
      </c>
      <c r="AA1193" t="s">
        <v>622</v>
      </c>
      <c r="AB1193">
        <v>1</v>
      </c>
      <c r="AC1193">
        <v>0</v>
      </c>
      <c r="AF1193" t="s">
        <v>532</v>
      </c>
      <c r="AG1193" s="32">
        <v>0</v>
      </c>
      <c r="AH1193" s="32" t="s">
        <v>671</v>
      </c>
      <c r="AI1193" s="32" t="s">
        <v>1129</v>
      </c>
      <c r="AJ1193" s="31" t="s">
        <v>1130</v>
      </c>
      <c r="AK1193" s="31">
        <v>0.59524549999999998</v>
      </c>
      <c r="AL1193" s="31">
        <v>0</v>
      </c>
      <c r="AM1193" s="31">
        <v>0</v>
      </c>
      <c r="AN1193" s="31">
        <v>0</v>
      </c>
      <c r="AO1193" s="31">
        <v>0</v>
      </c>
      <c r="AP1193" s="31">
        <v>0</v>
      </c>
      <c r="AQ1193" s="31">
        <v>0</v>
      </c>
      <c r="AR1193" s="31">
        <v>0.13341858489683281</v>
      </c>
    </row>
    <row r="1194" spans="1:44" hidden="1" x14ac:dyDescent="0.5">
      <c r="A1194" s="31">
        <v>1273</v>
      </c>
      <c r="B1194" s="31">
        <v>88</v>
      </c>
      <c r="C1194" s="225" t="s">
        <v>20</v>
      </c>
      <c r="D1194" s="41">
        <v>44.881704999999997</v>
      </c>
      <c r="E1194" s="45">
        <v>12.486390999999999</v>
      </c>
      <c r="F1194">
        <v>0</v>
      </c>
      <c r="G1194">
        <f t="shared" si="14"/>
        <v>0</v>
      </c>
      <c r="H1194" s="31" t="s">
        <v>10</v>
      </c>
      <c r="I1194">
        <v>0</v>
      </c>
      <c r="J1194">
        <v>307.46045586038099</v>
      </c>
      <c r="K1194" s="26">
        <v>2016</v>
      </c>
      <c r="L1194" t="s">
        <v>11</v>
      </c>
      <c r="M1194" s="32">
        <v>1000</v>
      </c>
      <c r="N1194">
        <v>130.61708849999999</v>
      </c>
      <c r="O1194">
        <v>5</v>
      </c>
      <c r="P1194" t="s">
        <v>23</v>
      </c>
      <c r="Q1194">
        <v>95.5</v>
      </c>
      <c r="R1194" t="s">
        <v>13</v>
      </c>
      <c r="S1194" t="s">
        <v>14</v>
      </c>
      <c r="T1194" t="s">
        <v>14</v>
      </c>
      <c r="U1194" s="240">
        <v>0</v>
      </c>
      <c r="V1194" s="240">
        <v>5</v>
      </c>
      <c r="W1194" s="25">
        <v>2.5</v>
      </c>
      <c r="X1194" s="25">
        <v>5</v>
      </c>
      <c r="Y1194" s="244">
        <v>0.91868156199999995</v>
      </c>
      <c r="Z1194" t="s">
        <v>1100</v>
      </c>
      <c r="AA1194" t="s">
        <v>622</v>
      </c>
      <c r="AB1194">
        <v>1</v>
      </c>
      <c r="AC1194">
        <v>0.22</v>
      </c>
      <c r="AF1194" t="s">
        <v>532</v>
      </c>
      <c r="AG1194" s="32">
        <v>0.2</v>
      </c>
      <c r="AH1194" s="32">
        <v>0</v>
      </c>
      <c r="AI1194" s="32">
        <v>0</v>
      </c>
      <c r="AJ1194" s="31">
        <v>0.2</v>
      </c>
      <c r="AK1194" s="31">
        <v>0</v>
      </c>
      <c r="AL1194" s="31">
        <v>0</v>
      </c>
      <c r="AM1194" s="31">
        <v>0.2</v>
      </c>
      <c r="AN1194" s="31">
        <v>0</v>
      </c>
      <c r="AO1194" s="31">
        <v>27.354364083769632</v>
      </c>
      <c r="AP1194" s="31">
        <v>0</v>
      </c>
      <c r="AQ1194" s="31">
        <v>2.5129949923994185E-2</v>
      </c>
      <c r="AR1194" s="31">
        <v>0.13341858489683281</v>
      </c>
    </row>
    <row r="1195" spans="1:44" hidden="1" x14ac:dyDescent="0.5">
      <c r="A1195" s="31">
        <v>1274</v>
      </c>
      <c r="B1195" s="31">
        <v>88</v>
      </c>
      <c r="C1195" s="225" t="s">
        <v>20</v>
      </c>
      <c r="D1195" s="41">
        <v>44.881704999999997</v>
      </c>
      <c r="E1195" s="45">
        <v>12.486390999999999</v>
      </c>
      <c r="F1195">
        <v>0</v>
      </c>
      <c r="G1195">
        <f t="shared" si="14"/>
        <v>0</v>
      </c>
      <c r="H1195" s="31" t="s">
        <v>10</v>
      </c>
      <c r="I1195">
        <v>0</v>
      </c>
      <c r="J1195">
        <v>307.46045586038099</v>
      </c>
      <c r="K1195" s="26">
        <v>2016</v>
      </c>
      <c r="L1195" t="s">
        <v>11</v>
      </c>
      <c r="M1195" s="32">
        <v>1000</v>
      </c>
      <c r="N1195">
        <v>130.61708849999999</v>
      </c>
      <c r="O1195">
        <v>5</v>
      </c>
      <c r="P1195" t="s">
        <v>23</v>
      </c>
      <c r="Q1195">
        <v>95.5</v>
      </c>
      <c r="R1195" t="s">
        <v>13</v>
      </c>
      <c r="S1195" t="s">
        <v>14</v>
      </c>
      <c r="T1195" t="s">
        <v>14</v>
      </c>
      <c r="U1195" s="240">
        <v>0</v>
      </c>
      <c r="V1195" s="240">
        <v>5</v>
      </c>
      <c r="W1195" s="25">
        <v>2.5</v>
      </c>
      <c r="X1195" s="25">
        <v>5</v>
      </c>
      <c r="Y1195" s="244">
        <v>0.91868156199999995</v>
      </c>
      <c r="Z1195" t="s">
        <v>1100</v>
      </c>
      <c r="AA1195" t="s">
        <v>622</v>
      </c>
      <c r="AB1195">
        <v>1</v>
      </c>
      <c r="AC1195">
        <v>0.45</v>
      </c>
      <c r="AF1195" t="s">
        <v>532</v>
      </c>
      <c r="AG1195" s="32">
        <v>0.5</v>
      </c>
      <c r="AH1195" s="32">
        <v>0</v>
      </c>
      <c r="AI1195" s="32">
        <v>0</v>
      </c>
      <c r="AJ1195" s="31">
        <v>0.5</v>
      </c>
      <c r="AK1195" s="31">
        <v>0</v>
      </c>
      <c r="AL1195" s="31">
        <v>0</v>
      </c>
      <c r="AM1195" s="31">
        <v>0.5</v>
      </c>
      <c r="AN1195" s="31">
        <v>0</v>
      </c>
      <c r="AO1195" s="31">
        <v>68.385910209424082</v>
      </c>
      <c r="AP1195" s="31">
        <v>0</v>
      </c>
      <c r="AQ1195" s="31">
        <v>6.2824874809985456E-2</v>
      </c>
      <c r="AR1195" s="31">
        <v>0.13341858489683281</v>
      </c>
    </row>
    <row r="1196" spans="1:44" hidden="1" x14ac:dyDescent="0.5">
      <c r="A1196" s="31">
        <v>1275</v>
      </c>
      <c r="B1196" s="31">
        <v>88</v>
      </c>
      <c r="C1196" s="225" t="s">
        <v>20</v>
      </c>
      <c r="D1196" s="41">
        <v>44.881704999999997</v>
      </c>
      <c r="E1196" s="45">
        <v>12.486390999999999</v>
      </c>
      <c r="F1196">
        <v>0</v>
      </c>
      <c r="G1196">
        <f t="shared" si="14"/>
        <v>0</v>
      </c>
      <c r="H1196" s="31" t="s">
        <v>10</v>
      </c>
      <c r="I1196">
        <v>0</v>
      </c>
      <c r="J1196">
        <v>307.46045586038099</v>
      </c>
      <c r="K1196" s="26">
        <v>2016</v>
      </c>
      <c r="L1196" t="s">
        <v>11</v>
      </c>
      <c r="M1196" s="32">
        <v>1000</v>
      </c>
      <c r="N1196">
        <v>130.61708849999999</v>
      </c>
      <c r="O1196">
        <v>5</v>
      </c>
      <c r="P1196" t="s">
        <v>23</v>
      </c>
      <c r="Q1196">
        <v>95.5</v>
      </c>
      <c r="R1196" t="s">
        <v>13</v>
      </c>
      <c r="S1196" t="s">
        <v>14</v>
      </c>
      <c r="T1196" t="s">
        <v>14</v>
      </c>
      <c r="U1196" s="240">
        <v>0</v>
      </c>
      <c r="V1196" s="240">
        <v>5</v>
      </c>
      <c r="W1196" s="25">
        <v>2.5</v>
      </c>
      <c r="X1196" s="25">
        <v>5</v>
      </c>
      <c r="Y1196" s="244">
        <v>0.91868156199999995</v>
      </c>
      <c r="Z1196" t="s">
        <v>1100</v>
      </c>
      <c r="AA1196" t="s">
        <v>622</v>
      </c>
      <c r="AB1196">
        <v>1</v>
      </c>
      <c r="AC1196">
        <v>0.51</v>
      </c>
      <c r="AF1196" t="s">
        <v>532</v>
      </c>
      <c r="AG1196" s="32">
        <v>0.5</v>
      </c>
      <c r="AH1196" s="32">
        <v>0</v>
      </c>
      <c r="AI1196" s="32">
        <v>0</v>
      </c>
      <c r="AJ1196" s="31">
        <v>0.5</v>
      </c>
      <c r="AK1196" s="31">
        <v>0</v>
      </c>
      <c r="AL1196" s="31">
        <v>0</v>
      </c>
      <c r="AM1196" s="31">
        <v>0.5</v>
      </c>
      <c r="AN1196" s="31">
        <v>0</v>
      </c>
      <c r="AO1196" s="31">
        <v>68.385910209424082</v>
      </c>
      <c r="AP1196" s="31">
        <v>0</v>
      </c>
      <c r="AQ1196" s="31">
        <v>6.2824874809985456E-2</v>
      </c>
      <c r="AR1196" s="31">
        <v>0.13341858489683281</v>
      </c>
    </row>
    <row r="1197" spans="1:44" hidden="1" x14ac:dyDescent="0.5">
      <c r="A1197" s="31">
        <v>597</v>
      </c>
      <c r="B1197" s="31">
        <v>44</v>
      </c>
      <c r="C1197" s="225" t="s">
        <v>32</v>
      </c>
      <c r="D1197" s="35">
        <v>30.229915999999999</v>
      </c>
      <c r="E1197" s="33">
        <v>-87.944578000000007</v>
      </c>
      <c r="F1197">
        <v>0</v>
      </c>
      <c r="G1197">
        <f t="shared" si="14"/>
        <v>0</v>
      </c>
      <c r="H1197" s="32" t="s">
        <v>10</v>
      </c>
      <c r="I1197">
        <v>0</v>
      </c>
      <c r="J1197">
        <v>90.270947131222201</v>
      </c>
      <c r="K1197" s="26">
        <v>2014</v>
      </c>
      <c r="L1197" t="s">
        <v>11</v>
      </c>
      <c r="M1197" s="32">
        <v>200</v>
      </c>
      <c r="N1197">
        <v>23.79522055</v>
      </c>
      <c r="O1197">
        <v>5</v>
      </c>
      <c r="P1197" t="s">
        <v>38</v>
      </c>
      <c r="Q1197">
        <v>97.25</v>
      </c>
      <c r="R1197" t="s">
        <v>31</v>
      </c>
      <c r="S1197" t="s">
        <v>21</v>
      </c>
      <c r="T1197" t="s">
        <v>16</v>
      </c>
      <c r="U1197" s="34">
        <v>3</v>
      </c>
      <c r="V1197" s="34">
        <v>6</v>
      </c>
      <c r="W1197" s="25">
        <v>4.5</v>
      </c>
      <c r="X1197" s="25">
        <v>3</v>
      </c>
      <c r="Y1197">
        <v>0.99267945499999999</v>
      </c>
      <c r="Z1197" t="s">
        <v>1119</v>
      </c>
      <c r="AA1197" t="s">
        <v>622</v>
      </c>
      <c r="AB1197">
        <v>3</v>
      </c>
      <c r="AC1197">
        <v>43.875</v>
      </c>
      <c r="AD1197">
        <v>12.032</v>
      </c>
      <c r="AE1197" t="s">
        <v>519</v>
      </c>
      <c r="AF1197" t="s">
        <v>521</v>
      </c>
      <c r="AG1197" s="32" t="s">
        <v>1628</v>
      </c>
      <c r="AH1197" s="32" t="s">
        <v>671</v>
      </c>
      <c r="AI1197" s="32" t="s">
        <v>1129</v>
      </c>
      <c r="AJ1197" s="31" t="s">
        <v>1130</v>
      </c>
      <c r="AK1197" s="31">
        <v>0.59524549999999998</v>
      </c>
      <c r="AL1197" s="31">
        <v>0.87696641586079782</v>
      </c>
      <c r="AM1197" s="31">
        <v>0.59631883511682038</v>
      </c>
      <c r="AN1197" s="31">
        <v>21.457695918098409</v>
      </c>
      <c r="AO1197" s="31">
        <v>14.59078478120702</v>
      </c>
      <c r="AP1197" s="31">
        <v>2.1300613889533651E-2</v>
      </c>
      <c r="AQ1197" s="31">
        <v>1.4483972284630879E-2</v>
      </c>
      <c r="AR1197" s="31">
        <v>0.13341858489683281</v>
      </c>
    </row>
    <row r="1198" spans="1:44" hidden="1" x14ac:dyDescent="0.5">
      <c r="A1198" s="31">
        <v>598</v>
      </c>
      <c r="B1198" s="31">
        <v>44</v>
      </c>
      <c r="C1198" s="225" t="s">
        <v>32</v>
      </c>
      <c r="D1198" s="35">
        <v>30.240551</v>
      </c>
      <c r="E1198" s="33">
        <v>-88.227941000000001</v>
      </c>
      <c r="F1198">
        <v>0</v>
      </c>
      <c r="G1198">
        <f t="shared" si="14"/>
        <v>0</v>
      </c>
      <c r="H1198" s="32" t="s">
        <v>10</v>
      </c>
      <c r="I1198">
        <v>0</v>
      </c>
      <c r="J1198">
        <v>77.358861157045695</v>
      </c>
      <c r="K1198" s="26">
        <v>2014</v>
      </c>
      <c r="L1198" t="s">
        <v>11</v>
      </c>
      <c r="M1198" s="32">
        <v>200</v>
      </c>
      <c r="N1198">
        <v>23.79522055</v>
      </c>
      <c r="O1198">
        <v>5</v>
      </c>
      <c r="P1198" t="s">
        <v>38</v>
      </c>
      <c r="Q1198">
        <v>97.25</v>
      </c>
      <c r="R1198" t="s">
        <v>31</v>
      </c>
      <c r="S1198" t="s">
        <v>21</v>
      </c>
      <c r="T1198" t="s">
        <v>16</v>
      </c>
      <c r="U1198" s="34">
        <v>3</v>
      </c>
      <c r="V1198" s="34">
        <v>6</v>
      </c>
      <c r="W1198" s="25">
        <v>4.5</v>
      </c>
      <c r="X1198" s="25">
        <v>3</v>
      </c>
      <c r="Y1198">
        <v>0.99267945499999999</v>
      </c>
      <c r="Z1198" t="s">
        <v>1119</v>
      </c>
      <c r="AA1198" t="s">
        <v>622</v>
      </c>
      <c r="AB1198">
        <v>3</v>
      </c>
      <c r="AC1198">
        <v>74.75</v>
      </c>
      <c r="AD1198">
        <v>22.334</v>
      </c>
      <c r="AE1198" t="s">
        <v>519</v>
      </c>
      <c r="AF1198" t="s">
        <v>521</v>
      </c>
      <c r="AG1198" s="32" t="s">
        <v>1629</v>
      </c>
      <c r="AH1198" s="32" t="s">
        <v>671</v>
      </c>
      <c r="AI1198" s="32" t="s">
        <v>1129</v>
      </c>
      <c r="AJ1198" s="31" t="s">
        <v>1130</v>
      </c>
      <c r="AK1198" s="31">
        <v>0.59524549999999998</v>
      </c>
      <c r="AL1198" s="31">
        <v>1.4940909307258035</v>
      </c>
      <c r="AM1198" s="31">
        <v>1.015950607976805</v>
      </c>
      <c r="AN1198" s="31">
        <v>36.557556008612103</v>
      </c>
      <c r="AO1198" s="31">
        <v>24.858374071686033</v>
      </c>
      <c r="AP1198" s="31">
        <v>3.6289934774761036E-2</v>
      </c>
      <c r="AQ1198" s="31">
        <v>2.4676397225667421E-2</v>
      </c>
      <c r="AR1198" s="31">
        <v>0.13341858489683281</v>
      </c>
    </row>
    <row r="1199" spans="1:44" hidden="1" x14ac:dyDescent="0.5">
      <c r="A1199" s="31">
        <v>599</v>
      </c>
      <c r="B1199" s="31">
        <v>44</v>
      </c>
      <c r="C1199" s="225" t="s">
        <v>32</v>
      </c>
      <c r="D1199" s="35">
        <v>30.270242</v>
      </c>
      <c r="E1199" s="33">
        <v>-88.110080999999994</v>
      </c>
      <c r="F1199">
        <v>0</v>
      </c>
      <c r="G1199">
        <f t="shared" si="14"/>
        <v>0</v>
      </c>
      <c r="H1199" s="32" t="s">
        <v>10</v>
      </c>
      <c r="I1199">
        <v>0</v>
      </c>
      <c r="J1199">
        <v>83.110782586073299</v>
      </c>
      <c r="K1199" s="26">
        <v>2014</v>
      </c>
      <c r="L1199" t="s">
        <v>11</v>
      </c>
      <c r="M1199" s="32">
        <v>200</v>
      </c>
      <c r="N1199">
        <v>23.79522055</v>
      </c>
      <c r="O1199">
        <v>5</v>
      </c>
      <c r="P1199" t="s">
        <v>38</v>
      </c>
      <c r="Q1199">
        <v>97.25</v>
      </c>
      <c r="R1199" t="s">
        <v>31</v>
      </c>
      <c r="S1199" t="s">
        <v>21</v>
      </c>
      <c r="T1199" t="s">
        <v>16</v>
      </c>
      <c r="U1199" s="34">
        <v>3</v>
      </c>
      <c r="V1199" s="34">
        <v>6</v>
      </c>
      <c r="W1199" s="25">
        <v>4.5</v>
      </c>
      <c r="X1199" s="25">
        <v>3</v>
      </c>
      <c r="Y1199">
        <v>0.99267945499999999</v>
      </c>
      <c r="Z1199" t="s">
        <v>1119</v>
      </c>
      <c r="AA1199" t="s">
        <v>622</v>
      </c>
      <c r="AB1199">
        <v>3</v>
      </c>
      <c r="AC1199">
        <v>15.170999999999999</v>
      </c>
      <c r="AD1199">
        <v>3.46</v>
      </c>
      <c r="AE1199" t="s">
        <v>519</v>
      </c>
      <c r="AF1199" t="s">
        <v>521</v>
      </c>
      <c r="AG1199" s="32" t="s">
        <v>1630</v>
      </c>
      <c r="AH1199" s="32" t="s">
        <v>671</v>
      </c>
      <c r="AI1199" s="32" t="s">
        <v>1129</v>
      </c>
      <c r="AJ1199" s="31" t="s">
        <v>1130</v>
      </c>
      <c r="AK1199" s="31">
        <v>0.59524549999999998</v>
      </c>
      <c r="AL1199" s="31">
        <v>0.30323549846208908</v>
      </c>
      <c r="AM1199" s="31">
        <v>0.20619380165372714</v>
      </c>
      <c r="AN1199" s="31">
        <v>7.4195944107913583</v>
      </c>
      <c r="AO1199" s="31">
        <v>5.0451691376795802</v>
      </c>
      <c r="AP1199" s="31">
        <v>7.3652789360254111E-3</v>
      </c>
      <c r="AQ1199" s="31">
        <v>5.0082357499745857E-3</v>
      </c>
      <c r="AR1199" s="31">
        <v>0.13341858489683281</v>
      </c>
    </row>
    <row r="1200" spans="1:44" hidden="1" x14ac:dyDescent="0.5">
      <c r="A1200" s="31">
        <v>600</v>
      </c>
      <c r="B1200" s="31">
        <v>44</v>
      </c>
      <c r="C1200" s="225" t="s">
        <v>32</v>
      </c>
      <c r="D1200" s="35">
        <v>30.367984</v>
      </c>
      <c r="E1200" s="33">
        <v>-87.837310000000002</v>
      </c>
      <c r="F1200">
        <v>0</v>
      </c>
      <c r="G1200">
        <f t="shared" si="14"/>
        <v>0</v>
      </c>
      <c r="H1200" s="32" t="s">
        <v>10</v>
      </c>
      <c r="I1200">
        <v>0</v>
      </c>
      <c r="J1200">
        <v>79.769388830418706</v>
      </c>
      <c r="K1200" s="26">
        <v>2014</v>
      </c>
      <c r="L1200" t="s">
        <v>11</v>
      </c>
      <c r="M1200" s="32">
        <v>200</v>
      </c>
      <c r="N1200">
        <v>23.79522055</v>
      </c>
      <c r="O1200">
        <v>5</v>
      </c>
      <c r="P1200" t="s">
        <v>38</v>
      </c>
      <c r="Q1200">
        <v>97.25</v>
      </c>
      <c r="R1200" t="s">
        <v>31</v>
      </c>
      <c r="S1200" t="s">
        <v>21</v>
      </c>
      <c r="T1200" t="s">
        <v>16</v>
      </c>
      <c r="U1200" s="34">
        <v>3</v>
      </c>
      <c r="V1200" s="34">
        <v>6</v>
      </c>
      <c r="W1200" s="25">
        <v>4.5</v>
      </c>
      <c r="X1200" s="25">
        <v>3</v>
      </c>
      <c r="Y1200">
        <v>0.99267945499999999</v>
      </c>
      <c r="Z1200" t="s">
        <v>1119</v>
      </c>
      <c r="AA1200" t="s">
        <v>622</v>
      </c>
      <c r="AB1200">
        <v>3</v>
      </c>
      <c r="AC1200">
        <v>33.706000000000003</v>
      </c>
      <c r="AD1200">
        <v>6.31</v>
      </c>
      <c r="AE1200" t="s">
        <v>519</v>
      </c>
      <c r="AF1200" t="s">
        <v>521</v>
      </c>
      <c r="AG1200" s="32" t="s">
        <v>1631</v>
      </c>
      <c r="AH1200" s="32" t="s">
        <v>671</v>
      </c>
      <c r="AI1200" s="32" t="s">
        <v>1129</v>
      </c>
      <c r="AJ1200" s="31" t="s">
        <v>1130</v>
      </c>
      <c r="AK1200" s="31">
        <v>0.59524549999999998</v>
      </c>
      <c r="AL1200" s="31">
        <v>0.67371008576647418</v>
      </c>
      <c r="AM1200" s="31">
        <v>0.45810877849453102</v>
      </c>
      <c r="AN1200" s="31">
        <v>16.484401108043876</v>
      </c>
      <c r="AO1200" s="31">
        <v>11.209048246959858</v>
      </c>
      <c r="AP1200" s="31">
        <v>1.6363726307934388E-2</v>
      </c>
      <c r="AQ1200" s="31">
        <v>1.1126991904860817E-2</v>
      </c>
      <c r="AR1200" s="31">
        <v>0.13341858489683281</v>
      </c>
    </row>
    <row r="1201" spans="1:44" hidden="1" x14ac:dyDescent="0.5">
      <c r="A1201" s="31">
        <v>601</v>
      </c>
      <c r="B1201" s="31">
        <v>44</v>
      </c>
      <c r="C1201" s="225" t="s">
        <v>32</v>
      </c>
      <c r="D1201" s="35">
        <v>30.540588</v>
      </c>
      <c r="E1201" s="33">
        <v>-87.904145999999997</v>
      </c>
      <c r="F1201">
        <v>0</v>
      </c>
      <c r="G1201">
        <f t="shared" si="14"/>
        <v>0</v>
      </c>
      <c r="H1201" s="32" t="s">
        <v>10</v>
      </c>
      <c r="I1201">
        <v>0</v>
      </c>
      <c r="J1201">
        <v>67.261255242298205</v>
      </c>
      <c r="K1201" s="26">
        <v>2014</v>
      </c>
      <c r="L1201" t="s">
        <v>11</v>
      </c>
      <c r="M1201" s="32">
        <v>200</v>
      </c>
      <c r="N1201">
        <v>23.79522055</v>
      </c>
      <c r="O1201">
        <v>5</v>
      </c>
      <c r="P1201" t="s">
        <v>38</v>
      </c>
      <c r="Q1201">
        <v>97.25</v>
      </c>
      <c r="R1201" t="s">
        <v>31</v>
      </c>
      <c r="S1201" t="s">
        <v>21</v>
      </c>
      <c r="T1201" t="s">
        <v>16</v>
      </c>
      <c r="U1201" s="34">
        <v>3</v>
      </c>
      <c r="V1201" s="34">
        <v>6</v>
      </c>
      <c r="W1201" s="25">
        <v>4.5</v>
      </c>
      <c r="X1201" s="25">
        <v>3</v>
      </c>
      <c r="Y1201">
        <v>0.99267945499999999</v>
      </c>
      <c r="Z1201" t="s">
        <v>1119</v>
      </c>
      <c r="AA1201" t="s">
        <v>622</v>
      </c>
      <c r="AB1201">
        <v>3</v>
      </c>
      <c r="AC1201">
        <v>9.5630000000000006</v>
      </c>
      <c r="AD1201">
        <v>2.895</v>
      </c>
      <c r="AE1201" t="s">
        <v>519</v>
      </c>
      <c r="AF1201" t="s">
        <v>521</v>
      </c>
      <c r="AG1201" s="32" t="s">
        <v>1632</v>
      </c>
      <c r="AH1201" s="32" t="s">
        <v>671</v>
      </c>
      <c r="AI1201" s="32" t="s">
        <v>1129</v>
      </c>
      <c r="AJ1201" s="31" t="s">
        <v>1130</v>
      </c>
      <c r="AK1201" s="31">
        <v>0.59524549999999998</v>
      </c>
      <c r="AL1201" s="31">
        <v>0.19114369994021216</v>
      </c>
      <c r="AM1201" s="31">
        <v>0.12997372125862458</v>
      </c>
      <c r="AN1201" s="31">
        <v>4.6769218476302008</v>
      </c>
      <c r="AO1201" s="31">
        <v>3.1802091136793784</v>
      </c>
      <c r="AP1201" s="31">
        <v>4.6426842307831411E-3</v>
      </c>
      <c r="AQ1201" s="31">
        <v>3.1569282497532782E-3</v>
      </c>
      <c r="AR1201" s="31">
        <v>0.13341858489683281</v>
      </c>
    </row>
    <row r="1202" spans="1:44" hidden="1" x14ac:dyDescent="0.5">
      <c r="A1202" s="31">
        <v>602</v>
      </c>
      <c r="B1202" s="31">
        <v>44</v>
      </c>
      <c r="C1202" s="225" t="s">
        <v>32</v>
      </c>
      <c r="D1202" s="35">
        <v>30.564565000000002</v>
      </c>
      <c r="E1202" s="33">
        <v>-88.085801000000004</v>
      </c>
      <c r="F1202">
        <v>0</v>
      </c>
      <c r="G1202">
        <f t="shared" si="14"/>
        <v>0</v>
      </c>
      <c r="H1202" s="32" t="s">
        <v>10</v>
      </c>
      <c r="I1202">
        <v>0</v>
      </c>
      <c r="J1202">
        <v>64.321579235127501</v>
      </c>
      <c r="K1202" s="26">
        <v>2014</v>
      </c>
      <c r="L1202" t="s">
        <v>11</v>
      </c>
      <c r="M1202" s="32">
        <v>200</v>
      </c>
      <c r="N1202">
        <v>23.79522055</v>
      </c>
      <c r="O1202">
        <v>5</v>
      </c>
      <c r="P1202" t="s">
        <v>38</v>
      </c>
      <c r="Q1202">
        <v>97.25</v>
      </c>
      <c r="R1202" t="s">
        <v>31</v>
      </c>
      <c r="S1202" t="s">
        <v>21</v>
      </c>
      <c r="T1202" t="s">
        <v>16</v>
      </c>
      <c r="U1202" s="34">
        <v>3</v>
      </c>
      <c r="V1202" s="34">
        <v>6</v>
      </c>
      <c r="W1202" s="25">
        <v>4.5</v>
      </c>
      <c r="X1202" s="25">
        <v>3</v>
      </c>
      <c r="Y1202">
        <v>0.99267945499999999</v>
      </c>
      <c r="Z1202" t="s">
        <v>1119</v>
      </c>
      <c r="AA1202" t="s">
        <v>622</v>
      </c>
      <c r="AB1202">
        <v>3</v>
      </c>
      <c r="AC1202">
        <v>6.4980000000000002</v>
      </c>
      <c r="AD1202">
        <v>0.95499999999999996</v>
      </c>
      <c r="AE1202" t="s">
        <v>519</v>
      </c>
      <c r="AF1202" t="s">
        <v>521</v>
      </c>
      <c r="AG1202" s="32" t="s">
        <v>1633</v>
      </c>
      <c r="AH1202" s="32" t="s">
        <v>671</v>
      </c>
      <c r="AI1202" s="32" t="s">
        <v>1129</v>
      </c>
      <c r="AJ1202" s="31" t="s">
        <v>1130</v>
      </c>
      <c r="AK1202" s="31">
        <v>0.59524549999999998</v>
      </c>
      <c r="AL1202" s="31">
        <v>0.12988097482081967</v>
      </c>
      <c r="AM1202" s="31">
        <v>8.8316348503455239E-2</v>
      </c>
      <c r="AN1202" s="31">
        <v>3.1779397852034972</v>
      </c>
      <c r="AO1202" s="31">
        <v>2.1609326383654293</v>
      </c>
      <c r="AP1202" s="31">
        <v>3.1546755339986244E-3</v>
      </c>
      <c r="AQ1202" s="31">
        <v>2.1451134337443062E-3</v>
      </c>
      <c r="AR1202" s="31">
        <v>0.13341858489683281</v>
      </c>
    </row>
    <row r="1203" spans="1:44" hidden="1" x14ac:dyDescent="0.5">
      <c r="A1203" s="31">
        <v>603</v>
      </c>
      <c r="B1203" s="31">
        <v>44</v>
      </c>
      <c r="C1203" s="225" t="s">
        <v>32</v>
      </c>
      <c r="D1203" s="35">
        <v>30.685278</v>
      </c>
      <c r="E1203" s="33">
        <v>-87.986557000000005</v>
      </c>
      <c r="F1203">
        <v>0</v>
      </c>
      <c r="G1203">
        <f t="shared" si="14"/>
        <v>0</v>
      </c>
      <c r="H1203" s="32" t="s">
        <v>10</v>
      </c>
      <c r="I1203">
        <v>0</v>
      </c>
      <c r="J1203">
        <v>59.3891733817876</v>
      </c>
      <c r="K1203" s="26">
        <v>2014</v>
      </c>
      <c r="L1203" t="s">
        <v>11</v>
      </c>
      <c r="M1203" s="32">
        <v>200</v>
      </c>
      <c r="N1203">
        <v>23.79522055</v>
      </c>
      <c r="O1203">
        <v>5</v>
      </c>
      <c r="P1203" t="s">
        <v>38</v>
      </c>
      <c r="Q1203">
        <v>97.25</v>
      </c>
      <c r="R1203" t="s">
        <v>31</v>
      </c>
      <c r="S1203" t="s">
        <v>21</v>
      </c>
      <c r="T1203" t="s">
        <v>16</v>
      </c>
      <c r="U1203" s="34">
        <v>3</v>
      </c>
      <c r="V1203" s="34">
        <v>6</v>
      </c>
      <c r="W1203" s="25">
        <v>4.5</v>
      </c>
      <c r="X1203" s="25">
        <v>3</v>
      </c>
      <c r="Y1203">
        <v>0.99267945499999999</v>
      </c>
      <c r="Z1203" t="s">
        <v>1119</v>
      </c>
      <c r="AA1203" t="s">
        <v>622</v>
      </c>
      <c r="AB1203">
        <v>3</v>
      </c>
      <c r="AC1203">
        <v>20.728000000000002</v>
      </c>
      <c r="AD1203">
        <v>11.035</v>
      </c>
      <c r="AE1203" t="s">
        <v>519</v>
      </c>
      <c r="AF1203" t="s">
        <v>521</v>
      </c>
      <c r="AG1203" s="32" t="s">
        <v>1634</v>
      </c>
      <c r="AH1203" s="32" t="s">
        <v>671</v>
      </c>
      <c r="AI1203" s="32" t="s">
        <v>1129</v>
      </c>
      <c r="AJ1203" s="31" t="s">
        <v>1130</v>
      </c>
      <c r="AK1203" s="31">
        <v>0.59524549999999998</v>
      </c>
      <c r="AL1203" s="31">
        <v>0.41430791721852112</v>
      </c>
      <c r="AM1203" s="31">
        <v>0.28172072511228374</v>
      </c>
      <c r="AN1203" s="31">
        <v>10.137324694936609</v>
      </c>
      <c r="AO1203" s="31">
        <v>6.8931689332161596</v>
      </c>
      <c r="AP1203" s="31">
        <v>1.0063113953327716E-2</v>
      </c>
      <c r="AQ1203" s="31">
        <v>6.842707179847949E-3</v>
      </c>
      <c r="AR1203" s="31">
        <v>0.13341858489683281</v>
      </c>
    </row>
    <row r="1204" spans="1:44" hidden="1" x14ac:dyDescent="0.5">
      <c r="A1204" s="31">
        <v>620</v>
      </c>
      <c r="B1204" s="31">
        <v>47</v>
      </c>
      <c r="C1204" s="225" t="s">
        <v>25</v>
      </c>
      <c r="D1204" s="35">
        <v>-34.332452000000004</v>
      </c>
      <c r="E1204" s="33">
        <v>18.436437999999999</v>
      </c>
      <c r="F1204">
        <v>0</v>
      </c>
      <c r="G1204">
        <f t="shared" si="14"/>
        <v>0</v>
      </c>
      <c r="H1204" s="32" t="s">
        <v>10</v>
      </c>
      <c r="I1204">
        <v>0</v>
      </c>
      <c r="J1204">
        <v>588.73270161143103</v>
      </c>
      <c r="K1204" s="26">
        <v>2014</v>
      </c>
      <c r="L1204" t="s">
        <v>11</v>
      </c>
      <c r="M1204" s="32">
        <v>65</v>
      </c>
      <c r="N1204">
        <v>7.2453993929999996</v>
      </c>
      <c r="O1204">
        <v>5</v>
      </c>
      <c r="P1204" t="s">
        <v>12</v>
      </c>
      <c r="Q1204">
        <v>89</v>
      </c>
      <c r="R1204" t="s">
        <v>13</v>
      </c>
      <c r="S1204" t="s">
        <v>16</v>
      </c>
      <c r="T1204" t="s">
        <v>14</v>
      </c>
      <c r="U1204" s="34">
        <v>0</v>
      </c>
      <c r="V1204" s="34">
        <v>5</v>
      </c>
      <c r="W1204" s="25">
        <v>2.5</v>
      </c>
      <c r="X1204" s="25">
        <v>5</v>
      </c>
      <c r="Y1204">
        <v>0.75283199000000001</v>
      </c>
      <c r="Z1204" t="s">
        <v>776</v>
      </c>
      <c r="AA1204" t="s">
        <v>636</v>
      </c>
      <c r="AB1204">
        <v>3</v>
      </c>
      <c r="AC1204">
        <v>1029.99</v>
      </c>
      <c r="AD1204">
        <v>51.191000000000003</v>
      </c>
      <c r="AE1204" t="s">
        <v>525</v>
      </c>
      <c r="AF1204" t="s">
        <v>521</v>
      </c>
      <c r="AG1204" s="32" t="s">
        <v>1647</v>
      </c>
      <c r="AH1204" s="32" t="s">
        <v>1133</v>
      </c>
      <c r="AI1204" s="32" t="s">
        <v>1648</v>
      </c>
      <c r="AJ1204" s="31" t="s">
        <v>2973</v>
      </c>
      <c r="AK1204" s="31">
        <v>0.96</v>
      </c>
      <c r="AL1204" s="31">
        <v>26.268554289251178</v>
      </c>
      <c r="AM1204" s="31">
        <v>1.0945230953854654</v>
      </c>
      <c r="AN1204" s="31">
        <v>213.84962618239106</v>
      </c>
      <c r="AO1204" s="31">
        <v>8.9104010909329574</v>
      </c>
      <c r="AP1204" s="31">
        <v>0.16099283963964556</v>
      </c>
      <c r="AQ1204" s="31">
        <v>6.7080349849852295E-3</v>
      </c>
      <c r="AR1204" s="31">
        <v>0.13341858489683281</v>
      </c>
    </row>
    <row r="1205" spans="1:44" hidden="1" x14ac:dyDescent="0.5">
      <c r="A1205" s="31">
        <v>621</v>
      </c>
      <c r="B1205" s="31">
        <v>47</v>
      </c>
      <c r="C1205" s="225" t="s">
        <v>25</v>
      </c>
      <c r="D1205" s="35">
        <v>-34.207382000000003</v>
      </c>
      <c r="E1205" s="33">
        <v>22.031687999999999</v>
      </c>
      <c r="F1205">
        <v>0</v>
      </c>
      <c r="G1205">
        <f t="shared" si="14"/>
        <v>0</v>
      </c>
      <c r="H1205" s="32" t="s">
        <v>10</v>
      </c>
      <c r="I1205">
        <v>0</v>
      </c>
      <c r="J1205">
        <v>30.758114014137501</v>
      </c>
      <c r="K1205" s="26">
        <v>2014</v>
      </c>
      <c r="L1205" t="s">
        <v>11</v>
      </c>
      <c r="M1205" s="32">
        <v>65</v>
      </c>
      <c r="N1205">
        <v>7.2453993929999996</v>
      </c>
      <c r="O1205">
        <v>5</v>
      </c>
      <c r="P1205" t="s">
        <v>12</v>
      </c>
      <c r="Q1205">
        <v>89</v>
      </c>
      <c r="R1205" t="s">
        <v>13</v>
      </c>
      <c r="S1205" t="s">
        <v>16</v>
      </c>
      <c r="T1205" t="s">
        <v>14</v>
      </c>
      <c r="U1205" s="34">
        <v>0</v>
      </c>
      <c r="V1205" s="34">
        <v>5</v>
      </c>
      <c r="W1205" s="25">
        <v>2.5</v>
      </c>
      <c r="X1205" s="25">
        <v>5</v>
      </c>
      <c r="Y1205">
        <v>2.1577600669999999</v>
      </c>
      <c r="Z1205" t="s">
        <v>776</v>
      </c>
      <c r="AA1205" t="s">
        <v>636</v>
      </c>
      <c r="AB1205">
        <v>3</v>
      </c>
      <c r="AC1205">
        <v>1449.338</v>
      </c>
      <c r="AD1205">
        <v>1675.0809999999999</v>
      </c>
      <c r="AE1205" t="s">
        <v>525</v>
      </c>
      <c r="AF1205" t="s">
        <v>521</v>
      </c>
      <c r="AG1205" s="32" t="s">
        <v>1649</v>
      </c>
      <c r="AH1205" s="32">
        <v>1</v>
      </c>
      <c r="AI1205" s="32" t="s">
        <v>1649</v>
      </c>
      <c r="AJ1205" s="31">
        <v>0</v>
      </c>
      <c r="AK1205" s="31">
        <v>1</v>
      </c>
      <c r="AL1205" s="31">
        <v>13.433727152204266</v>
      </c>
      <c r="AM1205" s="31">
        <v>0</v>
      </c>
      <c r="AN1205" s="31">
        <v>109.36260511720045</v>
      </c>
      <c r="AO1205" s="31">
        <v>0</v>
      </c>
      <c r="AP1205" s="31">
        <v>0.23597826214498496</v>
      </c>
      <c r="AQ1205" s="31">
        <v>0</v>
      </c>
      <c r="AR1205" s="31">
        <v>0.13341858489683281</v>
      </c>
    </row>
    <row r="1206" spans="1:44" hidden="1" x14ac:dyDescent="0.5">
      <c r="A1206" s="31">
        <v>622</v>
      </c>
      <c r="B1206" s="31">
        <v>47</v>
      </c>
      <c r="C1206" s="225" t="s">
        <v>25</v>
      </c>
      <c r="D1206" s="35">
        <v>-34.205669</v>
      </c>
      <c r="E1206" s="33">
        <v>22.047446999999998</v>
      </c>
      <c r="F1206">
        <v>0</v>
      </c>
      <c r="G1206">
        <f t="shared" si="14"/>
        <v>0</v>
      </c>
      <c r="H1206" s="32" t="s">
        <v>10</v>
      </c>
      <c r="I1206">
        <v>0</v>
      </c>
      <c r="J1206">
        <v>30.815953343439698</v>
      </c>
      <c r="K1206" s="26">
        <v>2014</v>
      </c>
      <c r="L1206" t="s">
        <v>11</v>
      </c>
      <c r="M1206" s="32">
        <v>65</v>
      </c>
      <c r="N1206">
        <v>7.2453993929999996</v>
      </c>
      <c r="O1206">
        <v>5</v>
      </c>
      <c r="P1206" t="s">
        <v>12</v>
      </c>
      <c r="Q1206">
        <v>89</v>
      </c>
      <c r="R1206" t="s">
        <v>13</v>
      </c>
      <c r="S1206" t="s">
        <v>16</v>
      </c>
      <c r="T1206" t="s">
        <v>14</v>
      </c>
      <c r="U1206" s="34">
        <v>0</v>
      </c>
      <c r="V1206" s="34">
        <v>5</v>
      </c>
      <c r="W1206" s="25">
        <v>2.5</v>
      </c>
      <c r="X1206" s="25">
        <v>5</v>
      </c>
      <c r="Y1206">
        <v>2.1577600669999999</v>
      </c>
      <c r="Z1206" t="s">
        <v>776</v>
      </c>
      <c r="AA1206" t="s">
        <v>636</v>
      </c>
      <c r="AB1206">
        <v>3</v>
      </c>
      <c r="AC1206">
        <v>1479.36</v>
      </c>
      <c r="AD1206">
        <v>1191.6489999999999</v>
      </c>
      <c r="AE1206" t="s">
        <v>525</v>
      </c>
      <c r="AF1206" t="s">
        <v>521</v>
      </c>
      <c r="AG1206" s="32" t="s">
        <v>1650</v>
      </c>
      <c r="AH1206" s="32" t="s">
        <v>1447</v>
      </c>
      <c r="AI1206" s="32" t="s">
        <v>1651</v>
      </c>
      <c r="AJ1206" s="31" t="s">
        <v>2974</v>
      </c>
      <c r="AK1206" s="31">
        <v>0.97</v>
      </c>
      <c r="AL1206" s="31">
        <v>13.300637285359493</v>
      </c>
      <c r="AM1206" s="31">
        <v>0.41135991604204669</v>
      </c>
      <c r="AN1206" s="31">
        <v>108.27913406051329</v>
      </c>
      <c r="AO1206" s="31">
        <v>3.3488391977478384</v>
      </c>
      <c r="AP1206" s="31">
        <v>0.23364039156511512</v>
      </c>
      <c r="AQ1206" s="31">
        <v>7.2259914917046026E-3</v>
      </c>
      <c r="AR1206" s="31">
        <v>0.13341858489683281</v>
      </c>
    </row>
    <row r="1207" spans="1:44" hidden="1" x14ac:dyDescent="0.5">
      <c r="A1207" s="31">
        <v>623</v>
      </c>
      <c r="B1207" s="31">
        <v>47</v>
      </c>
      <c r="C1207" s="225" t="s">
        <v>25</v>
      </c>
      <c r="D1207" s="35">
        <v>-34.172763000000003</v>
      </c>
      <c r="E1207" s="33">
        <v>24.651803000000001</v>
      </c>
      <c r="F1207">
        <v>0</v>
      </c>
      <c r="G1207">
        <f t="shared" si="14"/>
        <v>0</v>
      </c>
      <c r="H1207" s="32" t="s">
        <v>10</v>
      </c>
      <c r="I1207">
        <v>0</v>
      </c>
      <c r="J1207">
        <v>86.2041580458353</v>
      </c>
      <c r="K1207" s="26">
        <v>2014</v>
      </c>
      <c r="L1207" t="s">
        <v>11</v>
      </c>
      <c r="M1207" s="32">
        <v>65</v>
      </c>
      <c r="N1207">
        <v>7.2453993929999996</v>
      </c>
      <c r="O1207">
        <v>5</v>
      </c>
      <c r="P1207" t="s">
        <v>12</v>
      </c>
      <c r="Q1207">
        <v>89</v>
      </c>
      <c r="R1207" t="s">
        <v>13</v>
      </c>
      <c r="S1207" t="s">
        <v>16</v>
      </c>
      <c r="T1207" t="s">
        <v>14</v>
      </c>
      <c r="U1207" s="34">
        <v>0</v>
      </c>
      <c r="V1207" s="34">
        <v>5</v>
      </c>
      <c r="W1207" s="25">
        <v>2.5</v>
      </c>
      <c r="X1207" s="25">
        <v>5</v>
      </c>
      <c r="Y1207">
        <v>1.3919760750000001</v>
      </c>
      <c r="Z1207" t="s">
        <v>776</v>
      </c>
      <c r="AA1207" t="s">
        <v>636</v>
      </c>
      <c r="AB1207">
        <v>3</v>
      </c>
      <c r="AC1207">
        <v>2650.8009999999999</v>
      </c>
      <c r="AD1207">
        <v>374.50700000000001</v>
      </c>
      <c r="AE1207" t="s">
        <v>525</v>
      </c>
      <c r="AF1207" t="s">
        <v>521</v>
      </c>
      <c r="AG1207" s="32" t="s">
        <v>1652</v>
      </c>
      <c r="AH1207" s="32" t="s">
        <v>1579</v>
      </c>
      <c r="AI1207" s="32" t="s">
        <v>1653</v>
      </c>
      <c r="AJ1207" s="31" t="s">
        <v>2975</v>
      </c>
      <c r="AK1207" s="31">
        <v>0.98</v>
      </c>
      <c r="AL1207" s="31">
        <v>37.325138364896105</v>
      </c>
      <c r="AM1207" s="31">
        <v>0.76173751765094266</v>
      </c>
      <c r="AN1207" s="31">
        <v>303.86015151984185</v>
      </c>
      <c r="AO1207" s="31">
        <v>6.2012275820376024</v>
      </c>
      <c r="AP1207" s="31">
        <v>0.42296606106149476</v>
      </c>
      <c r="AQ1207" s="31">
        <v>8.6319604298264428E-3</v>
      </c>
      <c r="AR1207" s="31">
        <v>0.13341858489683281</v>
      </c>
    </row>
    <row r="1208" spans="1:44" hidden="1" x14ac:dyDescent="0.5">
      <c r="A1208" s="31">
        <v>624</v>
      </c>
      <c r="B1208" s="31">
        <v>47</v>
      </c>
      <c r="C1208" s="225" t="s">
        <v>25</v>
      </c>
      <c r="D1208" s="35">
        <v>-34.165095999999998</v>
      </c>
      <c r="E1208" s="33">
        <v>24.831704999999999</v>
      </c>
      <c r="F1208">
        <v>0</v>
      </c>
      <c r="G1208">
        <f t="shared" si="14"/>
        <v>0</v>
      </c>
      <c r="H1208" s="32" t="s">
        <v>10</v>
      </c>
      <c r="I1208">
        <v>0</v>
      </c>
      <c r="J1208">
        <v>102.577614286112</v>
      </c>
      <c r="K1208" s="26">
        <v>2014</v>
      </c>
      <c r="L1208" t="s">
        <v>11</v>
      </c>
      <c r="M1208" s="32">
        <v>65</v>
      </c>
      <c r="N1208">
        <v>7.2453993929999996</v>
      </c>
      <c r="O1208">
        <v>5</v>
      </c>
      <c r="P1208" t="s">
        <v>12</v>
      </c>
      <c r="Q1208">
        <v>89</v>
      </c>
      <c r="R1208" t="s">
        <v>13</v>
      </c>
      <c r="S1208" t="s">
        <v>16</v>
      </c>
      <c r="T1208" t="s">
        <v>14</v>
      </c>
      <c r="U1208" s="34">
        <v>0</v>
      </c>
      <c r="V1208" s="34">
        <v>5</v>
      </c>
      <c r="W1208" s="25">
        <v>2.5</v>
      </c>
      <c r="X1208" s="25">
        <v>5</v>
      </c>
      <c r="Y1208">
        <v>1.6364102199999999</v>
      </c>
      <c r="Z1208" t="s">
        <v>776</v>
      </c>
      <c r="AA1208" t="s">
        <v>636</v>
      </c>
      <c r="AB1208">
        <v>3</v>
      </c>
      <c r="AC1208">
        <v>1203.58</v>
      </c>
      <c r="AD1208">
        <v>53.308999999999997</v>
      </c>
      <c r="AE1208" t="s">
        <v>525</v>
      </c>
      <c r="AF1208" t="s">
        <v>521</v>
      </c>
      <c r="AG1208" s="32" t="s">
        <v>1654</v>
      </c>
      <c r="AH1208" s="32" t="s">
        <v>1336</v>
      </c>
      <c r="AI1208" s="32" t="s">
        <v>1655</v>
      </c>
      <c r="AJ1208" s="31" t="s">
        <v>2976</v>
      </c>
      <c r="AK1208" s="31">
        <v>0.94</v>
      </c>
      <c r="AL1208" s="31">
        <v>13.827403253445825</v>
      </c>
      <c r="AM1208" s="31">
        <v>0.88260020766675495</v>
      </c>
      <c r="AN1208" s="31">
        <v>112.56748217896921</v>
      </c>
      <c r="AO1208" s="31">
        <v>7.1851584369554828</v>
      </c>
      <c r="AP1208" s="31">
        <v>0.18420657827733308</v>
      </c>
      <c r="AQ1208" s="31">
        <v>1.1757866698553178E-2</v>
      </c>
      <c r="AR1208" s="31">
        <v>0.13341858489683281</v>
      </c>
    </row>
    <row r="1209" spans="1:44" hidden="1" x14ac:dyDescent="0.5">
      <c r="A1209" s="31">
        <v>625</v>
      </c>
      <c r="B1209" s="31">
        <v>47</v>
      </c>
      <c r="C1209" s="225" t="s">
        <v>25</v>
      </c>
      <c r="D1209" s="35">
        <v>-34.126613999999996</v>
      </c>
      <c r="E1209" s="33">
        <v>22.118977999999998</v>
      </c>
      <c r="F1209">
        <v>0</v>
      </c>
      <c r="G1209">
        <f t="shared" si="14"/>
        <v>0</v>
      </c>
      <c r="H1209" s="32" t="s">
        <v>10</v>
      </c>
      <c r="I1209">
        <v>0</v>
      </c>
      <c r="J1209">
        <v>31.7331916192508</v>
      </c>
      <c r="K1209" s="26">
        <v>2014</v>
      </c>
      <c r="L1209" t="s">
        <v>11</v>
      </c>
      <c r="M1209" s="32">
        <v>65</v>
      </c>
      <c r="N1209">
        <v>7.2453993929999996</v>
      </c>
      <c r="O1209">
        <v>5</v>
      </c>
      <c r="P1209" t="s">
        <v>12</v>
      </c>
      <c r="Q1209">
        <v>89</v>
      </c>
      <c r="R1209" t="s">
        <v>13</v>
      </c>
      <c r="S1209" t="s">
        <v>16</v>
      </c>
      <c r="T1209" t="s">
        <v>14</v>
      </c>
      <c r="U1209" s="34">
        <v>0</v>
      </c>
      <c r="V1209" s="34">
        <v>5</v>
      </c>
      <c r="W1209" s="25">
        <v>2.5</v>
      </c>
      <c r="X1209" s="25">
        <v>5</v>
      </c>
      <c r="Y1209">
        <v>1.3919760750000001</v>
      </c>
      <c r="Z1209" t="s">
        <v>776</v>
      </c>
      <c r="AA1209" t="s">
        <v>636</v>
      </c>
      <c r="AB1209">
        <v>3</v>
      </c>
      <c r="AC1209">
        <v>1733.778</v>
      </c>
      <c r="AD1209">
        <v>1454.7270000000001</v>
      </c>
      <c r="AE1209" t="s">
        <v>525</v>
      </c>
      <c r="AF1209" t="s">
        <v>521</v>
      </c>
      <c r="AG1209" s="32" t="s">
        <v>1656</v>
      </c>
      <c r="AH1209" s="32" t="s">
        <v>1579</v>
      </c>
      <c r="AI1209" s="32" t="s">
        <v>1657</v>
      </c>
      <c r="AJ1209" s="31" t="s">
        <v>2977</v>
      </c>
      <c r="AK1209" s="31">
        <v>0.98</v>
      </c>
      <c r="AL1209" s="31">
        <v>24.412810974498971</v>
      </c>
      <c r="AM1209" s="31">
        <v>0.49822063213263235</v>
      </c>
      <c r="AN1209" s="31">
        <v>198.74220878208828</v>
      </c>
      <c r="AO1209" s="31">
        <v>4.0559634445324164</v>
      </c>
      <c r="AP1209" s="31">
        <v>0.2766443997173218</v>
      </c>
      <c r="AQ1209" s="31">
        <v>5.6458040758637137E-3</v>
      </c>
      <c r="AR1209" s="31">
        <v>0.13341858489683281</v>
      </c>
    </row>
    <row r="1210" spans="1:44" hidden="1" x14ac:dyDescent="0.5">
      <c r="A1210" s="31">
        <v>626</v>
      </c>
      <c r="B1210" s="31">
        <v>47</v>
      </c>
      <c r="C1210" s="225" t="s">
        <v>25</v>
      </c>
      <c r="D1210" s="35">
        <v>-34.105798999999998</v>
      </c>
      <c r="E1210" s="33">
        <v>23.389247999999998</v>
      </c>
      <c r="F1210">
        <v>0</v>
      </c>
      <c r="G1210">
        <f t="shared" si="14"/>
        <v>0</v>
      </c>
      <c r="H1210" s="32" t="s">
        <v>10</v>
      </c>
      <c r="I1210">
        <v>0</v>
      </c>
      <c r="J1210">
        <v>27.256933995682299</v>
      </c>
      <c r="K1210" s="26">
        <v>2014</v>
      </c>
      <c r="L1210" t="s">
        <v>11</v>
      </c>
      <c r="M1210" s="32">
        <v>65</v>
      </c>
      <c r="N1210">
        <v>7.2453993929999996</v>
      </c>
      <c r="O1210">
        <v>5</v>
      </c>
      <c r="P1210" t="s">
        <v>12</v>
      </c>
      <c r="Q1210">
        <v>89</v>
      </c>
      <c r="R1210" t="s">
        <v>13</v>
      </c>
      <c r="S1210" t="s">
        <v>16</v>
      </c>
      <c r="T1210" t="s">
        <v>14</v>
      </c>
      <c r="U1210" s="34">
        <v>0</v>
      </c>
      <c r="V1210" s="34">
        <v>5</v>
      </c>
      <c r="W1210" s="25">
        <v>2.5</v>
      </c>
      <c r="X1210" s="25">
        <v>5</v>
      </c>
      <c r="Y1210">
        <v>1.6364102199999999</v>
      </c>
      <c r="Z1210" t="s">
        <v>776</v>
      </c>
      <c r="AA1210" t="s">
        <v>636</v>
      </c>
      <c r="AB1210">
        <v>3</v>
      </c>
      <c r="AC1210">
        <v>1391.2180000000001</v>
      </c>
      <c r="AD1210">
        <v>872.75900000000001</v>
      </c>
      <c r="AE1210" t="s">
        <v>525</v>
      </c>
      <c r="AF1210" t="s">
        <v>521</v>
      </c>
      <c r="AG1210" s="32" t="s">
        <v>1658</v>
      </c>
      <c r="AH1210" s="32" t="s">
        <v>1579</v>
      </c>
      <c r="AI1210" s="32" t="s">
        <v>1659</v>
      </c>
      <c r="AJ1210" s="31" t="s">
        <v>2978</v>
      </c>
      <c r="AK1210" s="31">
        <v>0.98</v>
      </c>
      <c r="AL1210" s="31">
        <v>16.663225679438742</v>
      </c>
      <c r="AM1210" s="31">
        <v>0.34006583019262848</v>
      </c>
      <c r="AN1210" s="31">
        <v>135.653623846323</v>
      </c>
      <c r="AO1210" s="31">
        <v>2.7684413029861927</v>
      </c>
      <c r="AP1210" s="31">
        <v>0.22198497644215867</v>
      </c>
      <c r="AQ1210" s="31">
        <v>4.5303056416767214E-3</v>
      </c>
      <c r="AR1210" s="31">
        <v>0.13341858489683281</v>
      </c>
    </row>
    <row r="1211" spans="1:44" hidden="1" x14ac:dyDescent="0.5">
      <c r="A1211" s="31">
        <v>627</v>
      </c>
      <c r="B1211" s="31">
        <v>47</v>
      </c>
      <c r="C1211" s="225" t="s">
        <v>25</v>
      </c>
      <c r="D1211" s="35">
        <v>-34.090975999999998</v>
      </c>
      <c r="E1211" s="33">
        <v>22.149398000000001</v>
      </c>
      <c r="F1211">
        <v>0</v>
      </c>
      <c r="G1211">
        <f t="shared" si="14"/>
        <v>0</v>
      </c>
      <c r="H1211" s="32" t="s">
        <v>10</v>
      </c>
      <c r="I1211">
        <v>0</v>
      </c>
      <c r="J1211">
        <v>31.0057800755953</v>
      </c>
      <c r="K1211" s="26">
        <v>2014</v>
      </c>
      <c r="L1211" t="s">
        <v>11</v>
      </c>
      <c r="M1211" s="32">
        <v>65</v>
      </c>
      <c r="N1211">
        <v>7.2453993929999996</v>
      </c>
      <c r="O1211">
        <v>5</v>
      </c>
      <c r="P1211" t="s">
        <v>12</v>
      </c>
      <c r="Q1211">
        <v>89</v>
      </c>
      <c r="R1211" t="s">
        <v>13</v>
      </c>
      <c r="S1211" t="s">
        <v>16</v>
      </c>
      <c r="T1211" t="s">
        <v>14</v>
      </c>
      <c r="U1211" s="34">
        <v>0</v>
      </c>
      <c r="V1211" s="34">
        <v>5</v>
      </c>
      <c r="W1211" s="25">
        <v>2.5</v>
      </c>
      <c r="X1211" s="25">
        <v>5</v>
      </c>
      <c r="Y1211">
        <v>1.6364102199999999</v>
      </c>
      <c r="Z1211" t="s">
        <v>776</v>
      </c>
      <c r="AA1211" t="s">
        <v>636</v>
      </c>
      <c r="AB1211">
        <v>3</v>
      </c>
      <c r="AC1211">
        <v>1344.645</v>
      </c>
      <c r="AD1211">
        <v>96.031999999999996</v>
      </c>
      <c r="AE1211" t="s">
        <v>525</v>
      </c>
      <c r="AF1211" t="s">
        <v>521</v>
      </c>
      <c r="AG1211" s="32" t="s">
        <v>1660</v>
      </c>
      <c r="AH1211" s="32" t="s">
        <v>1447</v>
      </c>
      <c r="AI1211" s="32" t="s">
        <v>1661</v>
      </c>
      <c r="AJ1211" s="31" t="s">
        <v>2979</v>
      </c>
      <c r="AK1211" s="31">
        <v>0.97</v>
      </c>
      <c r="AL1211" s="31">
        <v>15.941059693455104</v>
      </c>
      <c r="AM1211" s="31">
        <v>0.49302246474603528</v>
      </c>
      <c r="AN1211" s="31">
        <v>129.77454407498468</v>
      </c>
      <c r="AO1211" s="31">
        <v>4.0136456930407727</v>
      </c>
      <c r="AP1211" s="31">
        <v>0.21236439022014536</v>
      </c>
      <c r="AQ1211" s="31">
        <v>6.567970831550903E-3</v>
      </c>
      <c r="AR1211" s="31">
        <v>0.13341858489683281</v>
      </c>
    </row>
    <row r="1212" spans="1:44" hidden="1" x14ac:dyDescent="0.5">
      <c r="A1212" s="31">
        <v>628</v>
      </c>
      <c r="B1212" s="31">
        <v>47</v>
      </c>
      <c r="C1212" s="225" t="s">
        <v>25</v>
      </c>
      <c r="D1212" s="35">
        <v>-34.087283999999997</v>
      </c>
      <c r="E1212" s="33">
        <v>24.908245000000001</v>
      </c>
      <c r="F1212">
        <v>0</v>
      </c>
      <c r="G1212">
        <f t="shared" si="14"/>
        <v>0</v>
      </c>
      <c r="H1212" s="32" t="s">
        <v>10</v>
      </c>
      <c r="I1212">
        <v>0</v>
      </c>
      <c r="J1212">
        <v>96.052543673117896</v>
      </c>
      <c r="K1212" s="26">
        <v>2014</v>
      </c>
      <c r="L1212" t="s">
        <v>11</v>
      </c>
      <c r="M1212" s="32">
        <v>65</v>
      </c>
      <c r="N1212">
        <v>7.2453993929999996</v>
      </c>
      <c r="O1212">
        <v>5</v>
      </c>
      <c r="P1212" t="s">
        <v>12</v>
      </c>
      <c r="Q1212">
        <v>89</v>
      </c>
      <c r="R1212" t="s">
        <v>13</v>
      </c>
      <c r="S1212" t="s">
        <v>16</v>
      </c>
      <c r="T1212" t="s">
        <v>14</v>
      </c>
      <c r="U1212" s="34">
        <v>0</v>
      </c>
      <c r="V1212" s="34">
        <v>5</v>
      </c>
      <c r="W1212" s="25">
        <v>2.5</v>
      </c>
      <c r="X1212" s="25">
        <v>5</v>
      </c>
      <c r="Y1212">
        <v>1.6364102199999999</v>
      </c>
      <c r="Z1212" t="s">
        <v>776</v>
      </c>
      <c r="AA1212" t="s">
        <v>636</v>
      </c>
      <c r="AB1212">
        <v>3</v>
      </c>
      <c r="AC1212">
        <v>741.12300000000005</v>
      </c>
      <c r="AD1212">
        <v>528.46699999999998</v>
      </c>
      <c r="AE1212" t="s">
        <v>525</v>
      </c>
      <c r="AF1212" t="s">
        <v>521</v>
      </c>
      <c r="AG1212" s="32" t="s">
        <v>1662</v>
      </c>
      <c r="AH1212" s="32" t="s">
        <v>1579</v>
      </c>
      <c r="AI1212" s="32" t="s">
        <v>1663</v>
      </c>
      <c r="AJ1212" s="31" t="s">
        <v>2980</v>
      </c>
      <c r="AK1212" s="31">
        <v>0.98</v>
      </c>
      <c r="AL1212" s="31">
        <v>8.8767538985426295</v>
      </c>
      <c r="AM1212" s="31">
        <v>0.18115824282740078</v>
      </c>
      <c r="AN1212" s="31">
        <v>72.264749784619269</v>
      </c>
      <c r="AO1212" s="31">
        <v>1.4747908119310071</v>
      </c>
      <c r="AP1212" s="31">
        <v>0.11825477509329378</v>
      </c>
      <c r="AQ1212" s="31">
        <v>2.4133627570059979E-3</v>
      </c>
      <c r="AR1212" s="31">
        <v>0.13341858489683281</v>
      </c>
    </row>
    <row r="1213" spans="1:44" hidden="1" x14ac:dyDescent="0.5">
      <c r="A1213" s="31">
        <v>629</v>
      </c>
      <c r="B1213" s="31">
        <v>47</v>
      </c>
      <c r="C1213" s="225" t="s">
        <v>25</v>
      </c>
      <c r="D1213" s="35">
        <v>-34.085875999999999</v>
      </c>
      <c r="E1213" s="33">
        <v>22.968450000000001</v>
      </c>
      <c r="F1213">
        <v>0</v>
      </c>
      <c r="G1213">
        <f t="shared" si="14"/>
        <v>0</v>
      </c>
      <c r="H1213" s="32" t="s">
        <v>10</v>
      </c>
      <c r="I1213">
        <v>0</v>
      </c>
      <c r="J1213">
        <v>39.212901278790802</v>
      </c>
      <c r="K1213" s="26">
        <v>2014</v>
      </c>
      <c r="L1213" t="s">
        <v>11</v>
      </c>
      <c r="M1213" s="32">
        <v>65</v>
      </c>
      <c r="N1213">
        <v>7.2453993929999996</v>
      </c>
      <c r="O1213">
        <v>5</v>
      </c>
      <c r="P1213" t="s">
        <v>12</v>
      </c>
      <c r="Q1213">
        <v>89</v>
      </c>
      <c r="R1213" t="s">
        <v>13</v>
      </c>
      <c r="S1213" t="s">
        <v>16</v>
      </c>
      <c r="T1213" t="s">
        <v>14</v>
      </c>
      <c r="U1213" s="34">
        <v>0</v>
      </c>
      <c r="V1213" s="34">
        <v>5</v>
      </c>
      <c r="W1213" s="25">
        <v>2.5</v>
      </c>
      <c r="X1213" s="25">
        <v>5</v>
      </c>
      <c r="Y1213">
        <v>1.3919760750000001</v>
      </c>
      <c r="Z1213" t="s">
        <v>776</v>
      </c>
      <c r="AA1213" t="s">
        <v>636</v>
      </c>
      <c r="AB1213">
        <v>3</v>
      </c>
      <c r="AC1213">
        <v>1150.6559999999999</v>
      </c>
      <c r="AD1213">
        <v>183.59700000000001</v>
      </c>
      <c r="AE1213" t="s">
        <v>525</v>
      </c>
      <c r="AF1213" t="s">
        <v>521</v>
      </c>
      <c r="AG1213" s="32" t="s">
        <v>1664</v>
      </c>
      <c r="AH1213" s="32" t="s">
        <v>1447</v>
      </c>
      <c r="AI1213" s="32" t="s">
        <v>1665</v>
      </c>
      <c r="AJ1213" s="31" t="s">
        <v>2981</v>
      </c>
      <c r="AK1213" s="31">
        <v>0.97</v>
      </c>
      <c r="AL1213" s="31">
        <v>16.03671701038396</v>
      </c>
      <c r="AM1213" s="31">
        <v>0.49598093846548252</v>
      </c>
      <c r="AN1213" s="31">
        <v>130.55328055365024</v>
      </c>
      <c r="AO1213" s="31">
        <v>4.0377303264015474</v>
      </c>
      <c r="AP1213" s="31">
        <v>0.18172704304344389</v>
      </c>
      <c r="AQ1213" s="31">
        <v>5.6204240116528945E-3</v>
      </c>
      <c r="AR1213" s="31">
        <v>0.13341858489683281</v>
      </c>
    </row>
    <row r="1214" spans="1:44" hidden="1" x14ac:dyDescent="0.5">
      <c r="A1214" s="31">
        <v>1213</v>
      </c>
      <c r="B1214" s="31">
        <v>85</v>
      </c>
      <c r="C1214" s="225" t="s">
        <v>9</v>
      </c>
      <c r="D1214" s="32">
        <v>30.880859999999998</v>
      </c>
      <c r="E1214" s="38">
        <v>121.97627199999999</v>
      </c>
      <c r="F1214">
        <v>0</v>
      </c>
      <c r="G1214">
        <f t="shared" si="14"/>
        <v>0</v>
      </c>
      <c r="H1214" s="32" t="s">
        <v>51</v>
      </c>
      <c r="I1214" s="7">
        <v>1</v>
      </c>
      <c r="J1214">
        <v>3093.9221599545999</v>
      </c>
      <c r="K1214" s="26">
        <v>2018</v>
      </c>
      <c r="L1214" t="s">
        <v>30</v>
      </c>
      <c r="M1214" s="32">
        <v>50</v>
      </c>
      <c r="N1214">
        <v>5.4892152799999998</v>
      </c>
      <c r="O1214">
        <v>4.95</v>
      </c>
      <c r="P1214" t="s">
        <v>12</v>
      </c>
      <c r="Q1214">
        <v>89</v>
      </c>
      <c r="R1214" t="s">
        <v>13</v>
      </c>
      <c r="S1214" t="s">
        <v>14</v>
      </c>
      <c r="T1214" t="s">
        <v>14</v>
      </c>
      <c r="U1214" s="34">
        <v>0</v>
      </c>
      <c r="V1214" s="34">
        <v>10</v>
      </c>
      <c r="W1214" s="25">
        <v>5</v>
      </c>
      <c r="X1214" s="25">
        <v>10</v>
      </c>
      <c r="Y1214">
        <v>0.61037440930769205</v>
      </c>
      <c r="Z1214" t="s">
        <v>812</v>
      </c>
      <c r="AA1214" t="s">
        <v>619</v>
      </c>
      <c r="AB1214">
        <v>1</v>
      </c>
      <c r="AC1214">
        <v>0.94299999999999995</v>
      </c>
      <c r="AD1214">
        <v>0.32</v>
      </c>
      <c r="AE1214" t="s">
        <v>525</v>
      </c>
      <c r="AF1214" t="s">
        <v>534</v>
      </c>
      <c r="AG1214" s="32" t="s">
        <v>2309</v>
      </c>
      <c r="AH1214" s="32" t="s">
        <v>1336</v>
      </c>
      <c r="AI1214" s="32" t="s">
        <v>2310</v>
      </c>
      <c r="AJ1214" s="31" t="s">
        <v>3255</v>
      </c>
      <c r="AK1214" s="31">
        <v>0.94</v>
      </c>
      <c r="AL1214" s="31">
        <v>88.641999999999996</v>
      </c>
      <c r="AM1214" s="31">
        <v>5.6580000000000013</v>
      </c>
      <c r="AN1214" s="31">
        <v>546.713506572764</v>
      </c>
      <c r="AO1214" s="31">
        <v>34.896606802516864</v>
      </c>
      <c r="AP1214" s="31">
        <v>0.33369993363488781</v>
      </c>
      <c r="AQ1214" s="31">
        <v>2.1299995763929019E-2</v>
      </c>
      <c r="AR1214" s="31">
        <v>0.13328497964724689</v>
      </c>
    </row>
    <row r="1215" spans="1:44" hidden="1" x14ac:dyDescent="0.5">
      <c r="A1215" s="31">
        <v>1214</v>
      </c>
      <c r="B1215" s="31">
        <v>85</v>
      </c>
      <c r="C1215" s="225" t="s">
        <v>9</v>
      </c>
      <c r="D1215" s="32">
        <v>30.880859999999998</v>
      </c>
      <c r="E1215" s="38">
        <v>121.97627199999999</v>
      </c>
      <c r="F1215">
        <v>0</v>
      </c>
      <c r="G1215">
        <f t="shared" si="14"/>
        <v>0</v>
      </c>
      <c r="H1215" s="32" t="s">
        <v>51</v>
      </c>
      <c r="I1215" s="7">
        <v>1</v>
      </c>
      <c r="J1215">
        <v>3093.9221599545999</v>
      </c>
      <c r="K1215" s="26">
        <v>2018</v>
      </c>
      <c r="L1215" t="s">
        <v>30</v>
      </c>
      <c r="M1215" s="32">
        <v>50</v>
      </c>
      <c r="N1215">
        <v>5.4892152799999998</v>
      </c>
      <c r="O1215">
        <v>4.95</v>
      </c>
      <c r="P1215" t="s">
        <v>12</v>
      </c>
      <c r="Q1215">
        <v>89</v>
      </c>
      <c r="R1215" t="s">
        <v>13</v>
      </c>
      <c r="S1215" t="s">
        <v>14</v>
      </c>
      <c r="T1215" t="s">
        <v>14</v>
      </c>
      <c r="U1215" s="34">
        <v>0</v>
      </c>
      <c r="V1215" s="34">
        <v>10</v>
      </c>
      <c r="W1215" s="25">
        <v>5</v>
      </c>
      <c r="X1215" s="25">
        <v>10</v>
      </c>
      <c r="Y1215">
        <v>0.61037440930769205</v>
      </c>
      <c r="Z1215" t="s">
        <v>812</v>
      </c>
      <c r="AA1215" t="s">
        <v>619</v>
      </c>
      <c r="AB1215">
        <v>1</v>
      </c>
      <c r="AC1215">
        <v>1.0660000000000001</v>
      </c>
      <c r="AD1215">
        <v>0.16600000000000001</v>
      </c>
      <c r="AE1215" t="s">
        <v>525</v>
      </c>
      <c r="AF1215" t="s">
        <v>534</v>
      </c>
      <c r="AG1215" s="32" t="s">
        <v>2311</v>
      </c>
      <c r="AH1215" s="32" t="s">
        <v>1336</v>
      </c>
      <c r="AI1215" s="32" t="s">
        <v>2312</v>
      </c>
      <c r="AJ1215" s="31" t="s">
        <v>3256</v>
      </c>
      <c r="AK1215" s="31">
        <v>0.94</v>
      </c>
      <c r="AL1215" s="31">
        <v>100.20399999999999</v>
      </c>
      <c r="AM1215" s="31">
        <v>6.3960000000000008</v>
      </c>
      <c r="AN1215" s="31">
        <v>618.02396395182018</v>
      </c>
      <c r="AO1215" s="31">
        <v>39.448338124584268</v>
      </c>
      <c r="AP1215" s="31">
        <v>0.37722601193509059</v>
      </c>
      <c r="AQ1215" s="31">
        <v>2.4078256080963228E-2</v>
      </c>
      <c r="AR1215" s="31">
        <v>0.13328497964724689</v>
      </c>
    </row>
    <row r="1216" spans="1:44" hidden="1" x14ac:dyDescent="0.5">
      <c r="A1216" s="31">
        <v>1215</v>
      </c>
      <c r="B1216" s="31">
        <v>85</v>
      </c>
      <c r="C1216" s="225" t="s">
        <v>9</v>
      </c>
      <c r="D1216" s="32">
        <v>30.880859999999998</v>
      </c>
      <c r="E1216" s="38">
        <v>121.97627199999999</v>
      </c>
      <c r="F1216">
        <v>0</v>
      </c>
      <c r="G1216">
        <f t="shared" si="14"/>
        <v>0</v>
      </c>
      <c r="H1216" s="32" t="s">
        <v>51</v>
      </c>
      <c r="I1216" s="7">
        <v>1</v>
      </c>
      <c r="J1216">
        <v>3093.9221599545999</v>
      </c>
      <c r="K1216" s="26">
        <v>2018</v>
      </c>
      <c r="L1216" t="s">
        <v>30</v>
      </c>
      <c r="M1216" s="32">
        <v>50</v>
      </c>
      <c r="N1216">
        <v>5.4892152799999998</v>
      </c>
      <c r="O1216">
        <v>4.95</v>
      </c>
      <c r="P1216" t="s">
        <v>12</v>
      </c>
      <c r="Q1216">
        <v>89</v>
      </c>
      <c r="R1216" t="s">
        <v>13</v>
      </c>
      <c r="S1216" t="s">
        <v>14</v>
      </c>
      <c r="T1216" t="s">
        <v>14</v>
      </c>
      <c r="U1216" s="34">
        <v>0</v>
      </c>
      <c r="V1216" s="34">
        <v>10</v>
      </c>
      <c r="W1216" s="25">
        <v>5</v>
      </c>
      <c r="X1216" s="25">
        <v>10</v>
      </c>
      <c r="Y1216">
        <v>0.61037440930769205</v>
      </c>
      <c r="Z1216" t="s">
        <v>812</v>
      </c>
      <c r="AA1216" t="s">
        <v>619</v>
      </c>
      <c r="AB1216">
        <v>1</v>
      </c>
      <c r="AC1216">
        <v>1.0680000000000001</v>
      </c>
      <c r="AD1216">
        <v>0.26200000000000001</v>
      </c>
      <c r="AE1216" t="s">
        <v>525</v>
      </c>
      <c r="AF1216" t="s">
        <v>534</v>
      </c>
      <c r="AG1216" s="32" t="s">
        <v>2313</v>
      </c>
      <c r="AH1216" s="32" t="s">
        <v>1336</v>
      </c>
      <c r="AI1216" s="32" t="s">
        <v>2314</v>
      </c>
      <c r="AJ1216" s="31" t="s">
        <v>3257</v>
      </c>
      <c r="AK1216" s="31">
        <v>0.94</v>
      </c>
      <c r="AL1216" s="31">
        <v>100.392</v>
      </c>
      <c r="AM1216" s="31">
        <v>6.4080000000000013</v>
      </c>
      <c r="AN1216" s="31">
        <v>619.18348358399999</v>
      </c>
      <c r="AO1216" s="31">
        <v>39.522350016000004</v>
      </c>
      <c r="AP1216" s="31">
        <v>0.37793375304566301</v>
      </c>
      <c r="AQ1216" s="31">
        <v>2.4123431045467856E-2</v>
      </c>
      <c r="AR1216" s="31">
        <v>0.13328497964724689</v>
      </c>
    </row>
    <row r="1217" spans="1:44" hidden="1" x14ac:dyDescent="0.5">
      <c r="A1217" s="31">
        <v>1216</v>
      </c>
      <c r="B1217" s="31">
        <v>85</v>
      </c>
      <c r="C1217" s="225" t="s">
        <v>9</v>
      </c>
      <c r="D1217" s="32">
        <v>30.880859999999998</v>
      </c>
      <c r="E1217" s="38">
        <v>121.97627199999999</v>
      </c>
      <c r="F1217">
        <v>0</v>
      </c>
      <c r="G1217">
        <f t="shared" si="14"/>
        <v>0</v>
      </c>
      <c r="H1217" s="32" t="s">
        <v>51</v>
      </c>
      <c r="I1217" s="7">
        <v>1</v>
      </c>
      <c r="J1217">
        <v>3093.9221599545999</v>
      </c>
      <c r="K1217" s="26">
        <v>2018</v>
      </c>
      <c r="L1217" t="s">
        <v>30</v>
      </c>
      <c r="M1217" s="32">
        <v>50</v>
      </c>
      <c r="N1217">
        <v>5.4892152799999998</v>
      </c>
      <c r="O1217">
        <v>4.95</v>
      </c>
      <c r="P1217" t="s">
        <v>12</v>
      </c>
      <c r="Q1217">
        <v>89</v>
      </c>
      <c r="R1217" t="s">
        <v>13</v>
      </c>
      <c r="S1217" t="s">
        <v>14</v>
      </c>
      <c r="T1217" t="s">
        <v>14</v>
      </c>
      <c r="U1217" s="34">
        <v>0</v>
      </c>
      <c r="V1217" s="34">
        <v>10</v>
      </c>
      <c r="W1217" s="25">
        <v>5</v>
      </c>
      <c r="X1217" s="25">
        <v>10</v>
      </c>
      <c r="Y1217">
        <v>0.61037440930769205</v>
      </c>
      <c r="Z1217" t="s">
        <v>812</v>
      </c>
      <c r="AA1217" t="s">
        <v>619</v>
      </c>
      <c r="AB1217">
        <v>1</v>
      </c>
      <c r="AC1217">
        <v>1.2769999999999999</v>
      </c>
      <c r="AD1217">
        <v>0.314</v>
      </c>
      <c r="AE1217" t="s">
        <v>525</v>
      </c>
      <c r="AF1217" t="s">
        <v>534</v>
      </c>
      <c r="AG1217" s="32" t="s">
        <v>2315</v>
      </c>
      <c r="AH1217" s="32" t="s">
        <v>1336</v>
      </c>
      <c r="AI1217" s="32" t="s">
        <v>2316</v>
      </c>
      <c r="AJ1217" s="31" t="s">
        <v>3258</v>
      </c>
      <c r="AK1217" s="31">
        <v>0.94</v>
      </c>
      <c r="AL1217" s="31">
        <v>120.038</v>
      </c>
      <c r="AM1217" s="31">
        <v>7.6620000000000061</v>
      </c>
      <c r="AN1217" s="31">
        <v>740.35328514678645</v>
      </c>
      <c r="AO1217" s="31">
        <v>47.256592668943853</v>
      </c>
      <c r="AP1217" s="31">
        <v>0.45189269910047908</v>
      </c>
      <c r="AQ1217" s="31">
        <v>2.8844214836200813E-2</v>
      </c>
      <c r="AR1217" s="31">
        <v>0.13328497964724689</v>
      </c>
    </row>
    <row r="1218" spans="1:44" hidden="1" x14ac:dyDescent="0.5">
      <c r="A1218" s="31">
        <v>1217</v>
      </c>
      <c r="B1218" s="31">
        <v>85</v>
      </c>
      <c r="C1218" s="225" t="s">
        <v>9</v>
      </c>
      <c r="D1218" s="32">
        <v>30.880859999999998</v>
      </c>
      <c r="E1218" s="38">
        <v>121.97627199999999</v>
      </c>
      <c r="F1218">
        <v>0</v>
      </c>
      <c r="G1218">
        <f t="shared" si="14"/>
        <v>0</v>
      </c>
      <c r="H1218" s="32" t="s">
        <v>51</v>
      </c>
      <c r="I1218" s="7">
        <v>1</v>
      </c>
      <c r="J1218">
        <v>3093.9221599545999</v>
      </c>
      <c r="K1218" s="26">
        <v>2018</v>
      </c>
      <c r="L1218" t="s">
        <v>30</v>
      </c>
      <c r="M1218" s="32">
        <v>50</v>
      </c>
      <c r="N1218">
        <v>5.4892152799999998</v>
      </c>
      <c r="O1218">
        <v>4.95</v>
      </c>
      <c r="P1218" t="s">
        <v>12</v>
      </c>
      <c r="Q1218">
        <v>89</v>
      </c>
      <c r="R1218" t="s">
        <v>13</v>
      </c>
      <c r="S1218" t="s">
        <v>14</v>
      </c>
      <c r="T1218" t="s">
        <v>14</v>
      </c>
      <c r="U1218" s="34">
        <v>0</v>
      </c>
      <c r="V1218" s="34">
        <v>10</v>
      </c>
      <c r="W1218" s="25">
        <v>5</v>
      </c>
      <c r="X1218" s="25">
        <v>10</v>
      </c>
      <c r="Y1218">
        <v>0.61037440930769205</v>
      </c>
      <c r="Z1218" t="s">
        <v>812</v>
      </c>
      <c r="AA1218" t="s">
        <v>619</v>
      </c>
      <c r="AB1218">
        <v>1</v>
      </c>
      <c r="AC1218">
        <v>1.278</v>
      </c>
      <c r="AD1218">
        <v>0.26800000000000002</v>
      </c>
      <c r="AE1218" t="s">
        <v>525</v>
      </c>
      <c r="AF1218" t="s">
        <v>534</v>
      </c>
      <c r="AG1218" s="32" t="s">
        <v>2317</v>
      </c>
      <c r="AH1218" s="32" t="s">
        <v>1336</v>
      </c>
      <c r="AI1218" s="32" t="s">
        <v>2318</v>
      </c>
      <c r="AJ1218" s="31" t="s">
        <v>3259</v>
      </c>
      <c r="AK1218" s="31">
        <v>0.94</v>
      </c>
      <c r="AL1218" s="31">
        <v>120.13199999999999</v>
      </c>
      <c r="AM1218" s="31">
        <v>7.6680000000000064</v>
      </c>
      <c r="AN1218" s="31">
        <v>740.93304496287635</v>
      </c>
      <c r="AO1218" s="31">
        <v>47.293598614651721</v>
      </c>
      <c r="AP1218" s="31">
        <v>0.45224656965576532</v>
      </c>
      <c r="AQ1218" s="31">
        <v>2.8866802318453125E-2</v>
      </c>
      <c r="AR1218" s="31">
        <v>0.13328497964724689</v>
      </c>
    </row>
    <row r="1219" spans="1:44" hidden="1" x14ac:dyDescent="0.5">
      <c r="A1219" s="31">
        <v>1218</v>
      </c>
      <c r="B1219" s="31">
        <v>85</v>
      </c>
      <c r="C1219" s="225" t="s">
        <v>9</v>
      </c>
      <c r="D1219" s="32">
        <v>30.880859999999998</v>
      </c>
      <c r="E1219" s="38">
        <v>121.97627199999999</v>
      </c>
      <c r="F1219">
        <v>0</v>
      </c>
      <c r="G1219">
        <f t="shared" si="14"/>
        <v>0</v>
      </c>
      <c r="H1219" s="32" t="s">
        <v>51</v>
      </c>
      <c r="I1219" s="7">
        <v>1</v>
      </c>
      <c r="J1219">
        <v>3093.9221599545999</v>
      </c>
      <c r="K1219" s="26">
        <v>2018</v>
      </c>
      <c r="L1219" t="s">
        <v>30</v>
      </c>
      <c r="M1219" s="32">
        <v>50</v>
      </c>
      <c r="N1219">
        <v>5.4892152799999998</v>
      </c>
      <c r="O1219">
        <v>4.95</v>
      </c>
      <c r="P1219" t="s">
        <v>12</v>
      </c>
      <c r="Q1219">
        <v>89</v>
      </c>
      <c r="R1219" t="s">
        <v>13</v>
      </c>
      <c r="S1219" t="s">
        <v>14</v>
      </c>
      <c r="T1219" t="s">
        <v>14</v>
      </c>
      <c r="U1219" s="34">
        <v>0</v>
      </c>
      <c r="V1219" s="34">
        <v>10</v>
      </c>
      <c r="W1219" s="25">
        <v>5</v>
      </c>
      <c r="X1219" s="25">
        <v>10</v>
      </c>
      <c r="Y1219">
        <v>0.61037440930769205</v>
      </c>
      <c r="Z1219" t="s">
        <v>812</v>
      </c>
      <c r="AA1219" t="s">
        <v>619</v>
      </c>
      <c r="AB1219">
        <v>1</v>
      </c>
      <c r="AC1219">
        <v>1.363</v>
      </c>
      <c r="AD1219">
        <v>0.17599999999999999</v>
      </c>
      <c r="AE1219" t="s">
        <v>525</v>
      </c>
      <c r="AF1219" t="s">
        <v>534</v>
      </c>
      <c r="AG1219" s="32" t="s">
        <v>2319</v>
      </c>
      <c r="AH1219" s="32" t="s">
        <v>1336</v>
      </c>
      <c r="AI1219" s="32" t="s">
        <v>2320</v>
      </c>
      <c r="AJ1219" s="31" t="s">
        <v>3260</v>
      </c>
      <c r="AK1219" s="31">
        <v>0.94</v>
      </c>
      <c r="AL1219" s="31">
        <v>128.12200000000001</v>
      </c>
      <c r="AM1219" s="31">
        <v>8.1779999999999973</v>
      </c>
      <c r="AN1219" s="31">
        <v>790.21262933051696</v>
      </c>
      <c r="AO1219" s="31">
        <v>50.439103999820198</v>
      </c>
      <c r="AP1219" s="31">
        <v>0.48232556685509248</v>
      </c>
      <c r="AQ1219" s="31">
        <v>3.0786738309899499E-2</v>
      </c>
      <c r="AR1219" s="31">
        <v>0.13328497964724689</v>
      </c>
    </row>
    <row r="1220" spans="1:44" hidden="1" x14ac:dyDescent="0.5">
      <c r="A1220" s="31">
        <v>1219</v>
      </c>
      <c r="B1220" s="31">
        <v>85</v>
      </c>
      <c r="C1220" s="225" t="s">
        <v>9</v>
      </c>
      <c r="D1220" s="32">
        <v>30.880859999999998</v>
      </c>
      <c r="E1220" s="38">
        <v>121.97627199999999</v>
      </c>
      <c r="F1220">
        <v>0</v>
      </c>
      <c r="G1220">
        <f t="shared" si="14"/>
        <v>0</v>
      </c>
      <c r="H1220" s="32" t="s">
        <v>51</v>
      </c>
      <c r="I1220" s="7">
        <v>1</v>
      </c>
      <c r="J1220">
        <v>3093.9221599545999</v>
      </c>
      <c r="K1220" s="26">
        <v>2018</v>
      </c>
      <c r="L1220" t="s">
        <v>30</v>
      </c>
      <c r="M1220" s="32">
        <v>50</v>
      </c>
      <c r="N1220">
        <v>5.4892152799999998</v>
      </c>
      <c r="O1220">
        <v>4.95</v>
      </c>
      <c r="P1220" t="s">
        <v>12</v>
      </c>
      <c r="Q1220">
        <v>89</v>
      </c>
      <c r="R1220" t="s">
        <v>13</v>
      </c>
      <c r="S1220" t="s">
        <v>14</v>
      </c>
      <c r="T1220" t="s">
        <v>14</v>
      </c>
      <c r="U1220" s="34">
        <v>0</v>
      </c>
      <c r="V1220" s="34">
        <v>10</v>
      </c>
      <c r="W1220" s="25">
        <v>5</v>
      </c>
      <c r="X1220" s="25">
        <v>10</v>
      </c>
      <c r="Y1220">
        <v>0.61037440930769205</v>
      </c>
      <c r="Z1220" t="s">
        <v>812</v>
      </c>
      <c r="AA1220" t="s">
        <v>619</v>
      </c>
      <c r="AB1220">
        <v>1</v>
      </c>
      <c r="AC1220">
        <v>1.3959999999999999</v>
      </c>
      <c r="AD1220">
        <v>0.182</v>
      </c>
      <c r="AE1220" t="s">
        <v>525</v>
      </c>
      <c r="AF1220" t="s">
        <v>534</v>
      </c>
      <c r="AG1220" s="32" t="s">
        <v>2321</v>
      </c>
      <c r="AH1220" s="32" t="s">
        <v>1336</v>
      </c>
      <c r="AI1220" s="32" t="s">
        <v>2322</v>
      </c>
      <c r="AJ1220" s="31" t="s">
        <v>3261</v>
      </c>
      <c r="AK1220" s="31">
        <v>0.94</v>
      </c>
      <c r="AL1220" s="31">
        <v>131.22399999999999</v>
      </c>
      <c r="AM1220" s="31">
        <v>8.3760000000000048</v>
      </c>
      <c r="AN1220" s="31">
        <v>809.34470326148312</v>
      </c>
      <c r="AO1220" s="31">
        <v>51.660300208179812</v>
      </c>
      <c r="AP1220" s="31">
        <v>0.49400329517953706</v>
      </c>
      <c r="AQ1220" s="31">
        <v>3.1532125224225792E-2</v>
      </c>
      <c r="AR1220" s="31">
        <v>0.13328497964724689</v>
      </c>
    </row>
    <row r="1221" spans="1:44" hidden="1" x14ac:dyDescent="0.5">
      <c r="A1221" s="31">
        <v>1220</v>
      </c>
      <c r="B1221" s="31">
        <v>85</v>
      </c>
      <c r="C1221" s="225" t="s">
        <v>9</v>
      </c>
      <c r="D1221" s="32">
        <v>30.880859999999998</v>
      </c>
      <c r="E1221" s="38">
        <v>121.97627199999999</v>
      </c>
      <c r="F1221">
        <v>0</v>
      </c>
      <c r="G1221">
        <f t="shared" si="14"/>
        <v>0</v>
      </c>
      <c r="H1221" s="32" t="s">
        <v>51</v>
      </c>
      <c r="I1221" s="7">
        <v>1</v>
      </c>
      <c r="J1221">
        <v>3093.9221599545999</v>
      </c>
      <c r="K1221" s="26">
        <v>2018</v>
      </c>
      <c r="L1221" t="s">
        <v>30</v>
      </c>
      <c r="M1221" s="32">
        <v>50</v>
      </c>
      <c r="N1221">
        <v>5.4892152799999998</v>
      </c>
      <c r="O1221">
        <v>4.95</v>
      </c>
      <c r="P1221" t="s">
        <v>12</v>
      </c>
      <c r="Q1221">
        <v>89</v>
      </c>
      <c r="R1221" t="s">
        <v>13</v>
      </c>
      <c r="S1221" t="s">
        <v>14</v>
      </c>
      <c r="T1221" t="s">
        <v>14</v>
      </c>
      <c r="U1221" s="34">
        <v>0</v>
      </c>
      <c r="V1221" s="34">
        <v>10</v>
      </c>
      <c r="W1221" s="25">
        <v>5</v>
      </c>
      <c r="X1221" s="25">
        <v>10</v>
      </c>
      <c r="Y1221">
        <v>0.61037440930769205</v>
      </c>
      <c r="Z1221" t="s">
        <v>812</v>
      </c>
      <c r="AA1221" t="s">
        <v>619</v>
      </c>
      <c r="AB1221">
        <v>1</v>
      </c>
      <c r="AC1221">
        <v>1.4239999999999999</v>
      </c>
      <c r="AD1221">
        <v>0.20200000000000001</v>
      </c>
      <c r="AE1221" t="s">
        <v>525</v>
      </c>
      <c r="AF1221" t="s">
        <v>534</v>
      </c>
      <c r="AG1221" s="32" t="s">
        <v>2323</v>
      </c>
      <c r="AH1221" s="32" t="s">
        <v>1336</v>
      </c>
      <c r="AI1221" s="32" t="s">
        <v>2324</v>
      </c>
      <c r="AJ1221" s="31" t="s">
        <v>3262</v>
      </c>
      <c r="AK1221" s="31">
        <v>0.94</v>
      </c>
      <c r="AL1221" s="31">
        <v>133.85599999999999</v>
      </c>
      <c r="AM1221" s="31">
        <v>8.5440000000000111</v>
      </c>
      <c r="AN1221" s="31">
        <v>825.57797811199998</v>
      </c>
      <c r="AO1221" s="31">
        <v>52.696466688000065</v>
      </c>
      <c r="AP1221" s="31">
        <v>0.50391167072755072</v>
      </c>
      <c r="AQ1221" s="31">
        <v>3.2164574727290507E-2</v>
      </c>
      <c r="AR1221" s="31">
        <v>0.13328497964724689</v>
      </c>
    </row>
    <row r="1222" spans="1:44" hidden="1" x14ac:dyDescent="0.5">
      <c r="A1222" s="31">
        <v>1221</v>
      </c>
      <c r="B1222" s="31">
        <v>85</v>
      </c>
      <c r="C1222" s="225" t="s">
        <v>9</v>
      </c>
      <c r="D1222" s="32">
        <v>30.880859999999998</v>
      </c>
      <c r="E1222" s="38">
        <v>121.97627199999999</v>
      </c>
      <c r="F1222">
        <v>0</v>
      </c>
      <c r="G1222">
        <f t="shared" si="14"/>
        <v>0</v>
      </c>
      <c r="H1222" s="32" t="s">
        <v>51</v>
      </c>
      <c r="I1222" s="7">
        <v>1</v>
      </c>
      <c r="J1222">
        <v>3093.9221599545999</v>
      </c>
      <c r="K1222" s="26">
        <v>2018</v>
      </c>
      <c r="L1222" t="s">
        <v>30</v>
      </c>
      <c r="M1222" s="32">
        <v>50</v>
      </c>
      <c r="N1222">
        <v>5.4892152799999998</v>
      </c>
      <c r="O1222">
        <v>4.95</v>
      </c>
      <c r="P1222" t="s">
        <v>12</v>
      </c>
      <c r="Q1222">
        <v>89</v>
      </c>
      <c r="R1222" t="s">
        <v>13</v>
      </c>
      <c r="S1222" t="s">
        <v>14</v>
      </c>
      <c r="T1222" t="s">
        <v>14</v>
      </c>
      <c r="U1222" s="34">
        <v>0</v>
      </c>
      <c r="V1222" s="34">
        <v>10</v>
      </c>
      <c r="W1222" s="25">
        <v>5</v>
      </c>
      <c r="X1222" s="25">
        <v>10</v>
      </c>
      <c r="Y1222">
        <v>0.61037440930769205</v>
      </c>
      <c r="Z1222" t="s">
        <v>812</v>
      </c>
      <c r="AA1222" t="s">
        <v>619</v>
      </c>
      <c r="AB1222">
        <v>1</v>
      </c>
      <c r="AC1222">
        <v>1.4259999999999999</v>
      </c>
      <c r="AD1222">
        <v>0.52600000000000002</v>
      </c>
      <c r="AE1222" t="s">
        <v>525</v>
      </c>
      <c r="AF1222" t="s">
        <v>534</v>
      </c>
      <c r="AG1222" s="32" t="s">
        <v>2325</v>
      </c>
      <c r="AH1222" s="32" t="s">
        <v>1336</v>
      </c>
      <c r="AI1222" s="32" t="s">
        <v>2326</v>
      </c>
      <c r="AJ1222" s="31" t="s">
        <v>3263</v>
      </c>
      <c r="AK1222" s="31">
        <v>0.94</v>
      </c>
      <c r="AL1222" s="31">
        <v>134.04399999999998</v>
      </c>
      <c r="AM1222" s="31">
        <v>8.5560000000000116</v>
      </c>
      <c r="AN1222" s="31">
        <v>826.73749774417968</v>
      </c>
      <c r="AO1222" s="31">
        <v>52.770478579415801</v>
      </c>
      <c r="AP1222" s="31">
        <v>0.50461941183812309</v>
      </c>
      <c r="AQ1222" s="31">
        <v>3.2209749691795138E-2</v>
      </c>
      <c r="AR1222" s="31">
        <v>0.13328497964724689</v>
      </c>
    </row>
    <row r="1223" spans="1:44" hidden="1" x14ac:dyDescent="0.5">
      <c r="A1223" s="31">
        <v>1222</v>
      </c>
      <c r="B1223" s="31">
        <v>85</v>
      </c>
      <c r="C1223" s="225" t="s">
        <v>9</v>
      </c>
      <c r="D1223" s="32">
        <v>30.880859999999998</v>
      </c>
      <c r="E1223" s="38">
        <v>121.97627199999999</v>
      </c>
      <c r="F1223">
        <v>0</v>
      </c>
      <c r="G1223">
        <f t="shared" si="14"/>
        <v>0</v>
      </c>
      <c r="H1223" s="32" t="s">
        <v>51</v>
      </c>
      <c r="I1223" s="7">
        <v>1</v>
      </c>
      <c r="J1223">
        <v>3093.9221599545999</v>
      </c>
      <c r="K1223" s="26">
        <v>2018</v>
      </c>
      <c r="L1223" t="s">
        <v>30</v>
      </c>
      <c r="M1223" s="32">
        <v>50</v>
      </c>
      <c r="N1223">
        <v>5.4892152799999998</v>
      </c>
      <c r="O1223">
        <v>4.95</v>
      </c>
      <c r="P1223" t="s">
        <v>12</v>
      </c>
      <c r="Q1223">
        <v>89</v>
      </c>
      <c r="R1223" t="s">
        <v>13</v>
      </c>
      <c r="S1223" t="s">
        <v>14</v>
      </c>
      <c r="T1223" t="s">
        <v>14</v>
      </c>
      <c r="U1223" s="34">
        <v>0</v>
      </c>
      <c r="V1223" s="34">
        <v>10</v>
      </c>
      <c r="W1223" s="25">
        <v>5</v>
      </c>
      <c r="X1223" s="25">
        <v>10</v>
      </c>
      <c r="Y1223">
        <v>0.61037440930769205</v>
      </c>
      <c r="Z1223" t="s">
        <v>812</v>
      </c>
      <c r="AA1223" t="s">
        <v>619</v>
      </c>
      <c r="AB1223">
        <v>1</v>
      </c>
      <c r="AC1223">
        <v>1.429</v>
      </c>
      <c r="AD1223">
        <v>0.23100000000000001</v>
      </c>
      <c r="AE1223" t="s">
        <v>525</v>
      </c>
      <c r="AF1223" t="s">
        <v>534</v>
      </c>
      <c r="AG1223" s="32" t="s">
        <v>2327</v>
      </c>
      <c r="AH1223" s="32" t="s">
        <v>1336</v>
      </c>
      <c r="AI1223" s="32" t="s">
        <v>2328</v>
      </c>
      <c r="AJ1223" s="31" t="s">
        <v>3264</v>
      </c>
      <c r="AK1223" s="31">
        <v>0.94</v>
      </c>
      <c r="AL1223" s="31">
        <v>134.32599999999999</v>
      </c>
      <c r="AM1223" s="31">
        <v>8.5740000000000123</v>
      </c>
      <c r="AN1223" s="31">
        <v>828.47677719244928</v>
      </c>
      <c r="AO1223" s="31">
        <v>52.881496416539399</v>
      </c>
      <c r="AP1223" s="31">
        <v>0.50568102350398159</v>
      </c>
      <c r="AQ1223" s="31">
        <v>3.2277512138552067E-2</v>
      </c>
      <c r="AR1223" s="31">
        <v>0.13328497964724689</v>
      </c>
    </row>
    <row r="1224" spans="1:44" hidden="1" x14ac:dyDescent="0.5">
      <c r="A1224" s="31">
        <v>1223</v>
      </c>
      <c r="B1224" s="31">
        <v>85</v>
      </c>
      <c r="C1224" s="225" t="s">
        <v>9</v>
      </c>
      <c r="D1224" s="32">
        <v>30.880859999999998</v>
      </c>
      <c r="E1224" s="38">
        <v>121.97627199999999</v>
      </c>
      <c r="F1224">
        <v>0</v>
      </c>
      <c r="G1224">
        <f t="shared" si="14"/>
        <v>0</v>
      </c>
      <c r="H1224" s="32" t="s">
        <v>51</v>
      </c>
      <c r="I1224" s="7">
        <v>1</v>
      </c>
      <c r="J1224">
        <v>3093.9221599545999</v>
      </c>
      <c r="K1224" s="26">
        <v>2018</v>
      </c>
      <c r="L1224" t="s">
        <v>30</v>
      </c>
      <c r="M1224" s="32">
        <v>50</v>
      </c>
      <c r="N1224">
        <v>5.4892152799999998</v>
      </c>
      <c r="O1224">
        <v>4.95</v>
      </c>
      <c r="P1224" t="s">
        <v>12</v>
      </c>
      <c r="Q1224">
        <v>89</v>
      </c>
      <c r="R1224" t="s">
        <v>13</v>
      </c>
      <c r="S1224" t="s">
        <v>14</v>
      </c>
      <c r="T1224" t="s">
        <v>14</v>
      </c>
      <c r="U1224" s="34">
        <v>0</v>
      </c>
      <c r="V1224" s="34">
        <v>10</v>
      </c>
      <c r="W1224" s="25">
        <v>5</v>
      </c>
      <c r="X1224" s="25">
        <v>10</v>
      </c>
      <c r="Y1224">
        <v>0.61037440930769205</v>
      </c>
      <c r="Z1224" t="s">
        <v>812</v>
      </c>
      <c r="AA1224" t="s">
        <v>619</v>
      </c>
      <c r="AB1224">
        <v>1</v>
      </c>
      <c r="AC1224">
        <v>1.4319999999999999</v>
      </c>
      <c r="AD1224">
        <v>0.18099999999999999</v>
      </c>
      <c r="AE1224" t="s">
        <v>525</v>
      </c>
      <c r="AF1224" t="s">
        <v>534</v>
      </c>
      <c r="AG1224" s="32" t="s">
        <v>2329</v>
      </c>
      <c r="AH1224" s="32" t="s">
        <v>1336</v>
      </c>
      <c r="AI1224" s="32" t="s">
        <v>2330</v>
      </c>
      <c r="AJ1224" s="31" t="s">
        <v>3265</v>
      </c>
      <c r="AK1224" s="31">
        <v>0.94</v>
      </c>
      <c r="AL1224" s="31">
        <v>134.60799999999998</v>
      </c>
      <c r="AM1224" s="31">
        <v>8.592000000000013</v>
      </c>
      <c r="AN1224" s="31">
        <v>830.21605664071899</v>
      </c>
      <c r="AO1224" s="31">
        <v>52.992514253663003</v>
      </c>
      <c r="AP1224" s="31">
        <v>0.50674263516984019</v>
      </c>
      <c r="AQ1224" s="31">
        <v>3.234527458530901E-2</v>
      </c>
      <c r="AR1224" s="31">
        <v>0.13328497964724689</v>
      </c>
    </row>
    <row r="1225" spans="1:44" hidden="1" x14ac:dyDescent="0.5">
      <c r="A1225" s="31">
        <v>1224</v>
      </c>
      <c r="B1225" s="31">
        <v>85</v>
      </c>
      <c r="C1225" s="225" t="s">
        <v>9</v>
      </c>
      <c r="D1225" s="32">
        <v>30.880859999999998</v>
      </c>
      <c r="E1225" s="38">
        <v>121.97627199999999</v>
      </c>
      <c r="F1225">
        <v>0</v>
      </c>
      <c r="G1225">
        <f t="shared" si="14"/>
        <v>0</v>
      </c>
      <c r="H1225" s="32" t="s">
        <v>51</v>
      </c>
      <c r="I1225" s="7">
        <v>1</v>
      </c>
      <c r="J1225">
        <v>3093.9221599545999</v>
      </c>
      <c r="K1225" s="26">
        <v>2018</v>
      </c>
      <c r="L1225" t="s">
        <v>30</v>
      </c>
      <c r="M1225" s="32">
        <v>50</v>
      </c>
      <c r="N1225">
        <v>5.4892152799999998</v>
      </c>
      <c r="O1225">
        <v>4.95</v>
      </c>
      <c r="P1225" t="s">
        <v>12</v>
      </c>
      <c r="Q1225">
        <v>89</v>
      </c>
      <c r="R1225" t="s">
        <v>13</v>
      </c>
      <c r="S1225" t="s">
        <v>14</v>
      </c>
      <c r="T1225" t="s">
        <v>14</v>
      </c>
      <c r="U1225" s="34">
        <v>0</v>
      </c>
      <c r="V1225" s="34">
        <v>10</v>
      </c>
      <c r="W1225" s="25">
        <v>5</v>
      </c>
      <c r="X1225" s="25">
        <v>10</v>
      </c>
      <c r="Y1225">
        <v>0.61037440930769205</v>
      </c>
      <c r="Z1225" t="s">
        <v>812</v>
      </c>
      <c r="AA1225" t="s">
        <v>619</v>
      </c>
      <c r="AB1225">
        <v>1</v>
      </c>
      <c r="AC1225">
        <v>1.4550000000000001</v>
      </c>
      <c r="AD1225">
        <v>0.24</v>
      </c>
      <c r="AE1225" t="s">
        <v>525</v>
      </c>
      <c r="AF1225" t="s">
        <v>534</v>
      </c>
      <c r="AG1225" s="32" t="s">
        <v>2331</v>
      </c>
      <c r="AH1225" s="32" t="s">
        <v>1336</v>
      </c>
      <c r="AI1225" s="32" t="s">
        <v>2332</v>
      </c>
      <c r="AJ1225" s="31" t="s">
        <v>3266</v>
      </c>
      <c r="AK1225" s="31">
        <v>0.94</v>
      </c>
      <c r="AL1225" s="31">
        <v>136.76999999999998</v>
      </c>
      <c r="AM1225" s="31">
        <v>8.7300000000000182</v>
      </c>
      <c r="AN1225" s="31">
        <v>843.55053241078645</v>
      </c>
      <c r="AO1225" s="31">
        <v>53.843651004943936</v>
      </c>
      <c r="AP1225" s="31">
        <v>0.51488165794142293</v>
      </c>
      <c r="AQ1225" s="31">
        <v>3.2864786677112172E-2</v>
      </c>
      <c r="AR1225" s="31">
        <v>0.13328497964724689</v>
      </c>
    </row>
    <row r="1226" spans="1:44" hidden="1" x14ac:dyDescent="0.5">
      <c r="A1226" s="31">
        <v>1225</v>
      </c>
      <c r="B1226" s="31">
        <v>85</v>
      </c>
      <c r="C1226" s="225" t="s">
        <v>9</v>
      </c>
      <c r="D1226" s="32">
        <v>30.880859999999998</v>
      </c>
      <c r="E1226" s="38">
        <v>121.97627199999999</v>
      </c>
      <c r="F1226">
        <v>0</v>
      </c>
      <c r="G1226">
        <f t="shared" si="14"/>
        <v>0</v>
      </c>
      <c r="H1226" s="32" t="s">
        <v>51</v>
      </c>
      <c r="I1226" s="7">
        <v>1</v>
      </c>
      <c r="J1226">
        <v>3093.9221599545999</v>
      </c>
      <c r="K1226" s="26">
        <v>2018</v>
      </c>
      <c r="L1226" t="s">
        <v>30</v>
      </c>
      <c r="M1226" s="32">
        <v>50</v>
      </c>
      <c r="N1226">
        <v>5.4892152799999998</v>
      </c>
      <c r="O1226">
        <v>4.95</v>
      </c>
      <c r="P1226" t="s">
        <v>12</v>
      </c>
      <c r="Q1226">
        <v>89</v>
      </c>
      <c r="R1226" t="s">
        <v>13</v>
      </c>
      <c r="S1226" t="s">
        <v>14</v>
      </c>
      <c r="T1226" t="s">
        <v>14</v>
      </c>
      <c r="U1226" s="34">
        <v>0</v>
      </c>
      <c r="V1226" s="34">
        <v>10</v>
      </c>
      <c r="W1226" s="25">
        <v>5</v>
      </c>
      <c r="X1226" s="25">
        <v>10</v>
      </c>
      <c r="Y1226">
        <v>0.61037440930769205</v>
      </c>
      <c r="Z1226" t="s">
        <v>812</v>
      </c>
      <c r="AA1226" t="s">
        <v>619</v>
      </c>
      <c r="AB1226">
        <v>1</v>
      </c>
      <c r="AC1226">
        <v>1.494</v>
      </c>
      <c r="AD1226">
        <v>0.27500000000000002</v>
      </c>
      <c r="AE1226" t="s">
        <v>525</v>
      </c>
      <c r="AF1226" t="s">
        <v>534</v>
      </c>
      <c r="AG1226" s="32" t="s">
        <v>2333</v>
      </c>
      <c r="AH1226" s="32" t="s">
        <v>1336</v>
      </c>
      <c r="AI1226" s="32" t="s">
        <v>2334</v>
      </c>
      <c r="AJ1226" s="31" t="s">
        <v>3267</v>
      </c>
      <c r="AK1226" s="31">
        <v>0.94</v>
      </c>
      <c r="AL1226" s="31">
        <v>140.43600000000001</v>
      </c>
      <c r="AM1226" s="31">
        <v>8.9639999999999986</v>
      </c>
      <c r="AN1226" s="31">
        <v>866.16116523829214</v>
      </c>
      <c r="AO1226" s="31">
        <v>55.286882887550547</v>
      </c>
      <c r="AP1226" s="31">
        <v>0.52868260959758484</v>
      </c>
      <c r="AQ1226" s="31">
        <v>3.3745698484952215E-2</v>
      </c>
      <c r="AR1226" s="31">
        <v>0.13328497964724689</v>
      </c>
    </row>
    <row r="1227" spans="1:44" hidden="1" x14ac:dyDescent="0.5">
      <c r="A1227" s="31">
        <v>1226</v>
      </c>
      <c r="B1227" s="31">
        <v>85</v>
      </c>
      <c r="C1227" s="225" t="s">
        <v>9</v>
      </c>
      <c r="D1227" s="32">
        <v>30.880859999999998</v>
      </c>
      <c r="E1227" s="38">
        <v>121.97627199999999</v>
      </c>
      <c r="F1227">
        <v>0</v>
      </c>
      <c r="G1227">
        <f t="shared" si="14"/>
        <v>0</v>
      </c>
      <c r="H1227" s="32" t="s">
        <v>51</v>
      </c>
      <c r="I1227" s="7">
        <v>1</v>
      </c>
      <c r="J1227">
        <v>3093.9221599545999</v>
      </c>
      <c r="K1227" s="26">
        <v>2018</v>
      </c>
      <c r="L1227" t="s">
        <v>30</v>
      </c>
      <c r="M1227" s="32">
        <v>50</v>
      </c>
      <c r="N1227">
        <v>5.4892152799999998</v>
      </c>
      <c r="O1227">
        <v>4.95</v>
      </c>
      <c r="P1227" t="s">
        <v>12</v>
      </c>
      <c r="Q1227">
        <v>89</v>
      </c>
      <c r="R1227" t="s">
        <v>13</v>
      </c>
      <c r="S1227" t="s">
        <v>14</v>
      </c>
      <c r="T1227" t="s">
        <v>14</v>
      </c>
      <c r="U1227" s="34">
        <v>0</v>
      </c>
      <c r="V1227" s="34">
        <v>10</v>
      </c>
      <c r="W1227" s="25">
        <v>5</v>
      </c>
      <c r="X1227" s="25">
        <v>10</v>
      </c>
      <c r="Y1227">
        <v>0.61037440930769205</v>
      </c>
      <c r="Z1227" t="s">
        <v>812</v>
      </c>
      <c r="AA1227" t="s">
        <v>619</v>
      </c>
      <c r="AB1227">
        <v>1</v>
      </c>
      <c r="AC1227">
        <v>1.54</v>
      </c>
      <c r="AD1227">
        <v>0.27400000000000002</v>
      </c>
      <c r="AE1227" t="s">
        <v>525</v>
      </c>
      <c r="AF1227" t="s">
        <v>534</v>
      </c>
      <c r="AG1227" s="32">
        <v>154</v>
      </c>
      <c r="AH1227" s="32" t="s">
        <v>1336</v>
      </c>
      <c r="AI1227" s="32" t="s">
        <v>2335</v>
      </c>
      <c r="AJ1227" s="31" t="s">
        <v>2888</v>
      </c>
      <c r="AK1227" s="31">
        <v>0.94</v>
      </c>
      <c r="AL1227" s="31">
        <v>144.76</v>
      </c>
      <c r="AM1227" s="31">
        <v>9.2400000000000091</v>
      </c>
      <c r="AN1227" s="31">
        <v>892.83011677842671</v>
      </c>
      <c r="AO1227" s="31">
        <v>56.989156390112413</v>
      </c>
      <c r="AP1227" s="31">
        <v>0.54496065514074987</v>
      </c>
      <c r="AQ1227" s="31">
        <v>3.4784722668558546E-2</v>
      </c>
      <c r="AR1227" s="31">
        <v>0.13328497964724689</v>
      </c>
    </row>
    <row r="1228" spans="1:44" hidden="1" x14ac:dyDescent="0.5">
      <c r="A1228" s="31">
        <v>1227</v>
      </c>
      <c r="B1228" s="31">
        <v>85</v>
      </c>
      <c r="C1228" s="225" t="s">
        <v>9</v>
      </c>
      <c r="D1228" s="32">
        <v>30.880859999999998</v>
      </c>
      <c r="E1228" s="38">
        <v>121.97627199999999</v>
      </c>
      <c r="F1228">
        <v>0</v>
      </c>
      <c r="G1228">
        <f t="shared" si="14"/>
        <v>0</v>
      </c>
      <c r="H1228" s="32" t="s">
        <v>51</v>
      </c>
      <c r="I1228" s="7">
        <v>1</v>
      </c>
      <c r="J1228">
        <v>3093.9221599545999</v>
      </c>
      <c r="K1228" s="26">
        <v>2018</v>
      </c>
      <c r="L1228" t="s">
        <v>30</v>
      </c>
      <c r="M1228" s="32">
        <v>50</v>
      </c>
      <c r="N1228">
        <v>5.4892152799999998</v>
      </c>
      <c r="O1228">
        <v>4.95</v>
      </c>
      <c r="P1228" t="s">
        <v>12</v>
      </c>
      <c r="Q1228">
        <v>89</v>
      </c>
      <c r="R1228" t="s">
        <v>13</v>
      </c>
      <c r="S1228" t="s">
        <v>14</v>
      </c>
      <c r="T1228" t="s">
        <v>14</v>
      </c>
      <c r="U1228" s="34">
        <v>0</v>
      </c>
      <c r="V1228" s="34">
        <v>10</v>
      </c>
      <c r="W1228" s="25">
        <v>5</v>
      </c>
      <c r="X1228" s="25">
        <v>10</v>
      </c>
      <c r="Y1228">
        <v>0.61037440930769205</v>
      </c>
      <c r="Z1228" t="s">
        <v>812</v>
      </c>
      <c r="AA1228" t="s">
        <v>619</v>
      </c>
      <c r="AB1228">
        <v>1</v>
      </c>
      <c r="AC1228">
        <v>1.542</v>
      </c>
      <c r="AD1228">
        <v>0.21199999999999999</v>
      </c>
      <c r="AE1228" t="s">
        <v>525</v>
      </c>
      <c r="AF1228" t="s">
        <v>534</v>
      </c>
      <c r="AG1228" s="32" t="s">
        <v>2336</v>
      </c>
      <c r="AH1228" s="32" t="s">
        <v>1336</v>
      </c>
      <c r="AI1228" s="32" t="s">
        <v>2337</v>
      </c>
      <c r="AJ1228" s="31" t="s">
        <v>3268</v>
      </c>
      <c r="AK1228" s="31">
        <v>0.94</v>
      </c>
      <c r="AL1228" s="31">
        <v>144.94799999999998</v>
      </c>
      <c r="AM1228" s="31">
        <v>9.2520000000000095</v>
      </c>
      <c r="AN1228" s="31">
        <v>893.98963641060652</v>
      </c>
      <c r="AO1228" s="31">
        <v>57.063168281528156</v>
      </c>
      <c r="AP1228" s="31">
        <v>0.54566839625132235</v>
      </c>
      <c r="AQ1228" s="31">
        <v>3.4829897633063177E-2</v>
      </c>
      <c r="AR1228" s="31">
        <v>0.13328497964724689</v>
      </c>
    </row>
    <row r="1229" spans="1:44" hidden="1" x14ac:dyDescent="0.5">
      <c r="A1229" s="31">
        <v>1228</v>
      </c>
      <c r="B1229" s="31">
        <v>85</v>
      </c>
      <c r="C1229" s="225" t="s">
        <v>9</v>
      </c>
      <c r="D1229" s="32">
        <v>30.880859999999998</v>
      </c>
      <c r="E1229" s="38">
        <v>121.97627199999999</v>
      </c>
      <c r="F1229">
        <v>0</v>
      </c>
      <c r="G1229">
        <f t="shared" si="14"/>
        <v>0</v>
      </c>
      <c r="H1229" s="32" t="s">
        <v>51</v>
      </c>
      <c r="I1229" s="7">
        <v>1</v>
      </c>
      <c r="J1229">
        <v>3093.9221599545999</v>
      </c>
      <c r="K1229" s="26">
        <v>2018</v>
      </c>
      <c r="L1229" t="s">
        <v>30</v>
      </c>
      <c r="M1229" s="32">
        <v>50</v>
      </c>
      <c r="N1229">
        <v>5.4892152799999998</v>
      </c>
      <c r="O1229">
        <v>4.95</v>
      </c>
      <c r="P1229" t="s">
        <v>12</v>
      </c>
      <c r="Q1229">
        <v>89</v>
      </c>
      <c r="R1229" t="s">
        <v>13</v>
      </c>
      <c r="S1229" t="s">
        <v>14</v>
      </c>
      <c r="T1229" t="s">
        <v>14</v>
      </c>
      <c r="U1229" s="34">
        <v>0</v>
      </c>
      <c r="V1229" s="34">
        <v>10</v>
      </c>
      <c r="W1229" s="25">
        <v>5</v>
      </c>
      <c r="X1229" s="25">
        <v>10</v>
      </c>
      <c r="Y1229">
        <v>0.61037440930769205</v>
      </c>
      <c r="Z1229" t="s">
        <v>812</v>
      </c>
      <c r="AA1229" t="s">
        <v>619</v>
      </c>
      <c r="AB1229">
        <v>1</v>
      </c>
      <c r="AC1229">
        <v>1.5529999999999999</v>
      </c>
      <c r="AD1229">
        <v>0.45</v>
      </c>
      <c r="AE1229" t="s">
        <v>525</v>
      </c>
      <c r="AF1229" t="s">
        <v>534</v>
      </c>
      <c r="AG1229" s="32" t="s">
        <v>2338</v>
      </c>
      <c r="AH1229" s="32" t="s">
        <v>1336</v>
      </c>
      <c r="AI1229" s="32" t="s">
        <v>2339</v>
      </c>
      <c r="AJ1229" s="31" t="s">
        <v>3269</v>
      </c>
      <c r="AK1229" s="31">
        <v>0.94</v>
      </c>
      <c r="AL1229" s="31">
        <v>145.982</v>
      </c>
      <c r="AM1229" s="31">
        <v>9.3180000000000121</v>
      </c>
      <c r="AN1229" s="31">
        <v>900.36699438759558</v>
      </c>
      <c r="AO1229" s="31">
        <v>57.470233684314678</v>
      </c>
      <c r="AP1229" s="31">
        <v>0.54956097235947077</v>
      </c>
      <c r="AQ1229" s="31">
        <v>3.5078359937838595E-2</v>
      </c>
      <c r="AR1229" s="31">
        <v>0.13328497964724689</v>
      </c>
    </row>
    <row r="1230" spans="1:44" hidden="1" x14ac:dyDescent="0.5">
      <c r="A1230" s="31">
        <v>1229</v>
      </c>
      <c r="B1230" s="31">
        <v>85</v>
      </c>
      <c r="C1230" s="225" t="s">
        <v>9</v>
      </c>
      <c r="D1230" s="32">
        <v>30.880859999999998</v>
      </c>
      <c r="E1230" s="38">
        <v>121.97627199999999</v>
      </c>
      <c r="F1230">
        <v>0</v>
      </c>
      <c r="G1230">
        <f t="shared" si="14"/>
        <v>0</v>
      </c>
      <c r="H1230" s="32" t="s">
        <v>51</v>
      </c>
      <c r="I1230" s="7">
        <v>1</v>
      </c>
      <c r="J1230">
        <v>3093.9221599545999</v>
      </c>
      <c r="K1230" s="26">
        <v>2018</v>
      </c>
      <c r="L1230" t="s">
        <v>30</v>
      </c>
      <c r="M1230" s="32">
        <v>50</v>
      </c>
      <c r="N1230">
        <v>5.4892152799999998</v>
      </c>
      <c r="O1230">
        <v>4.95</v>
      </c>
      <c r="P1230" t="s">
        <v>12</v>
      </c>
      <c r="Q1230">
        <v>89</v>
      </c>
      <c r="R1230" t="s">
        <v>13</v>
      </c>
      <c r="S1230" t="s">
        <v>14</v>
      </c>
      <c r="T1230" t="s">
        <v>14</v>
      </c>
      <c r="U1230" s="34">
        <v>0</v>
      </c>
      <c r="V1230" s="34">
        <v>10</v>
      </c>
      <c r="W1230" s="25">
        <v>5</v>
      </c>
      <c r="X1230" s="25">
        <v>10</v>
      </c>
      <c r="Y1230">
        <v>0.61037440930769205</v>
      </c>
      <c r="Z1230" t="s">
        <v>812</v>
      </c>
      <c r="AA1230" t="s">
        <v>619</v>
      </c>
      <c r="AB1230">
        <v>1</v>
      </c>
      <c r="AC1230">
        <v>1.5580000000000001</v>
      </c>
      <c r="AD1230">
        <v>0.23899999999999999</v>
      </c>
      <c r="AE1230" t="s">
        <v>525</v>
      </c>
      <c r="AF1230" t="s">
        <v>534</v>
      </c>
      <c r="AG1230" s="32" t="s">
        <v>2340</v>
      </c>
      <c r="AH1230" s="32" t="s">
        <v>1336</v>
      </c>
      <c r="AI1230" s="32" t="s">
        <v>2341</v>
      </c>
      <c r="AJ1230" s="31" t="s">
        <v>3270</v>
      </c>
      <c r="AK1230" s="31">
        <v>0.94</v>
      </c>
      <c r="AL1230" s="31">
        <v>146.452</v>
      </c>
      <c r="AM1230" s="31">
        <v>9.3480000000000132</v>
      </c>
      <c r="AN1230" s="31">
        <v>903.26579346804488</v>
      </c>
      <c r="AO1230" s="31">
        <v>57.655263412854005</v>
      </c>
      <c r="AP1230" s="31">
        <v>0.55133032513590163</v>
      </c>
      <c r="AQ1230" s="31">
        <v>3.5191297349100155E-2</v>
      </c>
      <c r="AR1230" s="31">
        <v>0.13328497964724689</v>
      </c>
    </row>
    <row r="1231" spans="1:44" hidden="1" x14ac:dyDescent="0.5">
      <c r="A1231" s="31">
        <v>1230</v>
      </c>
      <c r="B1231" s="31">
        <v>85</v>
      </c>
      <c r="C1231" s="225" t="s">
        <v>9</v>
      </c>
      <c r="D1231" s="32">
        <v>30.880859999999998</v>
      </c>
      <c r="E1231" s="38">
        <v>121.97627199999999</v>
      </c>
      <c r="F1231">
        <v>0</v>
      </c>
      <c r="G1231">
        <f t="shared" si="14"/>
        <v>0</v>
      </c>
      <c r="H1231" s="32" t="s">
        <v>51</v>
      </c>
      <c r="I1231" s="7">
        <v>1</v>
      </c>
      <c r="J1231">
        <v>3093.9221599545999</v>
      </c>
      <c r="K1231" s="26">
        <v>2018</v>
      </c>
      <c r="L1231" t="s">
        <v>30</v>
      </c>
      <c r="M1231" s="32">
        <v>50</v>
      </c>
      <c r="N1231">
        <v>5.4892152799999998</v>
      </c>
      <c r="O1231">
        <v>4.95</v>
      </c>
      <c r="P1231" t="s">
        <v>12</v>
      </c>
      <c r="Q1231">
        <v>89</v>
      </c>
      <c r="R1231" t="s">
        <v>13</v>
      </c>
      <c r="S1231" t="s">
        <v>14</v>
      </c>
      <c r="T1231" t="s">
        <v>14</v>
      </c>
      <c r="U1231" s="34">
        <v>0</v>
      </c>
      <c r="V1231" s="34">
        <v>10</v>
      </c>
      <c r="W1231" s="25">
        <v>5</v>
      </c>
      <c r="X1231" s="25">
        <v>10</v>
      </c>
      <c r="Y1231">
        <v>0.61037440930769205</v>
      </c>
      <c r="Z1231" t="s">
        <v>812</v>
      </c>
      <c r="AA1231" t="s">
        <v>619</v>
      </c>
      <c r="AB1231">
        <v>1</v>
      </c>
      <c r="AC1231">
        <v>1.589</v>
      </c>
      <c r="AD1231">
        <v>0.35899999999999999</v>
      </c>
      <c r="AE1231" t="s">
        <v>525</v>
      </c>
      <c r="AF1231" t="s">
        <v>534</v>
      </c>
      <c r="AG1231" s="32" t="s">
        <v>2342</v>
      </c>
      <c r="AH1231" s="32" t="s">
        <v>1336</v>
      </c>
      <c r="AI1231" s="32" t="s">
        <v>2343</v>
      </c>
      <c r="AJ1231" s="31" t="s">
        <v>3271</v>
      </c>
      <c r="AK1231" s="31">
        <v>0.94</v>
      </c>
      <c r="AL1231" s="31">
        <v>149.36599999999999</v>
      </c>
      <c r="AM1231" s="31">
        <v>9.5340000000000202</v>
      </c>
      <c r="AN1231" s="31">
        <v>921.23834776683134</v>
      </c>
      <c r="AO1231" s="31">
        <v>58.802447729797876</v>
      </c>
      <c r="AP1231" s="31">
        <v>0.56230031234977385</v>
      </c>
      <c r="AQ1231" s="31">
        <v>3.5891509298921813E-2</v>
      </c>
      <c r="AR1231" s="31">
        <v>0.13328497964724689</v>
      </c>
    </row>
    <row r="1232" spans="1:44" hidden="1" x14ac:dyDescent="0.5">
      <c r="A1232" s="31">
        <v>1231</v>
      </c>
      <c r="B1232" s="31">
        <v>85</v>
      </c>
      <c r="C1232" s="225" t="s">
        <v>9</v>
      </c>
      <c r="D1232" s="32">
        <v>30.880859999999998</v>
      </c>
      <c r="E1232" s="38">
        <v>121.97627199999999</v>
      </c>
      <c r="F1232">
        <v>0</v>
      </c>
      <c r="G1232">
        <f t="shared" ref="G1232:G1295" si="15">F1232*1609.344</f>
        <v>0</v>
      </c>
      <c r="H1232" s="32" t="s">
        <v>51</v>
      </c>
      <c r="I1232" s="7">
        <v>1</v>
      </c>
      <c r="J1232">
        <v>3093.9221599545999</v>
      </c>
      <c r="K1232" s="26">
        <v>2018</v>
      </c>
      <c r="L1232" t="s">
        <v>30</v>
      </c>
      <c r="M1232" s="32">
        <v>50</v>
      </c>
      <c r="N1232">
        <v>5.4892152799999998</v>
      </c>
      <c r="O1232">
        <v>4.95</v>
      </c>
      <c r="P1232" t="s">
        <v>12</v>
      </c>
      <c r="Q1232">
        <v>89</v>
      </c>
      <c r="R1232" t="s">
        <v>13</v>
      </c>
      <c r="S1232" t="s">
        <v>14</v>
      </c>
      <c r="T1232" t="s">
        <v>14</v>
      </c>
      <c r="U1232" s="34">
        <v>0</v>
      </c>
      <c r="V1232" s="34">
        <v>10</v>
      </c>
      <c r="W1232" s="25">
        <v>5</v>
      </c>
      <c r="X1232" s="25">
        <v>10</v>
      </c>
      <c r="Y1232">
        <v>0.61037440930769205</v>
      </c>
      <c r="Z1232" t="s">
        <v>812</v>
      </c>
      <c r="AA1232" t="s">
        <v>619</v>
      </c>
      <c r="AB1232">
        <v>1</v>
      </c>
      <c r="AC1232">
        <v>1.631</v>
      </c>
      <c r="AD1232">
        <v>0.22500000000000001</v>
      </c>
      <c r="AE1232" t="s">
        <v>525</v>
      </c>
      <c r="AF1232" t="s">
        <v>534</v>
      </c>
      <c r="AG1232" s="32" t="s">
        <v>2344</v>
      </c>
      <c r="AH1232" s="32" t="s">
        <v>1336</v>
      </c>
      <c r="AI1232" s="32" t="s">
        <v>2345</v>
      </c>
      <c r="AJ1232" s="31" t="s">
        <v>3272</v>
      </c>
      <c r="AK1232" s="31">
        <v>0.94</v>
      </c>
      <c r="AL1232" s="31">
        <v>153.31399999999999</v>
      </c>
      <c r="AM1232" s="31">
        <v>9.7860000000000014</v>
      </c>
      <c r="AN1232" s="31">
        <v>945.58826004260675</v>
      </c>
      <c r="AO1232" s="31">
        <v>60.356697449528099</v>
      </c>
      <c r="AP1232" s="31">
        <v>0.57716287567179436</v>
      </c>
      <c r="AQ1232" s="31">
        <v>3.6840183553518792E-2</v>
      </c>
      <c r="AR1232" s="31">
        <v>0.13328497964724689</v>
      </c>
    </row>
    <row r="1233" spans="1:44" hidden="1" x14ac:dyDescent="0.5">
      <c r="A1233" s="31">
        <v>1232</v>
      </c>
      <c r="B1233" s="31">
        <v>85</v>
      </c>
      <c r="C1233" s="225" t="s">
        <v>9</v>
      </c>
      <c r="D1233" s="32">
        <v>30.880859999999998</v>
      </c>
      <c r="E1233" s="38">
        <v>121.97627199999999</v>
      </c>
      <c r="F1233">
        <v>0</v>
      </c>
      <c r="G1233">
        <f t="shared" si="15"/>
        <v>0</v>
      </c>
      <c r="H1233" s="32" t="s">
        <v>51</v>
      </c>
      <c r="I1233" s="7">
        <v>1</v>
      </c>
      <c r="J1233">
        <v>3093.9221599545999</v>
      </c>
      <c r="K1233" s="26">
        <v>2018</v>
      </c>
      <c r="L1233" t="s">
        <v>30</v>
      </c>
      <c r="M1233" s="32">
        <v>50</v>
      </c>
      <c r="N1233">
        <v>5.4892152799999998</v>
      </c>
      <c r="O1233">
        <v>4.95</v>
      </c>
      <c r="P1233" t="s">
        <v>12</v>
      </c>
      <c r="Q1233">
        <v>89</v>
      </c>
      <c r="R1233" t="s">
        <v>13</v>
      </c>
      <c r="S1233" t="s">
        <v>14</v>
      </c>
      <c r="T1233" t="s">
        <v>14</v>
      </c>
      <c r="U1233" s="34">
        <v>0</v>
      </c>
      <c r="V1233" s="34">
        <v>10</v>
      </c>
      <c r="W1233" s="25">
        <v>5</v>
      </c>
      <c r="X1233" s="25">
        <v>10</v>
      </c>
      <c r="Y1233">
        <v>0.61037440930769205</v>
      </c>
      <c r="Z1233" t="s">
        <v>812</v>
      </c>
      <c r="AA1233" t="s">
        <v>619</v>
      </c>
      <c r="AB1233">
        <v>1</v>
      </c>
      <c r="AC1233">
        <v>1.6419999999999999</v>
      </c>
      <c r="AD1233">
        <v>0.24299999999999999</v>
      </c>
      <c r="AE1233" t="s">
        <v>525</v>
      </c>
      <c r="AF1233" t="s">
        <v>534</v>
      </c>
      <c r="AG1233" s="32" t="s">
        <v>2346</v>
      </c>
      <c r="AH1233" s="32" t="s">
        <v>1336</v>
      </c>
      <c r="AI1233" s="32" t="s">
        <v>2347</v>
      </c>
      <c r="AJ1233" s="31" t="s">
        <v>3273</v>
      </c>
      <c r="AK1233" s="31">
        <v>0.94</v>
      </c>
      <c r="AL1233" s="31">
        <v>154.34799999999998</v>
      </c>
      <c r="AM1233" s="31">
        <v>9.8520000000000039</v>
      </c>
      <c r="AN1233" s="31">
        <v>951.96561801959535</v>
      </c>
      <c r="AO1233" s="31">
        <v>60.763762852314628</v>
      </c>
      <c r="AP1233" s="31">
        <v>0.58105545177994256</v>
      </c>
      <c r="AQ1233" s="31">
        <v>3.7088645858294224E-2</v>
      </c>
      <c r="AR1233" s="31">
        <v>0.13328497964724689</v>
      </c>
    </row>
    <row r="1234" spans="1:44" hidden="1" x14ac:dyDescent="0.5">
      <c r="A1234" s="31">
        <v>1233</v>
      </c>
      <c r="B1234" s="31">
        <v>85</v>
      </c>
      <c r="C1234" s="225" t="s">
        <v>9</v>
      </c>
      <c r="D1234" s="32">
        <v>30.880859999999998</v>
      </c>
      <c r="E1234" s="38">
        <v>121.97627199999999</v>
      </c>
      <c r="F1234">
        <v>0</v>
      </c>
      <c r="G1234">
        <f t="shared" si="15"/>
        <v>0</v>
      </c>
      <c r="H1234" s="32" t="s">
        <v>51</v>
      </c>
      <c r="I1234" s="7">
        <v>1</v>
      </c>
      <c r="J1234">
        <v>3093.9221599545999</v>
      </c>
      <c r="K1234" s="26">
        <v>2018</v>
      </c>
      <c r="L1234" t="s">
        <v>30</v>
      </c>
      <c r="M1234" s="32">
        <v>50</v>
      </c>
      <c r="N1234">
        <v>5.4892152799999998</v>
      </c>
      <c r="O1234">
        <v>4.95</v>
      </c>
      <c r="P1234" t="s">
        <v>12</v>
      </c>
      <c r="Q1234">
        <v>89</v>
      </c>
      <c r="R1234" t="s">
        <v>13</v>
      </c>
      <c r="S1234" t="s">
        <v>14</v>
      </c>
      <c r="T1234" t="s">
        <v>14</v>
      </c>
      <c r="U1234" s="34">
        <v>0</v>
      </c>
      <c r="V1234" s="34">
        <v>10</v>
      </c>
      <c r="W1234" s="25">
        <v>5</v>
      </c>
      <c r="X1234" s="25">
        <v>10</v>
      </c>
      <c r="Y1234">
        <v>0.61037440930769205</v>
      </c>
      <c r="Z1234" t="s">
        <v>812</v>
      </c>
      <c r="AA1234" t="s">
        <v>619</v>
      </c>
      <c r="AB1234">
        <v>1</v>
      </c>
      <c r="AC1234">
        <v>1.6679999999999999</v>
      </c>
      <c r="AD1234">
        <v>0.27700000000000002</v>
      </c>
      <c r="AE1234" t="s">
        <v>525</v>
      </c>
      <c r="AF1234" t="s">
        <v>534</v>
      </c>
      <c r="AG1234" s="32" t="s">
        <v>2348</v>
      </c>
      <c r="AH1234" s="32" t="s">
        <v>1336</v>
      </c>
      <c r="AI1234" s="32" t="s">
        <v>2349</v>
      </c>
      <c r="AJ1234" s="31" t="s">
        <v>3274</v>
      </c>
      <c r="AK1234" s="31">
        <v>0.94</v>
      </c>
      <c r="AL1234" s="31">
        <v>156.792</v>
      </c>
      <c r="AM1234" s="31">
        <v>10.00800000000001</v>
      </c>
      <c r="AN1234" s="31">
        <v>967.03937323793264</v>
      </c>
      <c r="AO1234" s="31">
        <v>61.725917440719158</v>
      </c>
      <c r="AP1234" s="31">
        <v>0.5902560862173839</v>
      </c>
      <c r="AQ1234" s="31">
        <v>3.7675920396854322E-2</v>
      </c>
      <c r="AR1234" s="31">
        <v>0.13328497964724689</v>
      </c>
    </row>
    <row r="1235" spans="1:44" hidden="1" x14ac:dyDescent="0.5">
      <c r="A1235" s="31">
        <v>1234</v>
      </c>
      <c r="B1235" s="31">
        <v>85</v>
      </c>
      <c r="C1235" s="225" t="s">
        <v>9</v>
      </c>
      <c r="D1235" s="32">
        <v>30.880859999999998</v>
      </c>
      <c r="E1235" s="38">
        <v>121.97627199999999</v>
      </c>
      <c r="F1235">
        <v>0</v>
      </c>
      <c r="G1235">
        <f t="shared" si="15"/>
        <v>0</v>
      </c>
      <c r="H1235" s="32" t="s">
        <v>51</v>
      </c>
      <c r="I1235" s="7">
        <v>1</v>
      </c>
      <c r="J1235">
        <v>3093.9221599545999</v>
      </c>
      <c r="K1235" s="26">
        <v>2018</v>
      </c>
      <c r="L1235" t="s">
        <v>30</v>
      </c>
      <c r="M1235" s="32">
        <v>50</v>
      </c>
      <c r="N1235">
        <v>5.4892152799999998</v>
      </c>
      <c r="O1235">
        <v>4.95</v>
      </c>
      <c r="P1235" t="s">
        <v>12</v>
      </c>
      <c r="Q1235">
        <v>89</v>
      </c>
      <c r="R1235" t="s">
        <v>13</v>
      </c>
      <c r="S1235" t="s">
        <v>14</v>
      </c>
      <c r="T1235" t="s">
        <v>14</v>
      </c>
      <c r="U1235" s="34">
        <v>0</v>
      </c>
      <c r="V1235" s="34">
        <v>10</v>
      </c>
      <c r="W1235" s="25">
        <v>5</v>
      </c>
      <c r="X1235" s="25">
        <v>10</v>
      </c>
      <c r="Y1235">
        <v>0.61037440930769205</v>
      </c>
      <c r="Z1235" t="s">
        <v>812</v>
      </c>
      <c r="AA1235" t="s">
        <v>619</v>
      </c>
      <c r="AB1235">
        <v>1</v>
      </c>
      <c r="AC1235">
        <v>1.681</v>
      </c>
      <c r="AD1235">
        <v>0.255</v>
      </c>
      <c r="AE1235" t="s">
        <v>525</v>
      </c>
      <c r="AF1235" t="s">
        <v>534</v>
      </c>
      <c r="AG1235" s="32" t="s">
        <v>2350</v>
      </c>
      <c r="AH1235" s="32" t="s">
        <v>1336</v>
      </c>
      <c r="AI1235" s="32" t="s">
        <v>2351</v>
      </c>
      <c r="AJ1235" s="31" t="s">
        <v>3275</v>
      </c>
      <c r="AK1235" s="31">
        <v>0.94</v>
      </c>
      <c r="AL1235" s="31">
        <v>158.01399999999998</v>
      </c>
      <c r="AM1235" s="31">
        <v>10.086000000000013</v>
      </c>
      <c r="AN1235" s="31">
        <v>974.57625084710105</v>
      </c>
      <c r="AO1235" s="31">
        <v>62.20699473492143</v>
      </c>
      <c r="AP1235" s="31">
        <v>0.59485640343610446</v>
      </c>
      <c r="AQ1235" s="31">
        <v>3.7969557666134378E-2</v>
      </c>
      <c r="AR1235" s="31">
        <v>0.13328497964724689</v>
      </c>
    </row>
    <row r="1236" spans="1:44" hidden="1" x14ac:dyDescent="0.5">
      <c r="A1236" s="31">
        <v>1235</v>
      </c>
      <c r="B1236" s="31">
        <v>85</v>
      </c>
      <c r="C1236" s="225" t="s">
        <v>9</v>
      </c>
      <c r="D1236" s="32">
        <v>30.880859999999998</v>
      </c>
      <c r="E1236" s="38">
        <v>121.97627199999999</v>
      </c>
      <c r="F1236">
        <v>0</v>
      </c>
      <c r="G1236">
        <f t="shared" si="15"/>
        <v>0</v>
      </c>
      <c r="H1236" s="32" t="s">
        <v>51</v>
      </c>
      <c r="I1236" s="7">
        <v>1</v>
      </c>
      <c r="J1236">
        <v>3093.9221599545999</v>
      </c>
      <c r="K1236" s="26">
        <v>2018</v>
      </c>
      <c r="L1236" t="s">
        <v>30</v>
      </c>
      <c r="M1236" s="32">
        <v>50</v>
      </c>
      <c r="N1236">
        <v>5.4892152799999998</v>
      </c>
      <c r="O1236">
        <v>4.95</v>
      </c>
      <c r="P1236" t="s">
        <v>12</v>
      </c>
      <c r="Q1236">
        <v>89</v>
      </c>
      <c r="R1236" t="s">
        <v>13</v>
      </c>
      <c r="S1236" t="s">
        <v>14</v>
      </c>
      <c r="T1236" t="s">
        <v>14</v>
      </c>
      <c r="U1236" s="34">
        <v>0</v>
      </c>
      <c r="V1236" s="34">
        <v>10</v>
      </c>
      <c r="W1236" s="25">
        <v>5</v>
      </c>
      <c r="X1236" s="25">
        <v>10</v>
      </c>
      <c r="Y1236">
        <v>0.61037440930769205</v>
      </c>
      <c r="Z1236" t="s">
        <v>812</v>
      </c>
      <c r="AA1236" t="s">
        <v>619</v>
      </c>
      <c r="AB1236">
        <v>1</v>
      </c>
      <c r="AC1236">
        <v>1.83</v>
      </c>
      <c r="AD1236">
        <v>0.248</v>
      </c>
      <c r="AE1236" t="s">
        <v>525</v>
      </c>
      <c r="AF1236" t="s">
        <v>534</v>
      </c>
      <c r="AG1236" s="32">
        <v>183</v>
      </c>
      <c r="AH1236" s="32" t="s">
        <v>1336</v>
      </c>
      <c r="AI1236" s="32" t="s">
        <v>2352</v>
      </c>
      <c r="AJ1236" s="31" t="s">
        <v>3276</v>
      </c>
      <c r="AK1236" s="31">
        <v>0.94</v>
      </c>
      <c r="AL1236" s="31">
        <v>172.01999999999998</v>
      </c>
      <c r="AM1236" s="31">
        <v>10.980000000000018</v>
      </c>
      <c r="AN1236" s="31">
        <v>1060.9604634444943</v>
      </c>
      <c r="AO1236" s="31">
        <v>67.720880645393365</v>
      </c>
      <c r="AP1236" s="31">
        <v>0.64758311617374842</v>
      </c>
      <c r="AQ1236" s="31">
        <v>4.1335092521728685E-2</v>
      </c>
      <c r="AR1236" s="31">
        <v>0.13328497964724689</v>
      </c>
    </row>
    <row r="1237" spans="1:44" hidden="1" x14ac:dyDescent="0.5">
      <c r="A1237" s="31">
        <v>1236</v>
      </c>
      <c r="B1237" s="31">
        <v>85</v>
      </c>
      <c r="C1237" s="225" t="s">
        <v>9</v>
      </c>
      <c r="D1237" s="32">
        <v>30.880859999999998</v>
      </c>
      <c r="E1237" s="38">
        <v>121.97627199999999</v>
      </c>
      <c r="F1237">
        <v>0</v>
      </c>
      <c r="G1237">
        <f t="shared" si="15"/>
        <v>0</v>
      </c>
      <c r="H1237" s="32" t="s">
        <v>51</v>
      </c>
      <c r="I1237" s="7">
        <v>1</v>
      </c>
      <c r="J1237">
        <v>3093.9221599545999</v>
      </c>
      <c r="K1237" s="26">
        <v>2018</v>
      </c>
      <c r="L1237" t="s">
        <v>30</v>
      </c>
      <c r="M1237" s="32">
        <v>50</v>
      </c>
      <c r="N1237">
        <v>5.4892152799999998</v>
      </c>
      <c r="O1237">
        <v>4.95</v>
      </c>
      <c r="P1237" t="s">
        <v>12</v>
      </c>
      <c r="Q1237">
        <v>89</v>
      </c>
      <c r="R1237" t="s">
        <v>13</v>
      </c>
      <c r="S1237" t="s">
        <v>14</v>
      </c>
      <c r="T1237" t="s">
        <v>14</v>
      </c>
      <c r="U1237" s="34">
        <v>0</v>
      </c>
      <c r="V1237" s="34">
        <v>10</v>
      </c>
      <c r="W1237" s="25">
        <v>5</v>
      </c>
      <c r="X1237" s="25">
        <v>10</v>
      </c>
      <c r="Y1237">
        <v>0.61037440930769205</v>
      </c>
      <c r="Z1237" t="s">
        <v>812</v>
      </c>
      <c r="AA1237" t="s">
        <v>619</v>
      </c>
      <c r="AB1237">
        <v>1</v>
      </c>
      <c r="AC1237">
        <v>1.8380000000000001</v>
      </c>
      <c r="AD1237">
        <v>0.17299999999999999</v>
      </c>
      <c r="AE1237" t="s">
        <v>525</v>
      </c>
      <c r="AF1237" t="s">
        <v>534</v>
      </c>
      <c r="AG1237" s="32" t="s">
        <v>2353</v>
      </c>
      <c r="AH1237" s="32" t="s">
        <v>1336</v>
      </c>
      <c r="AI1237" s="32" t="s">
        <v>2354</v>
      </c>
      <c r="AJ1237" s="31" t="s">
        <v>3277</v>
      </c>
      <c r="AK1237" s="31">
        <v>0.94</v>
      </c>
      <c r="AL1237" s="31">
        <v>172.77199999999999</v>
      </c>
      <c r="AM1237" s="31">
        <v>11.02800000000002</v>
      </c>
      <c r="AN1237" s="31">
        <v>1065.5985419732135</v>
      </c>
      <c r="AO1237" s="31">
        <v>68.01692821105631</v>
      </c>
      <c r="AP1237" s="31">
        <v>0.650414080616038</v>
      </c>
      <c r="AQ1237" s="31">
        <v>4.1515792379747195E-2</v>
      </c>
      <c r="AR1237" s="31">
        <v>0.13328497964724689</v>
      </c>
    </row>
    <row r="1238" spans="1:44" hidden="1" x14ac:dyDescent="0.5">
      <c r="A1238" s="31">
        <v>1276</v>
      </c>
      <c r="B1238" s="31">
        <v>88</v>
      </c>
      <c r="C1238" s="225" t="s">
        <v>20</v>
      </c>
      <c r="D1238" s="41">
        <v>44.881704999999997</v>
      </c>
      <c r="E1238" s="45">
        <v>12.486390999999999</v>
      </c>
      <c r="F1238">
        <v>0</v>
      </c>
      <c r="G1238">
        <f t="shared" si="15"/>
        <v>0</v>
      </c>
      <c r="H1238" s="31" t="s">
        <v>10</v>
      </c>
      <c r="I1238">
        <v>0</v>
      </c>
      <c r="J1238">
        <v>307.46045586038099</v>
      </c>
      <c r="K1238" s="26">
        <v>2016</v>
      </c>
      <c r="L1238" t="s">
        <v>11</v>
      </c>
      <c r="M1238" s="32">
        <v>1000</v>
      </c>
      <c r="N1238">
        <v>130.61708849999999</v>
      </c>
      <c r="O1238">
        <v>5</v>
      </c>
      <c r="P1238" t="s">
        <v>23</v>
      </c>
      <c r="Q1238">
        <v>95.5</v>
      </c>
      <c r="R1238" t="s">
        <v>13</v>
      </c>
      <c r="S1238" t="s">
        <v>14</v>
      </c>
      <c r="T1238" t="s">
        <v>14</v>
      </c>
      <c r="U1238" s="240">
        <v>0</v>
      </c>
      <c r="V1238" s="240">
        <v>5</v>
      </c>
      <c r="W1238" s="25">
        <v>2.5</v>
      </c>
      <c r="X1238" s="25">
        <v>5</v>
      </c>
      <c r="Y1238" s="244">
        <v>0.91868156199999995</v>
      </c>
      <c r="Z1238" t="s">
        <v>1100</v>
      </c>
      <c r="AA1238" t="s">
        <v>622</v>
      </c>
      <c r="AB1238">
        <v>1</v>
      </c>
      <c r="AC1238">
        <v>0.93</v>
      </c>
      <c r="AF1238" t="s">
        <v>532</v>
      </c>
      <c r="AG1238" s="32">
        <v>0.9</v>
      </c>
      <c r="AH1238" s="32">
        <v>0</v>
      </c>
      <c r="AI1238" s="32">
        <v>0</v>
      </c>
      <c r="AJ1238" s="31">
        <v>0.9</v>
      </c>
      <c r="AK1238" s="31">
        <v>0</v>
      </c>
      <c r="AL1238" s="31">
        <v>0</v>
      </c>
      <c r="AM1238" s="31">
        <v>0.9</v>
      </c>
      <c r="AN1238" s="31">
        <v>0</v>
      </c>
      <c r="AO1238" s="31">
        <v>123.09463837696335</v>
      </c>
      <c r="AP1238" s="31">
        <v>0</v>
      </c>
      <c r="AQ1238" s="31">
        <v>0.11308477465797383</v>
      </c>
      <c r="AR1238" s="31">
        <v>0.13341858489683281</v>
      </c>
    </row>
    <row r="1239" spans="1:44" hidden="1" x14ac:dyDescent="0.5">
      <c r="A1239" s="31">
        <v>630</v>
      </c>
      <c r="B1239" s="31">
        <v>47</v>
      </c>
      <c r="C1239" s="225" t="s">
        <v>25</v>
      </c>
      <c r="D1239" s="35">
        <v>-34.071519000000002</v>
      </c>
      <c r="E1239" s="33">
        <v>24.216854999999999</v>
      </c>
      <c r="F1239">
        <v>0</v>
      </c>
      <c r="G1239">
        <f t="shared" si="15"/>
        <v>0</v>
      </c>
      <c r="H1239" s="32" t="s">
        <v>10</v>
      </c>
      <c r="I1239">
        <v>0</v>
      </c>
      <c r="J1239">
        <v>14.9698824379289</v>
      </c>
      <c r="K1239" s="26">
        <v>2014</v>
      </c>
      <c r="L1239" t="s">
        <v>11</v>
      </c>
      <c r="M1239" s="32">
        <v>65</v>
      </c>
      <c r="N1239">
        <v>7.2453993929999996</v>
      </c>
      <c r="O1239">
        <v>5</v>
      </c>
      <c r="P1239" t="s">
        <v>12</v>
      </c>
      <c r="Q1239">
        <v>89</v>
      </c>
      <c r="R1239" t="s">
        <v>13</v>
      </c>
      <c r="S1239" t="s">
        <v>16</v>
      </c>
      <c r="T1239" t="s">
        <v>14</v>
      </c>
      <c r="U1239" s="34">
        <v>0</v>
      </c>
      <c r="V1239" s="34">
        <v>5</v>
      </c>
      <c r="W1239" s="25">
        <v>2.5</v>
      </c>
      <c r="X1239" s="25">
        <v>5</v>
      </c>
      <c r="Y1239">
        <v>1.3919760750000001</v>
      </c>
      <c r="Z1239" t="s">
        <v>776</v>
      </c>
      <c r="AA1239" t="s">
        <v>636</v>
      </c>
      <c r="AB1239">
        <v>3</v>
      </c>
      <c r="AC1239">
        <v>2393.1109999999999</v>
      </c>
      <c r="AD1239">
        <v>2915.4189999999999</v>
      </c>
      <c r="AE1239" t="s">
        <v>525</v>
      </c>
      <c r="AF1239" t="s">
        <v>521</v>
      </c>
      <c r="AG1239" s="32" t="s">
        <v>1666</v>
      </c>
      <c r="AH1239" s="32" t="s">
        <v>1579</v>
      </c>
      <c r="AI1239" s="32" t="s">
        <v>1667</v>
      </c>
      <c r="AJ1239" s="31" t="s">
        <v>2982</v>
      </c>
      <c r="AK1239" s="31">
        <v>0.98</v>
      </c>
      <c r="AL1239" s="31">
        <v>33.696682322646957</v>
      </c>
      <c r="AM1239" s="31">
        <v>0.6876873943397328</v>
      </c>
      <c r="AN1239" s="31">
        <v>274.3212602771012</v>
      </c>
      <c r="AO1239" s="31">
        <v>5.5983930668796082</v>
      </c>
      <c r="AP1239" s="31">
        <v>0.38184863116957274</v>
      </c>
      <c r="AQ1239" s="31">
        <v>7.7928292075422892E-3</v>
      </c>
      <c r="AR1239" s="31">
        <v>0.13341858489683281</v>
      </c>
    </row>
    <row r="1240" spans="1:44" hidden="1" x14ac:dyDescent="0.5">
      <c r="A1240" s="31">
        <v>631</v>
      </c>
      <c r="B1240" s="31">
        <v>47</v>
      </c>
      <c r="C1240" s="225" t="s">
        <v>25</v>
      </c>
      <c r="D1240" s="35">
        <v>-34.058346</v>
      </c>
      <c r="E1240" s="33">
        <v>23.378485999999999</v>
      </c>
      <c r="F1240">
        <v>0</v>
      </c>
      <c r="G1240">
        <f t="shared" si="15"/>
        <v>0</v>
      </c>
      <c r="H1240" s="32" t="s">
        <v>10</v>
      </c>
      <c r="I1240">
        <v>0</v>
      </c>
      <c r="J1240">
        <v>26.2260276281838</v>
      </c>
      <c r="K1240" s="26">
        <v>2014</v>
      </c>
      <c r="L1240" t="s">
        <v>11</v>
      </c>
      <c r="M1240" s="32">
        <v>65</v>
      </c>
      <c r="N1240">
        <v>7.2453993929999996</v>
      </c>
      <c r="O1240">
        <v>5</v>
      </c>
      <c r="P1240" t="s">
        <v>12</v>
      </c>
      <c r="Q1240">
        <v>89</v>
      </c>
      <c r="R1240" t="s">
        <v>13</v>
      </c>
      <c r="S1240" t="s">
        <v>16</v>
      </c>
      <c r="T1240" t="s">
        <v>14</v>
      </c>
      <c r="U1240" s="34">
        <v>0</v>
      </c>
      <c r="V1240" s="34">
        <v>5</v>
      </c>
      <c r="W1240" s="25">
        <v>2.5</v>
      </c>
      <c r="X1240" s="25">
        <v>5</v>
      </c>
      <c r="Y1240">
        <v>1.3919760750000001</v>
      </c>
      <c r="Z1240" t="s">
        <v>776</v>
      </c>
      <c r="AA1240" t="s">
        <v>636</v>
      </c>
      <c r="AB1240">
        <v>3</v>
      </c>
      <c r="AC1240">
        <v>1911.0239999999999</v>
      </c>
      <c r="AD1240">
        <v>868.71799999999996</v>
      </c>
      <c r="AE1240" t="s">
        <v>525</v>
      </c>
      <c r="AF1240" t="s">
        <v>521</v>
      </c>
      <c r="AG1240" s="32" t="s">
        <v>1668</v>
      </c>
      <c r="AH1240" s="32" t="s">
        <v>1579</v>
      </c>
      <c r="AI1240" s="32" t="s">
        <v>1669</v>
      </c>
      <c r="AJ1240" s="31" t="s">
        <v>2983</v>
      </c>
      <c r="AK1240" s="31">
        <v>0.98</v>
      </c>
      <c r="AL1240" s="31">
        <v>26.908559042582677</v>
      </c>
      <c r="AM1240" s="31">
        <v>0.54915426617515806</v>
      </c>
      <c r="AN1240" s="31">
        <v>219.05983972318333</v>
      </c>
      <c r="AO1240" s="31">
        <v>4.4706089739425279</v>
      </c>
      <c r="AP1240" s="31">
        <v>0.30492605588800581</v>
      </c>
      <c r="AQ1240" s="31">
        <v>6.2229807324082984E-3</v>
      </c>
      <c r="AR1240" s="31">
        <v>0.13341858489683281</v>
      </c>
    </row>
    <row r="1241" spans="1:44" hidden="1" x14ac:dyDescent="0.5">
      <c r="A1241" s="31">
        <v>632</v>
      </c>
      <c r="B1241" s="31">
        <v>47</v>
      </c>
      <c r="C1241" s="225" t="s">
        <v>25</v>
      </c>
      <c r="D1241" s="35">
        <v>-34.054225000000002</v>
      </c>
      <c r="E1241" s="33">
        <v>24.924301</v>
      </c>
      <c r="F1241">
        <v>0</v>
      </c>
      <c r="G1241">
        <f t="shared" si="15"/>
        <v>0</v>
      </c>
      <c r="H1241" s="32" t="s">
        <v>10</v>
      </c>
      <c r="I1241">
        <v>0</v>
      </c>
      <c r="J1241">
        <v>92.383662549848495</v>
      </c>
      <c r="K1241" s="26">
        <v>2014</v>
      </c>
      <c r="L1241" t="s">
        <v>11</v>
      </c>
      <c r="M1241" s="32">
        <v>65</v>
      </c>
      <c r="N1241">
        <v>7.2453993929999996</v>
      </c>
      <c r="O1241">
        <v>5</v>
      </c>
      <c r="P1241" t="s">
        <v>12</v>
      </c>
      <c r="Q1241">
        <v>89</v>
      </c>
      <c r="R1241" t="s">
        <v>13</v>
      </c>
      <c r="S1241" t="s">
        <v>16</v>
      </c>
      <c r="T1241" t="s">
        <v>14</v>
      </c>
      <c r="U1241" s="34">
        <v>0</v>
      </c>
      <c r="V1241" s="34">
        <v>5</v>
      </c>
      <c r="W1241" s="25">
        <v>2.5</v>
      </c>
      <c r="X1241" s="25">
        <v>5</v>
      </c>
      <c r="Y1241">
        <v>1.3919760750000001</v>
      </c>
      <c r="Z1241" t="s">
        <v>776</v>
      </c>
      <c r="AA1241" t="s">
        <v>636</v>
      </c>
      <c r="AB1241">
        <v>3</v>
      </c>
      <c r="AC1241">
        <v>1051.1600000000001</v>
      </c>
      <c r="AD1241">
        <v>132.79</v>
      </c>
      <c r="AE1241" t="s">
        <v>525</v>
      </c>
      <c r="AF1241" t="s">
        <v>521</v>
      </c>
      <c r="AG1241" s="32" t="s">
        <v>1670</v>
      </c>
      <c r="AH1241" s="32" t="s">
        <v>1133</v>
      </c>
      <c r="AI1241" s="32" t="s">
        <v>1671</v>
      </c>
      <c r="AJ1241" s="31" t="s">
        <v>2984</v>
      </c>
      <c r="AK1241" s="31">
        <v>0.96</v>
      </c>
      <c r="AL1241" s="31">
        <v>14.499007822386602</v>
      </c>
      <c r="AM1241" s="31">
        <v>0.60412532593277568</v>
      </c>
      <c r="AN1241" s="31">
        <v>118.03494660159789</v>
      </c>
      <c r="AO1241" s="31">
        <v>4.9181227750665837</v>
      </c>
      <c r="AP1241" s="31">
        <v>0.16430182168332685</v>
      </c>
      <c r="AQ1241" s="31">
        <v>6.8459092368052914E-3</v>
      </c>
      <c r="AR1241" s="31">
        <v>0.13341858489683281</v>
      </c>
    </row>
    <row r="1242" spans="1:44" hidden="1" x14ac:dyDescent="0.5">
      <c r="A1242" s="31">
        <v>633</v>
      </c>
      <c r="B1242" s="31">
        <v>47</v>
      </c>
      <c r="C1242" s="225" t="s">
        <v>25</v>
      </c>
      <c r="D1242" s="35">
        <v>-34.033616000000002</v>
      </c>
      <c r="E1242" s="33">
        <v>22.800723000000001</v>
      </c>
      <c r="F1242">
        <v>0</v>
      </c>
      <c r="G1242">
        <f t="shared" si="15"/>
        <v>0</v>
      </c>
      <c r="H1242" s="32" t="s">
        <v>10</v>
      </c>
      <c r="I1242">
        <v>0</v>
      </c>
      <c r="J1242">
        <v>35.086888894870803</v>
      </c>
      <c r="K1242" s="26">
        <v>2014</v>
      </c>
      <c r="L1242" t="s">
        <v>11</v>
      </c>
      <c r="M1242" s="32">
        <v>65</v>
      </c>
      <c r="N1242">
        <v>7.2453993929999996</v>
      </c>
      <c r="O1242">
        <v>5</v>
      </c>
      <c r="P1242" t="s">
        <v>12</v>
      </c>
      <c r="Q1242">
        <v>89</v>
      </c>
      <c r="R1242" t="s">
        <v>13</v>
      </c>
      <c r="S1242" t="s">
        <v>16</v>
      </c>
      <c r="T1242" t="s">
        <v>14</v>
      </c>
      <c r="U1242" s="34">
        <v>0</v>
      </c>
      <c r="V1242" s="34">
        <v>5</v>
      </c>
      <c r="W1242" s="25">
        <v>2.5</v>
      </c>
      <c r="X1242" s="25">
        <v>5</v>
      </c>
      <c r="Y1242">
        <v>1.6364102199999999</v>
      </c>
      <c r="Z1242" t="s">
        <v>776</v>
      </c>
      <c r="AA1242" t="s">
        <v>636</v>
      </c>
      <c r="AB1242">
        <v>3</v>
      </c>
      <c r="AC1242">
        <v>3286.654</v>
      </c>
      <c r="AD1242">
        <v>3089.3919999999998</v>
      </c>
      <c r="AE1242" t="s">
        <v>525</v>
      </c>
      <c r="AF1242" t="s">
        <v>521</v>
      </c>
      <c r="AG1242" s="32" t="s">
        <v>1672</v>
      </c>
      <c r="AH1242" s="32">
        <v>1</v>
      </c>
      <c r="AI1242" s="32" t="s">
        <v>1672</v>
      </c>
      <c r="AJ1242" s="31">
        <v>0</v>
      </c>
      <c r="AK1242" s="31">
        <v>1</v>
      </c>
      <c r="AL1242" s="31">
        <v>40.169072031339432</v>
      </c>
      <c r="AM1242" s="31">
        <v>0</v>
      </c>
      <c r="AN1242" s="31">
        <v>327.01232596993259</v>
      </c>
      <c r="AO1242" s="31">
        <v>0</v>
      </c>
      <c r="AP1242" s="31">
        <v>0.53512631228316909</v>
      </c>
      <c r="AQ1242" s="31">
        <v>0</v>
      </c>
      <c r="AR1242" s="31">
        <v>0.13341858489683281</v>
      </c>
    </row>
    <row r="1243" spans="1:44" hidden="1" x14ac:dyDescent="0.5">
      <c r="A1243" s="31">
        <v>634</v>
      </c>
      <c r="B1243" s="31">
        <v>47</v>
      </c>
      <c r="C1243" s="225" t="s">
        <v>25</v>
      </c>
      <c r="D1243" s="35">
        <v>-34.01652</v>
      </c>
      <c r="E1243" s="33">
        <v>23.417145000000001</v>
      </c>
      <c r="F1243">
        <v>0</v>
      </c>
      <c r="G1243">
        <f t="shared" si="15"/>
        <v>0</v>
      </c>
      <c r="H1243" s="32" t="s">
        <v>10</v>
      </c>
      <c r="I1243">
        <v>0</v>
      </c>
      <c r="J1243">
        <v>24.056983898446902</v>
      </c>
      <c r="K1243" s="26">
        <v>2014</v>
      </c>
      <c r="L1243" t="s">
        <v>11</v>
      </c>
      <c r="M1243" s="32">
        <v>65</v>
      </c>
      <c r="N1243">
        <v>7.2453993929999996</v>
      </c>
      <c r="O1243">
        <v>5</v>
      </c>
      <c r="P1243" t="s">
        <v>12</v>
      </c>
      <c r="Q1243">
        <v>89</v>
      </c>
      <c r="R1243" t="s">
        <v>13</v>
      </c>
      <c r="S1243" t="s">
        <v>16</v>
      </c>
      <c r="T1243" t="s">
        <v>14</v>
      </c>
      <c r="U1243" s="34">
        <v>0</v>
      </c>
      <c r="V1243" s="34">
        <v>5</v>
      </c>
      <c r="W1243" s="25">
        <v>2.5</v>
      </c>
      <c r="X1243" s="25">
        <v>5</v>
      </c>
      <c r="Y1243">
        <v>1.6364102199999999</v>
      </c>
      <c r="Z1243" t="s">
        <v>776</v>
      </c>
      <c r="AA1243" t="s">
        <v>636</v>
      </c>
      <c r="AB1243">
        <v>3</v>
      </c>
      <c r="AC1243">
        <v>1706.258</v>
      </c>
      <c r="AD1243">
        <v>986.49699999999996</v>
      </c>
      <c r="AE1243" t="s">
        <v>525</v>
      </c>
      <c r="AF1243" t="s">
        <v>521</v>
      </c>
      <c r="AG1243" s="32" t="s">
        <v>1673</v>
      </c>
      <c r="AH1243" s="32" t="s">
        <v>1579</v>
      </c>
      <c r="AI1243" s="32" t="s">
        <v>1674</v>
      </c>
      <c r="AJ1243" s="31" t="s">
        <v>2985</v>
      </c>
      <c r="AK1243" s="31">
        <v>0.98</v>
      </c>
      <c r="AL1243" s="31">
        <v>20.436597371043064</v>
      </c>
      <c r="AM1243" s="31">
        <v>0.41707341573557244</v>
      </c>
      <c r="AN1243" s="31">
        <v>166.37225863723685</v>
      </c>
      <c r="AO1243" s="31">
        <v>3.3953522170864643</v>
      </c>
      <c r="AP1243" s="31">
        <v>0.27225326435845765</v>
      </c>
      <c r="AQ1243" s="31">
        <v>5.5561890685399485E-3</v>
      </c>
      <c r="AR1243" s="31">
        <v>0.13341858489683281</v>
      </c>
    </row>
    <row r="1244" spans="1:44" hidden="1" x14ac:dyDescent="0.5">
      <c r="A1244" s="31">
        <v>635</v>
      </c>
      <c r="B1244" s="31">
        <v>47</v>
      </c>
      <c r="C1244" s="225" t="s">
        <v>25</v>
      </c>
      <c r="D1244" s="35">
        <v>-33.985523999999998</v>
      </c>
      <c r="E1244" s="33">
        <v>25.672011000000001</v>
      </c>
      <c r="F1244">
        <v>0</v>
      </c>
      <c r="G1244">
        <f t="shared" si="15"/>
        <v>0</v>
      </c>
      <c r="H1244" s="32" t="s">
        <v>10</v>
      </c>
      <c r="I1244">
        <v>0</v>
      </c>
      <c r="J1244">
        <v>102.71743833073</v>
      </c>
      <c r="K1244" s="26">
        <v>2014</v>
      </c>
      <c r="L1244" t="s">
        <v>11</v>
      </c>
      <c r="M1244" s="32">
        <v>65</v>
      </c>
      <c r="N1244">
        <v>7.2453993929999996</v>
      </c>
      <c r="O1244">
        <v>5</v>
      </c>
      <c r="P1244" t="s">
        <v>12</v>
      </c>
      <c r="Q1244">
        <v>89</v>
      </c>
      <c r="R1244" t="s">
        <v>13</v>
      </c>
      <c r="S1244" t="s">
        <v>16</v>
      </c>
      <c r="T1244" t="s">
        <v>14</v>
      </c>
      <c r="U1244" s="34">
        <v>0</v>
      </c>
      <c r="V1244" s="34">
        <v>5</v>
      </c>
      <c r="W1244" s="25">
        <v>2.5</v>
      </c>
      <c r="X1244" s="25">
        <v>5</v>
      </c>
      <c r="Y1244">
        <v>1.6364102199999999</v>
      </c>
      <c r="Z1244" t="s">
        <v>776</v>
      </c>
      <c r="AA1244" t="s">
        <v>636</v>
      </c>
      <c r="AB1244">
        <v>3</v>
      </c>
      <c r="AC1244">
        <v>1417.7760000000001</v>
      </c>
      <c r="AD1244">
        <v>1091.1890000000001</v>
      </c>
      <c r="AE1244" t="s">
        <v>525</v>
      </c>
      <c r="AF1244" t="s">
        <v>521</v>
      </c>
      <c r="AG1244" s="32" t="s">
        <v>1675</v>
      </c>
      <c r="AH1244" s="32" t="s">
        <v>1579</v>
      </c>
      <c r="AI1244" s="32" t="s">
        <v>1676</v>
      </c>
      <c r="AJ1244" s="31" t="s">
        <v>2986</v>
      </c>
      <c r="AK1244" s="31">
        <v>0.98</v>
      </c>
      <c r="AL1244" s="31">
        <v>16.981322446152898</v>
      </c>
      <c r="AM1244" s="31">
        <v>0.34655760094189603</v>
      </c>
      <c r="AN1244" s="31">
        <v>138.24321724010503</v>
      </c>
      <c r="AO1244" s="31">
        <v>2.8212901477572472</v>
      </c>
      <c r="AP1244" s="31">
        <v>0.22622261353738804</v>
      </c>
      <c r="AQ1244" s="31">
        <v>4.6167880313752688E-3</v>
      </c>
      <c r="AR1244" s="31">
        <v>0.13341858489683281</v>
      </c>
    </row>
    <row r="1245" spans="1:44" hidden="1" x14ac:dyDescent="0.5">
      <c r="A1245" s="31">
        <v>636</v>
      </c>
      <c r="B1245" s="31">
        <v>47</v>
      </c>
      <c r="C1245" s="225" t="s">
        <v>25</v>
      </c>
      <c r="D1245" s="35">
        <v>-33.982829000000002</v>
      </c>
      <c r="E1245" s="33">
        <v>23.556643000000001</v>
      </c>
      <c r="F1245">
        <v>0</v>
      </c>
      <c r="G1245">
        <f t="shared" si="15"/>
        <v>0</v>
      </c>
      <c r="H1245" s="32" t="s">
        <v>10</v>
      </c>
      <c r="I1245">
        <v>0</v>
      </c>
      <c r="J1245">
        <v>12.898140169564099</v>
      </c>
      <c r="K1245" s="26">
        <v>2014</v>
      </c>
      <c r="L1245" t="s">
        <v>11</v>
      </c>
      <c r="M1245" s="32">
        <v>65</v>
      </c>
      <c r="N1245">
        <v>7.2453993929999996</v>
      </c>
      <c r="O1245">
        <v>5</v>
      </c>
      <c r="P1245" t="s">
        <v>12</v>
      </c>
      <c r="Q1245">
        <v>89</v>
      </c>
      <c r="R1245" t="s">
        <v>13</v>
      </c>
      <c r="S1245" t="s">
        <v>16</v>
      </c>
      <c r="T1245" t="s">
        <v>14</v>
      </c>
      <c r="U1245" s="34">
        <v>0</v>
      </c>
      <c r="V1245" s="34">
        <v>5</v>
      </c>
      <c r="W1245" s="25">
        <v>2.5</v>
      </c>
      <c r="X1245" s="25">
        <v>5</v>
      </c>
      <c r="Y1245">
        <v>1.8970851440000001</v>
      </c>
      <c r="Z1245" t="s">
        <v>776</v>
      </c>
      <c r="AA1245" t="s">
        <v>636</v>
      </c>
      <c r="AB1245">
        <v>3</v>
      </c>
      <c r="AC1245">
        <v>1248.998</v>
      </c>
      <c r="AD1245">
        <v>635.66099999999994</v>
      </c>
      <c r="AE1245" t="s">
        <v>525</v>
      </c>
      <c r="AF1245" t="s">
        <v>521</v>
      </c>
      <c r="AG1245" s="32" t="s">
        <v>1677</v>
      </c>
      <c r="AH1245" s="32" t="s">
        <v>1579</v>
      </c>
      <c r="AI1245" s="32" t="s">
        <v>1678</v>
      </c>
      <c r="AJ1245" s="31" t="s">
        <v>2987</v>
      </c>
      <c r="AK1245" s="31">
        <v>0.98</v>
      </c>
      <c r="AL1245" s="31">
        <v>12.904197198225487</v>
      </c>
      <c r="AM1245" s="31">
        <v>0.26335096322909202</v>
      </c>
      <c r="AN1245" s="31">
        <v>105.05175567098341</v>
      </c>
      <c r="AO1245" s="31">
        <v>2.1439133810404813</v>
      </c>
      <c r="AP1245" s="31">
        <v>0.19929212503454038</v>
      </c>
      <c r="AQ1245" s="31">
        <v>4.0671862251947079E-3</v>
      </c>
      <c r="AR1245" s="31">
        <v>0.13341858489683281</v>
      </c>
    </row>
    <row r="1246" spans="1:44" hidden="1" x14ac:dyDescent="0.5">
      <c r="A1246" s="31">
        <v>637</v>
      </c>
      <c r="B1246" s="31">
        <v>47</v>
      </c>
      <c r="C1246" s="225" t="s">
        <v>25</v>
      </c>
      <c r="D1246" s="35">
        <v>-33.854084</v>
      </c>
      <c r="E1246" s="33">
        <v>25.639120999999999</v>
      </c>
      <c r="F1246">
        <v>0</v>
      </c>
      <c r="G1246">
        <f t="shared" si="15"/>
        <v>0</v>
      </c>
      <c r="H1246" s="32" t="s">
        <v>10</v>
      </c>
      <c r="I1246">
        <v>0</v>
      </c>
      <c r="J1246">
        <v>85.955414406527794</v>
      </c>
      <c r="K1246" s="26">
        <v>2014</v>
      </c>
      <c r="L1246" t="s">
        <v>11</v>
      </c>
      <c r="M1246" s="32">
        <v>65</v>
      </c>
      <c r="N1246">
        <v>7.2453993929999996</v>
      </c>
      <c r="O1246">
        <v>5</v>
      </c>
      <c r="P1246" t="s">
        <v>12</v>
      </c>
      <c r="Q1246">
        <v>89</v>
      </c>
      <c r="R1246" t="s">
        <v>13</v>
      </c>
      <c r="S1246" t="s">
        <v>16</v>
      </c>
      <c r="T1246" t="s">
        <v>14</v>
      </c>
      <c r="U1246" s="34">
        <v>0</v>
      </c>
      <c r="V1246" s="34">
        <v>5</v>
      </c>
      <c r="W1246" s="25">
        <v>2.5</v>
      </c>
      <c r="X1246" s="25">
        <v>5</v>
      </c>
      <c r="Y1246">
        <v>1.6364102199999999</v>
      </c>
      <c r="Z1246" t="s">
        <v>776</v>
      </c>
      <c r="AA1246" t="s">
        <v>636</v>
      </c>
      <c r="AB1246">
        <v>3</v>
      </c>
      <c r="AC1246">
        <v>2222.4079999999999</v>
      </c>
      <c r="AD1246">
        <v>2506.4630000000002</v>
      </c>
      <c r="AE1246" t="s">
        <v>525</v>
      </c>
      <c r="AF1246" t="s">
        <v>521</v>
      </c>
      <c r="AG1246" s="32" t="s">
        <v>1679</v>
      </c>
      <c r="AH1246" s="32" t="s">
        <v>1579</v>
      </c>
      <c r="AI1246" s="32" t="s">
        <v>1680</v>
      </c>
      <c r="AJ1246" s="31" t="s">
        <v>2988</v>
      </c>
      <c r="AK1246" s="31">
        <v>0.98</v>
      </c>
      <c r="AL1246" s="31">
        <v>26.618751378856579</v>
      </c>
      <c r="AM1246" s="31">
        <v>0.54323982405829696</v>
      </c>
      <c r="AN1246" s="31">
        <v>216.70054503683747</v>
      </c>
      <c r="AO1246" s="31">
        <v>4.4224601027925967</v>
      </c>
      <c r="AP1246" s="31">
        <v>0.35461098657785112</v>
      </c>
      <c r="AQ1246" s="31">
        <v>7.2369589097520557E-3</v>
      </c>
      <c r="AR1246" s="31">
        <v>0.13341858489683281</v>
      </c>
    </row>
    <row r="1247" spans="1:44" hidden="1" x14ac:dyDescent="0.5">
      <c r="A1247" s="31">
        <v>638</v>
      </c>
      <c r="B1247" s="31">
        <v>47</v>
      </c>
      <c r="C1247" s="225" t="s">
        <v>25</v>
      </c>
      <c r="D1247" s="35">
        <v>-33.746478000000003</v>
      </c>
      <c r="E1247" s="33">
        <v>26.557289000000001</v>
      </c>
      <c r="F1247">
        <v>0</v>
      </c>
      <c r="G1247">
        <f t="shared" si="15"/>
        <v>0</v>
      </c>
      <c r="H1247" s="32" t="s">
        <v>10</v>
      </c>
      <c r="I1247">
        <v>0</v>
      </c>
      <c r="J1247">
        <v>46.818305008550702</v>
      </c>
      <c r="K1247" s="26">
        <v>2014</v>
      </c>
      <c r="L1247" t="s">
        <v>11</v>
      </c>
      <c r="M1247" s="32">
        <v>65</v>
      </c>
      <c r="N1247">
        <v>7.2453993929999996</v>
      </c>
      <c r="O1247">
        <v>5</v>
      </c>
      <c r="P1247" t="s">
        <v>12</v>
      </c>
      <c r="Q1247">
        <v>89</v>
      </c>
      <c r="R1247" t="s">
        <v>13</v>
      </c>
      <c r="S1247" t="s">
        <v>16</v>
      </c>
      <c r="T1247" t="s">
        <v>14</v>
      </c>
      <c r="U1247" s="34">
        <v>0</v>
      </c>
      <c r="V1247" s="34">
        <v>5</v>
      </c>
      <c r="W1247" s="25">
        <v>2.5</v>
      </c>
      <c r="X1247" s="25">
        <v>5</v>
      </c>
      <c r="Y1247">
        <v>1.6364102199999999</v>
      </c>
      <c r="Z1247" t="s">
        <v>776</v>
      </c>
      <c r="AA1247" t="s">
        <v>636</v>
      </c>
      <c r="AB1247">
        <v>3</v>
      </c>
      <c r="AC1247">
        <v>1641.21</v>
      </c>
      <c r="AD1247">
        <v>1345.8</v>
      </c>
      <c r="AE1247" t="s">
        <v>525</v>
      </c>
      <c r="AF1247" t="s">
        <v>521</v>
      </c>
      <c r="AG1247" s="32" t="s">
        <v>1681</v>
      </c>
      <c r="AH1247" s="32" t="s">
        <v>1579</v>
      </c>
      <c r="AI1247" s="32" t="s">
        <v>1682</v>
      </c>
      <c r="AJ1247" s="31" t="s">
        <v>2989</v>
      </c>
      <c r="AK1247" s="31">
        <v>0.98</v>
      </c>
      <c r="AL1247" s="31">
        <v>19.657489061636394</v>
      </c>
      <c r="AM1247" s="31">
        <v>0.40117324615584593</v>
      </c>
      <c r="AN1247" s="31">
        <v>160.02961720796006</v>
      </c>
      <c r="AO1247" s="31">
        <v>3.2659105552645009</v>
      </c>
      <c r="AP1247" s="31">
        <v>0.26187410110179365</v>
      </c>
      <c r="AQ1247" s="31">
        <v>5.3443694102407041E-3</v>
      </c>
      <c r="AR1247" s="31">
        <v>0.13341858489683281</v>
      </c>
    </row>
    <row r="1248" spans="1:44" hidden="1" x14ac:dyDescent="0.5">
      <c r="A1248" s="31">
        <v>639</v>
      </c>
      <c r="B1248" s="31">
        <v>47</v>
      </c>
      <c r="C1248" s="225" t="s">
        <v>25</v>
      </c>
      <c r="D1248" s="35">
        <v>-33.724271999999999</v>
      </c>
      <c r="E1248" s="33">
        <v>25.827577000000002</v>
      </c>
      <c r="F1248">
        <v>0</v>
      </c>
      <c r="G1248">
        <f t="shared" si="15"/>
        <v>0</v>
      </c>
      <c r="H1248" s="32" t="s">
        <v>10</v>
      </c>
      <c r="I1248">
        <v>0</v>
      </c>
      <c r="J1248">
        <v>80.610480912624496</v>
      </c>
      <c r="K1248" s="26">
        <v>2014</v>
      </c>
      <c r="L1248" t="s">
        <v>11</v>
      </c>
      <c r="M1248" s="32">
        <v>65</v>
      </c>
      <c r="N1248">
        <v>7.2453993929999996</v>
      </c>
      <c r="O1248">
        <v>5</v>
      </c>
      <c r="P1248" t="s">
        <v>12</v>
      </c>
      <c r="Q1248">
        <v>89</v>
      </c>
      <c r="R1248" t="s">
        <v>13</v>
      </c>
      <c r="S1248" t="s">
        <v>16</v>
      </c>
      <c r="T1248" t="s">
        <v>14</v>
      </c>
      <c r="U1248" s="34">
        <v>0</v>
      </c>
      <c r="V1248" s="34">
        <v>5</v>
      </c>
      <c r="W1248" s="25">
        <v>2.5</v>
      </c>
      <c r="X1248" s="25">
        <v>5</v>
      </c>
      <c r="Y1248">
        <v>1.6364102199999999</v>
      </c>
      <c r="Z1248" t="s">
        <v>776</v>
      </c>
      <c r="AA1248" t="s">
        <v>636</v>
      </c>
      <c r="AB1248">
        <v>3</v>
      </c>
      <c r="AC1248">
        <v>1612.7280000000001</v>
      </c>
      <c r="AD1248">
        <v>164.352</v>
      </c>
      <c r="AE1248" t="s">
        <v>525</v>
      </c>
      <c r="AF1248" t="s">
        <v>521</v>
      </c>
      <c r="AG1248" s="32" t="s">
        <v>1683</v>
      </c>
      <c r="AH1248" s="32" t="s">
        <v>1447</v>
      </c>
      <c r="AI1248" s="32" t="s">
        <v>1684</v>
      </c>
      <c r="AJ1248" s="31" t="s">
        <v>2990</v>
      </c>
      <c r="AK1248" s="31">
        <v>0.97</v>
      </c>
      <c r="AL1248" s="31">
        <v>19.119242117664118</v>
      </c>
      <c r="AM1248" s="31">
        <v>0.59131676652569354</v>
      </c>
      <c r="AN1248" s="31">
        <v>155.64780363364454</v>
      </c>
      <c r="AO1248" s="31">
        <v>4.8138495969168336</v>
      </c>
      <c r="AP1248" s="31">
        <v>0.25470365658664906</v>
      </c>
      <c r="AQ1248" s="31">
        <v>7.8774326779375865E-3</v>
      </c>
      <c r="AR1248" s="31">
        <v>0.13341858489683281</v>
      </c>
    </row>
    <row r="1249" spans="1:44" hidden="1" x14ac:dyDescent="0.5">
      <c r="A1249" s="31">
        <v>640</v>
      </c>
      <c r="B1249" s="31">
        <v>47</v>
      </c>
      <c r="C1249" s="225" t="s">
        <v>25</v>
      </c>
      <c r="D1249" s="35">
        <v>-33.686573000000003</v>
      </c>
      <c r="E1249" s="33">
        <v>26.678338</v>
      </c>
      <c r="F1249">
        <v>0</v>
      </c>
      <c r="G1249">
        <f t="shared" si="15"/>
        <v>0</v>
      </c>
      <c r="H1249" s="32" t="s">
        <v>10</v>
      </c>
      <c r="I1249">
        <v>0</v>
      </c>
      <c r="J1249">
        <v>24.2789991406814</v>
      </c>
      <c r="K1249" s="26">
        <v>2014</v>
      </c>
      <c r="L1249" t="s">
        <v>11</v>
      </c>
      <c r="M1249" s="32">
        <v>65</v>
      </c>
      <c r="N1249">
        <v>7.2453993929999996</v>
      </c>
      <c r="O1249">
        <v>5</v>
      </c>
      <c r="P1249" t="s">
        <v>12</v>
      </c>
      <c r="Q1249">
        <v>89</v>
      </c>
      <c r="R1249" t="s">
        <v>13</v>
      </c>
      <c r="S1249" t="s">
        <v>16</v>
      </c>
      <c r="T1249" t="s">
        <v>14</v>
      </c>
      <c r="U1249" s="34">
        <v>0</v>
      </c>
      <c r="V1249" s="34">
        <v>5</v>
      </c>
      <c r="W1249" s="25">
        <v>2.5</v>
      </c>
      <c r="X1249" s="25">
        <v>5</v>
      </c>
      <c r="Y1249">
        <v>1.6364102199999999</v>
      </c>
      <c r="Z1249" t="s">
        <v>776</v>
      </c>
      <c r="AA1249" t="s">
        <v>636</v>
      </c>
      <c r="AB1249">
        <v>3</v>
      </c>
      <c r="AC1249">
        <v>1141.8030000000001</v>
      </c>
      <c r="AD1249">
        <v>506.72</v>
      </c>
      <c r="AE1249" t="s">
        <v>525</v>
      </c>
      <c r="AF1249" t="s">
        <v>521</v>
      </c>
      <c r="AG1249" s="32" t="s">
        <v>1685</v>
      </c>
      <c r="AH1249" s="32">
        <v>1</v>
      </c>
      <c r="AI1249" s="32" t="s">
        <v>1685</v>
      </c>
      <c r="AJ1249" s="31">
        <v>0</v>
      </c>
      <c r="AK1249" s="31">
        <v>1</v>
      </c>
      <c r="AL1249" s="31">
        <v>13.954972732937346</v>
      </c>
      <c r="AM1249" s="31">
        <v>0</v>
      </c>
      <c r="AN1249" s="31">
        <v>113.60601232421999</v>
      </c>
      <c r="AO1249" s="31">
        <v>0</v>
      </c>
      <c r="AP1249" s="31">
        <v>0.18590603962079955</v>
      </c>
      <c r="AQ1249" s="31">
        <v>0</v>
      </c>
      <c r="AR1249" s="31">
        <v>0.13341858489683281</v>
      </c>
    </row>
    <row r="1250" spans="1:44" hidden="1" x14ac:dyDescent="0.5">
      <c r="A1250" s="31">
        <v>1277</v>
      </c>
      <c r="B1250" s="31">
        <v>88</v>
      </c>
      <c r="C1250" s="225" t="s">
        <v>20</v>
      </c>
      <c r="D1250" s="41">
        <v>44.881704999999997</v>
      </c>
      <c r="E1250" s="45">
        <v>12.486390999999999</v>
      </c>
      <c r="F1250">
        <v>0</v>
      </c>
      <c r="G1250">
        <f t="shared" si="15"/>
        <v>0</v>
      </c>
      <c r="H1250" s="31" t="s">
        <v>10</v>
      </c>
      <c r="I1250">
        <v>0</v>
      </c>
      <c r="J1250">
        <v>307.46045586038099</v>
      </c>
      <c r="K1250" s="26">
        <v>2016</v>
      </c>
      <c r="L1250" t="s">
        <v>11</v>
      </c>
      <c r="M1250" s="32">
        <v>1000</v>
      </c>
      <c r="N1250">
        <v>130.61708849999999</v>
      </c>
      <c r="O1250">
        <v>5</v>
      </c>
      <c r="P1250" t="s">
        <v>23</v>
      </c>
      <c r="Q1250">
        <v>95.5</v>
      </c>
      <c r="R1250" t="s">
        <v>13</v>
      </c>
      <c r="S1250" t="s">
        <v>14</v>
      </c>
      <c r="T1250" t="s">
        <v>14</v>
      </c>
      <c r="U1250" s="240">
        <v>0</v>
      </c>
      <c r="V1250" s="240">
        <v>5</v>
      </c>
      <c r="W1250" s="25">
        <v>2.5</v>
      </c>
      <c r="X1250" s="25">
        <v>5</v>
      </c>
      <c r="Y1250" s="244">
        <v>0.91868156199999995</v>
      </c>
      <c r="Z1250" t="s">
        <v>1100</v>
      </c>
      <c r="AA1250" t="s">
        <v>622</v>
      </c>
      <c r="AB1250">
        <v>1</v>
      </c>
      <c r="AC1250">
        <v>1.56</v>
      </c>
      <c r="AF1250" t="s">
        <v>532</v>
      </c>
      <c r="AG1250" s="32">
        <v>1.6</v>
      </c>
      <c r="AH1250" s="32">
        <v>0</v>
      </c>
      <c r="AI1250" s="32">
        <v>0</v>
      </c>
      <c r="AJ1250" s="31">
        <v>1.6</v>
      </c>
      <c r="AK1250" s="31">
        <v>0</v>
      </c>
      <c r="AL1250" s="31">
        <v>0</v>
      </c>
      <c r="AM1250" s="31">
        <v>1.6</v>
      </c>
      <c r="AN1250" s="31">
        <v>0</v>
      </c>
      <c r="AO1250" s="31">
        <v>218.83491267015705</v>
      </c>
      <c r="AP1250" s="31">
        <v>0</v>
      </c>
      <c r="AQ1250" s="31">
        <v>0.20103959939195348</v>
      </c>
      <c r="AR1250" s="31">
        <v>0.13341858489683281</v>
      </c>
    </row>
    <row r="1251" spans="1:44" hidden="1" x14ac:dyDescent="0.5">
      <c r="A1251" s="31">
        <v>1278</v>
      </c>
      <c r="B1251" s="31">
        <v>88</v>
      </c>
      <c r="C1251" s="225" t="s">
        <v>20</v>
      </c>
      <c r="D1251" s="41">
        <v>44.881704999999997</v>
      </c>
      <c r="E1251" s="45">
        <v>12.486390999999999</v>
      </c>
      <c r="F1251">
        <v>0</v>
      </c>
      <c r="G1251">
        <f t="shared" si="15"/>
        <v>0</v>
      </c>
      <c r="H1251" s="31" t="s">
        <v>10</v>
      </c>
      <c r="I1251">
        <v>0</v>
      </c>
      <c r="J1251">
        <v>307.46045586038099</v>
      </c>
      <c r="K1251" s="26">
        <v>2016</v>
      </c>
      <c r="L1251" t="s">
        <v>11</v>
      </c>
      <c r="M1251" s="32">
        <v>1000</v>
      </c>
      <c r="N1251">
        <v>130.61708849999999</v>
      </c>
      <c r="O1251">
        <v>5</v>
      </c>
      <c r="P1251" t="s">
        <v>23</v>
      </c>
      <c r="Q1251">
        <v>95.5</v>
      </c>
      <c r="R1251" t="s">
        <v>13</v>
      </c>
      <c r="S1251" t="s">
        <v>14</v>
      </c>
      <c r="T1251" t="s">
        <v>14</v>
      </c>
      <c r="U1251" s="240">
        <v>0</v>
      </c>
      <c r="V1251" s="240">
        <v>5</v>
      </c>
      <c r="W1251" s="25">
        <v>2.5</v>
      </c>
      <c r="X1251" s="25">
        <v>5</v>
      </c>
      <c r="Y1251" s="244">
        <v>0.91868156199999995</v>
      </c>
      <c r="Z1251" t="s">
        <v>1100</v>
      </c>
      <c r="AA1251" t="s">
        <v>622</v>
      </c>
      <c r="AB1251">
        <v>1</v>
      </c>
      <c r="AC1251">
        <v>1.73</v>
      </c>
      <c r="AF1251" t="s">
        <v>532</v>
      </c>
      <c r="AG1251" s="32">
        <v>1.7</v>
      </c>
      <c r="AH1251" s="32">
        <v>0</v>
      </c>
      <c r="AI1251" s="32">
        <v>0</v>
      </c>
      <c r="AJ1251" s="31">
        <v>1.7</v>
      </c>
      <c r="AK1251" s="31">
        <v>0</v>
      </c>
      <c r="AL1251" s="31">
        <v>0</v>
      </c>
      <c r="AM1251" s="31">
        <v>1.7</v>
      </c>
      <c r="AN1251" s="31">
        <v>0</v>
      </c>
      <c r="AO1251" s="31">
        <v>232.51209471204186</v>
      </c>
      <c r="AP1251" s="31">
        <v>0</v>
      </c>
      <c r="AQ1251" s="31">
        <v>0.21360457435395053</v>
      </c>
      <c r="AR1251" s="31">
        <v>0.13341858489683281</v>
      </c>
    </row>
    <row r="1252" spans="1:44" hidden="1" x14ac:dyDescent="0.5">
      <c r="A1252" s="31">
        <v>1279</v>
      </c>
      <c r="B1252" s="31">
        <v>88</v>
      </c>
      <c r="C1252" s="225" t="s">
        <v>20</v>
      </c>
      <c r="D1252" s="41">
        <v>44.881704999999997</v>
      </c>
      <c r="E1252" s="45">
        <v>12.486390999999999</v>
      </c>
      <c r="F1252">
        <v>0</v>
      </c>
      <c r="G1252">
        <f t="shared" si="15"/>
        <v>0</v>
      </c>
      <c r="H1252" s="31" t="s">
        <v>10</v>
      </c>
      <c r="I1252">
        <v>0</v>
      </c>
      <c r="J1252">
        <v>307.46045586038099</v>
      </c>
      <c r="K1252" s="26">
        <v>2016</v>
      </c>
      <c r="L1252" t="s">
        <v>11</v>
      </c>
      <c r="M1252" s="32">
        <v>1000</v>
      </c>
      <c r="N1252">
        <v>130.61708849999999</v>
      </c>
      <c r="O1252">
        <v>5</v>
      </c>
      <c r="P1252" t="s">
        <v>23</v>
      </c>
      <c r="Q1252">
        <v>95.5</v>
      </c>
      <c r="R1252" t="s">
        <v>13</v>
      </c>
      <c r="S1252" t="s">
        <v>14</v>
      </c>
      <c r="T1252" t="s">
        <v>14</v>
      </c>
      <c r="U1252" s="240">
        <v>0</v>
      </c>
      <c r="V1252" s="240">
        <v>5</v>
      </c>
      <c r="W1252" s="25">
        <v>2.5</v>
      </c>
      <c r="X1252" s="25">
        <v>5</v>
      </c>
      <c r="Y1252" s="244">
        <v>0.91868156199999995</v>
      </c>
      <c r="Z1252" t="s">
        <v>1100</v>
      </c>
      <c r="AA1252" t="s">
        <v>622</v>
      </c>
      <c r="AB1252">
        <v>1</v>
      </c>
      <c r="AC1252">
        <v>4.4400000000000004</v>
      </c>
      <c r="AF1252" t="s">
        <v>532</v>
      </c>
      <c r="AG1252" s="32">
        <v>4.4000000000000004</v>
      </c>
      <c r="AH1252" s="32">
        <v>0</v>
      </c>
      <c r="AI1252" s="32">
        <v>0</v>
      </c>
      <c r="AJ1252" s="31">
        <v>4.4000000000000004</v>
      </c>
      <c r="AK1252" s="31">
        <v>0</v>
      </c>
      <c r="AL1252" s="31">
        <v>0</v>
      </c>
      <c r="AM1252" s="31">
        <v>4.4000000000000004</v>
      </c>
      <c r="AN1252" s="31">
        <v>0</v>
      </c>
      <c r="AO1252" s="31">
        <v>601.79600984293188</v>
      </c>
      <c r="AP1252" s="31">
        <v>0</v>
      </c>
      <c r="AQ1252" s="31">
        <v>0.55285889832787205</v>
      </c>
      <c r="AR1252" s="31">
        <v>0.13341858489683281</v>
      </c>
    </row>
    <row r="1253" spans="1:44" hidden="1" x14ac:dyDescent="0.5">
      <c r="A1253" s="31">
        <v>1366</v>
      </c>
      <c r="B1253" s="31">
        <v>97</v>
      </c>
      <c r="C1253" s="225" t="s">
        <v>20</v>
      </c>
      <c r="D1253" s="41">
        <v>44.876100999999998</v>
      </c>
      <c r="E1253" s="43">
        <v>12.484873</v>
      </c>
      <c r="F1253">
        <v>0</v>
      </c>
      <c r="G1253">
        <f t="shared" si="15"/>
        <v>0</v>
      </c>
      <c r="H1253" s="31" t="s">
        <v>10</v>
      </c>
      <c r="I1253">
        <v>0</v>
      </c>
      <c r="J1253">
        <v>305.802316884731</v>
      </c>
      <c r="K1253" s="26">
        <v>2016</v>
      </c>
      <c r="L1253" t="s">
        <v>11</v>
      </c>
      <c r="M1253" s="32">
        <v>1000</v>
      </c>
      <c r="N1253">
        <v>130.61708849999999</v>
      </c>
      <c r="O1253">
        <v>5</v>
      </c>
      <c r="P1253" t="s">
        <v>23</v>
      </c>
      <c r="Q1253">
        <v>95.5</v>
      </c>
      <c r="R1253" t="s">
        <v>13</v>
      </c>
      <c r="S1253" t="s">
        <v>14</v>
      </c>
      <c r="T1253" t="s">
        <v>33</v>
      </c>
      <c r="U1253" s="240">
        <v>0</v>
      </c>
      <c r="V1253" s="240">
        <v>5</v>
      </c>
      <c r="W1253" s="25">
        <v>2.5</v>
      </c>
      <c r="X1253" s="25">
        <v>5</v>
      </c>
      <c r="Y1253" s="244">
        <v>0.91868156199999995</v>
      </c>
      <c r="Z1253" t="s">
        <v>1100</v>
      </c>
      <c r="AA1253" t="s">
        <v>622</v>
      </c>
      <c r="AB1253">
        <v>1</v>
      </c>
      <c r="AC1253">
        <v>0.5</v>
      </c>
      <c r="AF1253" t="s">
        <v>532</v>
      </c>
      <c r="AG1253" s="32">
        <v>0.5</v>
      </c>
      <c r="AH1253" s="32" t="s">
        <v>671</v>
      </c>
      <c r="AI1253" s="32" t="s">
        <v>1129</v>
      </c>
      <c r="AJ1253" s="31" t="s">
        <v>1130</v>
      </c>
      <c r="AK1253" s="31">
        <v>0.59524549999999998</v>
      </c>
      <c r="AL1253" s="31">
        <v>0.29762274999999999</v>
      </c>
      <c r="AM1253" s="31">
        <v>0.20237725000000001</v>
      </c>
      <c r="AN1253" s="31">
        <v>40.706405315563735</v>
      </c>
      <c r="AO1253" s="31">
        <v>27.67950489386034</v>
      </c>
      <c r="AP1253" s="31">
        <v>3.7396224018707194E-2</v>
      </c>
      <c r="AQ1253" s="31">
        <v>2.5428650791278262E-2</v>
      </c>
      <c r="AR1253" s="31">
        <v>0.13341858489683281</v>
      </c>
    </row>
    <row r="1254" spans="1:44" hidden="1" x14ac:dyDescent="0.5">
      <c r="A1254" s="31">
        <v>1365</v>
      </c>
      <c r="B1254" s="31">
        <v>97</v>
      </c>
      <c r="C1254" s="225" t="s">
        <v>20</v>
      </c>
      <c r="D1254" s="41">
        <v>44.853603999999997</v>
      </c>
      <c r="E1254" s="43">
        <v>12.466756</v>
      </c>
      <c r="F1254">
        <v>0</v>
      </c>
      <c r="G1254">
        <f t="shared" si="15"/>
        <v>0</v>
      </c>
      <c r="H1254" s="31" t="s">
        <v>10</v>
      </c>
      <c r="I1254">
        <v>0</v>
      </c>
      <c r="J1254">
        <v>299.93032414721199</v>
      </c>
      <c r="K1254" s="26">
        <v>2016</v>
      </c>
      <c r="L1254" t="s">
        <v>11</v>
      </c>
      <c r="M1254" s="32">
        <v>1000</v>
      </c>
      <c r="N1254">
        <v>130.61708849999999</v>
      </c>
      <c r="O1254">
        <v>5</v>
      </c>
      <c r="P1254" t="s">
        <v>23</v>
      </c>
      <c r="Q1254">
        <v>95.5</v>
      </c>
      <c r="R1254" t="s">
        <v>13</v>
      </c>
      <c r="S1254" t="s">
        <v>14</v>
      </c>
      <c r="T1254" t="s">
        <v>33</v>
      </c>
      <c r="U1254" s="240">
        <v>0</v>
      </c>
      <c r="V1254" s="240">
        <v>5</v>
      </c>
      <c r="W1254" s="25">
        <v>2.5</v>
      </c>
      <c r="X1254" s="25">
        <v>5</v>
      </c>
      <c r="Y1254" s="244">
        <v>0.91868156199999995</v>
      </c>
      <c r="Z1254" t="s">
        <v>1100</v>
      </c>
      <c r="AA1254" t="s">
        <v>622</v>
      </c>
      <c r="AB1254">
        <v>1</v>
      </c>
      <c r="AC1254">
        <v>14.3</v>
      </c>
      <c r="AF1254" t="s">
        <v>532</v>
      </c>
      <c r="AG1254" s="32">
        <v>14.3</v>
      </c>
      <c r="AH1254" s="32" t="s">
        <v>671</v>
      </c>
      <c r="AI1254" s="32" t="s">
        <v>1129</v>
      </c>
      <c r="AJ1254" s="31" t="s">
        <v>1130</v>
      </c>
      <c r="AK1254" s="31">
        <v>0.59524549999999998</v>
      </c>
      <c r="AL1254" s="31">
        <v>8.5120106500000006</v>
      </c>
      <c r="AM1254" s="31">
        <v>5.7879893500000001</v>
      </c>
      <c r="AN1254" s="31">
        <v>1164.2031920251231</v>
      </c>
      <c r="AO1254" s="31">
        <v>791.63383996440575</v>
      </c>
      <c r="AP1254" s="31">
        <v>1.069532006935026</v>
      </c>
      <c r="AQ1254" s="31">
        <v>0.72725941263055827</v>
      </c>
      <c r="AR1254" s="31">
        <v>0.13341858489683281</v>
      </c>
    </row>
    <row r="1255" spans="1:44" hidden="1" x14ac:dyDescent="0.5">
      <c r="A1255" s="31">
        <v>544</v>
      </c>
      <c r="B1255" s="31">
        <v>36</v>
      </c>
      <c r="C1255" s="225" t="s">
        <v>20</v>
      </c>
      <c r="D1255" s="39">
        <v>44.794356000000001</v>
      </c>
      <c r="E1255" s="40">
        <v>12.269076999999999</v>
      </c>
      <c r="F1255">
        <v>0</v>
      </c>
      <c r="G1255">
        <f t="shared" si="15"/>
        <v>0</v>
      </c>
      <c r="H1255" s="31" t="s">
        <v>10</v>
      </c>
      <c r="I1255">
        <v>0</v>
      </c>
      <c r="J1255">
        <v>289.95324604238698</v>
      </c>
      <c r="K1255" s="26">
        <v>2015</v>
      </c>
      <c r="L1255" t="s">
        <v>11</v>
      </c>
      <c r="M1255" s="32">
        <v>800</v>
      </c>
      <c r="N1255">
        <v>103.1499936</v>
      </c>
      <c r="O1255">
        <v>25</v>
      </c>
      <c r="P1255" t="s">
        <v>17</v>
      </c>
      <c r="Q1255">
        <v>100</v>
      </c>
      <c r="R1255" t="s">
        <v>13</v>
      </c>
      <c r="S1255" t="s">
        <v>14</v>
      </c>
      <c r="T1255" t="s">
        <v>16</v>
      </c>
      <c r="U1255" s="240">
        <v>0</v>
      </c>
      <c r="V1255" s="240">
        <v>5</v>
      </c>
      <c r="W1255" s="25">
        <v>2.5</v>
      </c>
      <c r="X1255" s="25">
        <v>5</v>
      </c>
      <c r="Y1255" s="244">
        <v>0.91868156199999995</v>
      </c>
      <c r="Z1255" t="s">
        <v>1100</v>
      </c>
      <c r="AA1255" t="s">
        <v>622</v>
      </c>
      <c r="AB1255">
        <v>6</v>
      </c>
      <c r="AC1255">
        <v>19.418400000000002</v>
      </c>
      <c r="AD1255">
        <v>11.507200000000001</v>
      </c>
      <c r="AF1255" t="s">
        <v>532</v>
      </c>
      <c r="AG1255" s="32">
        <v>21.6</v>
      </c>
      <c r="AH1255" s="32">
        <v>0.10299999999999999</v>
      </c>
      <c r="AI1255" s="32">
        <v>2.2248000000000001</v>
      </c>
      <c r="AJ1255" s="31">
        <v>19.3752</v>
      </c>
      <c r="AK1255" s="31">
        <v>0.10299999999999999</v>
      </c>
      <c r="AL1255" s="31">
        <v>2.2248000000000001</v>
      </c>
      <c r="AM1255" s="31">
        <v>19.3752</v>
      </c>
      <c r="AN1255" s="31">
        <v>229.48810576128</v>
      </c>
      <c r="AO1255" s="31">
        <v>1998.5517559987202</v>
      </c>
      <c r="AP1255" s="31">
        <v>0.21082649146119389</v>
      </c>
      <c r="AQ1255" s="31">
        <v>1.8360326489387471</v>
      </c>
      <c r="AR1255" s="31">
        <v>0.13341858489683281</v>
      </c>
    </row>
    <row r="1256" spans="1:44" hidden="1" x14ac:dyDescent="0.5">
      <c r="A1256" s="31">
        <v>1364</v>
      </c>
      <c r="B1256" s="31">
        <v>97</v>
      </c>
      <c r="C1256" s="225" t="s">
        <v>20</v>
      </c>
      <c r="D1256" s="41">
        <v>44.786810000000003</v>
      </c>
      <c r="E1256" s="43">
        <v>12.391788</v>
      </c>
      <c r="F1256">
        <v>0</v>
      </c>
      <c r="G1256">
        <f t="shared" si="15"/>
        <v>0</v>
      </c>
      <c r="H1256" s="31" t="s">
        <v>10</v>
      </c>
      <c r="I1256">
        <v>0</v>
      </c>
      <c r="J1256">
        <v>280.49930883456699</v>
      </c>
      <c r="K1256" s="26">
        <v>2016</v>
      </c>
      <c r="L1256" t="s">
        <v>11</v>
      </c>
      <c r="M1256" s="32">
        <v>1000</v>
      </c>
      <c r="N1256">
        <v>130.61708849999999</v>
      </c>
      <c r="O1256">
        <v>5</v>
      </c>
      <c r="P1256" t="s">
        <v>23</v>
      </c>
      <c r="Q1256">
        <v>95.5</v>
      </c>
      <c r="R1256" t="s">
        <v>13</v>
      </c>
      <c r="S1256" t="s">
        <v>14</v>
      </c>
      <c r="T1256" t="s">
        <v>33</v>
      </c>
      <c r="U1256" s="240">
        <v>0</v>
      </c>
      <c r="V1256" s="240">
        <v>5</v>
      </c>
      <c r="W1256" s="25">
        <v>2.5</v>
      </c>
      <c r="X1256" s="25">
        <v>5</v>
      </c>
      <c r="Y1256" s="244">
        <v>0.91868156199999995</v>
      </c>
      <c r="Z1256" t="s">
        <v>1100</v>
      </c>
      <c r="AA1256" t="s">
        <v>622</v>
      </c>
      <c r="AB1256">
        <v>1</v>
      </c>
      <c r="AC1256">
        <v>5.2</v>
      </c>
      <c r="AF1256" t="s">
        <v>532</v>
      </c>
      <c r="AG1256" s="32">
        <v>5.2</v>
      </c>
      <c r="AH1256" s="32" t="s">
        <v>671</v>
      </c>
      <c r="AI1256" s="32" t="s">
        <v>1129</v>
      </c>
      <c r="AJ1256" s="31" t="s">
        <v>1130</v>
      </c>
      <c r="AK1256" s="31">
        <v>0.59524549999999998</v>
      </c>
      <c r="AL1256" s="31">
        <v>3.0952766</v>
      </c>
      <c r="AM1256" s="31">
        <v>2.1047234000000001</v>
      </c>
      <c r="AN1256" s="31">
        <v>423.34661528186291</v>
      </c>
      <c r="AO1256" s="31">
        <v>287.86685089614753</v>
      </c>
      <c r="AP1256" s="31">
        <v>0.38892072979455489</v>
      </c>
      <c r="AQ1256" s="31">
        <v>0.2644579682292939</v>
      </c>
      <c r="AR1256" s="31">
        <v>0.13341858489683281</v>
      </c>
    </row>
    <row r="1257" spans="1:44" hidden="1" x14ac:dyDescent="0.5">
      <c r="A1257" s="31">
        <v>543</v>
      </c>
      <c r="B1257" s="31">
        <v>36</v>
      </c>
      <c r="C1257" s="225" t="s">
        <v>20</v>
      </c>
      <c r="D1257" s="39">
        <v>44.627366000000002</v>
      </c>
      <c r="E1257" s="40">
        <v>12.268141</v>
      </c>
      <c r="F1257">
        <v>0</v>
      </c>
      <c r="G1257">
        <f t="shared" si="15"/>
        <v>0</v>
      </c>
      <c r="H1257" s="31" t="s">
        <v>10</v>
      </c>
      <c r="I1257">
        <v>0</v>
      </c>
      <c r="J1257">
        <v>257.92176923937598</v>
      </c>
      <c r="K1257" s="26">
        <v>2015</v>
      </c>
      <c r="L1257" t="s">
        <v>11</v>
      </c>
      <c r="M1257" s="32">
        <v>800</v>
      </c>
      <c r="N1257">
        <v>103.1499936</v>
      </c>
      <c r="O1257">
        <v>25</v>
      </c>
      <c r="P1257" t="s">
        <v>17</v>
      </c>
      <c r="Q1257">
        <v>100</v>
      </c>
      <c r="R1257" t="s">
        <v>13</v>
      </c>
      <c r="S1257" t="s">
        <v>14</v>
      </c>
      <c r="T1257" t="s">
        <v>16</v>
      </c>
      <c r="U1257" s="240">
        <v>0</v>
      </c>
      <c r="V1257" s="240">
        <v>5</v>
      </c>
      <c r="W1257" s="25">
        <v>2.5</v>
      </c>
      <c r="X1257" s="25">
        <v>5</v>
      </c>
      <c r="Y1257" s="244">
        <v>0.91868156199999995</v>
      </c>
      <c r="Z1257" t="s">
        <v>1100</v>
      </c>
      <c r="AA1257" t="s">
        <v>622</v>
      </c>
      <c r="AB1257">
        <v>6</v>
      </c>
      <c r="AC1257">
        <v>5.3850100000000003</v>
      </c>
      <c r="AD1257">
        <v>2.9217500000000003</v>
      </c>
      <c r="AF1257" t="s">
        <v>532</v>
      </c>
      <c r="AG1257" s="32">
        <v>5.99</v>
      </c>
      <c r="AH1257" s="32">
        <v>0.10299999999999999</v>
      </c>
      <c r="AI1257" s="32">
        <v>0.61697000000000002</v>
      </c>
      <c r="AJ1257" s="31">
        <v>5.37303</v>
      </c>
      <c r="AK1257" s="31">
        <v>0.10299999999999999</v>
      </c>
      <c r="AL1257" s="31">
        <v>0.61697000000000002</v>
      </c>
      <c r="AM1257" s="31">
        <v>5.37303</v>
      </c>
      <c r="AN1257" s="31">
        <v>63.640451551392005</v>
      </c>
      <c r="AO1257" s="31">
        <v>554.22801011260799</v>
      </c>
      <c r="AP1257" s="31">
        <v>5.8465309437618122E-2</v>
      </c>
      <c r="AQ1257" s="31">
        <v>0.50915905403440254</v>
      </c>
      <c r="AR1257" s="31">
        <v>0.13341858489683281</v>
      </c>
    </row>
    <row r="1258" spans="1:44" hidden="1" x14ac:dyDescent="0.5">
      <c r="A1258" s="31">
        <v>531</v>
      </c>
      <c r="B1258" s="31">
        <v>35</v>
      </c>
      <c r="C1258" s="225" t="s">
        <v>20</v>
      </c>
      <c r="D1258" s="39">
        <v>44.38</v>
      </c>
      <c r="E1258" s="40">
        <v>12.32</v>
      </c>
      <c r="F1258">
        <v>0</v>
      </c>
      <c r="G1258">
        <f t="shared" si="15"/>
        <v>0</v>
      </c>
      <c r="H1258" s="32" t="s">
        <v>10</v>
      </c>
      <c r="I1258">
        <v>0</v>
      </c>
      <c r="J1258">
        <v>175.02347814037199</v>
      </c>
      <c r="K1258" s="26">
        <v>2015</v>
      </c>
      <c r="L1258" t="s">
        <v>11</v>
      </c>
      <c r="M1258" s="32">
        <v>300</v>
      </c>
      <c r="N1258">
        <v>36.542166029999997</v>
      </c>
      <c r="O1258">
        <v>5</v>
      </c>
      <c r="P1258" t="s">
        <v>12</v>
      </c>
      <c r="Q1258">
        <v>83</v>
      </c>
      <c r="R1258" t="s">
        <v>13</v>
      </c>
      <c r="S1258" t="s">
        <v>14</v>
      </c>
      <c r="T1258" t="s">
        <v>14</v>
      </c>
      <c r="U1258" s="34">
        <v>0</v>
      </c>
      <c r="V1258" s="34">
        <v>5</v>
      </c>
      <c r="W1258" s="25">
        <v>2.5</v>
      </c>
      <c r="X1258" s="25">
        <v>5</v>
      </c>
      <c r="Y1258" s="244">
        <v>0.91868156199999995</v>
      </c>
      <c r="Z1258" t="s">
        <v>1100</v>
      </c>
      <c r="AA1258" t="s">
        <v>622</v>
      </c>
      <c r="AB1258">
        <v>5</v>
      </c>
      <c r="AC1258">
        <v>1512</v>
      </c>
      <c r="AD1258">
        <v>187</v>
      </c>
      <c r="AE1258" t="s">
        <v>525</v>
      </c>
      <c r="AF1258" t="s">
        <v>532</v>
      </c>
      <c r="AG1258" s="32">
        <v>1512</v>
      </c>
      <c r="AH1258" s="32" t="s">
        <v>1541</v>
      </c>
      <c r="AI1258" s="32" t="s">
        <v>1553</v>
      </c>
      <c r="AJ1258" s="31" t="s">
        <v>2936</v>
      </c>
      <c r="AK1258" s="31">
        <v>0.98699999999999999</v>
      </c>
      <c r="AL1258" s="31">
        <v>1492.3440000000001</v>
      </c>
      <c r="AM1258" s="31">
        <v>19.655999999999949</v>
      </c>
      <c r="AN1258" s="31">
        <v>65702.990628764252</v>
      </c>
      <c r="AO1258" s="31">
        <v>865.38893432009411</v>
      </c>
      <c r="AP1258" s="31">
        <v>60.360126058904505</v>
      </c>
      <c r="AQ1258" s="31">
        <v>0.79501685791869947</v>
      </c>
      <c r="AR1258" s="31">
        <v>0.13341858489683281</v>
      </c>
    </row>
    <row r="1259" spans="1:44" hidden="1" x14ac:dyDescent="0.5">
      <c r="A1259" s="31">
        <v>530</v>
      </c>
      <c r="B1259" s="31">
        <v>35</v>
      </c>
      <c r="C1259" s="225" t="s">
        <v>20</v>
      </c>
      <c r="D1259" s="39">
        <v>44.17</v>
      </c>
      <c r="E1259" s="40">
        <v>12.44</v>
      </c>
      <c r="F1259">
        <v>0</v>
      </c>
      <c r="G1259">
        <f t="shared" si="15"/>
        <v>0</v>
      </c>
      <c r="H1259" s="32" t="s">
        <v>10</v>
      </c>
      <c r="I1259">
        <v>0</v>
      </c>
      <c r="J1259">
        <v>144.010562434798</v>
      </c>
      <c r="K1259" s="26">
        <v>2017</v>
      </c>
      <c r="L1259" t="s">
        <v>11</v>
      </c>
      <c r="M1259" s="32">
        <v>300</v>
      </c>
      <c r="N1259">
        <v>36.542166029999997</v>
      </c>
      <c r="O1259">
        <v>5</v>
      </c>
      <c r="P1259" t="s">
        <v>12</v>
      </c>
      <c r="Q1259">
        <v>83</v>
      </c>
      <c r="R1259" t="s">
        <v>13</v>
      </c>
      <c r="S1259" t="s">
        <v>14</v>
      </c>
      <c r="T1259" t="s">
        <v>14</v>
      </c>
      <c r="U1259" s="34">
        <v>0</v>
      </c>
      <c r="V1259" s="34">
        <v>5</v>
      </c>
      <c r="W1259" s="25">
        <v>2.5</v>
      </c>
      <c r="X1259" s="25">
        <v>5</v>
      </c>
      <c r="Y1259" s="244">
        <v>0.91868156199999995</v>
      </c>
      <c r="Z1259" t="s">
        <v>1100</v>
      </c>
      <c r="AA1259" t="s">
        <v>622</v>
      </c>
      <c r="AB1259">
        <v>5</v>
      </c>
      <c r="AC1259">
        <v>84</v>
      </c>
      <c r="AD1259">
        <v>12</v>
      </c>
      <c r="AE1259" t="s">
        <v>525</v>
      </c>
      <c r="AF1259" t="s">
        <v>532</v>
      </c>
      <c r="AG1259" s="32">
        <v>84</v>
      </c>
      <c r="AH1259" s="32" t="s">
        <v>1541</v>
      </c>
      <c r="AI1259" s="32" t="s">
        <v>1552</v>
      </c>
      <c r="AJ1259" s="31" t="s">
        <v>2935</v>
      </c>
      <c r="AK1259" s="31">
        <v>0.98699999999999999</v>
      </c>
      <c r="AL1259" s="31">
        <v>82.908000000000001</v>
      </c>
      <c r="AM1259" s="31">
        <v>1.0919999999999987</v>
      </c>
      <c r="AN1259" s="31">
        <v>3650.1661460424571</v>
      </c>
      <c r="AO1259" s="31">
        <v>48.077163017783079</v>
      </c>
      <c r="AP1259" s="31">
        <v>3.3533403366058048</v>
      </c>
      <c r="AQ1259" s="31">
        <v>4.4167603217705589E-2</v>
      </c>
      <c r="AR1259" s="31">
        <v>0.13341858489683281</v>
      </c>
    </row>
    <row r="1260" spans="1:44" hidden="1" x14ac:dyDescent="0.5">
      <c r="A1260" s="31">
        <v>1464</v>
      </c>
      <c r="B1260" s="31">
        <v>107</v>
      </c>
      <c r="C1260" s="225" t="s">
        <v>20</v>
      </c>
      <c r="D1260" s="41">
        <v>44.159390000000002</v>
      </c>
      <c r="E1260" s="43">
        <v>9.6056419999999996</v>
      </c>
      <c r="F1260">
        <v>0</v>
      </c>
      <c r="G1260">
        <f t="shared" si="15"/>
        <v>0</v>
      </c>
      <c r="H1260" s="32" t="s">
        <v>10</v>
      </c>
      <c r="I1260">
        <v>0</v>
      </c>
      <c r="J1260">
        <v>202.85832826567901</v>
      </c>
      <c r="K1260" s="26">
        <v>2017</v>
      </c>
      <c r="L1260" t="s">
        <v>30</v>
      </c>
      <c r="M1260" s="32">
        <v>50</v>
      </c>
      <c r="N1260">
        <v>5.4892152799999998</v>
      </c>
      <c r="O1260">
        <v>5</v>
      </c>
      <c r="P1260" t="s">
        <v>23</v>
      </c>
      <c r="Q1260">
        <v>95.5</v>
      </c>
      <c r="R1260" t="s">
        <v>13</v>
      </c>
      <c r="S1260" t="s">
        <v>16</v>
      </c>
      <c r="T1260" t="s">
        <v>14</v>
      </c>
      <c r="U1260" s="34">
        <v>0</v>
      </c>
      <c r="V1260" s="34">
        <v>5</v>
      </c>
      <c r="W1260" s="25">
        <v>2.5</v>
      </c>
      <c r="X1260" s="25">
        <v>5</v>
      </c>
      <c r="Y1260" s="244">
        <v>0.91868156199999995</v>
      </c>
      <c r="Z1260" t="s">
        <v>1100</v>
      </c>
      <c r="AA1260" t="s">
        <v>622</v>
      </c>
      <c r="AB1260">
        <v>18</v>
      </c>
      <c r="AC1260">
        <v>416</v>
      </c>
      <c r="AD1260">
        <v>202</v>
      </c>
      <c r="AF1260" t="s">
        <v>532</v>
      </c>
      <c r="AG1260" s="32">
        <v>416</v>
      </c>
      <c r="AH1260" s="32" t="s">
        <v>1594</v>
      </c>
      <c r="AI1260" s="32" t="s">
        <v>2530</v>
      </c>
      <c r="AJ1260" s="31" t="s">
        <v>3363</v>
      </c>
      <c r="AK1260" s="31">
        <v>0.9</v>
      </c>
      <c r="AL1260" s="31">
        <v>374.40000000000003</v>
      </c>
      <c r="AM1260" s="31">
        <v>41.599999999999966</v>
      </c>
      <c r="AN1260" s="31">
        <v>2152.0023045361258</v>
      </c>
      <c r="AO1260" s="31">
        <v>239.11136717068041</v>
      </c>
      <c r="AP1260" s="31">
        <v>1.9770048385588479</v>
      </c>
      <c r="AQ1260" s="31">
        <v>0.21966720428431619</v>
      </c>
      <c r="AR1260" s="31">
        <v>0.13341858489683281</v>
      </c>
    </row>
    <row r="1261" spans="1:44" hidden="1" x14ac:dyDescent="0.5">
      <c r="A1261" s="31">
        <v>251</v>
      </c>
      <c r="B1261" s="31">
        <v>14</v>
      </c>
      <c r="C1261" s="225" t="s">
        <v>20</v>
      </c>
      <c r="D1261" s="35">
        <v>43.92</v>
      </c>
      <c r="E1261" s="33">
        <v>15.144</v>
      </c>
      <c r="F1261">
        <v>0.22</v>
      </c>
      <c r="G1261">
        <f t="shared" si="15"/>
        <v>354.05568</v>
      </c>
      <c r="H1261" s="32" t="s">
        <v>614</v>
      </c>
      <c r="I1261">
        <v>9</v>
      </c>
      <c r="J1261">
        <v>35.153208261226503</v>
      </c>
      <c r="K1261" s="26">
        <v>2015</v>
      </c>
      <c r="L1261" t="s">
        <v>11</v>
      </c>
      <c r="M1261" s="32">
        <v>63</v>
      </c>
      <c r="N1261">
        <v>7.0097463050000002</v>
      </c>
      <c r="O1261">
        <v>5</v>
      </c>
      <c r="P1261" t="s">
        <v>12</v>
      </c>
      <c r="Q1261">
        <v>89</v>
      </c>
      <c r="R1261" t="s">
        <v>31</v>
      </c>
      <c r="S1261" t="s">
        <v>16</v>
      </c>
      <c r="T1261" t="s">
        <v>14</v>
      </c>
      <c r="U1261" s="34">
        <v>0</v>
      </c>
      <c r="X1261" s="25">
        <v>9</v>
      </c>
      <c r="Y1261" s="244">
        <v>0.88629531800000005</v>
      </c>
      <c r="Z1261" t="s">
        <v>1100</v>
      </c>
      <c r="AA1261" t="s">
        <v>622</v>
      </c>
      <c r="AB1261">
        <v>3</v>
      </c>
      <c r="AC1261">
        <v>32.299999999999997</v>
      </c>
      <c r="AD1261">
        <v>20.2</v>
      </c>
      <c r="AE1261" t="s">
        <v>519</v>
      </c>
      <c r="AF1261" t="s">
        <v>532</v>
      </c>
      <c r="AG1261" s="32" t="s">
        <v>1271</v>
      </c>
      <c r="AH1261" s="32" t="s">
        <v>1253</v>
      </c>
      <c r="AI1261" s="32" t="s">
        <v>1272</v>
      </c>
      <c r="AJ1261" s="31" t="s">
        <v>2776</v>
      </c>
      <c r="AK1261" s="31">
        <v>0.90069999999999995</v>
      </c>
      <c r="AL1261" s="31">
        <v>29.092609999999997</v>
      </c>
      <c r="AM1261" s="31">
        <v>3.2073900000000002</v>
      </c>
      <c r="AN1261" s="31">
        <v>229.1368712924787</v>
      </c>
      <c r="AO1261" s="31">
        <v>25.261786742914556</v>
      </c>
      <c r="AP1261" s="31">
        <v>0.20308293620769249</v>
      </c>
      <c r="AQ1261" s="31">
        <v>2.2389403314559641E-2</v>
      </c>
      <c r="AR1261" s="31">
        <v>0.13222094293149678</v>
      </c>
    </row>
    <row r="1262" spans="1:44" hidden="1" x14ac:dyDescent="0.5">
      <c r="A1262" s="31">
        <v>249</v>
      </c>
      <c r="B1262" s="31">
        <v>14</v>
      </c>
      <c r="C1262" s="225" t="s">
        <v>20</v>
      </c>
      <c r="D1262" s="35">
        <v>43.915999999999997</v>
      </c>
      <c r="E1262" s="33">
        <v>15.141</v>
      </c>
      <c r="F1262">
        <v>0.11</v>
      </c>
      <c r="G1262">
        <f t="shared" si="15"/>
        <v>177.02784</v>
      </c>
      <c r="H1262" s="32" t="s">
        <v>614</v>
      </c>
      <c r="I1262">
        <v>9</v>
      </c>
      <c r="J1262">
        <v>35.3028360086901</v>
      </c>
      <c r="K1262" s="26">
        <v>2015</v>
      </c>
      <c r="L1262" t="s">
        <v>11</v>
      </c>
      <c r="M1262" s="32">
        <v>63</v>
      </c>
      <c r="N1262">
        <v>7.0097463050000002</v>
      </c>
      <c r="O1262">
        <v>5</v>
      </c>
      <c r="P1262" t="s">
        <v>12</v>
      </c>
      <c r="Q1262">
        <v>89</v>
      </c>
      <c r="R1262" t="s">
        <v>31</v>
      </c>
      <c r="S1262" t="s">
        <v>16</v>
      </c>
      <c r="T1262" t="s">
        <v>14</v>
      </c>
      <c r="U1262" s="34">
        <v>0</v>
      </c>
      <c r="X1262" s="25">
        <v>9</v>
      </c>
      <c r="Y1262" s="244">
        <v>0.88629531800000005</v>
      </c>
      <c r="Z1262" t="s">
        <v>1100</v>
      </c>
      <c r="AA1262" t="s">
        <v>622</v>
      </c>
      <c r="AB1262">
        <v>3</v>
      </c>
      <c r="AC1262">
        <v>177.4</v>
      </c>
      <c r="AD1262">
        <v>24.5</v>
      </c>
      <c r="AE1262" t="s">
        <v>519</v>
      </c>
      <c r="AF1262" t="s">
        <v>532</v>
      </c>
      <c r="AG1262" s="32" t="s">
        <v>1267</v>
      </c>
      <c r="AH1262" s="32" t="s">
        <v>1253</v>
      </c>
      <c r="AI1262" s="32" t="s">
        <v>1268</v>
      </c>
      <c r="AJ1262" s="31" t="s">
        <v>2774</v>
      </c>
      <c r="AK1262" s="31">
        <v>0.90069999999999995</v>
      </c>
      <c r="AL1262" s="31">
        <v>159.78417999999999</v>
      </c>
      <c r="AM1262" s="31">
        <v>17.615820000000014</v>
      </c>
      <c r="AN1262" s="31">
        <v>1258.4792869128705</v>
      </c>
      <c r="AO1262" s="31">
        <v>138.7443024208373</v>
      </c>
      <c r="AP1262" s="31">
        <v>1.1153842997908558</v>
      </c>
      <c r="AQ1262" s="31">
        <v>0.12296842563476416</v>
      </c>
      <c r="AR1262" s="31">
        <v>0.13222094293149678</v>
      </c>
    </row>
    <row r="1263" spans="1:44" hidden="1" x14ac:dyDescent="0.5">
      <c r="A1263" s="31">
        <v>250</v>
      </c>
      <c r="B1263" s="31">
        <v>14</v>
      </c>
      <c r="C1263" s="225" t="s">
        <v>20</v>
      </c>
      <c r="D1263" s="35">
        <v>43.915999999999997</v>
      </c>
      <c r="E1263" s="33">
        <v>15.151</v>
      </c>
      <c r="F1263">
        <v>0.1</v>
      </c>
      <c r="G1263">
        <f t="shared" si="15"/>
        <v>160.93440000000001</v>
      </c>
      <c r="H1263" s="32" t="s">
        <v>614</v>
      </c>
      <c r="I1263">
        <v>9</v>
      </c>
      <c r="J1263">
        <v>35.0981503306948</v>
      </c>
      <c r="K1263" s="26">
        <v>2015</v>
      </c>
      <c r="L1263" t="s">
        <v>11</v>
      </c>
      <c r="M1263" s="32">
        <v>63</v>
      </c>
      <c r="N1263">
        <v>7.0097463050000002</v>
      </c>
      <c r="O1263">
        <v>5</v>
      </c>
      <c r="P1263" t="s">
        <v>12</v>
      </c>
      <c r="Q1263">
        <v>89</v>
      </c>
      <c r="R1263" t="s">
        <v>31</v>
      </c>
      <c r="S1263" t="s">
        <v>16</v>
      </c>
      <c r="T1263" t="s">
        <v>14</v>
      </c>
      <c r="U1263" s="34">
        <v>0</v>
      </c>
      <c r="X1263" s="25">
        <v>9</v>
      </c>
      <c r="Y1263" s="244">
        <v>0.88629531800000005</v>
      </c>
      <c r="Z1263" t="s">
        <v>1100</v>
      </c>
      <c r="AA1263" t="s">
        <v>622</v>
      </c>
      <c r="AB1263">
        <v>3</v>
      </c>
      <c r="AC1263">
        <v>177.9</v>
      </c>
      <c r="AD1263">
        <v>91.3</v>
      </c>
      <c r="AE1263" t="s">
        <v>519</v>
      </c>
      <c r="AF1263" t="s">
        <v>532</v>
      </c>
      <c r="AG1263" s="32" t="s">
        <v>1269</v>
      </c>
      <c r="AH1263" s="32" t="s">
        <v>1253</v>
      </c>
      <c r="AI1263" s="32" t="s">
        <v>1270</v>
      </c>
      <c r="AJ1263" s="31" t="s">
        <v>2775</v>
      </c>
      <c r="AK1263" s="31">
        <v>0.90069999999999995</v>
      </c>
      <c r="AL1263" s="31">
        <v>160.23453000000001</v>
      </c>
      <c r="AM1263" s="31">
        <v>17.665469999999999</v>
      </c>
      <c r="AN1263" s="31">
        <v>1262.0262973043953</v>
      </c>
      <c r="AO1263" s="31">
        <v>139.13535175122286</v>
      </c>
      <c r="AP1263" s="31">
        <v>1.1185279984937615</v>
      </c>
      <c r="AQ1263" s="31">
        <v>0.12331501082539192</v>
      </c>
      <c r="AR1263" s="31">
        <v>0.13222094293149678</v>
      </c>
    </row>
    <row r="1264" spans="1:44" hidden="1" x14ac:dyDescent="0.5">
      <c r="A1264" s="31">
        <v>248</v>
      </c>
      <c r="B1264" s="31">
        <v>14</v>
      </c>
      <c r="C1264" s="225" t="s">
        <v>20</v>
      </c>
      <c r="D1264" s="35">
        <v>43.905000000000001</v>
      </c>
      <c r="E1264" s="33">
        <v>15.15</v>
      </c>
      <c r="F1264">
        <v>0.12</v>
      </c>
      <c r="G1264">
        <f t="shared" si="15"/>
        <v>193.12128000000001</v>
      </c>
      <c r="H1264" s="32" t="s">
        <v>614</v>
      </c>
      <c r="I1264">
        <v>9</v>
      </c>
      <c r="J1264">
        <v>35.343085912798003</v>
      </c>
      <c r="K1264" s="26">
        <v>2015</v>
      </c>
      <c r="L1264" t="s">
        <v>11</v>
      </c>
      <c r="M1264" s="32">
        <v>63</v>
      </c>
      <c r="N1264">
        <v>7.0097463050000002</v>
      </c>
      <c r="O1264">
        <v>5</v>
      </c>
      <c r="P1264" t="s">
        <v>12</v>
      </c>
      <c r="Q1264">
        <v>89</v>
      </c>
      <c r="R1264" t="s">
        <v>31</v>
      </c>
      <c r="S1264" t="s">
        <v>16</v>
      </c>
      <c r="T1264" t="s">
        <v>14</v>
      </c>
      <c r="U1264" s="34">
        <v>0</v>
      </c>
      <c r="X1264" s="25">
        <v>9</v>
      </c>
      <c r="Y1264" s="244">
        <v>0.88629531800000005</v>
      </c>
      <c r="Z1264" t="s">
        <v>1100</v>
      </c>
      <c r="AA1264" t="s">
        <v>622</v>
      </c>
      <c r="AB1264">
        <v>3</v>
      </c>
      <c r="AC1264">
        <v>84.4</v>
      </c>
      <c r="AD1264">
        <v>36.799999999999997</v>
      </c>
      <c r="AE1264" t="s">
        <v>519</v>
      </c>
      <c r="AF1264" t="s">
        <v>532</v>
      </c>
      <c r="AG1264" s="32" t="s">
        <v>1265</v>
      </c>
      <c r="AH1264" s="32" t="s">
        <v>1253</v>
      </c>
      <c r="AI1264" s="32" t="s">
        <v>1266</v>
      </c>
      <c r="AJ1264" s="31" t="s">
        <v>2773</v>
      </c>
      <c r="AK1264" s="31">
        <v>0.90069999999999995</v>
      </c>
      <c r="AL1264" s="31">
        <v>76.019080000000002</v>
      </c>
      <c r="AM1264" s="31">
        <v>8.3809200000000033</v>
      </c>
      <c r="AN1264" s="31">
        <v>598.73535408932514</v>
      </c>
      <c r="AO1264" s="31">
        <v>66.009126969101828</v>
      </c>
      <c r="AP1264" s="31">
        <v>0.53065634105044102</v>
      </c>
      <c r="AQ1264" s="31">
        <v>5.8503580177982482E-2</v>
      </c>
      <c r="AR1264" s="31">
        <v>0.13222094293149678</v>
      </c>
    </row>
    <row r="1265" spans="1:44" hidden="1" x14ac:dyDescent="0.5">
      <c r="A1265" s="31">
        <v>247</v>
      </c>
      <c r="B1265" s="31">
        <v>14</v>
      </c>
      <c r="C1265" s="225" t="s">
        <v>20</v>
      </c>
      <c r="D1265" s="35">
        <v>43.896999999999998</v>
      </c>
      <c r="E1265" s="33">
        <v>15.217000000000001</v>
      </c>
      <c r="F1265">
        <v>0.09</v>
      </c>
      <c r="G1265">
        <f t="shared" si="15"/>
        <v>144.84096</v>
      </c>
      <c r="H1265" s="32" t="s">
        <v>614</v>
      </c>
      <c r="I1265">
        <v>9</v>
      </c>
      <c r="J1265">
        <v>33.969561408432597</v>
      </c>
      <c r="K1265" s="26">
        <v>2015</v>
      </c>
      <c r="L1265" t="s">
        <v>11</v>
      </c>
      <c r="M1265" s="32">
        <v>63</v>
      </c>
      <c r="N1265">
        <v>7.0097463050000002</v>
      </c>
      <c r="O1265">
        <v>5</v>
      </c>
      <c r="P1265" t="s">
        <v>12</v>
      </c>
      <c r="Q1265">
        <v>89</v>
      </c>
      <c r="R1265" t="s">
        <v>31</v>
      </c>
      <c r="S1265" t="s">
        <v>16</v>
      </c>
      <c r="T1265" t="s">
        <v>14</v>
      </c>
      <c r="U1265" s="34">
        <v>0</v>
      </c>
      <c r="X1265" s="25">
        <v>9</v>
      </c>
      <c r="Y1265" s="244">
        <v>0.88629531800000005</v>
      </c>
      <c r="Z1265" t="s">
        <v>1100</v>
      </c>
      <c r="AA1265" t="s">
        <v>622</v>
      </c>
      <c r="AB1265">
        <v>3</v>
      </c>
      <c r="AC1265">
        <v>170.3</v>
      </c>
      <c r="AD1265">
        <v>24.9</v>
      </c>
      <c r="AE1265" t="s">
        <v>519</v>
      </c>
      <c r="AF1265" t="s">
        <v>532</v>
      </c>
      <c r="AG1265" s="32" t="s">
        <v>1263</v>
      </c>
      <c r="AH1265" s="32" t="s">
        <v>1253</v>
      </c>
      <c r="AI1265" s="32" t="s">
        <v>1264</v>
      </c>
      <c r="AJ1265" s="31" t="s">
        <v>2772</v>
      </c>
      <c r="AK1265" s="31">
        <v>0.90069999999999995</v>
      </c>
      <c r="AL1265" s="31">
        <v>153.38920999999999</v>
      </c>
      <c r="AM1265" s="31">
        <v>16.91079000000002</v>
      </c>
      <c r="AN1265" s="31">
        <v>1208.1117393532236</v>
      </c>
      <c r="AO1265" s="31">
        <v>133.19140192936078</v>
      </c>
      <c r="AP1265" s="31">
        <v>1.0707437782095985</v>
      </c>
      <c r="AQ1265" s="31">
        <v>0.11804691592784862</v>
      </c>
      <c r="AR1265" s="31">
        <v>0.13222094293149678</v>
      </c>
    </row>
    <row r="1266" spans="1:44" hidden="1" x14ac:dyDescent="0.5">
      <c r="A1266" s="31">
        <v>246</v>
      </c>
      <c r="B1266" s="31">
        <v>14</v>
      </c>
      <c r="C1266" s="225" t="s">
        <v>20</v>
      </c>
      <c r="D1266" s="35">
        <v>43.893000000000001</v>
      </c>
      <c r="E1266" s="33">
        <v>15.157999999999999</v>
      </c>
      <c r="F1266">
        <v>0.09</v>
      </c>
      <c r="G1266">
        <f t="shared" si="15"/>
        <v>144.84096</v>
      </c>
      <c r="H1266" s="32" t="s">
        <v>614</v>
      </c>
      <c r="I1266">
        <v>9</v>
      </c>
      <c r="J1266">
        <v>35.462839512558801</v>
      </c>
      <c r="K1266" s="26">
        <v>2015</v>
      </c>
      <c r="L1266" t="s">
        <v>11</v>
      </c>
      <c r="M1266" s="32">
        <v>63</v>
      </c>
      <c r="N1266">
        <v>7.0097463050000002</v>
      </c>
      <c r="O1266">
        <v>5</v>
      </c>
      <c r="P1266" t="s">
        <v>12</v>
      </c>
      <c r="Q1266">
        <v>89</v>
      </c>
      <c r="R1266" t="s">
        <v>31</v>
      </c>
      <c r="S1266" t="s">
        <v>16</v>
      </c>
      <c r="T1266" t="s">
        <v>14</v>
      </c>
      <c r="U1266" s="34">
        <v>0</v>
      </c>
      <c r="X1266" s="25">
        <v>9</v>
      </c>
      <c r="Y1266" s="244">
        <v>0.88629531800000005</v>
      </c>
      <c r="Z1266" t="s">
        <v>1100</v>
      </c>
      <c r="AA1266" t="s">
        <v>622</v>
      </c>
      <c r="AB1266">
        <v>3</v>
      </c>
      <c r="AC1266">
        <v>377.8</v>
      </c>
      <c r="AD1266">
        <v>18.8</v>
      </c>
      <c r="AE1266" t="s">
        <v>519</v>
      </c>
      <c r="AF1266" t="s">
        <v>532</v>
      </c>
      <c r="AG1266" s="32" t="s">
        <v>1261</v>
      </c>
      <c r="AH1266" s="32" t="s">
        <v>1253</v>
      </c>
      <c r="AI1266" s="32" t="s">
        <v>1262</v>
      </c>
      <c r="AJ1266" s="31" t="s">
        <v>2771</v>
      </c>
      <c r="AK1266" s="31">
        <v>0.90069999999999995</v>
      </c>
      <c r="AL1266" s="31">
        <v>340.28445999999997</v>
      </c>
      <c r="AM1266" s="31">
        <v>37.515540000000044</v>
      </c>
      <c r="AN1266" s="31">
        <v>2680.1210518358653</v>
      </c>
      <c r="AO1266" s="31">
        <v>295.47687403941575</v>
      </c>
      <c r="AP1266" s="31">
        <v>2.3753787399153627</v>
      </c>
      <c r="AQ1266" s="31">
        <v>0.26187977003840995</v>
      </c>
      <c r="AR1266" s="31">
        <v>0.13222094293149678</v>
      </c>
    </row>
    <row r="1267" spans="1:44" hidden="1" x14ac:dyDescent="0.5">
      <c r="A1267" s="31">
        <v>245</v>
      </c>
      <c r="B1267" s="31">
        <v>14</v>
      </c>
      <c r="C1267" s="225" t="s">
        <v>20</v>
      </c>
      <c r="D1267" s="35">
        <v>43.887999999999998</v>
      </c>
      <c r="E1267" s="33">
        <v>15.212999999999999</v>
      </c>
      <c r="F1267">
        <v>0.17</v>
      </c>
      <c r="G1267">
        <f t="shared" si="15"/>
        <v>273.58848</v>
      </c>
      <c r="H1267" s="32" t="s">
        <v>614</v>
      </c>
      <c r="I1267">
        <v>9</v>
      </c>
      <c r="J1267">
        <v>34.282457218120697</v>
      </c>
      <c r="K1267" s="26">
        <v>2015</v>
      </c>
      <c r="L1267" t="s">
        <v>11</v>
      </c>
      <c r="M1267" s="32">
        <v>63</v>
      </c>
      <c r="N1267">
        <v>7.0097463050000002</v>
      </c>
      <c r="O1267">
        <v>5</v>
      </c>
      <c r="P1267" t="s">
        <v>12</v>
      </c>
      <c r="Q1267">
        <v>89</v>
      </c>
      <c r="R1267" t="s">
        <v>31</v>
      </c>
      <c r="S1267" t="s">
        <v>16</v>
      </c>
      <c r="T1267" t="s">
        <v>14</v>
      </c>
      <c r="U1267" s="34">
        <v>0</v>
      </c>
      <c r="X1267" s="25">
        <v>9</v>
      </c>
      <c r="Y1267" s="244">
        <v>0.88629531800000005</v>
      </c>
      <c r="Z1267" t="s">
        <v>1100</v>
      </c>
      <c r="AA1267" t="s">
        <v>622</v>
      </c>
      <c r="AB1267">
        <v>3</v>
      </c>
      <c r="AC1267">
        <v>279.2</v>
      </c>
      <c r="AD1267">
        <v>67.900000000000006</v>
      </c>
      <c r="AE1267" t="s">
        <v>519</v>
      </c>
      <c r="AF1267" t="s">
        <v>532</v>
      </c>
      <c r="AG1267" s="32" t="s">
        <v>1259</v>
      </c>
      <c r="AH1267" s="32" t="s">
        <v>1253</v>
      </c>
      <c r="AI1267" s="32" t="s">
        <v>1260</v>
      </c>
      <c r="AJ1267" s="31" t="s">
        <v>2770</v>
      </c>
      <c r="AK1267" s="31">
        <v>0.90069999999999995</v>
      </c>
      <c r="AL1267" s="31">
        <v>251.47543999999996</v>
      </c>
      <c r="AM1267" s="31">
        <v>27.724560000000025</v>
      </c>
      <c r="AN1267" s="31">
        <v>1980.6506026272459</v>
      </c>
      <c r="AO1267" s="31">
        <v>218.36194608736065</v>
      </c>
      <c r="AP1267" s="31">
        <v>1.7554413557024067</v>
      </c>
      <c r="AQ1267" s="31">
        <v>0.19353317044659618</v>
      </c>
      <c r="AR1267" s="31">
        <v>0.13222094293149678</v>
      </c>
    </row>
    <row r="1268" spans="1:44" hidden="1" x14ac:dyDescent="0.5">
      <c r="A1268" s="31">
        <v>244</v>
      </c>
      <c r="B1268" s="31">
        <v>14</v>
      </c>
      <c r="C1268" s="225" t="s">
        <v>20</v>
      </c>
      <c r="D1268" s="35">
        <v>43.881</v>
      </c>
      <c r="E1268" s="33">
        <v>15.17</v>
      </c>
      <c r="F1268">
        <v>0.13</v>
      </c>
      <c r="G1268">
        <f t="shared" si="15"/>
        <v>209.21472</v>
      </c>
      <c r="H1268" s="32" t="s">
        <v>614</v>
      </c>
      <c r="I1268">
        <v>9</v>
      </c>
      <c r="J1268">
        <v>35.431346319388403</v>
      </c>
      <c r="K1268" s="26">
        <v>2015</v>
      </c>
      <c r="L1268" t="s">
        <v>11</v>
      </c>
      <c r="M1268" s="32">
        <v>63</v>
      </c>
      <c r="N1268">
        <v>7.0097463050000002</v>
      </c>
      <c r="O1268">
        <v>5</v>
      </c>
      <c r="P1268" t="s">
        <v>12</v>
      </c>
      <c r="Q1268">
        <v>89</v>
      </c>
      <c r="R1268" t="s">
        <v>31</v>
      </c>
      <c r="S1268" t="s">
        <v>16</v>
      </c>
      <c r="T1268" t="s">
        <v>14</v>
      </c>
      <c r="U1268" s="34">
        <v>0</v>
      </c>
      <c r="X1268" s="25">
        <v>9</v>
      </c>
      <c r="Y1268" s="244">
        <v>0.88629531800000005</v>
      </c>
      <c r="Z1268" t="s">
        <v>1100</v>
      </c>
      <c r="AA1268" t="s">
        <v>622</v>
      </c>
      <c r="AB1268">
        <v>3</v>
      </c>
      <c r="AC1268">
        <v>296.5</v>
      </c>
      <c r="AD1268">
        <v>143.69999999999999</v>
      </c>
      <c r="AE1268" t="s">
        <v>519</v>
      </c>
      <c r="AF1268" t="s">
        <v>532</v>
      </c>
      <c r="AG1268" s="32" t="s">
        <v>1257</v>
      </c>
      <c r="AH1268" s="32" t="s">
        <v>1253</v>
      </c>
      <c r="AI1268" s="32" t="s">
        <v>1258</v>
      </c>
      <c r="AJ1268" s="31" t="s">
        <v>2769</v>
      </c>
      <c r="AK1268" s="31">
        <v>0.90069999999999995</v>
      </c>
      <c r="AL1268" s="31">
        <v>267.05754999999999</v>
      </c>
      <c r="AM1268" s="31">
        <v>29.442450000000008</v>
      </c>
      <c r="AN1268" s="31">
        <v>2103.377162173992</v>
      </c>
      <c r="AO1268" s="31">
        <v>231.89225291870486</v>
      </c>
      <c r="AP1268" s="31">
        <v>1.8642133308229361</v>
      </c>
      <c r="AQ1268" s="31">
        <v>0.20552501804231996</v>
      </c>
      <c r="AR1268" s="31">
        <v>0.13222094293149678</v>
      </c>
    </row>
    <row r="1269" spans="1:44" hidden="1" x14ac:dyDescent="0.5">
      <c r="A1269" s="31">
        <v>243</v>
      </c>
      <c r="B1269" s="31">
        <v>14</v>
      </c>
      <c r="C1269" s="225" t="s">
        <v>20</v>
      </c>
      <c r="D1269" s="35">
        <v>43.875999999999998</v>
      </c>
      <c r="E1269" s="33">
        <v>15.221</v>
      </c>
      <c r="F1269">
        <v>0.08</v>
      </c>
      <c r="G1269">
        <f t="shared" si="15"/>
        <v>128.74752000000001</v>
      </c>
      <c r="H1269" s="32" t="s">
        <v>614</v>
      </c>
      <c r="I1269">
        <v>9</v>
      </c>
      <c r="J1269">
        <v>34.398061953798297</v>
      </c>
      <c r="K1269" s="26">
        <v>2015</v>
      </c>
      <c r="L1269" t="s">
        <v>11</v>
      </c>
      <c r="M1269" s="32">
        <v>63</v>
      </c>
      <c r="N1269">
        <v>7.0097463050000002</v>
      </c>
      <c r="O1269">
        <v>5</v>
      </c>
      <c r="P1269" t="s">
        <v>12</v>
      </c>
      <c r="Q1269">
        <v>89</v>
      </c>
      <c r="R1269" t="s">
        <v>31</v>
      </c>
      <c r="S1269" t="s">
        <v>16</v>
      </c>
      <c r="T1269" t="s">
        <v>14</v>
      </c>
      <c r="U1269" s="34">
        <v>0</v>
      </c>
      <c r="X1269" s="25">
        <v>9</v>
      </c>
      <c r="Y1269" s="244">
        <v>0.88629531800000005</v>
      </c>
      <c r="Z1269" t="s">
        <v>1100</v>
      </c>
      <c r="AA1269" t="s">
        <v>622</v>
      </c>
      <c r="AB1269">
        <v>3</v>
      </c>
      <c r="AC1269">
        <v>42.6</v>
      </c>
      <c r="AD1269">
        <v>36.200000000000003</v>
      </c>
      <c r="AE1269" t="s">
        <v>519</v>
      </c>
      <c r="AF1269" t="s">
        <v>532</v>
      </c>
      <c r="AG1269" s="32" t="s">
        <v>1255</v>
      </c>
      <c r="AH1269" s="32" t="s">
        <v>1253</v>
      </c>
      <c r="AI1269" s="32" t="s">
        <v>1256</v>
      </c>
      <c r="AJ1269" s="31" t="s">
        <v>2768</v>
      </c>
      <c r="AK1269" s="31">
        <v>0.90069999999999995</v>
      </c>
      <c r="AL1269" s="31">
        <v>38.369819999999997</v>
      </c>
      <c r="AM1269" s="31">
        <v>4.2301800000000043</v>
      </c>
      <c r="AN1269" s="31">
        <v>302.20528535788213</v>
      </c>
      <c r="AO1269" s="31">
        <v>33.317402948859474</v>
      </c>
      <c r="AP1269" s="31">
        <v>0.26784312948754491</v>
      </c>
      <c r="AQ1269" s="31">
        <v>2.9529058241493548E-2</v>
      </c>
      <c r="AR1269" s="31">
        <v>0.13222094293149678</v>
      </c>
    </row>
    <row r="1270" spans="1:44" hidden="1" x14ac:dyDescent="0.5">
      <c r="A1270" s="31">
        <v>242</v>
      </c>
      <c r="B1270" s="31">
        <v>14</v>
      </c>
      <c r="C1270" s="225" t="s">
        <v>20</v>
      </c>
      <c r="D1270" s="35">
        <v>43.872999999999998</v>
      </c>
      <c r="E1270" s="33">
        <v>15.183</v>
      </c>
      <c r="F1270">
        <v>0.15</v>
      </c>
      <c r="G1270">
        <f t="shared" si="15"/>
        <v>241.4016</v>
      </c>
      <c r="H1270" s="32" t="s">
        <v>614</v>
      </c>
      <c r="I1270">
        <v>9</v>
      </c>
      <c r="J1270">
        <v>35.298635242805297</v>
      </c>
      <c r="K1270" s="26">
        <v>2015</v>
      </c>
      <c r="L1270" t="s">
        <v>11</v>
      </c>
      <c r="M1270" s="32">
        <v>63</v>
      </c>
      <c r="N1270">
        <v>7.0097463050000002</v>
      </c>
      <c r="O1270">
        <v>5</v>
      </c>
      <c r="P1270" t="s">
        <v>12</v>
      </c>
      <c r="Q1270">
        <v>89</v>
      </c>
      <c r="R1270" t="s">
        <v>31</v>
      </c>
      <c r="S1270" t="s">
        <v>16</v>
      </c>
      <c r="T1270" t="s">
        <v>14</v>
      </c>
      <c r="U1270" s="34">
        <v>0</v>
      </c>
      <c r="X1270" s="25">
        <v>9</v>
      </c>
      <c r="Y1270" s="244">
        <v>0.88629531800000005</v>
      </c>
      <c r="Z1270" t="s">
        <v>1100</v>
      </c>
      <c r="AA1270" t="s">
        <v>622</v>
      </c>
      <c r="AB1270">
        <v>3</v>
      </c>
      <c r="AC1270">
        <v>137.69999999999999</v>
      </c>
      <c r="AD1270">
        <v>73</v>
      </c>
      <c r="AE1270" t="s">
        <v>519</v>
      </c>
      <c r="AF1270" t="s">
        <v>532</v>
      </c>
      <c r="AG1270" s="32" t="s">
        <v>1252</v>
      </c>
      <c r="AH1270" s="32" t="s">
        <v>1253</v>
      </c>
      <c r="AI1270" s="32" t="s">
        <v>1254</v>
      </c>
      <c r="AJ1270" s="31" t="s">
        <v>2767</v>
      </c>
      <c r="AK1270" s="31">
        <v>0.90069999999999995</v>
      </c>
      <c r="AL1270" s="31">
        <v>124.02638999999998</v>
      </c>
      <c r="AM1270" s="31">
        <v>13.673610000000011</v>
      </c>
      <c r="AN1270" s="31">
        <v>976.8466618258301</v>
      </c>
      <c r="AO1270" s="31">
        <v>107.69498558821475</v>
      </c>
      <c r="AP1270" s="31">
        <v>0.86577462278016259</v>
      </c>
      <c r="AQ1270" s="31">
        <v>9.5449561498912219E-2</v>
      </c>
      <c r="AR1270" s="31">
        <v>0.13222094293149678</v>
      </c>
    </row>
    <row r="1271" spans="1:44" hidden="1" x14ac:dyDescent="0.5">
      <c r="A1271" s="31">
        <v>529</v>
      </c>
      <c r="B1271" s="31">
        <v>35</v>
      </c>
      <c r="C1271" s="225" t="s">
        <v>20</v>
      </c>
      <c r="D1271" s="39">
        <v>43.21</v>
      </c>
      <c r="E1271" s="40">
        <v>5.54</v>
      </c>
      <c r="F1271">
        <v>0</v>
      </c>
      <c r="G1271">
        <f t="shared" si="15"/>
        <v>0</v>
      </c>
      <c r="H1271" s="32" t="s">
        <v>10</v>
      </c>
      <c r="I1271">
        <v>0</v>
      </c>
      <c r="J1271">
        <v>255.363926804183</v>
      </c>
      <c r="K1271" s="26">
        <v>2015</v>
      </c>
      <c r="L1271" t="s">
        <v>11</v>
      </c>
      <c r="M1271" s="32">
        <v>300</v>
      </c>
      <c r="N1271">
        <v>36.542166029999997</v>
      </c>
      <c r="O1271">
        <v>5</v>
      </c>
      <c r="P1271" t="s">
        <v>12</v>
      </c>
      <c r="Q1271">
        <v>83</v>
      </c>
      <c r="R1271" t="s">
        <v>13</v>
      </c>
      <c r="S1271" t="s">
        <v>14</v>
      </c>
      <c r="T1271" t="s">
        <v>14</v>
      </c>
      <c r="U1271" s="34">
        <v>0</v>
      </c>
      <c r="V1271" s="34">
        <v>5</v>
      </c>
      <c r="W1271" s="25">
        <v>2.5</v>
      </c>
      <c r="X1271" s="25">
        <v>5</v>
      </c>
      <c r="Y1271" s="244">
        <v>1.1539524080000001</v>
      </c>
      <c r="Z1271" t="s">
        <v>1103</v>
      </c>
      <c r="AA1271" t="s">
        <v>622</v>
      </c>
      <c r="AB1271">
        <v>5</v>
      </c>
      <c r="AC1271">
        <v>124</v>
      </c>
      <c r="AD1271">
        <v>36</v>
      </c>
      <c r="AE1271" t="s">
        <v>525</v>
      </c>
      <c r="AF1271" t="s">
        <v>532</v>
      </c>
      <c r="AG1271" s="32">
        <v>124</v>
      </c>
      <c r="AH1271" s="32" t="s">
        <v>1541</v>
      </c>
      <c r="AI1271" s="32" t="s">
        <v>1551</v>
      </c>
      <c r="AJ1271" s="31" t="s">
        <v>2934</v>
      </c>
      <c r="AK1271" s="31">
        <v>0.98699999999999999</v>
      </c>
      <c r="AL1271" s="31">
        <v>122.38800000000001</v>
      </c>
      <c r="AM1271" s="31">
        <v>1.6119999999999948</v>
      </c>
      <c r="AN1271" s="31">
        <v>5388.3405013007714</v>
      </c>
      <c r="AO1271" s="31">
        <v>70.971050169108196</v>
      </c>
      <c r="AP1271" s="31">
        <v>6.2178884965999526</v>
      </c>
      <c r="AQ1271" s="31">
        <v>8.1897214240931215E-2</v>
      </c>
      <c r="AR1271" s="31">
        <v>0.13341858489683281</v>
      </c>
    </row>
    <row r="1272" spans="1:44" customFormat="1" hidden="1" x14ac:dyDescent="0.5">
      <c r="A1272">
        <v>528</v>
      </c>
      <c r="B1272">
        <v>35</v>
      </c>
      <c r="C1272" s="226" t="s">
        <v>20</v>
      </c>
      <c r="D1272" s="230">
        <v>42.92</v>
      </c>
      <c r="E1272" s="231">
        <v>17.62</v>
      </c>
      <c r="F1272">
        <v>0</v>
      </c>
      <c r="G1272">
        <f t="shared" si="15"/>
        <v>0</v>
      </c>
      <c r="H1272" s="30" t="s">
        <v>10</v>
      </c>
      <c r="I1272">
        <v>0</v>
      </c>
      <c r="J1272">
        <v>43.630779578452398</v>
      </c>
      <c r="K1272" s="26">
        <v>2016</v>
      </c>
      <c r="L1272" t="s">
        <v>11</v>
      </c>
      <c r="M1272" s="30">
        <v>300</v>
      </c>
      <c r="N1272">
        <v>36.542166029999997</v>
      </c>
      <c r="O1272">
        <v>5</v>
      </c>
      <c r="P1272" t="s">
        <v>12</v>
      </c>
      <c r="Q1272">
        <v>83</v>
      </c>
      <c r="R1272" t="s">
        <v>13</v>
      </c>
      <c r="S1272" t="s">
        <v>14</v>
      </c>
      <c r="T1272" t="s">
        <v>14</v>
      </c>
      <c r="U1272" s="29">
        <v>0</v>
      </c>
      <c r="V1272" s="29">
        <v>5</v>
      </c>
      <c r="W1272" s="25">
        <v>2.5</v>
      </c>
      <c r="X1272" s="25">
        <v>5</v>
      </c>
      <c r="Y1272" s="244">
        <v>0.73995054100000002</v>
      </c>
      <c r="Z1272" t="s">
        <v>757</v>
      </c>
      <c r="AA1272" t="s">
        <v>620</v>
      </c>
      <c r="AB1272">
        <v>5</v>
      </c>
      <c r="AC1272">
        <v>76</v>
      </c>
      <c r="AD1272">
        <v>13</v>
      </c>
      <c r="AE1272" t="s">
        <v>525</v>
      </c>
      <c r="AF1272" t="s">
        <v>532</v>
      </c>
      <c r="AG1272" s="30">
        <v>76</v>
      </c>
      <c r="AH1272" s="30" t="s">
        <v>1541</v>
      </c>
      <c r="AI1272" s="30" t="s">
        <v>1550</v>
      </c>
      <c r="AJ1272" t="s">
        <v>2933</v>
      </c>
      <c r="AK1272">
        <v>0.98699999999999999</v>
      </c>
      <c r="AL1272">
        <v>75.012</v>
      </c>
      <c r="AM1272">
        <v>0.98799999999999955</v>
      </c>
      <c r="AN1272">
        <v>3302.5312749907948</v>
      </c>
      <c r="AO1272">
        <v>43.498385587518051</v>
      </c>
      <c r="AP1272">
        <v>2.4437098035988583</v>
      </c>
      <c r="AQ1272">
        <v>3.2186653948110586E-2</v>
      </c>
      <c r="AR1272">
        <v>0.13341858489683281</v>
      </c>
    </row>
    <row r="1273" spans="1:44" customFormat="1" hidden="1" x14ac:dyDescent="0.5">
      <c r="A1273">
        <v>1360</v>
      </c>
      <c r="B1273">
        <v>95</v>
      </c>
      <c r="C1273" s="226" t="s">
        <v>20</v>
      </c>
      <c r="D1273" s="229">
        <v>42.716757999999999</v>
      </c>
      <c r="E1273" s="237">
        <v>3.0396239999999999</v>
      </c>
      <c r="F1273">
        <v>0</v>
      </c>
      <c r="G1273">
        <f t="shared" si="15"/>
        <v>0</v>
      </c>
      <c r="H1273" s="30" t="s">
        <v>10</v>
      </c>
      <c r="I1273">
        <v>0</v>
      </c>
      <c r="J1273">
        <v>118.46012997076799</v>
      </c>
      <c r="K1273" s="26">
        <v>2016</v>
      </c>
      <c r="L1273" t="s">
        <v>11</v>
      </c>
      <c r="M1273" s="30">
        <v>63</v>
      </c>
      <c r="N1273">
        <v>7.0097463050000002</v>
      </c>
      <c r="P1273" t="s">
        <v>12</v>
      </c>
      <c r="Q1273">
        <v>89</v>
      </c>
      <c r="R1273" t="s">
        <v>13</v>
      </c>
      <c r="S1273" t="s">
        <v>14</v>
      </c>
      <c r="T1273" t="s">
        <v>14</v>
      </c>
      <c r="U1273" s="29">
        <v>0</v>
      </c>
      <c r="V1273" s="29">
        <v>1</v>
      </c>
      <c r="W1273" s="25">
        <v>0.5</v>
      </c>
      <c r="X1273" s="25">
        <v>1</v>
      </c>
      <c r="Y1273" s="244">
        <v>1.1539524080000001</v>
      </c>
      <c r="Z1273" t="s">
        <v>1103</v>
      </c>
      <c r="AA1273" t="s">
        <v>622</v>
      </c>
      <c r="AB1273">
        <v>8</v>
      </c>
      <c r="AC1273">
        <v>81.900000000000006</v>
      </c>
      <c r="AD1273">
        <v>39.200000000000003</v>
      </c>
      <c r="AE1273" t="s">
        <v>519</v>
      </c>
      <c r="AF1273" t="s">
        <v>532</v>
      </c>
      <c r="AG1273" s="30" t="s">
        <v>2475</v>
      </c>
      <c r="AH1273" s="30" t="s">
        <v>1290</v>
      </c>
      <c r="AI1273" s="30" t="s">
        <v>2476</v>
      </c>
      <c r="AJ1273" t="s">
        <v>3332</v>
      </c>
      <c r="AK1273">
        <v>0.59</v>
      </c>
      <c r="AL1273">
        <v>48.320999999999998</v>
      </c>
      <c r="AM1273">
        <v>33.579000000000008</v>
      </c>
      <c r="AN1273">
        <v>380.58196764483705</v>
      </c>
      <c r="AO1273">
        <v>264.47221480403937</v>
      </c>
      <c r="AP1273">
        <v>0.43917347800513784</v>
      </c>
      <c r="AQ1273">
        <v>0.30518834912221449</v>
      </c>
      <c r="AR1273">
        <v>0.13341858489683281</v>
      </c>
    </row>
    <row r="1274" spans="1:44" customFormat="1" hidden="1" x14ac:dyDescent="0.5">
      <c r="A1274">
        <v>651</v>
      </c>
      <c r="B1274">
        <v>50</v>
      </c>
      <c r="C1274" s="226" t="s">
        <v>20</v>
      </c>
      <c r="D1274" s="227">
        <v>42.553952000000002</v>
      </c>
      <c r="E1274" s="228">
        <v>11.135237999999999</v>
      </c>
      <c r="F1274">
        <v>0</v>
      </c>
      <c r="G1274">
        <f t="shared" si="15"/>
        <v>0</v>
      </c>
      <c r="H1274" t="s">
        <v>10</v>
      </c>
      <c r="I1274">
        <v>0</v>
      </c>
      <c r="J1274">
        <v>74.723543913581395</v>
      </c>
      <c r="K1274" s="26">
        <v>2016</v>
      </c>
      <c r="L1274" t="s">
        <v>30</v>
      </c>
      <c r="M1274" s="30">
        <v>500</v>
      </c>
      <c r="N1274">
        <v>62.735052189999998</v>
      </c>
      <c r="O1274">
        <v>5</v>
      </c>
      <c r="P1274" t="s">
        <v>12</v>
      </c>
      <c r="Q1274">
        <v>89</v>
      </c>
      <c r="R1274" t="s">
        <v>13</v>
      </c>
      <c r="S1274" t="s">
        <v>16</v>
      </c>
      <c r="T1274" t="s">
        <v>16</v>
      </c>
      <c r="U1274" s="25">
        <v>0</v>
      </c>
      <c r="V1274" s="25">
        <v>150</v>
      </c>
      <c r="W1274" s="25">
        <v>75</v>
      </c>
      <c r="X1274" s="25">
        <v>150</v>
      </c>
      <c r="Y1274" s="244">
        <v>0.91868156199999995</v>
      </c>
      <c r="Z1274" t="s">
        <v>1100</v>
      </c>
      <c r="AA1274" t="s">
        <v>622</v>
      </c>
      <c r="AB1274">
        <v>6</v>
      </c>
      <c r="AC1274">
        <v>62</v>
      </c>
      <c r="AD1274">
        <v>24</v>
      </c>
      <c r="AE1274" t="s">
        <v>519</v>
      </c>
      <c r="AF1274" t="s">
        <v>532</v>
      </c>
      <c r="AG1274" s="30">
        <v>62</v>
      </c>
      <c r="AH1274" s="30">
        <v>0.88</v>
      </c>
      <c r="AI1274" s="30">
        <v>54.56</v>
      </c>
      <c r="AJ1274">
        <v>7.4399999999999977</v>
      </c>
      <c r="AK1274">
        <v>0.88</v>
      </c>
      <c r="AL1274">
        <v>54.56</v>
      </c>
      <c r="AM1274">
        <v>7.4399999999999977</v>
      </c>
      <c r="AN1274">
        <v>3845.8701657150564</v>
      </c>
      <c r="AO1274">
        <v>524.43684077932562</v>
      </c>
      <c r="AP1274">
        <v>3.5331300110883066</v>
      </c>
      <c r="AQ1274">
        <v>0.48179045605749615</v>
      </c>
      <c r="AR1274">
        <v>0.13341858489683281</v>
      </c>
    </row>
    <row r="1275" spans="1:44" customFormat="1" hidden="1" x14ac:dyDescent="0.5">
      <c r="A1275">
        <v>650</v>
      </c>
      <c r="B1275">
        <v>50</v>
      </c>
      <c r="C1275" s="226" t="s">
        <v>20</v>
      </c>
      <c r="D1275" s="227">
        <v>42.550365999999997</v>
      </c>
      <c r="E1275" s="228">
        <v>11.167589</v>
      </c>
      <c r="F1275">
        <v>0</v>
      </c>
      <c r="G1275">
        <f t="shared" si="15"/>
        <v>0</v>
      </c>
      <c r="H1275" t="s">
        <v>10</v>
      </c>
      <c r="I1275">
        <v>0</v>
      </c>
      <c r="J1275">
        <v>74.379714669774899</v>
      </c>
      <c r="K1275" s="26">
        <v>2016</v>
      </c>
      <c r="L1275" t="s">
        <v>30</v>
      </c>
      <c r="M1275" s="30">
        <v>500</v>
      </c>
      <c r="N1275">
        <v>62.735052189999998</v>
      </c>
      <c r="O1275">
        <v>5</v>
      </c>
      <c r="P1275" t="s">
        <v>12</v>
      </c>
      <c r="Q1275">
        <v>89</v>
      </c>
      <c r="R1275" t="s">
        <v>13</v>
      </c>
      <c r="S1275" t="s">
        <v>16</v>
      </c>
      <c r="T1275" t="s">
        <v>16</v>
      </c>
      <c r="U1275" s="25">
        <v>0</v>
      </c>
      <c r="V1275" s="25">
        <v>50</v>
      </c>
      <c r="W1275" s="25">
        <v>25</v>
      </c>
      <c r="X1275" s="25">
        <v>50</v>
      </c>
      <c r="Y1275" s="244">
        <v>0.91868156199999995</v>
      </c>
      <c r="Z1275" t="s">
        <v>1100</v>
      </c>
      <c r="AA1275" t="s">
        <v>622</v>
      </c>
      <c r="AB1275">
        <v>4</v>
      </c>
      <c r="AC1275">
        <v>286</v>
      </c>
      <c r="AD1275">
        <v>37</v>
      </c>
      <c r="AE1275" t="s">
        <v>519</v>
      </c>
      <c r="AF1275" t="s">
        <v>532</v>
      </c>
      <c r="AG1275" s="30">
        <v>286</v>
      </c>
      <c r="AH1275" s="30">
        <v>0.88</v>
      </c>
      <c r="AI1275" s="30">
        <v>251.68</v>
      </c>
      <c r="AJ1275">
        <v>34.319999999999993</v>
      </c>
      <c r="AK1275">
        <v>0.88</v>
      </c>
      <c r="AL1275">
        <v>251.68</v>
      </c>
      <c r="AM1275">
        <v>34.319999999999993</v>
      </c>
      <c r="AN1275">
        <v>17740.626893459776</v>
      </c>
      <c r="AO1275">
        <v>2419.1763945626958</v>
      </c>
      <c r="AP1275">
        <v>16.297986825342832</v>
      </c>
      <c r="AQ1275">
        <v>2.2224527489103854</v>
      </c>
      <c r="AR1275">
        <v>0.13341858489683281</v>
      </c>
    </row>
    <row r="1276" spans="1:44" customFormat="1" hidden="1" x14ac:dyDescent="0.5">
      <c r="A1276">
        <v>649</v>
      </c>
      <c r="B1276">
        <v>50</v>
      </c>
      <c r="C1276" s="226" t="s">
        <v>20</v>
      </c>
      <c r="D1276" s="227">
        <v>42.501247999999997</v>
      </c>
      <c r="E1276" s="228">
        <v>11.192327000000001</v>
      </c>
      <c r="F1276">
        <v>0</v>
      </c>
      <c r="G1276">
        <f t="shared" si="15"/>
        <v>0</v>
      </c>
      <c r="H1276" t="s">
        <v>10</v>
      </c>
      <c r="I1276">
        <v>0</v>
      </c>
      <c r="J1276">
        <v>75.508228129780804</v>
      </c>
      <c r="K1276" s="26">
        <v>2016</v>
      </c>
      <c r="L1276" t="s">
        <v>30</v>
      </c>
      <c r="M1276" s="30">
        <v>500</v>
      </c>
      <c r="N1276">
        <v>62.735052189999998</v>
      </c>
      <c r="O1276">
        <v>5</v>
      </c>
      <c r="P1276" t="s">
        <v>12</v>
      </c>
      <c r="Q1276">
        <v>89</v>
      </c>
      <c r="R1276" t="s">
        <v>13</v>
      </c>
      <c r="S1276" t="s">
        <v>16</v>
      </c>
      <c r="T1276" t="s">
        <v>16</v>
      </c>
      <c r="U1276" s="25">
        <v>0</v>
      </c>
      <c r="V1276" s="25">
        <v>50</v>
      </c>
      <c r="W1276" s="25">
        <v>25</v>
      </c>
      <c r="X1276" s="25">
        <v>50</v>
      </c>
      <c r="Y1276" s="244">
        <v>0.91868156199999995</v>
      </c>
      <c r="Z1276" t="s">
        <v>1100</v>
      </c>
      <c r="AA1276" t="s">
        <v>622</v>
      </c>
      <c r="AB1276">
        <v>4</v>
      </c>
      <c r="AC1276">
        <v>453</v>
      </c>
      <c r="AD1276">
        <v>424</v>
      </c>
      <c r="AE1276" t="s">
        <v>519</v>
      </c>
      <c r="AF1276" t="s">
        <v>532</v>
      </c>
      <c r="AG1276" s="30">
        <v>453</v>
      </c>
      <c r="AH1276" s="30">
        <v>0.88</v>
      </c>
      <c r="AI1276" s="30">
        <v>398.64</v>
      </c>
      <c r="AJ1276">
        <v>54.360000000000014</v>
      </c>
      <c r="AK1276">
        <v>0.88</v>
      </c>
      <c r="AL1276">
        <v>398.64</v>
      </c>
      <c r="AM1276">
        <v>54.360000000000014</v>
      </c>
      <c r="AN1276">
        <v>28099.664275305167</v>
      </c>
      <c r="AO1276">
        <v>3831.7724011779783</v>
      </c>
      <c r="AP1276">
        <v>25.814643468112948</v>
      </c>
      <c r="AQ1276">
        <v>3.5201786547426757</v>
      </c>
      <c r="AR1276">
        <v>0.13341858489683281</v>
      </c>
    </row>
    <row r="1277" spans="1:44" customFormat="1" hidden="1" x14ac:dyDescent="0.5">
      <c r="A1277">
        <v>1359</v>
      </c>
      <c r="B1277">
        <v>95</v>
      </c>
      <c r="C1277" s="226" t="s">
        <v>20</v>
      </c>
      <c r="D1277" s="229">
        <v>42.499864000000002</v>
      </c>
      <c r="E1277" s="237">
        <v>3.1287560000000001</v>
      </c>
      <c r="F1277">
        <v>0</v>
      </c>
      <c r="G1277">
        <f t="shared" si="15"/>
        <v>0</v>
      </c>
      <c r="H1277" s="30" t="s">
        <v>10</v>
      </c>
      <c r="I1277">
        <v>0</v>
      </c>
      <c r="J1277">
        <v>139.603141032525</v>
      </c>
      <c r="K1277" s="26">
        <v>2016</v>
      </c>
      <c r="L1277" t="s">
        <v>11</v>
      </c>
      <c r="M1277" s="30">
        <v>63</v>
      </c>
      <c r="N1277">
        <v>7.0097463050000002</v>
      </c>
      <c r="P1277" t="s">
        <v>12</v>
      </c>
      <c r="Q1277">
        <v>89</v>
      </c>
      <c r="R1277" t="s">
        <v>13</v>
      </c>
      <c r="S1277" t="s">
        <v>14</v>
      </c>
      <c r="T1277" t="s">
        <v>14</v>
      </c>
      <c r="U1277" s="29">
        <v>0</v>
      </c>
      <c r="V1277" s="29">
        <v>1</v>
      </c>
      <c r="W1277" s="25">
        <v>0.5</v>
      </c>
      <c r="X1277" s="25">
        <v>1</v>
      </c>
      <c r="Y1277" s="244">
        <v>1.1539524080000001</v>
      </c>
      <c r="Z1277" t="s">
        <v>1103</v>
      </c>
      <c r="AA1277" t="s">
        <v>622</v>
      </c>
      <c r="AB1277">
        <v>8</v>
      </c>
      <c r="AC1277">
        <v>28.6</v>
      </c>
      <c r="AD1277">
        <v>21.799999999999997</v>
      </c>
      <c r="AE1277" t="s">
        <v>519</v>
      </c>
      <c r="AF1277" t="s">
        <v>532</v>
      </c>
      <c r="AG1277" s="30" t="s">
        <v>2472</v>
      </c>
      <c r="AH1277" s="30" t="s">
        <v>2473</v>
      </c>
      <c r="AI1277" s="30" t="s">
        <v>2474</v>
      </c>
      <c r="AJ1277" t="s">
        <v>3331</v>
      </c>
      <c r="AK1277">
        <v>0.77</v>
      </c>
      <c r="AL1277">
        <v>22.022000000000002</v>
      </c>
      <c r="AM1277">
        <v>6.5779999999999994</v>
      </c>
      <c r="AN1277">
        <v>173.44790239180904</v>
      </c>
      <c r="AO1277">
        <v>51.809113701449441</v>
      </c>
      <c r="AP1277">
        <v>0.20015062462757702</v>
      </c>
      <c r="AQ1277">
        <v>5.9785251512133382E-2</v>
      </c>
      <c r="AR1277">
        <v>0.13341858489683281</v>
      </c>
    </row>
    <row r="1278" spans="1:44" customFormat="1" hidden="1" x14ac:dyDescent="0.5">
      <c r="A1278">
        <v>144</v>
      </c>
      <c r="B1278">
        <v>9</v>
      </c>
      <c r="C1278" s="226" t="s">
        <v>20</v>
      </c>
      <c r="D1278" s="227">
        <v>42.487000000000002</v>
      </c>
      <c r="E1278" s="228">
        <v>14.3358697</v>
      </c>
      <c r="F1278">
        <v>5.07</v>
      </c>
      <c r="G1278">
        <f t="shared" si="15"/>
        <v>8159.3740800000005</v>
      </c>
      <c r="H1278" t="s">
        <v>614</v>
      </c>
      <c r="I1278">
        <v>27</v>
      </c>
      <c r="J1278">
        <v>133.86113421977001</v>
      </c>
      <c r="K1278" s="26">
        <v>2015</v>
      </c>
      <c r="L1278" t="s">
        <v>40</v>
      </c>
      <c r="M1278" s="30">
        <v>1000</v>
      </c>
      <c r="N1278">
        <v>130.61708849999999</v>
      </c>
      <c r="O1278">
        <v>30</v>
      </c>
      <c r="P1278" t="s">
        <v>17</v>
      </c>
      <c r="Q1278">
        <v>100</v>
      </c>
      <c r="R1278" t="s">
        <v>13</v>
      </c>
      <c r="S1278" t="s">
        <v>14</v>
      </c>
      <c r="T1278" t="s">
        <v>16</v>
      </c>
      <c r="U1278" s="25">
        <v>0</v>
      </c>
      <c r="V1278" s="25">
        <v>10</v>
      </c>
      <c r="W1278" s="25">
        <v>5</v>
      </c>
      <c r="X1278" s="25">
        <v>10</v>
      </c>
      <c r="Y1278" s="244">
        <v>0.88629531800000005</v>
      </c>
      <c r="Z1278" t="s">
        <v>1100</v>
      </c>
      <c r="AA1278" t="s">
        <v>622</v>
      </c>
      <c r="AB1278">
        <v>4</v>
      </c>
      <c r="AC1278">
        <v>9</v>
      </c>
      <c r="AD1278">
        <v>15</v>
      </c>
      <c r="AE1278" t="s">
        <v>519</v>
      </c>
      <c r="AF1278" t="s">
        <v>521</v>
      </c>
      <c r="AG1278" s="30">
        <v>0.10154628843475397</v>
      </c>
      <c r="AH1278" s="30">
        <v>0.69299999999999995</v>
      </c>
      <c r="AI1278" s="30">
        <v>7.0371577885284489E-2</v>
      </c>
      <c r="AJ1278">
        <v>3.1174710549469478E-2</v>
      </c>
      <c r="AK1278">
        <v>0.69299999999999995</v>
      </c>
      <c r="AL1278">
        <v>7.0371577885284489E-2</v>
      </c>
      <c r="AM1278">
        <v>3.1174710549469478E-2</v>
      </c>
      <c r="AN1278">
        <v>9.1917306165268471</v>
      </c>
      <c r="AO1278">
        <v>4.0719499268019383</v>
      </c>
      <c r="AP1278">
        <v>8.1465878097449988E-3</v>
      </c>
      <c r="AQ1278">
        <v>3.6089501552550008E-3</v>
      </c>
      <c r="AR1278">
        <v>0.12985781466577537</v>
      </c>
    </row>
    <row r="1279" spans="1:44" customFormat="1" hidden="1" x14ac:dyDescent="0.5">
      <c r="A1279">
        <v>143</v>
      </c>
      <c r="B1279">
        <v>9</v>
      </c>
      <c r="C1279" s="226" t="s">
        <v>20</v>
      </c>
      <c r="D1279" s="227">
        <v>42.484999999999999</v>
      </c>
      <c r="E1279" s="228">
        <v>14.3220764</v>
      </c>
      <c r="F1279">
        <v>4.51</v>
      </c>
      <c r="G1279">
        <f t="shared" si="15"/>
        <v>7258.1414400000003</v>
      </c>
      <c r="H1279" t="s">
        <v>614</v>
      </c>
      <c r="I1279">
        <v>23</v>
      </c>
      <c r="J1279">
        <v>132.71568825940801</v>
      </c>
      <c r="K1279" s="26">
        <v>2015</v>
      </c>
      <c r="L1279" t="s">
        <v>40</v>
      </c>
      <c r="M1279" s="30">
        <v>1000</v>
      </c>
      <c r="N1279">
        <v>130.61708849999999</v>
      </c>
      <c r="O1279">
        <v>30</v>
      </c>
      <c r="P1279" t="s">
        <v>17</v>
      </c>
      <c r="Q1279">
        <v>100</v>
      </c>
      <c r="R1279" t="s">
        <v>13</v>
      </c>
      <c r="S1279" t="s">
        <v>14</v>
      </c>
      <c r="T1279" t="s">
        <v>16</v>
      </c>
      <c r="U1279" s="25">
        <v>0</v>
      </c>
      <c r="V1279" s="25">
        <v>10</v>
      </c>
      <c r="W1279" s="25">
        <v>5</v>
      </c>
      <c r="X1279" s="25">
        <v>10</v>
      </c>
      <c r="Y1279" s="244">
        <v>0.88629531800000005</v>
      </c>
      <c r="Z1279" t="s">
        <v>1100</v>
      </c>
      <c r="AA1279" t="s">
        <v>622</v>
      </c>
      <c r="AB1279">
        <v>4</v>
      </c>
      <c r="AC1279">
        <v>44</v>
      </c>
      <c r="AD1279">
        <v>43</v>
      </c>
      <c r="AE1279" t="s">
        <v>519</v>
      </c>
      <c r="AF1279" t="s">
        <v>521</v>
      </c>
      <c r="AG1279" s="30">
        <v>0.49644852123657496</v>
      </c>
      <c r="AH1279" s="30">
        <v>0.69299999999999995</v>
      </c>
      <c r="AI1279" s="30">
        <v>0.3440388252169464</v>
      </c>
      <c r="AJ1279">
        <v>0.15240969601962856</v>
      </c>
      <c r="AK1279">
        <v>0.69299999999999995</v>
      </c>
      <c r="AL1279">
        <v>0.3440388252169464</v>
      </c>
      <c r="AM1279">
        <v>0.15240969601962856</v>
      </c>
      <c r="AN1279">
        <v>44.937349680797915</v>
      </c>
      <c r="AO1279">
        <v>19.90731075325392</v>
      </c>
      <c r="AP1279">
        <v>3.9827762625419989E-2</v>
      </c>
      <c r="AQ1279">
        <v>1.7643756314580004E-2</v>
      </c>
      <c r="AR1279">
        <v>0.13037927748282999</v>
      </c>
    </row>
    <row r="1280" spans="1:44" customFormat="1" hidden="1" x14ac:dyDescent="0.5">
      <c r="A1280">
        <v>145</v>
      </c>
      <c r="B1280">
        <v>9</v>
      </c>
      <c r="C1280" s="226" t="s">
        <v>20</v>
      </c>
      <c r="D1280" s="227">
        <v>42.484000000000002</v>
      </c>
      <c r="E1280" s="228">
        <v>14.377493899999999</v>
      </c>
      <c r="F1280">
        <v>6.15</v>
      </c>
      <c r="G1280">
        <f t="shared" si="15"/>
        <v>9897.4656000000014</v>
      </c>
      <c r="H1280" t="s">
        <v>614</v>
      </c>
      <c r="I1280">
        <v>47</v>
      </c>
      <c r="J1280">
        <v>134.70777644024599</v>
      </c>
      <c r="K1280" s="26">
        <v>2015</v>
      </c>
      <c r="L1280" t="s">
        <v>40</v>
      </c>
      <c r="M1280" s="30">
        <v>1000</v>
      </c>
      <c r="N1280">
        <v>130.61708849999999</v>
      </c>
      <c r="O1280">
        <v>30</v>
      </c>
      <c r="P1280" t="s">
        <v>17</v>
      </c>
      <c r="Q1280">
        <v>100</v>
      </c>
      <c r="R1280" t="s">
        <v>13</v>
      </c>
      <c r="S1280" t="s">
        <v>14</v>
      </c>
      <c r="T1280" t="s">
        <v>16</v>
      </c>
      <c r="U1280" s="25">
        <v>0</v>
      </c>
      <c r="V1280" s="25">
        <v>10</v>
      </c>
      <c r="W1280" s="25">
        <v>5</v>
      </c>
      <c r="X1280" s="25">
        <v>10</v>
      </c>
      <c r="Y1280" s="244">
        <v>0.88629531800000005</v>
      </c>
      <c r="Z1280" t="s">
        <v>1100</v>
      </c>
      <c r="AA1280" t="s">
        <v>622</v>
      </c>
      <c r="AB1280">
        <v>4</v>
      </c>
      <c r="AC1280">
        <v>9</v>
      </c>
      <c r="AD1280">
        <v>15</v>
      </c>
      <c r="AE1280" t="s">
        <v>519</v>
      </c>
      <c r="AF1280" t="s">
        <v>521</v>
      </c>
      <c r="AG1280" s="30">
        <v>0.10154628843475397</v>
      </c>
      <c r="AH1280" s="30">
        <v>0.69299999999999995</v>
      </c>
      <c r="AI1280" s="30">
        <v>7.0371577885284489E-2</v>
      </c>
      <c r="AJ1280">
        <v>3.1174710549469478E-2</v>
      </c>
      <c r="AK1280">
        <v>0.69299999999999995</v>
      </c>
      <c r="AL1280">
        <v>7.0371577885284489E-2</v>
      </c>
      <c r="AM1280">
        <v>3.1174710549469478E-2</v>
      </c>
      <c r="AN1280">
        <v>9.1917306165268471</v>
      </c>
      <c r="AO1280">
        <v>4.0719499268019383</v>
      </c>
      <c r="AP1280">
        <v>8.1465878097449988E-3</v>
      </c>
      <c r="AQ1280">
        <v>3.6089501552550008E-3</v>
      </c>
      <c r="AR1280">
        <v>0.12728161875858038</v>
      </c>
    </row>
    <row r="1281" spans="1:44" customFormat="1" hidden="1" x14ac:dyDescent="0.5">
      <c r="A1281">
        <v>142</v>
      </c>
      <c r="B1281">
        <v>9</v>
      </c>
      <c r="C1281" s="226" t="s">
        <v>20</v>
      </c>
      <c r="D1281" s="227">
        <v>42.478999999999999</v>
      </c>
      <c r="E1281" s="228">
        <v>14.2998236</v>
      </c>
      <c r="F1281">
        <v>3.36</v>
      </c>
      <c r="G1281">
        <f t="shared" si="15"/>
        <v>5407.3958400000001</v>
      </c>
      <c r="H1281" t="s">
        <v>614</v>
      </c>
      <c r="I1281">
        <v>19</v>
      </c>
      <c r="J1281">
        <v>132.878825989342</v>
      </c>
      <c r="K1281" s="26">
        <v>2015</v>
      </c>
      <c r="L1281" t="s">
        <v>40</v>
      </c>
      <c r="M1281" s="30">
        <v>1000</v>
      </c>
      <c r="N1281">
        <v>130.61708849999999</v>
      </c>
      <c r="O1281">
        <v>30</v>
      </c>
      <c r="P1281" t="s">
        <v>17</v>
      </c>
      <c r="Q1281">
        <v>100</v>
      </c>
      <c r="R1281" t="s">
        <v>13</v>
      </c>
      <c r="S1281" t="s">
        <v>14</v>
      </c>
      <c r="T1281" t="s">
        <v>16</v>
      </c>
      <c r="U1281" s="25">
        <v>0</v>
      </c>
      <c r="V1281" s="25">
        <v>10</v>
      </c>
      <c r="W1281" s="25">
        <v>5</v>
      </c>
      <c r="X1281" s="25">
        <v>10</v>
      </c>
      <c r="Y1281" s="244">
        <v>0.88629531800000005</v>
      </c>
      <c r="Z1281" t="s">
        <v>1100</v>
      </c>
      <c r="AA1281" t="s">
        <v>622</v>
      </c>
      <c r="AB1281">
        <v>4</v>
      </c>
      <c r="AC1281">
        <v>6</v>
      </c>
      <c r="AD1281">
        <v>16</v>
      </c>
      <c r="AE1281" t="s">
        <v>519</v>
      </c>
      <c r="AF1281" t="s">
        <v>521</v>
      </c>
      <c r="AG1281" s="30">
        <v>6.7697525623169316E-2</v>
      </c>
      <c r="AH1281" s="30">
        <v>0.69299999999999995</v>
      </c>
      <c r="AI1281" s="30">
        <v>4.6914385256856331E-2</v>
      </c>
      <c r="AJ1281">
        <v>2.0783140366312985E-2</v>
      </c>
      <c r="AK1281">
        <v>0.69299999999999995</v>
      </c>
      <c r="AL1281">
        <v>4.6914385256856331E-2</v>
      </c>
      <c r="AM1281">
        <v>2.0783140366312985E-2</v>
      </c>
      <c r="AN1281">
        <v>6.1278204110178986</v>
      </c>
      <c r="AO1281">
        <v>2.7146332845346257</v>
      </c>
      <c r="AP1281">
        <v>5.4310585398299992E-3</v>
      </c>
      <c r="AQ1281">
        <v>2.4059667701700005E-3</v>
      </c>
      <c r="AR1281">
        <v>0.13090283430916907</v>
      </c>
    </row>
    <row r="1282" spans="1:44" customFormat="1" hidden="1" x14ac:dyDescent="0.5">
      <c r="A1282">
        <v>146</v>
      </c>
      <c r="B1282">
        <v>9</v>
      </c>
      <c r="C1282" s="226" t="s">
        <v>20</v>
      </c>
      <c r="D1282" s="227">
        <v>42.478999999999999</v>
      </c>
      <c r="E1282" s="228">
        <v>14.4374219</v>
      </c>
      <c r="F1282">
        <v>7.73</v>
      </c>
      <c r="G1282">
        <f t="shared" si="15"/>
        <v>12440.229120000002</v>
      </c>
      <c r="H1282" t="s">
        <v>614</v>
      </c>
      <c r="I1282">
        <v>70</v>
      </c>
      <c r="J1282">
        <v>135.82448460966501</v>
      </c>
      <c r="K1282" s="26">
        <v>2015</v>
      </c>
      <c r="L1282" t="s">
        <v>40</v>
      </c>
      <c r="M1282" s="30">
        <v>1000</v>
      </c>
      <c r="N1282">
        <v>130.61708849999999</v>
      </c>
      <c r="O1282">
        <v>30</v>
      </c>
      <c r="P1282" t="s">
        <v>17</v>
      </c>
      <c r="Q1282">
        <v>100</v>
      </c>
      <c r="R1282" t="s">
        <v>13</v>
      </c>
      <c r="S1282" t="s">
        <v>14</v>
      </c>
      <c r="T1282" t="s">
        <v>16</v>
      </c>
      <c r="U1282" s="25">
        <v>0</v>
      </c>
      <c r="V1282" s="25">
        <v>10</v>
      </c>
      <c r="W1282" s="25">
        <v>5</v>
      </c>
      <c r="X1282" s="25">
        <v>10</v>
      </c>
      <c r="Y1282" s="244">
        <v>0.88629531800000005</v>
      </c>
      <c r="Z1282" t="s">
        <v>1100</v>
      </c>
      <c r="AA1282" t="s">
        <v>622</v>
      </c>
      <c r="AB1282">
        <v>4</v>
      </c>
      <c r="AC1282">
        <v>1</v>
      </c>
      <c r="AD1282">
        <v>6</v>
      </c>
      <c r="AE1282" t="s">
        <v>519</v>
      </c>
      <c r="AF1282" t="s">
        <v>521</v>
      </c>
      <c r="AG1282" s="30">
        <v>1.1282920937194886E-2</v>
      </c>
      <c r="AH1282" s="30">
        <v>0.69299999999999995</v>
      </c>
      <c r="AI1282" s="30">
        <v>7.8190642094760551E-3</v>
      </c>
      <c r="AJ1282">
        <v>3.4638567277188309E-3</v>
      </c>
      <c r="AK1282">
        <v>0.69299999999999995</v>
      </c>
      <c r="AL1282">
        <v>7.8190642094760551E-3</v>
      </c>
      <c r="AM1282">
        <v>3.4638567277188309E-3</v>
      </c>
      <c r="AN1282">
        <v>1.0213034018363163</v>
      </c>
      <c r="AO1282">
        <v>0.45243888075577088</v>
      </c>
      <c r="AP1282">
        <v>9.0517642330499972E-4</v>
      </c>
      <c r="AQ1282">
        <v>4.0099446169500005E-4</v>
      </c>
      <c r="AR1282">
        <v>0.12438211290744003</v>
      </c>
    </row>
    <row r="1283" spans="1:44" customFormat="1" hidden="1" x14ac:dyDescent="0.5">
      <c r="A1283">
        <v>147</v>
      </c>
      <c r="B1283">
        <v>9</v>
      </c>
      <c r="C1283" s="226" t="s">
        <v>20</v>
      </c>
      <c r="D1283" s="227">
        <v>42.475000000000001</v>
      </c>
      <c r="E1283" s="228">
        <v>14.497696100000001</v>
      </c>
      <c r="F1283">
        <v>9.09</v>
      </c>
      <c r="G1283">
        <f t="shared" si="15"/>
        <v>14628.936960000001</v>
      </c>
      <c r="H1283" t="s">
        <v>614</v>
      </c>
      <c r="I1283">
        <v>83</v>
      </c>
      <c r="J1283">
        <v>135.76691230087999</v>
      </c>
      <c r="K1283" s="26">
        <v>2015</v>
      </c>
      <c r="L1283" t="s">
        <v>40</v>
      </c>
      <c r="M1283" s="30">
        <v>1000</v>
      </c>
      <c r="N1283">
        <v>130.61708849999999</v>
      </c>
      <c r="O1283">
        <v>30</v>
      </c>
      <c r="P1283" t="s">
        <v>17</v>
      </c>
      <c r="Q1283">
        <v>100</v>
      </c>
      <c r="R1283" t="s">
        <v>13</v>
      </c>
      <c r="S1283" t="s">
        <v>14</v>
      </c>
      <c r="T1283" t="s">
        <v>16</v>
      </c>
      <c r="U1283" s="25">
        <v>0</v>
      </c>
      <c r="V1283" s="25">
        <v>10</v>
      </c>
      <c r="W1283" s="25">
        <v>5</v>
      </c>
      <c r="X1283" s="25">
        <v>10</v>
      </c>
      <c r="Y1283" s="244">
        <v>0.88629531800000005</v>
      </c>
      <c r="Z1283" t="s">
        <v>1100</v>
      </c>
      <c r="AA1283" t="s">
        <v>622</v>
      </c>
      <c r="AB1283">
        <v>4</v>
      </c>
      <c r="AC1283">
        <v>4</v>
      </c>
      <c r="AD1283">
        <v>6</v>
      </c>
      <c r="AE1283" t="s">
        <v>519</v>
      </c>
      <c r="AF1283" t="s">
        <v>521</v>
      </c>
      <c r="AG1283" s="30">
        <v>4.5131683748779544E-2</v>
      </c>
      <c r="AH1283" s="30">
        <v>0.69299999999999995</v>
      </c>
      <c r="AI1283" s="30">
        <v>3.1276256837904221E-2</v>
      </c>
      <c r="AJ1283">
        <v>1.3855426910875324E-2</v>
      </c>
      <c r="AK1283">
        <v>0.69299999999999995</v>
      </c>
      <c r="AL1283">
        <v>3.1276256837904221E-2</v>
      </c>
      <c r="AM1283">
        <v>1.3855426910875324E-2</v>
      </c>
      <c r="AN1283">
        <v>4.0852136073452652</v>
      </c>
      <c r="AO1283">
        <v>1.8097555230230835</v>
      </c>
      <c r="AP1283">
        <v>3.6207056932199989E-3</v>
      </c>
      <c r="AQ1283">
        <v>1.6039778467800002E-3</v>
      </c>
      <c r="AR1283">
        <v>0.12277257649331776</v>
      </c>
    </row>
    <row r="1284" spans="1:44" customFormat="1" hidden="1" x14ac:dyDescent="0.5">
      <c r="A1284">
        <v>141</v>
      </c>
      <c r="B1284">
        <v>9</v>
      </c>
      <c r="C1284" s="226" t="s">
        <v>20</v>
      </c>
      <c r="D1284" s="227">
        <v>42.472000000000001</v>
      </c>
      <c r="E1284" s="228">
        <v>14.2874917</v>
      </c>
      <c r="F1284">
        <v>2.57</v>
      </c>
      <c r="G1284">
        <f t="shared" si="15"/>
        <v>4136.0140799999999</v>
      </c>
      <c r="H1284" t="s">
        <v>614</v>
      </c>
      <c r="I1284">
        <v>16</v>
      </c>
      <c r="J1284">
        <v>132.477137128599</v>
      </c>
      <c r="K1284" s="26">
        <v>2015</v>
      </c>
      <c r="L1284" t="s">
        <v>40</v>
      </c>
      <c r="M1284" s="30">
        <v>1000</v>
      </c>
      <c r="N1284">
        <v>130.61708849999999</v>
      </c>
      <c r="O1284">
        <v>30</v>
      </c>
      <c r="P1284" t="s">
        <v>17</v>
      </c>
      <c r="Q1284">
        <v>100</v>
      </c>
      <c r="R1284" t="s">
        <v>13</v>
      </c>
      <c r="S1284" t="s">
        <v>14</v>
      </c>
      <c r="T1284" t="s">
        <v>16</v>
      </c>
      <c r="U1284" s="25">
        <v>0</v>
      </c>
      <c r="V1284" s="25">
        <v>10</v>
      </c>
      <c r="W1284" s="25">
        <v>5</v>
      </c>
      <c r="X1284" s="25">
        <v>10</v>
      </c>
      <c r="Y1284" s="244">
        <v>0.88629531800000005</v>
      </c>
      <c r="Z1284" t="s">
        <v>1100</v>
      </c>
      <c r="AA1284" t="s">
        <v>622</v>
      </c>
      <c r="AB1284">
        <v>4</v>
      </c>
      <c r="AC1284">
        <v>39</v>
      </c>
      <c r="AD1284">
        <v>74</v>
      </c>
      <c r="AE1284" t="s">
        <v>519</v>
      </c>
      <c r="AF1284" t="s">
        <v>521</v>
      </c>
      <c r="AG1284" s="30">
        <v>0.44003391655060059</v>
      </c>
      <c r="AH1284" s="30">
        <v>0.69299999999999995</v>
      </c>
      <c r="AI1284" s="30">
        <v>0.30494350416956617</v>
      </c>
      <c r="AJ1284">
        <v>0.13509041238103442</v>
      </c>
      <c r="AK1284">
        <v>0.69299999999999995</v>
      </c>
      <c r="AL1284">
        <v>0.30494350416956617</v>
      </c>
      <c r="AM1284">
        <v>0.13509041238103442</v>
      </c>
      <c r="AN1284">
        <v>39.830832671616342</v>
      </c>
      <c r="AO1284">
        <v>17.645116349475067</v>
      </c>
      <c r="AP1284">
        <v>3.5301880508894996E-2</v>
      </c>
      <c r="AQ1284">
        <v>1.5638784006105005E-2</v>
      </c>
      <c r="AR1284">
        <v>0.13129688117966493</v>
      </c>
    </row>
    <row r="1285" spans="1:44" customFormat="1" hidden="1" x14ac:dyDescent="0.5">
      <c r="A1285">
        <v>148</v>
      </c>
      <c r="B1285">
        <v>9</v>
      </c>
      <c r="C1285" s="226" t="s">
        <v>20</v>
      </c>
      <c r="D1285" s="227">
        <v>42.47</v>
      </c>
      <c r="E1285" s="228">
        <v>14.558014699999999</v>
      </c>
      <c r="F1285">
        <v>10.09</v>
      </c>
      <c r="G1285">
        <f t="shared" si="15"/>
        <v>16238.28096</v>
      </c>
      <c r="H1285" t="s">
        <v>614</v>
      </c>
      <c r="I1285">
        <v>92</v>
      </c>
      <c r="J1285">
        <v>137.94180105973101</v>
      </c>
      <c r="K1285" s="26">
        <v>2015</v>
      </c>
      <c r="L1285" t="s">
        <v>40</v>
      </c>
      <c r="M1285" s="30">
        <v>1000</v>
      </c>
      <c r="N1285">
        <v>130.61708849999999</v>
      </c>
      <c r="O1285">
        <v>30</v>
      </c>
      <c r="P1285" t="s">
        <v>17</v>
      </c>
      <c r="Q1285">
        <v>100</v>
      </c>
      <c r="R1285" t="s">
        <v>13</v>
      </c>
      <c r="S1285" t="s">
        <v>14</v>
      </c>
      <c r="T1285" t="s">
        <v>16</v>
      </c>
      <c r="U1285" s="25">
        <v>0</v>
      </c>
      <c r="V1285" s="25">
        <v>10</v>
      </c>
      <c r="W1285" s="25">
        <v>5</v>
      </c>
      <c r="X1285" s="25">
        <v>10</v>
      </c>
      <c r="Y1285" s="244">
        <v>0.88629531800000005</v>
      </c>
      <c r="Z1285" t="s">
        <v>1100</v>
      </c>
      <c r="AA1285" t="s">
        <v>622</v>
      </c>
      <c r="AB1285">
        <v>4</v>
      </c>
      <c r="AC1285">
        <v>27</v>
      </c>
      <c r="AD1285">
        <v>17</v>
      </c>
      <c r="AE1285" t="s">
        <v>519</v>
      </c>
      <c r="AF1285" t="s">
        <v>521</v>
      </c>
      <c r="AG1285" s="30">
        <v>0.30463886530426193</v>
      </c>
      <c r="AH1285" s="30">
        <v>0.69299999999999995</v>
      </c>
      <c r="AI1285" s="30">
        <v>0.21111473365585351</v>
      </c>
      <c r="AJ1285">
        <v>9.3524131648408421E-2</v>
      </c>
      <c r="AK1285">
        <v>0.69299999999999995</v>
      </c>
      <c r="AL1285">
        <v>0.21111473365585351</v>
      </c>
      <c r="AM1285">
        <v>9.3524131648408421E-2</v>
      </c>
      <c r="AN1285">
        <v>27.575191849580545</v>
      </c>
      <c r="AO1285">
        <v>12.215849780405813</v>
      </c>
      <c r="AP1285">
        <v>2.4439763429234998E-2</v>
      </c>
      <c r="AQ1285">
        <v>1.0826850465765002E-2</v>
      </c>
      <c r="AR1285">
        <v>0.12167049922338929</v>
      </c>
    </row>
    <row r="1286" spans="1:44" customFormat="1" hidden="1" x14ac:dyDescent="0.5">
      <c r="A1286">
        <v>156</v>
      </c>
      <c r="B1286">
        <v>9</v>
      </c>
      <c r="C1286" s="226" t="s">
        <v>20</v>
      </c>
      <c r="D1286" s="227">
        <v>42.463999999999999</v>
      </c>
      <c r="E1286" s="228">
        <v>14.271868599999999</v>
      </c>
      <c r="F1286">
        <v>1.6</v>
      </c>
      <c r="G1286">
        <f t="shared" si="15"/>
        <v>2574.9504000000002</v>
      </c>
      <c r="H1286" t="s">
        <v>614</v>
      </c>
      <c r="I1286">
        <v>12</v>
      </c>
      <c r="J1286">
        <v>131.792279246514</v>
      </c>
      <c r="K1286" s="26">
        <v>2015</v>
      </c>
      <c r="L1286" t="s">
        <v>40</v>
      </c>
      <c r="M1286" s="30">
        <v>1000</v>
      </c>
      <c r="N1286">
        <v>130.61708849999999</v>
      </c>
      <c r="O1286">
        <v>30</v>
      </c>
      <c r="P1286" t="s">
        <v>17</v>
      </c>
      <c r="Q1286">
        <v>100</v>
      </c>
      <c r="R1286" t="s">
        <v>13</v>
      </c>
      <c r="S1286" t="s">
        <v>14</v>
      </c>
      <c r="T1286" t="s">
        <v>16</v>
      </c>
      <c r="U1286" s="25">
        <v>0</v>
      </c>
      <c r="V1286" s="25">
        <v>10</v>
      </c>
      <c r="W1286" s="25">
        <v>5</v>
      </c>
      <c r="X1286" s="25">
        <v>10</v>
      </c>
      <c r="Y1286" s="244">
        <v>0.88629531800000005</v>
      </c>
      <c r="Z1286" t="s">
        <v>1100</v>
      </c>
      <c r="AA1286" t="s">
        <v>622</v>
      </c>
      <c r="AB1286">
        <v>4</v>
      </c>
      <c r="AC1286">
        <v>17</v>
      </c>
      <c r="AD1286">
        <v>15</v>
      </c>
      <c r="AE1286" t="s">
        <v>519</v>
      </c>
      <c r="AF1286" t="s">
        <v>522</v>
      </c>
      <c r="AG1286" s="30">
        <v>0.19180965593231308</v>
      </c>
      <c r="AH1286" s="30">
        <v>0.69299999999999995</v>
      </c>
      <c r="AI1286" s="30">
        <v>0.13292409156109294</v>
      </c>
      <c r="AJ1286">
        <v>5.8885564371220139E-2</v>
      </c>
      <c r="AK1286">
        <v>0.69299999999999995</v>
      </c>
      <c r="AL1286">
        <v>0.13292409156109294</v>
      </c>
      <c r="AM1286">
        <v>5.8885564371220139E-2</v>
      </c>
      <c r="AN1286">
        <v>17.362157831217381</v>
      </c>
      <c r="AO1286">
        <v>7.6914609728481071</v>
      </c>
      <c r="AP1286">
        <v>1.5387999196185002E-2</v>
      </c>
      <c r="AQ1286">
        <v>6.8169058488150034E-3</v>
      </c>
      <c r="AR1286">
        <v>0.1318241227762269</v>
      </c>
    </row>
    <row r="1287" spans="1:44" customFormat="1" hidden="1" x14ac:dyDescent="0.5">
      <c r="A1287">
        <v>155</v>
      </c>
      <c r="B1287">
        <v>9</v>
      </c>
      <c r="C1287" s="226" t="s">
        <v>20</v>
      </c>
      <c r="D1287" s="227">
        <v>42.456000000000003</v>
      </c>
      <c r="E1287" s="228">
        <v>14.2570447</v>
      </c>
      <c r="F1287">
        <v>0.67</v>
      </c>
      <c r="G1287">
        <f t="shared" si="15"/>
        <v>1078.2604800000001</v>
      </c>
      <c r="H1287" t="s">
        <v>614</v>
      </c>
      <c r="I1287">
        <v>7</v>
      </c>
      <c r="J1287">
        <v>131.78770148392701</v>
      </c>
      <c r="K1287" s="26">
        <v>2015</v>
      </c>
      <c r="L1287" t="s">
        <v>40</v>
      </c>
      <c r="M1287" s="30">
        <v>1000</v>
      </c>
      <c r="N1287">
        <v>130.61708849999999</v>
      </c>
      <c r="O1287">
        <v>30</v>
      </c>
      <c r="P1287" t="s">
        <v>17</v>
      </c>
      <c r="Q1287">
        <v>100</v>
      </c>
      <c r="R1287" t="s">
        <v>13</v>
      </c>
      <c r="S1287" t="s">
        <v>14</v>
      </c>
      <c r="T1287" t="s">
        <v>16</v>
      </c>
      <c r="U1287" s="25">
        <v>0</v>
      </c>
      <c r="V1287" s="25">
        <v>10</v>
      </c>
      <c r="W1287" s="25">
        <v>5</v>
      </c>
      <c r="X1287" s="25">
        <v>10</v>
      </c>
      <c r="Y1287" s="244">
        <v>0.88629531800000005</v>
      </c>
      <c r="Z1287" t="s">
        <v>1100</v>
      </c>
      <c r="AA1287" t="s">
        <v>622</v>
      </c>
      <c r="AB1287">
        <v>4</v>
      </c>
      <c r="AC1287">
        <v>47</v>
      </c>
      <c r="AD1287">
        <v>95</v>
      </c>
      <c r="AE1287" t="s">
        <v>519</v>
      </c>
      <c r="AF1287" t="s">
        <v>522</v>
      </c>
      <c r="AG1287" s="30">
        <v>0.53029728404815957</v>
      </c>
      <c r="AH1287" s="30">
        <v>0.69299999999999995</v>
      </c>
      <c r="AI1287" s="30">
        <v>0.36749601784537456</v>
      </c>
      <c r="AJ1287">
        <v>0.16280126620278501</v>
      </c>
      <c r="AK1287">
        <v>0.69299999999999995</v>
      </c>
      <c r="AL1287">
        <v>0.36749601784537456</v>
      </c>
      <c r="AM1287">
        <v>0.16280126620278501</v>
      </c>
      <c r="AN1287">
        <v>48.001259886306869</v>
      </c>
      <c r="AO1287">
        <v>21.264627395521227</v>
      </c>
      <c r="AP1287">
        <v>4.2543291895334991E-2</v>
      </c>
      <c r="AQ1287">
        <v>1.8846739699665001E-2</v>
      </c>
      <c r="AR1287">
        <v>0.13248615310083081</v>
      </c>
    </row>
    <row r="1288" spans="1:44" customFormat="1" hidden="1" x14ac:dyDescent="0.5">
      <c r="A1288">
        <v>648</v>
      </c>
      <c r="B1288">
        <v>50</v>
      </c>
      <c r="C1288" s="226" t="s">
        <v>20</v>
      </c>
      <c r="D1288" s="227">
        <v>42.396585999999999</v>
      </c>
      <c r="E1288" s="228">
        <v>11.378209</v>
      </c>
      <c r="F1288">
        <v>0</v>
      </c>
      <c r="G1288">
        <f t="shared" si="15"/>
        <v>0</v>
      </c>
      <c r="H1288" t="s">
        <v>10</v>
      </c>
      <c r="I1288">
        <v>0</v>
      </c>
      <c r="J1288">
        <v>81.515502906128106</v>
      </c>
      <c r="K1288" s="26">
        <v>2016</v>
      </c>
      <c r="L1288" t="s">
        <v>30</v>
      </c>
      <c r="M1288" s="30">
        <v>500</v>
      </c>
      <c r="N1288">
        <v>62.735052189999998</v>
      </c>
      <c r="O1288">
        <v>5</v>
      </c>
      <c r="P1288" t="s">
        <v>12</v>
      </c>
      <c r="Q1288">
        <v>89</v>
      </c>
      <c r="R1288" t="s">
        <v>13</v>
      </c>
      <c r="S1288" t="s">
        <v>16</v>
      </c>
      <c r="T1288" t="s">
        <v>16</v>
      </c>
      <c r="U1288" s="25">
        <v>0</v>
      </c>
      <c r="V1288" s="25">
        <v>50</v>
      </c>
      <c r="W1288" s="25">
        <v>25</v>
      </c>
      <c r="X1288" s="25">
        <v>50</v>
      </c>
      <c r="Y1288" s="244">
        <v>0.91868156199999995</v>
      </c>
      <c r="Z1288" t="s">
        <v>1100</v>
      </c>
      <c r="AA1288" t="s">
        <v>622</v>
      </c>
      <c r="AB1288">
        <v>4</v>
      </c>
      <c r="AC1288">
        <v>466</v>
      </c>
      <c r="AD1288">
        <v>297</v>
      </c>
      <c r="AE1288" t="s">
        <v>519</v>
      </c>
      <c r="AF1288" t="s">
        <v>532</v>
      </c>
      <c r="AG1288" s="30">
        <v>466</v>
      </c>
      <c r="AH1288" s="30">
        <v>0.88</v>
      </c>
      <c r="AI1288" s="30">
        <v>410.08</v>
      </c>
      <c r="AJ1288">
        <v>55.920000000000016</v>
      </c>
      <c r="AK1288">
        <v>0.88</v>
      </c>
      <c r="AL1288">
        <v>410.08</v>
      </c>
      <c r="AM1288">
        <v>55.920000000000016</v>
      </c>
      <c r="AN1288">
        <v>28906.056406826065</v>
      </c>
      <c r="AO1288">
        <v>3941.734964567192</v>
      </c>
      <c r="AP1288">
        <v>26.555461051083075</v>
      </c>
      <c r="AQ1288">
        <v>3.6211992342386026</v>
      </c>
      <c r="AR1288">
        <v>0.13341858489683281</v>
      </c>
    </row>
    <row r="1289" spans="1:44" customFormat="1" hidden="1" x14ac:dyDescent="0.5">
      <c r="A1289">
        <v>1506</v>
      </c>
      <c r="B1289">
        <v>113</v>
      </c>
      <c r="C1289" s="226" t="s">
        <v>20</v>
      </c>
      <c r="D1289" s="229">
        <v>41.438156999999997</v>
      </c>
      <c r="E1289" s="239">
        <v>9.8719429999999999</v>
      </c>
      <c r="F1289">
        <v>23.58</v>
      </c>
      <c r="G1289">
        <f t="shared" si="15"/>
        <v>37948.33152</v>
      </c>
      <c r="H1289" s="30" t="s">
        <v>614</v>
      </c>
      <c r="I1289">
        <v>154.69999999999999</v>
      </c>
      <c r="J1289">
        <v>35.304675984097599</v>
      </c>
      <c r="K1289" s="26">
        <v>2008</v>
      </c>
      <c r="L1289" t="s">
        <v>30</v>
      </c>
      <c r="M1289" s="30">
        <v>63</v>
      </c>
      <c r="N1289">
        <v>7.0097463050000002</v>
      </c>
      <c r="P1289" t="s">
        <v>23</v>
      </c>
      <c r="Q1289">
        <v>95.5</v>
      </c>
      <c r="R1289" t="s">
        <v>13</v>
      </c>
      <c r="S1289" t="s">
        <v>14</v>
      </c>
      <c r="T1289" t="s">
        <v>14</v>
      </c>
      <c r="U1289" s="29">
        <v>0</v>
      </c>
      <c r="V1289" s="29">
        <v>5</v>
      </c>
      <c r="W1289" s="25">
        <v>2.5</v>
      </c>
      <c r="X1289" s="25">
        <v>5</v>
      </c>
      <c r="Y1289" s="244">
        <v>0.82002076999999995</v>
      </c>
      <c r="Z1289" t="s">
        <v>1103</v>
      </c>
      <c r="AA1289" t="s">
        <v>622</v>
      </c>
      <c r="AB1289">
        <v>1</v>
      </c>
      <c r="AC1289">
        <v>821.42857189999995</v>
      </c>
      <c r="AF1289" t="s">
        <v>532</v>
      </c>
      <c r="AG1289" s="30" t="s">
        <v>2588</v>
      </c>
      <c r="AH1289" s="30" t="s">
        <v>2589</v>
      </c>
      <c r="AI1289" s="30" t="s">
        <v>2590</v>
      </c>
      <c r="AJ1289" t="s">
        <v>3388</v>
      </c>
      <c r="AK1289">
        <v>0.93478260800000001</v>
      </c>
      <c r="AL1289">
        <v>767.85714272639746</v>
      </c>
      <c r="AM1289">
        <v>53.571429173602496</v>
      </c>
      <c r="AN1289">
        <v>5636.1086586326937</v>
      </c>
      <c r="AO1289">
        <v>393.21688764736058</v>
      </c>
      <c r="AP1289">
        <v>4.6217261620556478</v>
      </c>
      <c r="AQ1289">
        <v>0.32244601498559211</v>
      </c>
      <c r="AR1289">
        <v>0.11426238003991172</v>
      </c>
    </row>
    <row r="1290" spans="1:44" customFormat="1" hidden="1" x14ac:dyDescent="0.5">
      <c r="A1290">
        <v>1507</v>
      </c>
      <c r="B1290">
        <v>113</v>
      </c>
      <c r="C1290" s="226" t="s">
        <v>20</v>
      </c>
      <c r="D1290" s="229">
        <v>41.438156999999997</v>
      </c>
      <c r="E1290" s="239">
        <v>9.8719429999999999</v>
      </c>
      <c r="F1290">
        <v>23.58</v>
      </c>
      <c r="G1290">
        <f t="shared" si="15"/>
        <v>37948.33152</v>
      </c>
      <c r="H1290" s="30" t="s">
        <v>611</v>
      </c>
      <c r="I1290">
        <v>413</v>
      </c>
      <c r="J1290">
        <v>35.304675984097599</v>
      </c>
      <c r="K1290" s="26">
        <v>2008</v>
      </c>
      <c r="L1290" t="s">
        <v>30</v>
      </c>
      <c r="M1290" s="30">
        <v>63</v>
      </c>
      <c r="N1290">
        <v>7.0097463050000002</v>
      </c>
      <c r="P1290" t="s">
        <v>23</v>
      </c>
      <c r="Q1290">
        <v>95.5</v>
      </c>
      <c r="R1290" t="s">
        <v>13</v>
      </c>
      <c r="S1290" t="s">
        <v>14</v>
      </c>
      <c r="T1290" t="s">
        <v>14</v>
      </c>
      <c r="U1290" s="29">
        <v>0</v>
      </c>
      <c r="V1290" s="29">
        <v>5</v>
      </c>
      <c r="W1290" s="25">
        <v>2.5</v>
      </c>
      <c r="X1290" s="25">
        <v>5</v>
      </c>
      <c r="Y1290" s="244">
        <v>0.82002076999999995</v>
      </c>
      <c r="Z1290" t="s">
        <v>1103</v>
      </c>
      <c r="AA1290" t="s">
        <v>622</v>
      </c>
      <c r="AB1290">
        <v>1</v>
      </c>
      <c r="AC1290">
        <v>186.4406784</v>
      </c>
      <c r="AF1290" t="s">
        <v>532</v>
      </c>
      <c r="AG1290" s="30" t="s">
        <v>2591</v>
      </c>
      <c r="AH1290" s="30" t="s">
        <v>2592</v>
      </c>
      <c r="AI1290" s="30" t="s">
        <v>2593</v>
      </c>
      <c r="AJ1290" t="s">
        <v>3389</v>
      </c>
      <c r="AK1290">
        <v>0.90909090699999995</v>
      </c>
      <c r="AL1290">
        <v>169.49152542835131</v>
      </c>
      <c r="AM1290">
        <v>16.949152971648687</v>
      </c>
      <c r="AN1290">
        <v>1244.0760147646065</v>
      </c>
      <c r="AO1290">
        <v>124.40760462397293</v>
      </c>
      <c r="AP1290">
        <v>1.020168171565804</v>
      </c>
      <c r="AQ1290">
        <v>0.10201681973760585</v>
      </c>
      <c r="AR1290">
        <v>8.8208770764794914E-2</v>
      </c>
    </row>
    <row r="1291" spans="1:44" customFormat="1" hidden="1" x14ac:dyDescent="0.5">
      <c r="A1291">
        <v>1508</v>
      </c>
      <c r="B1291">
        <v>113</v>
      </c>
      <c r="C1291" s="226" t="s">
        <v>20</v>
      </c>
      <c r="D1291" s="229">
        <v>41.438156999999997</v>
      </c>
      <c r="E1291" s="239">
        <v>9.8719429999999999</v>
      </c>
      <c r="F1291">
        <v>23.58</v>
      </c>
      <c r="G1291">
        <f t="shared" si="15"/>
        <v>37948.33152</v>
      </c>
      <c r="H1291" s="30" t="s">
        <v>611</v>
      </c>
      <c r="I1291">
        <v>562.4</v>
      </c>
      <c r="J1291">
        <v>35.304675984097599</v>
      </c>
      <c r="K1291" s="26">
        <v>2008</v>
      </c>
      <c r="L1291" t="s">
        <v>30</v>
      </c>
      <c r="M1291" s="30">
        <v>63</v>
      </c>
      <c r="N1291">
        <v>7.0097463050000002</v>
      </c>
      <c r="P1291" t="s">
        <v>23</v>
      </c>
      <c r="Q1291">
        <v>95.5</v>
      </c>
      <c r="R1291" t="s">
        <v>13</v>
      </c>
      <c r="S1291" t="s">
        <v>14</v>
      </c>
      <c r="T1291" t="s">
        <v>14</v>
      </c>
      <c r="U1291" s="29">
        <v>0</v>
      </c>
      <c r="V1291" s="29">
        <v>5</v>
      </c>
      <c r="W1291" s="25">
        <v>2.5</v>
      </c>
      <c r="X1291" s="25">
        <v>5</v>
      </c>
      <c r="Y1291" s="244">
        <v>0.82002076999999995</v>
      </c>
      <c r="Z1291" t="s">
        <v>1103</v>
      </c>
      <c r="AA1291" t="s">
        <v>622</v>
      </c>
      <c r="AB1291">
        <v>1</v>
      </c>
      <c r="AC1291">
        <v>550</v>
      </c>
      <c r="AF1291" t="s">
        <v>532</v>
      </c>
      <c r="AG1291" s="30">
        <v>550</v>
      </c>
      <c r="AH1291" s="30" t="s">
        <v>2594</v>
      </c>
      <c r="AI1291" s="30" t="s">
        <v>2595</v>
      </c>
      <c r="AJ1291" t="s">
        <v>3390</v>
      </c>
      <c r="AK1291">
        <v>0.909090909</v>
      </c>
      <c r="AL1291">
        <v>499.99999995000002</v>
      </c>
      <c r="AM1291">
        <v>50.000000049999983</v>
      </c>
      <c r="AN1291">
        <v>3670.024243088495</v>
      </c>
      <c r="AO1291">
        <v>367.002424712552</v>
      </c>
      <c r="AP1291">
        <v>3.0094961057360945</v>
      </c>
      <c r="AQ1291">
        <v>0.30094961090465389</v>
      </c>
      <c r="AR1291">
        <v>7.5945988992785304E-2</v>
      </c>
    </row>
    <row r="1292" spans="1:44" hidden="1" x14ac:dyDescent="0.5">
      <c r="A1292" s="31">
        <v>1509</v>
      </c>
      <c r="B1292" s="31">
        <v>113</v>
      </c>
      <c r="C1292" s="225" t="s">
        <v>20</v>
      </c>
      <c r="D1292" s="41">
        <v>41.438156999999997</v>
      </c>
      <c r="E1292" s="43">
        <v>9.8719429999999999</v>
      </c>
      <c r="F1292">
        <v>23.58</v>
      </c>
      <c r="G1292">
        <f t="shared" si="15"/>
        <v>37948.33152</v>
      </c>
      <c r="H1292" s="32" t="s">
        <v>611</v>
      </c>
      <c r="I1292">
        <v>604</v>
      </c>
      <c r="J1292">
        <v>35.304675984097599</v>
      </c>
      <c r="K1292" s="26">
        <v>2008</v>
      </c>
      <c r="L1292" t="s">
        <v>30</v>
      </c>
      <c r="M1292" s="32">
        <v>63</v>
      </c>
      <c r="N1292">
        <v>7.0097463050000002</v>
      </c>
      <c r="P1292" t="s">
        <v>23</v>
      </c>
      <c r="Q1292">
        <v>95.5</v>
      </c>
      <c r="R1292" t="s">
        <v>13</v>
      </c>
      <c r="S1292" t="s">
        <v>14</v>
      </c>
      <c r="T1292" t="s">
        <v>14</v>
      </c>
      <c r="U1292" s="34">
        <v>0</v>
      </c>
      <c r="V1292" s="34">
        <v>5</v>
      </c>
      <c r="W1292" s="25">
        <v>2.5</v>
      </c>
      <c r="X1292" s="25">
        <v>5</v>
      </c>
      <c r="Y1292" s="244">
        <v>0.82002076999999995</v>
      </c>
      <c r="Z1292" t="s">
        <v>1103</v>
      </c>
      <c r="AA1292" t="s">
        <v>622</v>
      </c>
      <c r="AB1292">
        <v>1</v>
      </c>
      <c r="AC1292">
        <v>1095.2380919</v>
      </c>
      <c r="AF1292" t="s">
        <v>532</v>
      </c>
      <c r="AG1292" s="32" t="s">
        <v>2596</v>
      </c>
      <c r="AH1292" s="32" t="s">
        <v>2597</v>
      </c>
      <c r="AI1292" s="32" t="s">
        <v>2598</v>
      </c>
      <c r="AJ1292" s="31" t="s">
        <v>3391</v>
      </c>
      <c r="AK1292" s="31">
        <v>0.69565217599999996</v>
      </c>
      <c r="AL1292" s="31">
        <v>761.90476193788822</v>
      </c>
      <c r="AM1292" s="31">
        <v>333.33333006211183</v>
      </c>
      <c r="AN1292" s="31">
        <v>5592.4178950324776</v>
      </c>
      <c r="AO1292" s="31">
        <v>2446.6828049594073</v>
      </c>
      <c r="AP1292" s="31">
        <v>4.5858988284463109</v>
      </c>
      <c r="AQ1292" s="31">
        <v>2.0063307176685727</v>
      </c>
      <c r="AR1292" s="31">
        <v>7.2845688099943323E-2</v>
      </c>
    </row>
    <row r="1293" spans="1:44" customFormat="1" hidden="1" x14ac:dyDescent="0.5">
      <c r="A1293">
        <v>1510</v>
      </c>
      <c r="B1293">
        <v>113</v>
      </c>
      <c r="C1293" s="226" t="s">
        <v>20</v>
      </c>
      <c r="D1293" s="229">
        <v>41.438156999999997</v>
      </c>
      <c r="E1293" s="239">
        <v>9.8719429999999999</v>
      </c>
      <c r="F1293">
        <v>23.58</v>
      </c>
      <c r="G1293">
        <f t="shared" si="15"/>
        <v>37948.33152</v>
      </c>
      <c r="H1293" s="30" t="s">
        <v>611</v>
      </c>
      <c r="I1293">
        <v>616.29999999999995</v>
      </c>
      <c r="J1293">
        <v>35.304675984097599</v>
      </c>
      <c r="K1293" s="26">
        <v>2008</v>
      </c>
      <c r="L1293" t="s">
        <v>30</v>
      </c>
      <c r="M1293" s="30">
        <v>63</v>
      </c>
      <c r="N1293">
        <v>7.0097463050000002</v>
      </c>
      <c r="P1293" t="s">
        <v>23</v>
      </c>
      <c r="Q1293">
        <v>95.5</v>
      </c>
      <c r="R1293" t="s">
        <v>13</v>
      </c>
      <c r="S1293" t="s">
        <v>14</v>
      </c>
      <c r="T1293" t="s">
        <v>14</v>
      </c>
      <c r="U1293" s="29">
        <v>0</v>
      </c>
      <c r="V1293" s="29">
        <v>5</v>
      </c>
      <c r="W1293" s="25">
        <v>2.5</v>
      </c>
      <c r="X1293" s="25">
        <v>5</v>
      </c>
      <c r="Y1293" s="244">
        <v>0.82002076999999995</v>
      </c>
      <c r="Z1293" t="s">
        <v>1103</v>
      </c>
      <c r="AA1293" t="s">
        <v>622</v>
      </c>
      <c r="AB1293">
        <v>1</v>
      </c>
      <c r="AC1293">
        <v>1743.2358820000002</v>
      </c>
      <c r="AF1293" t="s">
        <v>532</v>
      </c>
      <c r="AG1293" s="30" t="s">
        <v>2599</v>
      </c>
      <c r="AH1293" s="30" t="s">
        <v>1281</v>
      </c>
      <c r="AI1293" s="30" t="s">
        <v>2600</v>
      </c>
      <c r="AJ1293" t="s">
        <v>3392</v>
      </c>
      <c r="AK1293">
        <v>0.98750000000000004</v>
      </c>
      <c r="AL1293">
        <v>1721.4454334750001</v>
      </c>
      <c r="AM1293">
        <v>21.790448524999874</v>
      </c>
      <c r="AN1293">
        <v>12635.492949278016</v>
      </c>
      <c r="AO1293">
        <v>159.94294872503724</v>
      </c>
      <c r="AP1293">
        <v>10.361366657596529</v>
      </c>
      <c r="AQ1293">
        <v>0.13115653996957555</v>
      </c>
      <c r="AR1293">
        <v>7.1953491721499743E-2</v>
      </c>
    </row>
    <row r="1294" spans="1:44" customFormat="1" hidden="1" x14ac:dyDescent="0.5">
      <c r="A1294">
        <v>1511</v>
      </c>
      <c r="B1294">
        <v>113</v>
      </c>
      <c r="C1294" s="226" t="s">
        <v>20</v>
      </c>
      <c r="D1294" s="229">
        <v>41.438156999999997</v>
      </c>
      <c r="E1294" s="239">
        <v>9.8719429999999999</v>
      </c>
      <c r="F1294">
        <v>23.58</v>
      </c>
      <c r="G1294">
        <f t="shared" si="15"/>
        <v>37948.33152</v>
      </c>
      <c r="H1294" s="30" t="s">
        <v>611</v>
      </c>
      <c r="I1294">
        <v>683</v>
      </c>
      <c r="J1294">
        <v>35.304675984097599</v>
      </c>
      <c r="K1294" s="26">
        <v>2008</v>
      </c>
      <c r="L1294" t="s">
        <v>30</v>
      </c>
      <c r="M1294" s="30">
        <v>63</v>
      </c>
      <c r="N1294">
        <v>7.0097463050000002</v>
      </c>
      <c r="P1294" t="s">
        <v>23</v>
      </c>
      <c r="Q1294">
        <v>95.5</v>
      </c>
      <c r="R1294" t="s">
        <v>13</v>
      </c>
      <c r="S1294" t="s">
        <v>14</v>
      </c>
      <c r="T1294" t="s">
        <v>14</v>
      </c>
      <c r="U1294" s="29">
        <v>0</v>
      </c>
      <c r="V1294" s="29">
        <v>5</v>
      </c>
      <c r="W1294" s="25">
        <v>2.5</v>
      </c>
      <c r="X1294" s="25">
        <v>5</v>
      </c>
      <c r="Y1294" s="244">
        <v>0.82002076999999995</v>
      </c>
      <c r="Z1294" t="s">
        <v>1103</v>
      </c>
      <c r="AA1294" t="s">
        <v>622</v>
      </c>
      <c r="AB1294">
        <v>1</v>
      </c>
      <c r="AC1294">
        <v>1127.659574</v>
      </c>
      <c r="AF1294" t="s">
        <v>532</v>
      </c>
      <c r="AG1294" s="30" t="s">
        <v>2601</v>
      </c>
      <c r="AH1294" s="30" t="s">
        <v>2602</v>
      </c>
      <c r="AI1294" s="30" t="s">
        <v>2603</v>
      </c>
      <c r="AJ1294" t="s">
        <v>3393</v>
      </c>
      <c r="AK1294">
        <v>0.96226415099999996</v>
      </c>
      <c r="AL1294">
        <v>1085.1063825921317</v>
      </c>
      <c r="AM1294">
        <v>42.553191407868326</v>
      </c>
      <c r="AN1294">
        <v>7964.7334616828402</v>
      </c>
      <c r="AO1294">
        <v>312.34248820655785</v>
      </c>
      <c r="AP1294">
        <v>6.5312468660939276</v>
      </c>
      <c r="AQ1294">
        <v>0.25612732768285745</v>
      </c>
      <c r="AR1294">
        <v>6.7302216916455826E-2</v>
      </c>
    </row>
    <row r="1295" spans="1:44" customFormat="1" hidden="1" x14ac:dyDescent="0.5">
      <c r="A1295">
        <v>1512</v>
      </c>
      <c r="B1295">
        <v>113</v>
      </c>
      <c r="C1295" s="226" t="s">
        <v>20</v>
      </c>
      <c r="D1295" s="229">
        <v>41.438156999999997</v>
      </c>
      <c r="E1295" s="239">
        <v>9.8719429999999999</v>
      </c>
      <c r="F1295">
        <v>23.58</v>
      </c>
      <c r="G1295">
        <f t="shared" si="15"/>
        <v>37948.33152</v>
      </c>
      <c r="H1295" s="30" t="s">
        <v>611</v>
      </c>
      <c r="I1295">
        <v>695</v>
      </c>
      <c r="J1295">
        <v>35.304675984097599</v>
      </c>
      <c r="K1295" s="26">
        <v>2008</v>
      </c>
      <c r="L1295" t="s">
        <v>30</v>
      </c>
      <c r="M1295" s="30">
        <v>63</v>
      </c>
      <c r="N1295">
        <v>7.0097463050000002</v>
      </c>
      <c r="P1295" t="s">
        <v>23</v>
      </c>
      <c r="Q1295">
        <v>95.5</v>
      </c>
      <c r="R1295" t="s">
        <v>13</v>
      </c>
      <c r="S1295" t="s">
        <v>14</v>
      </c>
      <c r="T1295" t="s">
        <v>14</v>
      </c>
      <c r="U1295" s="29">
        <v>0</v>
      </c>
      <c r="V1295" s="29">
        <v>5</v>
      </c>
      <c r="W1295" s="25">
        <v>2.5</v>
      </c>
      <c r="X1295" s="25">
        <v>5</v>
      </c>
      <c r="Y1295" s="244">
        <v>0.82002076999999995</v>
      </c>
      <c r="Z1295" t="s">
        <v>1103</v>
      </c>
      <c r="AA1295" t="s">
        <v>622</v>
      </c>
      <c r="AB1295">
        <v>1</v>
      </c>
      <c r="AC1295">
        <v>562.5</v>
      </c>
      <c r="AF1295" t="s">
        <v>532</v>
      </c>
      <c r="AG1295" s="30" t="s">
        <v>2604</v>
      </c>
      <c r="AH1295" s="30">
        <v>1</v>
      </c>
      <c r="AI1295" s="30" t="s">
        <v>2604</v>
      </c>
      <c r="AJ1295">
        <v>0</v>
      </c>
      <c r="AK1295">
        <v>1</v>
      </c>
      <c r="AL1295">
        <v>562.5</v>
      </c>
      <c r="AM1295">
        <v>0</v>
      </c>
      <c r="AN1295">
        <v>4128.7772738874355</v>
      </c>
      <c r="AO1295">
        <v>0</v>
      </c>
      <c r="AP1295">
        <v>3.3856831192916759</v>
      </c>
      <c r="AQ1295">
        <v>0</v>
      </c>
      <c r="AR1295">
        <v>6.649789991977155E-2</v>
      </c>
    </row>
    <row r="1296" spans="1:44" customFormat="1" hidden="1" x14ac:dyDescent="0.5">
      <c r="A1296">
        <v>1513</v>
      </c>
      <c r="B1296">
        <v>113</v>
      </c>
      <c r="C1296" s="226" t="s">
        <v>20</v>
      </c>
      <c r="D1296" s="229">
        <v>41.438156999999997</v>
      </c>
      <c r="E1296" s="239">
        <v>9.8719429999999999</v>
      </c>
      <c r="F1296">
        <v>23.58</v>
      </c>
      <c r="G1296">
        <f t="shared" ref="G1296:G1359" si="16">F1296*1609.344</f>
        <v>37948.33152</v>
      </c>
      <c r="H1296" s="30" t="s">
        <v>611</v>
      </c>
      <c r="I1296">
        <v>701.87</v>
      </c>
      <c r="J1296">
        <v>35.304675984097599</v>
      </c>
      <c r="K1296" s="26">
        <v>2008</v>
      </c>
      <c r="L1296" t="s">
        <v>30</v>
      </c>
      <c r="M1296" s="30">
        <v>63</v>
      </c>
      <c r="N1296">
        <v>7.0097463050000002</v>
      </c>
      <c r="P1296" t="s">
        <v>23</v>
      </c>
      <c r="Q1296">
        <v>95.5</v>
      </c>
      <c r="R1296" t="s">
        <v>13</v>
      </c>
      <c r="S1296" t="s">
        <v>14</v>
      </c>
      <c r="T1296" t="s">
        <v>14</v>
      </c>
      <c r="U1296" s="29">
        <v>0</v>
      </c>
      <c r="V1296" s="29">
        <v>5</v>
      </c>
      <c r="W1296" s="25">
        <v>2.5</v>
      </c>
      <c r="X1296" s="25">
        <v>5</v>
      </c>
      <c r="Y1296" s="244">
        <v>0.82002076999999995</v>
      </c>
      <c r="Z1296" t="s">
        <v>1103</v>
      </c>
      <c r="AA1296" t="s">
        <v>622</v>
      </c>
      <c r="AB1296">
        <v>1</v>
      </c>
      <c r="AC1296">
        <v>957.8344613999999</v>
      </c>
      <c r="AF1296" t="s">
        <v>532</v>
      </c>
      <c r="AG1296" s="30" t="s">
        <v>2605</v>
      </c>
      <c r="AH1296" s="30" t="s">
        <v>2606</v>
      </c>
      <c r="AI1296" s="30" t="s">
        <v>2607</v>
      </c>
      <c r="AJ1296" t="s">
        <v>3394</v>
      </c>
      <c r="AK1296">
        <v>0.93478260899999999</v>
      </c>
      <c r="AL1296">
        <v>895.36699681760183</v>
      </c>
      <c r="AM1296">
        <v>62.467464582398179</v>
      </c>
      <c r="AN1296">
        <v>6572.0371702210796</v>
      </c>
      <c r="AO1296">
        <v>458.51421888919788</v>
      </c>
      <c r="AP1296">
        <v>5.3892069807933103</v>
      </c>
      <c r="AQ1296">
        <v>0.37599118282946853</v>
      </c>
      <c r="AR1296">
        <v>6.6041762583908814E-2</v>
      </c>
    </row>
    <row r="1297" spans="1:44" customFormat="1" hidden="1" x14ac:dyDescent="0.5">
      <c r="A1297">
        <v>1514</v>
      </c>
      <c r="B1297">
        <v>113</v>
      </c>
      <c r="C1297" s="226" t="s">
        <v>20</v>
      </c>
      <c r="D1297" s="229">
        <v>41.438156999999997</v>
      </c>
      <c r="E1297" s="239">
        <v>9.8719429999999999</v>
      </c>
      <c r="F1297">
        <v>23.58</v>
      </c>
      <c r="G1297">
        <f t="shared" si="16"/>
        <v>37948.33152</v>
      </c>
      <c r="H1297" s="30" t="s">
        <v>611</v>
      </c>
      <c r="I1297">
        <v>740.8</v>
      </c>
      <c r="J1297">
        <v>35.304675984097599</v>
      </c>
      <c r="K1297" s="26">
        <v>2008</v>
      </c>
      <c r="L1297" t="s">
        <v>30</v>
      </c>
      <c r="M1297" s="30">
        <v>63</v>
      </c>
      <c r="N1297">
        <v>7.0097463050000002</v>
      </c>
      <c r="P1297" t="s">
        <v>23</v>
      </c>
      <c r="Q1297">
        <v>95.5</v>
      </c>
      <c r="R1297" t="s">
        <v>13</v>
      </c>
      <c r="S1297" t="s">
        <v>14</v>
      </c>
      <c r="T1297" t="s">
        <v>14</v>
      </c>
      <c r="U1297" s="29">
        <v>0</v>
      </c>
      <c r="V1297" s="29">
        <v>5</v>
      </c>
      <c r="W1297" s="25">
        <v>2.5</v>
      </c>
      <c r="X1297" s="25">
        <v>5</v>
      </c>
      <c r="Y1297" s="244">
        <v>0.82002076999999995</v>
      </c>
      <c r="Z1297" t="s">
        <v>1103</v>
      </c>
      <c r="AA1297" t="s">
        <v>622</v>
      </c>
      <c r="AB1297">
        <v>1</v>
      </c>
      <c r="AC1297">
        <v>3808.584116</v>
      </c>
      <c r="AF1297" t="s">
        <v>532</v>
      </c>
      <c r="AG1297" s="30" t="s">
        <v>2608</v>
      </c>
      <c r="AH1297" s="30" t="s">
        <v>2609</v>
      </c>
      <c r="AI1297" s="30" t="s">
        <v>2610</v>
      </c>
      <c r="AJ1297" t="s">
        <v>3395</v>
      </c>
      <c r="AK1297">
        <v>0.95336787499999998</v>
      </c>
      <c r="AL1297">
        <v>3630.9817454296735</v>
      </c>
      <c r="AM1297">
        <v>177.60237057032646</v>
      </c>
      <c r="AN1297">
        <v>26651.582066542516</v>
      </c>
      <c r="AO1297">
        <v>1303.6100113765306</v>
      </c>
      <c r="AP1297">
        <v>21.854850847924386</v>
      </c>
      <c r="AQ1297">
        <v>1.0689872853086912</v>
      </c>
      <c r="AR1297">
        <v>6.3515457990437924E-2</v>
      </c>
    </row>
    <row r="1298" spans="1:44" hidden="1" x14ac:dyDescent="0.5">
      <c r="A1298" s="31">
        <v>1297</v>
      </c>
      <c r="B1298" s="31">
        <v>89</v>
      </c>
      <c r="C1298" s="225" t="s">
        <v>9</v>
      </c>
      <c r="D1298" s="41">
        <v>38.926423999999997</v>
      </c>
      <c r="E1298" s="43">
        <v>117.881401</v>
      </c>
      <c r="F1298">
        <v>0</v>
      </c>
      <c r="G1298">
        <f t="shared" si="16"/>
        <v>0</v>
      </c>
      <c r="H1298" s="32" t="s">
        <v>45</v>
      </c>
      <c r="I1298">
        <v>0</v>
      </c>
      <c r="J1298">
        <v>1064.5933105450299</v>
      </c>
      <c r="K1298" s="26">
        <v>2018</v>
      </c>
      <c r="L1298" t="s">
        <v>11</v>
      </c>
      <c r="M1298" s="32">
        <v>48</v>
      </c>
      <c r="N1298">
        <v>5.2571846139999998</v>
      </c>
      <c r="P1298" t="s">
        <v>15</v>
      </c>
      <c r="Q1298">
        <v>91.3</v>
      </c>
      <c r="R1298" t="s">
        <v>13</v>
      </c>
      <c r="S1298" t="s">
        <v>14</v>
      </c>
      <c r="T1298" t="s">
        <v>14</v>
      </c>
      <c r="U1298" s="34">
        <v>0</v>
      </c>
      <c r="V1298" s="34">
        <v>5</v>
      </c>
      <c r="W1298" s="25">
        <v>2.5</v>
      </c>
      <c r="X1298" s="25">
        <v>5</v>
      </c>
      <c r="Y1298">
        <v>0.61037440930769205</v>
      </c>
      <c r="Z1298" t="s">
        <v>812</v>
      </c>
      <c r="AA1298" t="s">
        <v>619</v>
      </c>
      <c r="AB1298">
        <v>3</v>
      </c>
      <c r="AC1298">
        <v>256.5</v>
      </c>
      <c r="AD1298">
        <v>149</v>
      </c>
      <c r="AF1298" t="s">
        <v>532</v>
      </c>
      <c r="AG1298" s="32" t="s">
        <v>2408</v>
      </c>
      <c r="AH1298" s="32" t="s">
        <v>2409</v>
      </c>
      <c r="AI1298" s="32" t="s">
        <v>2410</v>
      </c>
      <c r="AJ1298" s="31" t="s">
        <v>3289</v>
      </c>
      <c r="AK1298" s="31">
        <v>0.89100000000000001</v>
      </c>
      <c r="AL1298" s="31">
        <v>228.54150000000001</v>
      </c>
      <c r="AM1298" s="31">
        <v>27.958499999999987</v>
      </c>
      <c r="AN1298" s="31">
        <v>1315.9746522020603</v>
      </c>
      <c r="AO1298" s="31">
        <v>160.98904274974691</v>
      </c>
      <c r="AP1298" s="31">
        <v>0.80323725100172805</v>
      </c>
      <c r="AQ1298" s="31">
        <v>9.8263591873387554E-2</v>
      </c>
      <c r="AR1298" s="31">
        <v>0.13341858489683281</v>
      </c>
    </row>
    <row r="1299" spans="1:44" hidden="1" x14ac:dyDescent="0.5">
      <c r="A1299" s="31">
        <v>1298</v>
      </c>
      <c r="B1299" s="31">
        <v>89</v>
      </c>
      <c r="C1299" s="225" t="s">
        <v>9</v>
      </c>
      <c r="D1299" s="32">
        <v>38.944021999999997</v>
      </c>
      <c r="E1299" s="47">
        <v>117.82516800000001</v>
      </c>
      <c r="F1299">
        <v>0</v>
      </c>
      <c r="G1299">
        <f t="shared" si="16"/>
        <v>0</v>
      </c>
      <c r="H1299" s="32" t="s">
        <v>45</v>
      </c>
      <c r="I1299">
        <v>0</v>
      </c>
      <c r="J1299">
        <v>1059.3365512094099</v>
      </c>
      <c r="K1299" s="26">
        <v>2018</v>
      </c>
      <c r="L1299" t="s">
        <v>11</v>
      </c>
      <c r="M1299" s="32">
        <v>48</v>
      </c>
      <c r="N1299">
        <v>5.2571846139999998</v>
      </c>
      <c r="P1299" t="s">
        <v>15</v>
      </c>
      <c r="Q1299">
        <v>91.3</v>
      </c>
      <c r="R1299" t="s">
        <v>13</v>
      </c>
      <c r="S1299" t="s">
        <v>14</v>
      </c>
      <c r="T1299" t="s">
        <v>14</v>
      </c>
      <c r="U1299" s="34">
        <v>0</v>
      </c>
      <c r="V1299" s="34">
        <v>5</v>
      </c>
      <c r="W1299" s="25">
        <v>2.5</v>
      </c>
      <c r="X1299" s="25">
        <v>5</v>
      </c>
      <c r="Y1299">
        <v>0.61037440930769205</v>
      </c>
      <c r="Z1299" t="s">
        <v>812</v>
      </c>
      <c r="AA1299" t="s">
        <v>619</v>
      </c>
      <c r="AB1299">
        <v>3</v>
      </c>
      <c r="AC1299">
        <v>331.7</v>
      </c>
      <c r="AD1299">
        <v>13.4</v>
      </c>
      <c r="AF1299" t="s">
        <v>532</v>
      </c>
      <c r="AG1299" s="32" t="s">
        <v>2411</v>
      </c>
      <c r="AH1299" s="32" t="s">
        <v>2412</v>
      </c>
      <c r="AI1299" s="32" t="s">
        <v>2413</v>
      </c>
      <c r="AJ1299" s="31" t="s">
        <v>3290</v>
      </c>
      <c r="AK1299" s="31">
        <v>0.247</v>
      </c>
      <c r="AL1299" s="31">
        <v>81.929899999999989</v>
      </c>
      <c r="AM1299" s="31">
        <v>249.77010000000001</v>
      </c>
      <c r="AN1299" s="31">
        <v>471.76408511123611</v>
      </c>
      <c r="AO1299" s="31">
        <v>1438.2119679706916</v>
      </c>
      <c r="AP1299" s="31">
        <v>0.28795272478235451</v>
      </c>
      <c r="AQ1299" s="31">
        <v>0.87784778040936418</v>
      </c>
      <c r="AR1299" s="31">
        <v>0.13341858489683281</v>
      </c>
    </row>
    <row r="1300" spans="1:44" hidden="1" x14ac:dyDescent="0.5">
      <c r="A1300" s="31">
        <v>1299</v>
      </c>
      <c r="B1300" s="31">
        <v>89</v>
      </c>
      <c r="C1300" s="225" t="s">
        <v>9</v>
      </c>
      <c r="D1300" s="41">
        <v>38.955393000000001</v>
      </c>
      <c r="E1300" s="43">
        <v>117.781046</v>
      </c>
      <c r="F1300">
        <v>0</v>
      </c>
      <c r="G1300">
        <f t="shared" si="16"/>
        <v>0</v>
      </c>
      <c r="H1300" s="32" t="s">
        <v>45</v>
      </c>
      <c r="I1300">
        <v>0</v>
      </c>
      <c r="J1300">
        <v>1048.8409898586101</v>
      </c>
      <c r="K1300" s="26">
        <v>2018</v>
      </c>
      <c r="L1300" t="s">
        <v>11</v>
      </c>
      <c r="M1300" s="32">
        <v>48</v>
      </c>
      <c r="N1300">
        <v>5.2571846139999998</v>
      </c>
      <c r="P1300" t="s">
        <v>15</v>
      </c>
      <c r="Q1300">
        <v>91.3</v>
      </c>
      <c r="R1300" t="s">
        <v>13</v>
      </c>
      <c r="S1300" t="s">
        <v>14</v>
      </c>
      <c r="T1300" t="s">
        <v>14</v>
      </c>
      <c r="U1300" s="34">
        <v>0</v>
      </c>
      <c r="V1300" s="34">
        <v>5</v>
      </c>
      <c r="W1300" s="25">
        <v>2.5</v>
      </c>
      <c r="X1300" s="25">
        <v>5</v>
      </c>
      <c r="Y1300">
        <v>0.61037440930769205</v>
      </c>
      <c r="Z1300" t="s">
        <v>812</v>
      </c>
      <c r="AA1300" t="s">
        <v>619</v>
      </c>
      <c r="AB1300">
        <v>3</v>
      </c>
      <c r="AC1300">
        <v>205.8</v>
      </c>
      <c r="AD1300">
        <v>21.5</v>
      </c>
      <c r="AF1300" t="s">
        <v>532</v>
      </c>
      <c r="AG1300" s="32" t="s">
        <v>2414</v>
      </c>
      <c r="AH1300" s="32" t="s">
        <v>2415</v>
      </c>
      <c r="AI1300" s="32" t="s">
        <v>2416</v>
      </c>
      <c r="AJ1300" s="31" t="s">
        <v>3291</v>
      </c>
      <c r="AK1300" s="31">
        <v>0.76700000000000002</v>
      </c>
      <c r="AL1300" s="31">
        <v>157.8486</v>
      </c>
      <c r="AM1300" s="31">
        <v>47.951400000000007</v>
      </c>
      <c r="AN1300" s="31">
        <v>908.91482065875186</v>
      </c>
      <c r="AO1300" s="31">
        <v>276.11102113883857</v>
      </c>
      <c r="AP1300" s="31">
        <v>0.55477834677059246</v>
      </c>
      <c r="AQ1300" s="31">
        <v>0.16853110143096225</v>
      </c>
      <c r="AR1300" s="31">
        <v>0.13341858489683281</v>
      </c>
    </row>
    <row r="1301" spans="1:44" hidden="1" x14ac:dyDescent="0.5">
      <c r="A1301" s="31">
        <v>1300</v>
      </c>
      <c r="B1301" s="31">
        <v>89</v>
      </c>
      <c r="C1301" s="225" t="s">
        <v>9</v>
      </c>
      <c r="D1301" s="41">
        <v>38.964652999999998</v>
      </c>
      <c r="E1301" s="43">
        <v>117.709136</v>
      </c>
      <c r="F1301">
        <v>0</v>
      </c>
      <c r="G1301">
        <f t="shared" si="16"/>
        <v>0</v>
      </c>
      <c r="H1301" s="32" t="s">
        <v>45</v>
      </c>
      <c r="I1301">
        <v>0</v>
      </c>
      <c r="J1301">
        <v>1033.43110739597</v>
      </c>
      <c r="K1301" s="26">
        <v>2018</v>
      </c>
      <c r="L1301" t="s">
        <v>11</v>
      </c>
      <c r="M1301" s="32">
        <v>48</v>
      </c>
      <c r="N1301">
        <v>5.2571846139999998</v>
      </c>
      <c r="P1301" t="s">
        <v>15</v>
      </c>
      <c r="Q1301">
        <v>91.3</v>
      </c>
      <c r="R1301" t="s">
        <v>13</v>
      </c>
      <c r="S1301" t="s">
        <v>14</v>
      </c>
      <c r="T1301" t="s">
        <v>14</v>
      </c>
      <c r="U1301" s="34">
        <v>0</v>
      </c>
      <c r="V1301" s="34">
        <v>5</v>
      </c>
      <c r="W1301" s="25">
        <v>2.5</v>
      </c>
      <c r="X1301" s="25">
        <v>5</v>
      </c>
      <c r="Y1301">
        <v>0.61037440930769205</v>
      </c>
      <c r="Z1301" t="s">
        <v>812</v>
      </c>
      <c r="AA1301" t="s">
        <v>619</v>
      </c>
      <c r="AB1301">
        <v>3</v>
      </c>
      <c r="AC1301">
        <v>124.5</v>
      </c>
      <c r="AD1301">
        <v>34.1</v>
      </c>
      <c r="AF1301" t="s">
        <v>532</v>
      </c>
      <c r="AG1301" s="32" t="s">
        <v>2417</v>
      </c>
      <c r="AH1301" s="32" t="s">
        <v>2418</v>
      </c>
      <c r="AI1301" s="32" t="s">
        <v>2419</v>
      </c>
      <c r="AJ1301" s="31" t="s">
        <v>3292</v>
      </c>
      <c r="AK1301" s="31">
        <v>0.61</v>
      </c>
      <c r="AL1301" s="31">
        <v>75.944999999999993</v>
      </c>
      <c r="AM1301" s="31">
        <v>48.555000000000007</v>
      </c>
      <c r="AN1301" s="31">
        <v>437.30217470999992</v>
      </c>
      <c r="AO1301" s="31">
        <v>279.58663629000006</v>
      </c>
      <c r="AP1301" s="31">
        <v>0.26691805657758538</v>
      </c>
      <c r="AQ1301" s="31">
        <v>0.17065252797583333</v>
      </c>
      <c r="AR1301" s="31">
        <v>0.13341858489683281</v>
      </c>
    </row>
    <row r="1302" spans="1:44" hidden="1" x14ac:dyDescent="0.5">
      <c r="A1302" s="31">
        <v>1301</v>
      </c>
      <c r="B1302" s="31">
        <v>89</v>
      </c>
      <c r="C1302" s="225" t="s">
        <v>9</v>
      </c>
      <c r="D1302" s="41">
        <v>38.964731</v>
      </c>
      <c r="E1302" s="43">
        <v>117.742407</v>
      </c>
      <c r="F1302">
        <v>0</v>
      </c>
      <c r="G1302">
        <f t="shared" si="16"/>
        <v>0</v>
      </c>
      <c r="H1302" s="32" t="s">
        <v>45</v>
      </c>
      <c r="I1302">
        <v>0</v>
      </c>
      <c r="J1302">
        <v>1041.9926200352299</v>
      </c>
      <c r="K1302" s="26">
        <v>2018</v>
      </c>
      <c r="L1302" t="s">
        <v>11</v>
      </c>
      <c r="M1302" s="32">
        <v>48</v>
      </c>
      <c r="N1302">
        <v>5.2571846139999998</v>
      </c>
      <c r="P1302" t="s">
        <v>15</v>
      </c>
      <c r="Q1302">
        <v>91.3</v>
      </c>
      <c r="R1302" t="s">
        <v>13</v>
      </c>
      <c r="S1302" t="s">
        <v>14</v>
      </c>
      <c r="T1302" t="s">
        <v>14</v>
      </c>
      <c r="U1302" s="34">
        <v>0</v>
      </c>
      <c r="V1302" s="34">
        <v>5</v>
      </c>
      <c r="W1302" s="25">
        <v>2.5</v>
      </c>
      <c r="X1302" s="25">
        <v>5</v>
      </c>
      <c r="Y1302">
        <v>0.61037440930769205</v>
      </c>
      <c r="Z1302" t="s">
        <v>812</v>
      </c>
      <c r="AA1302" t="s">
        <v>619</v>
      </c>
      <c r="AB1302">
        <v>3</v>
      </c>
      <c r="AC1302">
        <v>97.2</v>
      </c>
      <c r="AD1302">
        <v>10.4</v>
      </c>
      <c r="AF1302" t="s">
        <v>532</v>
      </c>
      <c r="AG1302" s="32" t="s">
        <v>2420</v>
      </c>
      <c r="AH1302" s="32" t="s">
        <v>1203</v>
      </c>
      <c r="AI1302" s="32" t="s">
        <v>2421</v>
      </c>
      <c r="AJ1302" s="31" t="s">
        <v>3293</v>
      </c>
      <c r="AK1302" s="31">
        <v>0.57999999999999996</v>
      </c>
      <c r="AL1302" s="31">
        <v>56.375999999999998</v>
      </c>
      <c r="AM1302" s="31">
        <v>40.824000000000005</v>
      </c>
      <c r="AN1302" s="31">
        <v>324.62107316414455</v>
      </c>
      <c r="AO1302" s="31">
        <v>235.07043229127714</v>
      </c>
      <c r="AP1302" s="31">
        <v>0.19814039578139384</v>
      </c>
      <c r="AQ1302" s="31">
        <v>0.14348097625549211</v>
      </c>
      <c r="AR1302" s="31">
        <v>0.13341858489683281</v>
      </c>
    </row>
    <row r="1303" spans="1:44" hidden="1" x14ac:dyDescent="0.5">
      <c r="A1303" s="31">
        <v>1302</v>
      </c>
      <c r="B1303" s="31">
        <v>89</v>
      </c>
      <c r="C1303" s="225" t="s">
        <v>9</v>
      </c>
      <c r="D1303" s="41">
        <v>38.975082999999998</v>
      </c>
      <c r="E1303" s="43">
        <v>117.72230399999999</v>
      </c>
      <c r="F1303">
        <v>0</v>
      </c>
      <c r="G1303">
        <f t="shared" si="16"/>
        <v>0</v>
      </c>
      <c r="H1303" s="32" t="s">
        <v>45</v>
      </c>
      <c r="I1303">
        <v>0</v>
      </c>
      <c r="J1303">
        <v>1041.07839109054</v>
      </c>
      <c r="K1303" s="26">
        <v>2018</v>
      </c>
      <c r="L1303" t="s">
        <v>11</v>
      </c>
      <c r="M1303" s="32">
        <v>48</v>
      </c>
      <c r="N1303">
        <v>5.2571846139999998</v>
      </c>
      <c r="P1303" t="s">
        <v>15</v>
      </c>
      <c r="Q1303">
        <v>91.3</v>
      </c>
      <c r="R1303" t="s">
        <v>13</v>
      </c>
      <c r="S1303" t="s">
        <v>14</v>
      </c>
      <c r="T1303" t="s">
        <v>14</v>
      </c>
      <c r="U1303" s="34">
        <v>0</v>
      </c>
      <c r="V1303" s="34">
        <v>5</v>
      </c>
      <c r="W1303" s="25">
        <v>2.5</v>
      </c>
      <c r="X1303" s="25">
        <v>5</v>
      </c>
      <c r="Y1303">
        <v>0.61037440930769205</v>
      </c>
      <c r="Z1303" t="s">
        <v>812</v>
      </c>
      <c r="AA1303" t="s">
        <v>619</v>
      </c>
      <c r="AB1303">
        <v>3</v>
      </c>
      <c r="AC1303">
        <v>280.39999999999998</v>
      </c>
      <c r="AD1303">
        <v>89.1</v>
      </c>
      <c r="AF1303" t="s">
        <v>532</v>
      </c>
      <c r="AG1303" s="32" t="s">
        <v>2422</v>
      </c>
      <c r="AH1303" s="32" t="s">
        <v>2423</v>
      </c>
      <c r="AI1303" s="32" t="s">
        <v>2424</v>
      </c>
      <c r="AJ1303" s="31" t="s">
        <v>3294</v>
      </c>
      <c r="AK1303" s="31">
        <v>0.374</v>
      </c>
      <c r="AL1303" s="31">
        <v>104.86959999999999</v>
      </c>
      <c r="AM1303" s="31">
        <v>175.53039999999999</v>
      </c>
      <c r="AN1303" s="31">
        <v>603.85415947024569</v>
      </c>
      <c r="AO1303" s="31">
        <v>1010.7291546213203</v>
      </c>
      <c r="AP1303" s="31">
        <v>0.36857712589464409</v>
      </c>
      <c r="AQ1303" s="31">
        <v>0.61692321072205125</v>
      </c>
      <c r="AR1303" s="31">
        <v>0.13341858489683281</v>
      </c>
    </row>
    <row r="1304" spans="1:44" hidden="1" x14ac:dyDescent="0.5">
      <c r="A1304" s="31">
        <v>1303</v>
      </c>
      <c r="B1304" s="31">
        <v>89</v>
      </c>
      <c r="C1304" s="225" t="s">
        <v>9</v>
      </c>
      <c r="D1304" s="41">
        <v>39.054613000000003</v>
      </c>
      <c r="E1304" s="43">
        <v>117.835047</v>
      </c>
      <c r="F1304">
        <v>0</v>
      </c>
      <c r="G1304">
        <f t="shared" si="16"/>
        <v>0</v>
      </c>
      <c r="H1304" s="32" t="s">
        <v>45</v>
      </c>
      <c r="I1304">
        <v>0</v>
      </c>
      <c r="J1304">
        <v>1076.41073704476</v>
      </c>
      <c r="K1304" s="26">
        <v>2018</v>
      </c>
      <c r="L1304" t="s">
        <v>11</v>
      </c>
      <c r="M1304" s="32">
        <v>48</v>
      </c>
      <c r="N1304">
        <v>5.2571846139999998</v>
      </c>
      <c r="P1304" t="s">
        <v>15</v>
      </c>
      <c r="Q1304">
        <v>91.3</v>
      </c>
      <c r="R1304" t="s">
        <v>13</v>
      </c>
      <c r="S1304" t="s">
        <v>14</v>
      </c>
      <c r="T1304" t="s">
        <v>14</v>
      </c>
      <c r="U1304" s="34">
        <v>0</v>
      </c>
      <c r="V1304" s="34">
        <v>5</v>
      </c>
      <c r="W1304" s="25">
        <v>2.5</v>
      </c>
      <c r="X1304" s="25">
        <v>5</v>
      </c>
      <c r="Y1304">
        <v>0.61037440930769205</v>
      </c>
      <c r="Z1304" t="s">
        <v>812</v>
      </c>
      <c r="AA1304" t="s">
        <v>619</v>
      </c>
      <c r="AB1304">
        <v>3</v>
      </c>
      <c r="AC1304">
        <v>113.3</v>
      </c>
      <c r="AD1304">
        <v>25.6</v>
      </c>
      <c r="AF1304" t="s">
        <v>532</v>
      </c>
      <c r="AG1304" s="32" t="s">
        <v>2425</v>
      </c>
      <c r="AH1304" s="32" t="s">
        <v>2426</v>
      </c>
      <c r="AI1304" s="32" t="s">
        <v>2427</v>
      </c>
      <c r="AJ1304" s="31" t="s">
        <v>3295</v>
      </c>
      <c r="AK1304" s="31">
        <v>0.64400000000000002</v>
      </c>
      <c r="AL1304" s="31">
        <v>72.965199999999996</v>
      </c>
      <c r="AM1304" s="31">
        <v>40.334800000000001</v>
      </c>
      <c r="AN1304" s="31">
        <v>420.14406001909396</v>
      </c>
      <c r="AO1304" s="31">
        <v>232.25354870620723</v>
      </c>
      <c r="AP1304" s="31">
        <v>0.25644518245828996</v>
      </c>
      <c r="AQ1304" s="31">
        <v>0.14176162260116654</v>
      </c>
      <c r="AR1304" s="31">
        <v>0.13341858489683281</v>
      </c>
    </row>
    <row r="1305" spans="1:44" hidden="1" x14ac:dyDescent="0.5">
      <c r="A1305" s="31">
        <v>1304</v>
      </c>
      <c r="B1305" s="31">
        <v>89</v>
      </c>
      <c r="C1305" s="225" t="s">
        <v>9</v>
      </c>
      <c r="D1305" s="41">
        <v>39.07629</v>
      </c>
      <c r="E1305" s="43">
        <v>117.763554</v>
      </c>
      <c r="F1305">
        <v>0</v>
      </c>
      <c r="G1305">
        <f t="shared" si="16"/>
        <v>0</v>
      </c>
      <c r="H1305" s="32" t="s">
        <v>45</v>
      </c>
      <c r="I1305">
        <v>0</v>
      </c>
      <c r="J1305">
        <v>1056.78304522196</v>
      </c>
      <c r="K1305" s="26">
        <v>2018</v>
      </c>
      <c r="L1305" t="s">
        <v>11</v>
      </c>
      <c r="M1305" s="32">
        <v>48</v>
      </c>
      <c r="N1305">
        <v>5.2571846139999998</v>
      </c>
      <c r="P1305" t="s">
        <v>15</v>
      </c>
      <c r="Q1305">
        <v>91.3</v>
      </c>
      <c r="R1305" t="s">
        <v>13</v>
      </c>
      <c r="S1305" t="s">
        <v>14</v>
      </c>
      <c r="T1305" t="s">
        <v>14</v>
      </c>
      <c r="U1305" s="34">
        <v>0</v>
      </c>
      <c r="V1305" s="34">
        <v>5</v>
      </c>
      <c r="W1305" s="25">
        <v>2.5</v>
      </c>
      <c r="X1305" s="25">
        <v>5</v>
      </c>
      <c r="Y1305">
        <v>0.61037440930769205</v>
      </c>
      <c r="Z1305" t="s">
        <v>812</v>
      </c>
      <c r="AA1305" t="s">
        <v>619</v>
      </c>
      <c r="AB1305">
        <v>3</v>
      </c>
      <c r="AC1305">
        <v>56.4</v>
      </c>
      <c r="AD1305">
        <v>15.1</v>
      </c>
      <c r="AF1305" t="s">
        <v>532</v>
      </c>
      <c r="AG1305" s="32" t="s">
        <v>2428</v>
      </c>
      <c r="AH1305" s="32" t="s">
        <v>2429</v>
      </c>
      <c r="AI1305" s="32" t="s">
        <v>2430</v>
      </c>
      <c r="AJ1305" s="31" t="s">
        <v>3296</v>
      </c>
      <c r="AK1305" s="31">
        <v>0.28999999999999998</v>
      </c>
      <c r="AL1305" s="31">
        <v>16.355999999999998</v>
      </c>
      <c r="AM1305" s="31">
        <v>40.043999999999997</v>
      </c>
      <c r="AN1305" s="31">
        <v>94.180187893301195</v>
      </c>
      <c r="AO1305" s="31">
        <v>230.57908070428911</v>
      </c>
      <c r="AP1305" s="31">
        <v>5.7485176553861164E-2</v>
      </c>
      <c r="AQ1305" s="31">
        <v>0.14073957018359112</v>
      </c>
      <c r="AR1305" s="31">
        <v>0.13341858489683281</v>
      </c>
    </row>
    <row r="1306" spans="1:44" customFormat="1" x14ac:dyDescent="0.5">
      <c r="A1306">
        <v>1305</v>
      </c>
      <c r="B1306">
        <v>90</v>
      </c>
      <c r="C1306" s="226" t="s">
        <v>9</v>
      </c>
      <c r="D1306" s="239">
        <v>8.0863409999999991</v>
      </c>
      <c r="E1306" s="239">
        <v>77.554777999999999</v>
      </c>
      <c r="F1306">
        <v>0</v>
      </c>
      <c r="G1306">
        <f t="shared" si="16"/>
        <v>0</v>
      </c>
      <c r="H1306" t="s">
        <v>10</v>
      </c>
      <c r="I1306">
        <v>0</v>
      </c>
      <c r="J1306">
        <v>779.14201668666601</v>
      </c>
      <c r="K1306" s="26">
        <v>2018</v>
      </c>
      <c r="L1306" t="s">
        <v>11</v>
      </c>
      <c r="M1306" s="30">
        <v>500</v>
      </c>
      <c r="N1306">
        <v>62.735052189999998</v>
      </c>
      <c r="O1306">
        <v>3</v>
      </c>
      <c r="P1306" t="s">
        <v>23</v>
      </c>
      <c r="Q1306">
        <v>95.5</v>
      </c>
      <c r="R1306" t="s">
        <v>13</v>
      </c>
      <c r="S1306" t="s">
        <v>14</v>
      </c>
      <c r="T1306" t="s">
        <v>14</v>
      </c>
      <c r="U1306" s="25">
        <v>0</v>
      </c>
      <c r="V1306" s="25">
        <v>5</v>
      </c>
      <c r="W1306" s="25">
        <v>2.5</v>
      </c>
      <c r="X1306" s="25">
        <v>5</v>
      </c>
      <c r="Y1306">
        <v>1.8866792160000001</v>
      </c>
      <c r="Z1306" t="s">
        <v>1109</v>
      </c>
      <c r="AA1306" t="s">
        <v>622</v>
      </c>
      <c r="AB1306">
        <v>10</v>
      </c>
      <c r="AC1306" t="s">
        <v>550</v>
      </c>
      <c r="AD1306" t="s">
        <v>551</v>
      </c>
      <c r="AE1306" t="s">
        <v>519</v>
      </c>
      <c r="AF1306" t="s">
        <v>532</v>
      </c>
      <c r="AG1306" s="30">
        <v>126</v>
      </c>
      <c r="AH1306" s="30">
        <v>0.81</v>
      </c>
      <c r="AI1306" s="30">
        <v>102.06</v>
      </c>
      <c r="AJ1306">
        <v>23.939999999999998</v>
      </c>
      <c r="AK1306">
        <v>0.81</v>
      </c>
      <c r="AL1306">
        <v>102.06</v>
      </c>
      <c r="AM1306">
        <v>23.939999999999998</v>
      </c>
      <c r="AN1306">
        <v>6704.4391900642931</v>
      </c>
      <c r="AO1306">
        <v>1572.6462297681674</v>
      </c>
      <c r="AP1306">
        <v>12.649126074830177</v>
      </c>
      <c r="AQ1306">
        <v>2.9670789558243622</v>
      </c>
      <c r="AR1306">
        <v>0.13341858489683281</v>
      </c>
    </row>
    <row r="1307" spans="1:44" customFormat="1" x14ac:dyDescent="0.5">
      <c r="A1307">
        <v>1306</v>
      </c>
      <c r="B1307">
        <v>90</v>
      </c>
      <c r="C1307" s="226" t="s">
        <v>9</v>
      </c>
      <c r="D1307" s="239">
        <v>8.3746159999999996</v>
      </c>
      <c r="E1307" s="239">
        <v>78.063463999999996</v>
      </c>
      <c r="F1307">
        <v>0</v>
      </c>
      <c r="G1307">
        <f t="shared" si="16"/>
        <v>0</v>
      </c>
      <c r="H1307" t="s">
        <v>10</v>
      </c>
      <c r="I1307">
        <v>0</v>
      </c>
      <c r="J1307">
        <v>558.61481881748898</v>
      </c>
      <c r="K1307" s="26">
        <v>2018</v>
      </c>
      <c r="L1307" t="s">
        <v>11</v>
      </c>
      <c r="M1307" s="30">
        <v>500</v>
      </c>
      <c r="N1307">
        <v>62.735052189999998</v>
      </c>
      <c r="O1307">
        <v>3</v>
      </c>
      <c r="P1307" t="s">
        <v>23</v>
      </c>
      <c r="Q1307">
        <v>95.5</v>
      </c>
      <c r="R1307" t="s">
        <v>13</v>
      </c>
      <c r="S1307" t="s">
        <v>14</v>
      </c>
      <c r="T1307" t="s">
        <v>14</v>
      </c>
      <c r="U1307" s="25">
        <v>0</v>
      </c>
      <c r="V1307" s="25">
        <v>5</v>
      </c>
      <c r="W1307" s="25">
        <v>2.5</v>
      </c>
      <c r="X1307" s="25">
        <v>5</v>
      </c>
      <c r="Y1307">
        <v>1.5753479850000001</v>
      </c>
      <c r="Z1307" t="s">
        <v>1109</v>
      </c>
      <c r="AA1307" t="s">
        <v>622</v>
      </c>
      <c r="AB1307">
        <v>10</v>
      </c>
      <c r="AC1307">
        <v>76</v>
      </c>
      <c r="AD1307">
        <v>72</v>
      </c>
      <c r="AE1307" t="s">
        <v>519</v>
      </c>
      <c r="AF1307" t="s">
        <v>532</v>
      </c>
      <c r="AG1307" s="30">
        <v>76</v>
      </c>
      <c r="AH1307" s="30">
        <v>0.75749999999999995</v>
      </c>
      <c r="AI1307" s="30">
        <v>57.569999999999993</v>
      </c>
      <c r="AJ1307">
        <v>18.430000000000007</v>
      </c>
      <c r="AK1307">
        <v>0.75749999999999995</v>
      </c>
      <c r="AL1307">
        <v>57.569999999999993</v>
      </c>
      <c r="AM1307">
        <v>18.430000000000007</v>
      </c>
      <c r="AN1307">
        <v>3781.8397430139262</v>
      </c>
      <c r="AO1307">
        <v>1210.6879705358119</v>
      </c>
      <c r="AP1307">
        <v>5.9577136187499065</v>
      </c>
      <c r="AQ1307">
        <v>1.9072548548473309</v>
      </c>
      <c r="AR1307">
        <v>0.13341858489683281</v>
      </c>
    </row>
    <row r="1308" spans="1:44" customFormat="1" x14ac:dyDescent="0.5">
      <c r="A1308">
        <v>1307</v>
      </c>
      <c r="B1308">
        <v>90</v>
      </c>
      <c r="C1308" s="226" t="s">
        <v>9</v>
      </c>
      <c r="D1308" s="239">
        <v>8.4946090000000005</v>
      </c>
      <c r="E1308" s="239">
        <v>78.128837000000004</v>
      </c>
      <c r="F1308">
        <v>0</v>
      </c>
      <c r="G1308">
        <f t="shared" si="16"/>
        <v>0</v>
      </c>
      <c r="H1308" t="s">
        <v>10</v>
      </c>
      <c r="I1308">
        <v>0</v>
      </c>
      <c r="J1308">
        <v>525.06100976540699</v>
      </c>
      <c r="K1308" s="26">
        <v>2018</v>
      </c>
      <c r="L1308" t="s">
        <v>11</v>
      </c>
      <c r="M1308" s="30">
        <v>500</v>
      </c>
      <c r="N1308">
        <v>62.735052189999998</v>
      </c>
      <c r="O1308">
        <v>3</v>
      </c>
      <c r="P1308" t="s">
        <v>23</v>
      </c>
      <c r="Q1308">
        <v>95.5</v>
      </c>
      <c r="R1308" t="s">
        <v>13</v>
      </c>
      <c r="S1308" t="s">
        <v>14</v>
      </c>
      <c r="T1308" t="s">
        <v>14</v>
      </c>
      <c r="U1308" s="25">
        <v>0</v>
      </c>
      <c r="V1308" s="25">
        <v>5</v>
      </c>
      <c r="W1308" s="25">
        <v>2.5</v>
      </c>
      <c r="X1308" s="25">
        <v>5</v>
      </c>
      <c r="Y1308">
        <v>1.5753479850000001</v>
      </c>
      <c r="Z1308" t="s">
        <v>1109</v>
      </c>
      <c r="AA1308" t="s">
        <v>622</v>
      </c>
      <c r="AB1308">
        <v>10</v>
      </c>
      <c r="AC1308">
        <v>232</v>
      </c>
      <c r="AD1308">
        <v>116</v>
      </c>
      <c r="AE1308" t="s">
        <v>519</v>
      </c>
      <c r="AF1308" t="s">
        <v>532</v>
      </c>
      <c r="AG1308" s="30">
        <v>232</v>
      </c>
      <c r="AH1308" s="30">
        <v>0.73150000000000004</v>
      </c>
      <c r="AI1308" s="30">
        <v>169.708</v>
      </c>
      <c r="AJ1308">
        <v>62.292000000000002</v>
      </c>
      <c r="AK1308">
        <v>0.73150000000000004</v>
      </c>
      <c r="AL1308">
        <v>169.708</v>
      </c>
      <c r="AM1308">
        <v>62.292000000000002</v>
      </c>
      <c r="AN1308">
        <v>11148.314384356565</v>
      </c>
      <c r="AO1308">
        <v>4092.0333727952666</v>
      </c>
      <c r="AP1308">
        <v>17.562474601542633</v>
      </c>
      <c r="AQ1308">
        <v>6.4463765283857768</v>
      </c>
      <c r="AR1308">
        <v>0.13341858489683281</v>
      </c>
    </row>
    <row r="1309" spans="1:44" customFormat="1" x14ac:dyDescent="0.5">
      <c r="A1309">
        <v>1308</v>
      </c>
      <c r="B1309">
        <v>90</v>
      </c>
      <c r="C1309" s="226" t="s">
        <v>9</v>
      </c>
      <c r="D1309" s="239">
        <v>8.7694609999999997</v>
      </c>
      <c r="E1309" s="239">
        <v>78.171409999999995</v>
      </c>
      <c r="F1309">
        <v>0</v>
      </c>
      <c r="G1309">
        <f t="shared" si="16"/>
        <v>0</v>
      </c>
      <c r="H1309" t="s">
        <v>10</v>
      </c>
      <c r="I1309">
        <v>0</v>
      </c>
      <c r="J1309">
        <v>469.86788903851902</v>
      </c>
      <c r="K1309" s="26">
        <v>2018</v>
      </c>
      <c r="L1309" t="s">
        <v>11</v>
      </c>
      <c r="M1309" s="30">
        <v>500</v>
      </c>
      <c r="N1309">
        <v>62.735052189999998</v>
      </c>
      <c r="O1309">
        <v>3</v>
      </c>
      <c r="P1309" t="s">
        <v>23</v>
      </c>
      <c r="Q1309">
        <v>95.5</v>
      </c>
      <c r="R1309" t="s">
        <v>13</v>
      </c>
      <c r="S1309" t="s">
        <v>14</v>
      </c>
      <c r="T1309" t="s">
        <v>14</v>
      </c>
      <c r="U1309" s="25">
        <v>0</v>
      </c>
      <c r="V1309" s="25">
        <v>5</v>
      </c>
      <c r="W1309" s="25">
        <v>2.5</v>
      </c>
      <c r="X1309" s="25">
        <v>5</v>
      </c>
      <c r="Y1309">
        <v>1.5753479850000001</v>
      </c>
      <c r="Z1309" t="s">
        <v>1109</v>
      </c>
      <c r="AA1309" t="s">
        <v>622</v>
      </c>
      <c r="AB1309">
        <v>10</v>
      </c>
      <c r="AC1309">
        <v>199</v>
      </c>
      <c r="AD1309">
        <v>126</v>
      </c>
      <c r="AE1309" t="s">
        <v>519</v>
      </c>
      <c r="AF1309" t="s">
        <v>532</v>
      </c>
      <c r="AG1309" s="30">
        <v>199</v>
      </c>
      <c r="AH1309" s="30">
        <v>0.59499999999999997</v>
      </c>
      <c r="AI1309" s="30">
        <v>118.405</v>
      </c>
      <c r="AJ1309">
        <v>80.594999999999999</v>
      </c>
      <c r="AK1309">
        <v>0.59499999999999997</v>
      </c>
      <c r="AL1309">
        <v>118.405</v>
      </c>
      <c r="AM1309">
        <v>80.594999999999999</v>
      </c>
      <c r="AN1309">
        <v>7778.1611042481145</v>
      </c>
      <c r="AO1309">
        <v>5294.3785667571201</v>
      </c>
      <c r="AP1309">
        <v>12.253310422582643</v>
      </c>
      <c r="AQ1309">
        <v>8.3404886069680177</v>
      </c>
      <c r="AR1309">
        <v>0.13341858489683281</v>
      </c>
    </row>
    <row r="1310" spans="1:44" customFormat="1" x14ac:dyDescent="0.5">
      <c r="A1310">
        <v>1309</v>
      </c>
      <c r="B1310">
        <v>90</v>
      </c>
      <c r="C1310" s="226" t="s">
        <v>9</v>
      </c>
      <c r="D1310" s="239">
        <v>13.05</v>
      </c>
      <c r="E1310" s="239">
        <v>80.282399999999996</v>
      </c>
      <c r="F1310">
        <v>0</v>
      </c>
      <c r="G1310">
        <f t="shared" si="16"/>
        <v>0</v>
      </c>
      <c r="H1310" t="s">
        <v>10</v>
      </c>
      <c r="I1310">
        <v>0</v>
      </c>
      <c r="J1310">
        <v>1026.8007879961799</v>
      </c>
      <c r="K1310" s="26">
        <v>2018</v>
      </c>
      <c r="L1310" t="s">
        <v>11</v>
      </c>
      <c r="M1310" s="30">
        <v>500</v>
      </c>
      <c r="N1310">
        <v>62.735052189999998</v>
      </c>
      <c r="O1310">
        <v>3</v>
      </c>
      <c r="P1310" t="s">
        <v>23</v>
      </c>
      <c r="Q1310">
        <v>95.5</v>
      </c>
      <c r="R1310" t="s">
        <v>13</v>
      </c>
      <c r="S1310" t="s">
        <v>14</v>
      </c>
      <c r="T1310" t="s">
        <v>14</v>
      </c>
      <c r="U1310" s="25">
        <v>0</v>
      </c>
      <c r="V1310" s="25">
        <v>5</v>
      </c>
      <c r="W1310" s="25">
        <v>2.5</v>
      </c>
      <c r="X1310" s="25">
        <v>5</v>
      </c>
      <c r="Y1310">
        <v>1.1840535889999999</v>
      </c>
      <c r="Z1310" t="s">
        <v>1111</v>
      </c>
      <c r="AA1310" t="s">
        <v>622</v>
      </c>
      <c r="AB1310">
        <v>10</v>
      </c>
      <c r="AC1310">
        <v>309</v>
      </c>
      <c r="AD1310">
        <v>184</v>
      </c>
      <c r="AE1310" t="s">
        <v>519</v>
      </c>
      <c r="AF1310" t="s">
        <v>532</v>
      </c>
      <c r="AG1310" s="30">
        <v>309</v>
      </c>
      <c r="AH1310" s="30">
        <v>0.63</v>
      </c>
      <c r="AI1310" s="30">
        <v>194.67</v>
      </c>
      <c r="AJ1310">
        <v>114.33000000000001</v>
      </c>
      <c r="AK1310">
        <v>0.63</v>
      </c>
      <c r="AL1310">
        <v>194.67</v>
      </c>
      <c r="AM1310">
        <v>114.33000000000001</v>
      </c>
      <c r="AN1310">
        <v>12788.09697364115</v>
      </c>
      <c r="AO1310">
        <v>7510.4696511860739</v>
      </c>
      <c r="AP1310">
        <v>15.14179211811984</v>
      </c>
      <c r="AQ1310">
        <v>8.8927985455624476</v>
      </c>
      <c r="AR1310">
        <v>0.13341858489683281</v>
      </c>
    </row>
    <row r="1311" spans="1:44" hidden="1" x14ac:dyDescent="0.5">
      <c r="A1311" s="31">
        <v>1310</v>
      </c>
      <c r="B1311" s="31">
        <v>91</v>
      </c>
      <c r="C1311" s="225" t="s">
        <v>9</v>
      </c>
      <c r="D1311" s="44">
        <v>35.138997000000003</v>
      </c>
      <c r="E1311" s="45">
        <v>119.91445</v>
      </c>
      <c r="F1311">
        <v>0</v>
      </c>
      <c r="G1311">
        <f t="shared" si="16"/>
        <v>0</v>
      </c>
      <c r="H1311" s="32" t="s">
        <v>614</v>
      </c>
      <c r="I1311">
        <v>0</v>
      </c>
      <c r="J1311">
        <v>617.76916385223899</v>
      </c>
      <c r="K1311" s="26">
        <v>2018</v>
      </c>
      <c r="L1311" t="s">
        <v>40</v>
      </c>
      <c r="M1311" s="32">
        <v>8</v>
      </c>
      <c r="N1311">
        <v>0.78971285099999999</v>
      </c>
      <c r="O1311">
        <v>5</v>
      </c>
      <c r="P1311" t="s">
        <v>12</v>
      </c>
      <c r="Q1311">
        <v>89</v>
      </c>
      <c r="R1311" t="s">
        <v>13</v>
      </c>
      <c r="S1311" t="s">
        <v>14</v>
      </c>
      <c r="T1311" t="s">
        <v>14</v>
      </c>
      <c r="U1311" s="34">
        <v>0</v>
      </c>
      <c r="V1311" s="34">
        <v>10</v>
      </c>
      <c r="W1311" s="25">
        <v>5</v>
      </c>
      <c r="X1311" s="25">
        <v>10</v>
      </c>
      <c r="Y1311">
        <v>0.61037440899999995</v>
      </c>
      <c r="Z1311" t="s">
        <v>812</v>
      </c>
      <c r="AA1311" t="s">
        <v>619</v>
      </c>
      <c r="AB1311">
        <v>5</v>
      </c>
      <c r="AC1311">
        <v>146</v>
      </c>
      <c r="AD1311">
        <v>62.599999999999994</v>
      </c>
      <c r="AF1311" t="s">
        <v>532</v>
      </c>
      <c r="AG1311" s="32">
        <v>146</v>
      </c>
      <c r="AH1311" s="32" t="s">
        <v>1447</v>
      </c>
      <c r="AI1311" s="32" t="s">
        <v>2431</v>
      </c>
      <c r="AJ1311" s="31" t="s">
        <v>3297</v>
      </c>
      <c r="AK1311" s="31">
        <v>0.97</v>
      </c>
      <c r="AL1311" s="31">
        <v>141.62</v>
      </c>
      <c r="AM1311" s="31">
        <v>4.3799999999999955</v>
      </c>
      <c r="AN1311" s="31">
        <v>125.66194826811234</v>
      </c>
      <c r="AO1311" s="31">
        <v>3.8864520082921308</v>
      </c>
      <c r="AP1311" s="31">
        <v>7.6700837407937636E-2</v>
      </c>
      <c r="AQ1311" s="31">
        <v>2.3721908476681723E-3</v>
      </c>
      <c r="AR1311" s="31">
        <v>0.13341858489683281</v>
      </c>
    </row>
    <row r="1312" spans="1:44" hidden="1" x14ac:dyDescent="0.5">
      <c r="A1312" s="31">
        <v>1311</v>
      </c>
      <c r="B1312" s="31">
        <v>91</v>
      </c>
      <c r="C1312" s="225" t="s">
        <v>9</v>
      </c>
      <c r="D1312" s="44">
        <v>39.178718000000003</v>
      </c>
      <c r="E1312" s="45">
        <v>118.988893</v>
      </c>
      <c r="F1312">
        <v>0</v>
      </c>
      <c r="G1312">
        <f t="shared" si="16"/>
        <v>0</v>
      </c>
      <c r="H1312" s="32" t="s">
        <v>614</v>
      </c>
      <c r="I1312">
        <v>0</v>
      </c>
      <c r="J1312">
        <v>631.77808428922106</v>
      </c>
      <c r="K1312" s="26">
        <v>2018</v>
      </c>
      <c r="L1312" t="s">
        <v>40</v>
      </c>
      <c r="M1312" s="32">
        <v>8</v>
      </c>
      <c r="N1312">
        <v>0.78971285099999999</v>
      </c>
      <c r="O1312">
        <v>5</v>
      </c>
      <c r="P1312" t="s">
        <v>12</v>
      </c>
      <c r="Q1312">
        <v>89</v>
      </c>
      <c r="R1312" t="s">
        <v>13</v>
      </c>
      <c r="S1312" t="s">
        <v>14</v>
      </c>
      <c r="T1312" t="s">
        <v>14</v>
      </c>
      <c r="U1312" s="34">
        <v>0</v>
      </c>
      <c r="V1312" s="34">
        <v>10</v>
      </c>
      <c r="W1312" s="25">
        <v>5</v>
      </c>
      <c r="X1312" s="25">
        <v>10</v>
      </c>
      <c r="Y1312">
        <v>0.61037440899999995</v>
      </c>
      <c r="Z1312" t="s">
        <v>812</v>
      </c>
      <c r="AA1312" t="s">
        <v>619</v>
      </c>
      <c r="AB1312">
        <v>5</v>
      </c>
      <c r="AC1312">
        <v>84</v>
      </c>
      <c r="AD1312">
        <v>43.2</v>
      </c>
      <c r="AF1312" t="s">
        <v>532</v>
      </c>
      <c r="AG1312" s="32">
        <v>84</v>
      </c>
      <c r="AH1312" s="32" t="s">
        <v>1447</v>
      </c>
      <c r="AI1312" s="32" t="s">
        <v>2432</v>
      </c>
      <c r="AJ1312" s="31" t="s">
        <v>3298</v>
      </c>
      <c r="AK1312" s="31">
        <v>0.97</v>
      </c>
      <c r="AL1312" s="31">
        <v>81.48</v>
      </c>
      <c r="AM1312" s="31">
        <v>2.519999999999996</v>
      </c>
      <c r="AN1312" s="31">
        <v>72.298655167955062</v>
      </c>
      <c r="AO1312" s="31">
        <v>2.2360408814831425</v>
      </c>
      <c r="AP1312" s="31">
        <v>4.4129248919635357E-2</v>
      </c>
      <c r="AQ1312" s="31">
        <v>1.3648221315351119E-3</v>
      </c>
      <c r="AR1312" s="31">
        <v>0.13341858489683281</v>
      </c>
    </row>
    <row r="1313" spans="1:44" x14ac:dyDescent="0.5">
      <c r="A1313" s="31">
        <v>1312</v>
      </c>
      <c r="B1313" s="31">
        <v>92</v>
      </c>
      <c r="C1313" s="225" t="s">
        <v>9</v>
      </c>
      <c r="D1313" s="41">
        <v>9.0387249999999995</v>
      </c>
      <c r="E1313" s="45">
        <v>76.449596999999997</v>
      </c>
      <c r="F1313">
        <v>0</v>
      </c>
      <c r="G1313">
        <f t="shared" si="16"/>
        <v>0</v>
      </c>
      <c r="H1313" s="32" t="s">
        <v>10</v>
      </c>
      <c r="I1313">
        <v>0</v>
      </c>
      <c r="J1313">
        <v>950.74099766949598</v>
      </c>
      <c r="K1313" s="26">
        <v>2018</v>
      </c>
      <c r="L1313" t="s">
        <v>11</v>
      </c>
      <c r="M1313" s="32">
        <v>300</v>
      </c>
      <c r="N1313">
        <v>36.542166029999997</v>
      </c>
      <c r="O1313">
        <v>4.75</v>
      </c>
      <c r="P1313" t="s">
        <v>12</v>
      </c>
      <c r="Q1313">
        <v>89</v>
      </c>
      <c r="R1313" t="s">
        <v>13</v>
      </c>
      <c r="S1313" t="s">
        <v>14</v>
      </c>
      <c r="T1313" t="s">
        <v>14</v>
      </c>
      <c r="U1313" s="34">
        <v>0</v>
      </c>
      <c r="V1313" s="34">
        <v>5</v>
      </c>
      <c r="W1313" s="25">
        <v>2.5</v>
      </c>
      <c r="X1313" s="25">
        <v>5</v>
      </c>
      <c r="Y1313">
        <v>2.1577600669999999</v>
      </c>
      <c r="Z1313" t="s">
        <v>1109</v>
      </c>
      <c r="AA1313" t="s">
        <v>622</v>
      </c>
      <c r="AB1313">
        <v>8</v>
      </c>
      <c r="AC1313">
        <v>65.13</v>
      </c>
      <c r="AD1313">
        <v>34.909999999999997</v>
      </c>
      <c r="AF1313" t="s">
        <v>521</v>
      </c>
      <c r="AG1313" s="32" t="s">
        <v>2433</v>
      </c>
      <c r="AH1313" s="32" t="s">
        <v>2434</v>
      </c>
      <c r="AI1313" s="32" t="s">
        <v>2435</v>
      </c>
      <c r="AJ1313" s="31" t="s">
        <v>3299</v>
      </c>
      <c r="AK1313" s="31">
        <v>0.26500000000000001</v>
      </c>
      <c r="AL1313" s="31">
        <v>0.15997561790080159</v>
      </c>
      <c r="AM1313" s="31">
        <v>0.44370595908335531</v>
      </c>
      <c r="AN1313" s="31">
        <v>6.5683770675089113</v>
      </c>
      <c r="AO1313" s="31">
        <v>18.217951489128488</v>
      </c>
      <c r="AP1313" s="31">
        <v>1.417298174126929E-2</v>
      </c>
      <c r="AQ1313" s="31">
        <v>3.9309968225784635E-2</v>
      </c>
      <c r="AR1313" s="31">
        <v>0.13341858489683281</v>
      </c>
    </row>
    <row r="1314" spans="1:44" x14ac:dyDescent="0.5">
      <c r="A1314" s="31">
        <v>1313</v>
      </c>
      <c r="B1314" s="31">
        <v>92</v>
      </c>
      <c r="C1314" s="225" t="s">
        <v>9</v>
      </c>
      <c r="D1314" s="41">
        <v>10.58648</v>
      </c>
      <c r="E1314" s="45">
        <v>75.926001999999997</v>
      </c>
      <c r="F1314">
        <v>0</v>
      </c>
      <c r="G1314">
        <f t="shared" si="16"/>
        <v>0</v>
      </c>
      <c r="H1314" s="32" t="s">
        <v>10</v>
      </c>
      <c r="I1314">
        <v>0</v>
      </c>
      <c r="J1314">
        <v>1077.04603532745</v>
      </c>
      <c r="K1314" s="26">
        <v>2018</v>
      </c>
      <c r="L1314" t="s">
        <v>11</v>
      </c>
      <c r="M1314" s="32">
        <v>300</v>
      </c>
      <c r="N1314">
        <v>36.542166029999997</v>
      </c>
      <c r="O1314">
        <v>4.75</v>
      </c>
      <c r="P1314" t="s">
        <v>12</v>
      </c>
      <c r="Q1314">
        <v>89</v>
      </c>
      <c r="R1314" t="s">
        <v>13</v>
      </c>
      <c r="S1314" t="s">
        <v>14</v>
      </c>
      <c r="T1314" t="s">
        <v>14</v>
      </c>
      <c r="U1314" s="34">
        <v>0</v>
      </c>
      <c r="V1314" s="34">
        <v>5</v>
      </c>
      <c r="W1314" s="25">
        <v>2.5</v>
      </c>
      <c r="X1314" s="25">
        <v>5</v>
      </c>
      <c r="Y1314">
        <v>0.617552302</v>
      </c>
      <c r="Z1314" t="s">
        <v>1111</v>
      </c>
      <c r="AA1314" t="s">
        <v>622</v>
      </c>
      <c r="AB1314">
        <v>5</v>
      </c>
      <c r="AC1314">
        <v>38.4</v>
      </c>
      <c r="AD1314">
        <v>35.909999999999997</v>
      </c>
      <c r="AF1314" t="s">
        <v>521</v>
      </c>
      <c r="AG1314" s="32" t="s">
        <v>2436</v>
      </c>
      <c r="AH1314" s="32" t="s">
        <v>2437</v>
      </c>
      <c r="AI1314" s="32" t="s">
        <v>2438</v>
      </c>
      <c r="AJ1314" s="31" t="s">
        <v>3300</v>
      </c>
      <c r="AK1314" s="31">
        <v>0.33100000000000002</v>
      </c>
      <c r="AL1314" s="31">
        <v>0.41163800892122659</v>
      </c>
      <c r="AM1314" s="31">
        <v>0.83198135337855161</v>
      </c>
      <c r="AN1314" s="31">
        <v>16.901285917143912</v>
      </c>
      <c r="AO1314" s="31">
        <v>34.160000841599029</v>
      </c>
      <c r="AP1314" s="31">
        <v>1.0437428024892404E-2</v>
      </c>
      <c r="AQ1314" s="31">
        <v>2.1095587156051417E-2</v>
      </c>
      <c r="AR1314" s="31">
        <v>0.13341858489683281</v>
      </c>
    </row>
    <row r="1315" spans="1:44" x14ac:dyDescent="0.5">
      <c r="A1315" s="31">
        <v>1314</v>
      </c>
      <c r="B1315" s="31">
        <v>92</v>
      </c>
      <c r="C1315" s="225" t="s">
        <v>9</v>
      </c>
      <c r="D1315" s="41">
        <v>11.723165</v>
      </c>
      <c r="E1315" s="45">
        <v>75.413546999999994</v>
      </c>
      <c r="F1315">
        <v>0</v>
      </c>
      <c r="G1315">
        <f t="shared" si="16"/>
        <v>0</v>
      </c>
      <c r="H1315" s="32" t="s">
        <v>10</v>
      </c>
      <c r="I1315">
        <v>0</v>
      </c>
      <c r="J1315">
        <v>647.55778232474802</v>
      </c>
      <c r="K1315" s="26">
        <v>2018</v>
      </c>
      <c r="L1315" t="s">
        <v>11</v>
      </c>
      <c r="M1315" s="32">
        <v>300</v>
      </c>
      <c r="N1315">
        <v>36.542166029999997</v>
      </c>
      <c r="O1315">
        <v>4.75</v>
      </c>
      <c r="P1315" t="s">
        <v>12</v>
      </c>
      <c r="Q1315">
        <v>89</v>
      </c>
      <c r="R1315" t="s">
        <v>13</v>
      </c>
      <c r="S1315" t="s">
        <v>14</v>
      </c>
      <c r="T1315" t="s">
        <v>14</v>
      </c>
      <c r="U1315" s="34">
        <v>0</v>
      </c>
      <c r="V1315" s="34">
        <v>5</v>
      </c>
      <c r="W1315" s="25">
        <v>2.5</v>
      </c>
      <c r="X1315" s="25">
        <v>5</v>
      </c>
      <c r="Y1315">
        <v>0.51646209600000004</v>
      </c>
      <c r="Z1315" t="s">
        <v>1111</v>
      </c>
      <c r="AA1315" t="s">
        <v>622</v>
      </c>
      <c r="AB1315">
        <v>9</v>
      </c>
      <c r="AC1315">
        <v>20.22</v>
      </c>
      <c r="AD1315">
        <v>10.72</v>
      </c>
      <c r="AF1315" t="s">
        <v>521</v>
      </c>
      <c r="AG1315" s="32" t="s">
        <v>2439</v>
      </c>
      <c r="AH1315" s="32" t="s">
        <v>2440</v>
      </c>
      <c r="AI1315" s="32" t="s">
        <v>2441</v>
      </c>
      <c r="AJ1315" s="31" t="s">
        <v>3301</v>
      </c>
      <c r="AK1315" s="31">
        <v>0.36</v>
      </c>
      <c r="AL1315" s="31">
        <v>0.28188709515673727</v>
      </c>
      <c r="AM1315" s="31">
        <v>0.50113261361197736</v>
      </c>
      <c r="AN1315" s="31">
        <v>11.573893295429102</v>
      </c>
      <c r="AO1315" s="31">
        <v>20.575810302985072</v>
      </c>
      <c r="AP1315" s="31">
        <v>5.9774771902376617E-3</v>
      </c>
      <c r="AQ1315" s="31">
        <v>1.0626626115978066E-2</v>
      </c>
      <c r="AR1315" s="31">
        <v>0.13341858489683281</v>
      </c>
    </row>
    <row r="1316" spans="1:44" x14ac:dyDescent="0.5">
      <c r="A1316" s="31">
        <v>1315</v>
      </c>
      <c r="B1316" s="31">
        <v>93</v>
      </c>
      <c r="C1316" s="225" t="s">
        <v>9</v>
      </c>
      <c r="D1316" s="32">
        <v>11.875265000000001</v>
      </c>
      <c r="E1316" s="38">
        <v>79.820742999999993</v>
      </c>
      <c r="F1316">
        <v>0</v>
      </c>
      <c r="G1316">
        <f t="shared" si="16"/>
        <v>0</v>
      </c>
      <c r="H1316" s="32" t="s">
        <v>10</v>
      </c>
      <c r="I1316">
        <v>0</v>
      </c>
      <c r="J1316">
        <v>640.43938248884797</v>
      </c>
      <c r="K1316" s="26">
        <v>2019</v>
      </c>
      <c r="L1316" t="s">
        <v>11</v>
      </c>
      <c r="M1316" s="32">
        <v>300</v>
      </c>
      <c r="N1316">
        <v>36.542166029999997</v>
      </c>
      <c r="O1316">
        <v>4.75</v>
      </c>
      <c r="P1316" t="s">
        <v>12</v>
      </c>
      <c r="Q1316">
        <v>89</v>
      </c>
      <c r="R1316" t="s">
        <v>13</v>
      </c>
      <c r="S1316" t="s">
        <v>14</v>
      </c>
      <c r="T1316" t="s">
        <v>14</v>
      </c>
      <c r="U1316" s="34">
        <v>0</v>
      </c>
      <c r="V1316" s="34">
        <v>1</v>
      </c>
      <c r="W1316" s="25">
        <v>0.5</v>
      </c>
      <c r="X1316" s="25">
        <v>1</v>
      </c>
      <c r="Y1316">
        <v>1.5476535380000001</v>
      </c>
      <c r="Z1316" t="s">
        <v>1111</v>
      </c>
      <c r="AA1316" t="s">
        <v>622</v>
      </c>
      <c r="AB1316">
        <v>1</v>
      </c>
      <c r="AC1316">
        <v>29</v>
      </c>
      <c r="AF1316" t="s">
        <v>568</v>
      </c>
      <c r="AG1316" s="32">
        <v>290</v>
      </c>
      <c r="AH1316" s="32" t="s">
        <v>2442</v>
      </c>
      <c r="AI1316" s="32" t="s">
        <v>2443</v>
      </c>
      <c r="AJ1316" s="31" t="s">
        <v>3302</v>
      </c>
      <c r="AK1316" s="31">
        <v>0.15859999999999999</v>
      </c>
      <c r="AL1316" s="31">
        <v>45.994</v>
      </c>
      <c r="AM1316" s="31">
        <v>244.006</v>
      </c>
      <c r="AN1316" s="31">
        <v>1888.4498700941797</v>
      </c>
      <c r="AO1316" s="31">
        <v>10018.548049793459</v>
      </c>
      <c r="AP1316" s="31">
        <v>2.9226661227868975</v>
      </c>
      <c r="AQ1316" s="31">
        <v>15.505241334885847</v>
      </c>
      <c r="AR1316" s="31">
        <v>0.13341858489683281</v>
      </c>
    </row>
    <row r="1317" spans="1:44" x14ac:dyDescent="0.5">
      <c r="A1317" s="31">
        <v>1316</v>
      </c>
      <c r="B1317" s="31">
        <v>93</v>
      </c>
      <c r="C1317" s="225" t="s">
        <v>9</v>
      </c>
      <c r="D1317" s="32">
        <v>11.875265000000001</v>
      </c>
      <c r="E1317" s="38">
        <v>79.820742999999993</v>
      </c>
      <c r="F1317">
        <v>0</v>
      </c>
      <c r="G1317">
        <f t="shared" si="16"/>
        <v>0</v>
      </c>
      <c r="H1317" s="32" t="s">
        <v>10</v>
      </c>
      <c r="I1317">
        <v>0</v>
      </c>
      <c r="J1317">
        <v>640.43938248884797</v>
      </c>
      <c r="K1317" s="26">
        <v>2019</v>
      </c>
      <c r="L1317" t="s">
        <v>11</v>
      </c>
      <c r="M1317" s="32">
        <v>300</v>
      </c>
      <c r="N1317">
        <v>36.542166029999997</v>
      </c>
      <c r="O1317">
        <v>4.75</v>
      </c>
      <c r="P1317" t="s">
        <v>12</v>
      </c>
      <c r="Q1317">
        <v>89</v>
      </c>
      <c r="R1317" t="s">
        <v>13</v>
      </c>
      <c r="S1317" t="s">
        <v>14</v>
      </c>
      <c r="T1317" t="s">
        <v>14</v>
      </c>
      <c r="U1317" s="34">
        <v>0</v>
      </c>
      <c r="V1317" s="34">
        <v>1</v>
      </c>
      <c r="W1317" s="25">
        <v>0.5</v>
      </c>
      <c r="X1317" s="25">
        <v>1</v>
      </c>
      <c r="Y1317">
        <v>1.5476535380000001</v>
      </c>
      <c r="Z1317" t="s">
        <v>1111</v>
      </c>
      <c r="AA1317" t="s">
        <v>622</v>
      </c>
      <c r="AB1317">
        <v>1</v>
      </c>
      <c r="AC1317">
        <v>30</v>
      </c>
      <c r="AF1317" t="s">
        <v>568</v>
      </c>
      <c r="AG1317" s="32">
        <v>300</v>
      </c>
      <c r="AH1317" s="32" t="s">
        <v>2442</v>
      </c>
      <c r="AI1317" s="32" t="s">
        <v>2444</v>
      </c>
      <c r="AJ1317" s="31" t="s">
        <v>3303</v>
      </c>
      <c r="AK1317" s="31">
        <v>0.15859999999999999</v>
      </c>
      <c r="AL1317" s="31">
        <v>47.58</v>
      </c>
      <c r="AM1317" s="31">
        <v>252.42000000000002</v>
      </c>
      <c r="AN1317" s="31">
        <v>1953.56883113191</v>
      </c>
      <c r="AO1317" s="31">
        <v>10364.015223924269</v>
      </c>
      <c r="AP1317" s="31">
        <v>3.0234477132278252</v>
      </c>
      <c r="AQ1317" s="31">
        <v>16.03990482919226</v>
      </c>
      <c r="AR1317" s="31">
        <v>0.13341858489683281</v>
      </c>
    </row>
    <row r="1318" spans="1:44" x14ac:dyDescent="0.5">
      <c r="A1318" s="31">
        <v>1317</v>
      </c>
      <c r="B1318" s="31">
        <v>93</v>
      </c>
      <c r="C1318" s="225" t="s">
        <v>9</v>
      </c>
      <c r="D1318" s="32">
        <v>11.875265000000001</v>
      </c>
      <c r="E1318" s="38">
        <v>79.820742999999993</v>
      </c>
      <c r="F1318">
        <v>0</v>
      </c>
      <c r="G1318">
        <f t="shared" si="16"/>
        <v>0</v>
      </c>
      <c r="H1318" s="32" t="s">
        <v>10</v>
      </c>
      <c r="I1318">
        <v>0</v>
      </c>
      <c r="J1318">
        <v>640.43938248884797</v>
      </c>
      <c r="K1318" s="26">
        <v>2019</v>
      </c>
      <c r="L1318" t="s">
        <v>11</v>
      </c>
      <c r="M1318" s="32">
        <v>300</v>
      </c>
      <c r="N1318">
        <v>36.542166029999997</v>
      </c>
      <c r="O1318">
        <v>4.75</v>
      </c>
      <c r="P1318" t="s">
        <v>12</v>
      </c>
      <c r="Q1318">
        <v>89</v>
      </c>
      <c r="R1318" t="s">
        <v>13</v>
      </c>
      <c r="S1318" t="s">
        <v>14</v>
      </c>
      <c r="T1318" t="s">
        <v>14</v>
      </c>
      <c r="U1318" s="34">
        <v>0</v>
      </c>
      <c r="V1318" s="34">
        <v>1</v>
      </c>
      <c r="W1318" s="25">
        <v>0.5</v>
      </c>
      <c r="X1318" s="25">
        <v>1</v>
      </c>
      <c r="Y1318">
        <v>1.5476535380000001</v>
      </c>
      <c r="Z1318" t="s">
        <v>1111</v>
      </c>
      <c r="AA1318" t="s">
        <v>622</v>
      </c>
      <c r="AB1318">
        <v>1</v>
      </c>
      <c r="AC1318">
        <v>34</v>
      </c>
      <c r="AF1318" t="s">
        <v>568</v>
      </c>
      <c r="AG1318" s="32">
        <v>340</v>
      </c>
      <c r="AH1318" s="32" t="s">
        <v>2442</v>
      </c>
      <c r="AI1318" s="32" t="s">
        <v>2445</v>
      </c>
      <c r="AJ1318" s="31" t="s">
        <v>3304</v>
      </c>
      <c r="AK1318" s="31">
        <v>0.15859999999999999</v>
      </c>
      <c r="AL1318" s="31">
        <v>53.923999999999999</v>
      </c>
      <c r="AM1318" s="31">
        <v>286.07600000000002</v>
      </c>
      <c r="AN1318" s="31">
        <v>2214.0446752828316</v>
      </c>
      <c r="AO1318" s="31">
        <v>11745.883920447506</v>
      </c>
      <c r="AP1318" s="31">
        <v>3.4265740749915357</v>
      </c>
      <c r="AQ1318" s="31">
        <v>18.178558806417893</v>
      </c>
      <c r="AR1318" s="31">
        <v>0.13341858489683281</v>
      </c>
    </row>
    <row r="1319" spans="1:44" x14ac:dyDescent="0.5">
      <c r="A1319" s="31">
        <v>1318</v>
      </c>
      <c r="B1319" s="31">
        <v>93</v>
      </c>
      <c r="C1319" s="225" t="s">
        <v>9</v>
      </c>
      <c r="D1319" s="32">
        <v>11.875265000000001</v>
      </c>
      <c r="E1319" s="38">
        <v>79.820742999999993</v>
      </c>
      <c r="F1319">
        <v>0</v>
      </c>
      <c r="G1319">
        <f t="shared" si="16"/>
        <v>0</v>
      </c>
      <c r="H1319" s="32" t="s">
        <v>10</v>
      </c>
      <c r="I1319">
        <v>0</v>
      </c>
      <c r="J1319">
        <v>640.43938248884797</v>
      </c>
      <c r="K1319" s="26">
        <v>2019</v>
      </c>
      <c r="L1319" t="s">
        <v>11</v>
      </c>
      <c r="M1319" s="32">
        <v>300</v>
      </c>
      <c r="N1319">
        <v>36.542166029999997</v>
      </c>
      <c r="O1319">
        <v>4.75</v>
      </c>
      <c r="P1319" t="s">
        <v>12</v>
      </c>
      <c r="Q1319">
        <v>89</v>
      </c>
      <c r="R1319" t="s">
        <v>13</v>
      </c>
      <c r="S1319" t="s">
        <v>14</v>
      </c>
      <c r="T1319" t="s">
        <v>14</v>
      </c>
      <c r="U1319" s="34">
        <v>0</v>
      </c>
      <c r="V1319" s="34">
        <v>1</v>
      </c>
      <c r="W1319" s="25">
        <v>0.5</v>
      </c>
      <c r="X1319" s="25">
        <v>1</v>
      </c>
      <c r="Y1319">
        <v>1.5476535380000001</v>
      </c>
      <c r="Z1319" t="s">
        <v>1111</v>
      </c>
      <c r="AA1319" t="s">
        <v>622</v>
      </c>
      <c r="AB1319">
        <v>1</v>
      </c>
      <c r="AC1319">
        <v>47</v>
      </c>
      <c r="AF1319" t="s">
        <v>568</v>
      </c>
      <c r="AG1319" s="32">
        <v>470</v>
      </c>
      <c r="AH1319" s="32" t="s">
        <v>2442</v>
      </c>
      <c r="AI1319" s="32" t="s">
        <v>2446</v>
      </c>
      <c r="AJ1319" s="31" t="s">
        <v>3305</v>
      </c>
      <c r="AK1319" s="31">
        <v>0.15859999999999999</v>
      </c>
      <c r="AL1319" s="31">
        <v>74.542000000000002</v>
      </c>
      <c r="AM1319" s="31">
        <v>395.45799999999997</v>
      </c>
      <c r="AN1319" s="31">
        <v>3060.5911687733255</v>
      </c>
      <c r="AO1319" s="31">
        <v>16236.957184148019</v>
      </c>
      <c r="AP1319" s="31">
        <v>4.7367347507235928</v>
      </c>
      <c r="AQ1319" s="31">
        <v>25.129184232401197</v>
      </c>
      <c r="AR1319" s="31">
        <v>0.13341858489683281</v>
      </c>
    </row>
    <row r="1320" spans="1:44" x14ac:dyDescent="0.5">
      <c r="A1320" s="31">
        <v>1319</v>
      </c>
      <c r="B1320" s="31">
        <v>93</v>
      </c>
      <c r="C1320" s="225" t="s">
        <v>9</v>
      </c>
      <c r="D1320" s="32">
        <v>11.875265000000001</v>
      </c>
      <c r="E1320" s="38">
        <v>79.820742999999993</v>
      </c>
      <c r="F1320">
        <v>0</v>
      </c>
      <c r="G1320">
        <f t="shared" si="16"/>
        <v>0</v>
      </c>
      <c r="H1320" s="32" t="s">
        <v>10</v>
      </c>
      <c r="I1320">
        <v>0</v>
      </c>
      <c r="J1320">
        <v>640.43938248884797</v>
      </c>
      <c r="K1320" s="26">
        <v>2019</v>
      </c>
      <c r="L1320" t="s">
        <v>11</v>
      </c>
      <c r="M1320" s="32">
        <v>300</v>
      </c>
      <c r="N1320">
        <v>36.542166029999997</v>
      </c>
      <c r="O1320">
        <v>4.75</v>
      </c>
      <c r="P1320" t="s">
        <v>12</v>
      </c>
      <c r="Q1320">
        <v>89</v>
      </c>
      <c r="R1320" t="s">
        <v>13</v>
      </c>
      <c r="S1320" t="s">
        <v>14</v>
      </c>
      <c r="T1320" t="s">
        <v>14</v>
      </c>
      <c r="U1320" s="34">
        <v>0</v>
      </c>
      <c r="V1320" s="34">
        <v>1</v>
      </c>
      <c r="W1320" s="25">
        <v>0.5</v>
      </c>
      <c r="X1320" s="25">
        <v>1</v>
      </c>
      <c r="Y1320">
        <v>1.5476535380000001</v>
      </c>
      <c r="Z1320" t="s">
        <v>1111</v>
      </c>
      <c r="AA1320" t="s">
        <v>622</v>
      </c>
      <c r="AB1320">
        <v>1</v>
      </c>
      <c r="AC1320">
        <v>74</v>
      </c>
      <c r="AF1320" t="s">
        <v>568</v>
      </c>
      <c r="AG1320" s="32">
        <v>740</v>
      </c>
      <c r="AH1320" s="32" t="s">
        <v>2442</v>
      </c>
      <c r="AI1320" s="32" t="s">
        <v>2447</v>
      </c>
      <c r="AJ1320" s="31" t="s">
        <v>3306</v>
      </c>
      <c r="AK1320" s="31">
        <v>0.15859999999999999</v>
      </c>
      <c r="AL1320" s="31">
        <v>117.36399999999999</v>
      </c>
      <c r="AM1320" s="31">
        <v>622.63599999999997</v>
      </c>
      <c r="AN1320" s="31">
        <v>4818.8031167920444</v>
      </c>
      <c r="AO1320" s="31">
        <v>25564.570885679863</v>
      </c>
      <c r="AP1320" s="31">
        <v>7.4578376926286349</v>
      </c>
      <c r="AQ1320" s="31">
        <v>39.565098578674238</v>
      </c>
      <c r="AR1320" s="31">
        <v>0.13341858489683281</v>
      </c>
    </row>
    <row r="1321" spans="1:44" x14ac:dyDescent="0.5">
      <c r="A1321" s="31">
        <v>1320</v>
      </c>
      <c r="B1321" s="31">
        <v>93</v>
      </c>
      <c r="C1321" s="225" t="s">
        <v>9</v>
      </c>
      <c r="D1321" s="32">
        <v>11.875265000000001</v>
      </c>
      <c r="E1321" s="38">
        <v>79.820742999999993</v>
      </c>
      <c r="F1321">
        <v>0</v>
      </c>
      <c r="G1321">
        <f t="shared" si="16"/>
        <v>0</v>
      </c>
      <c r="H1321" s="32" t="s">
        <v>10</v>
      </c>
      <c r="I1321">
        <v>0</v>
      </c>
      <c r="J1321">
        <v>640.43938248884797</v>
      </c>
      <c r="K1321" s="26">
        <v>2019</v>
      </c>
      <c r="L1321" t="s">
        <v>11</v>
      </c>
      <c r="M1321" s="32">
        <v>300</v>
      </c>
      <c r="N1321">
        <v>36.542166029999997</v>
      </c>
      <c r="O1321">
        <v>4.75</v>
      </c>
      <c r="P1321" t="s">
        <v>12</v>
      </c>
      <c r="Q1321">
        <v>89</v>
      </c>
      <c r="R1321" t="s">
        <v>13</v>
      </c>
      <c r="S1321" t="s">
        <v>14</v>
      </c>
      <c r="T1321" t="s">
        <v>14</v>
      </c>
      <c r="U1321" s="34">
        <v>0</v>
      </c>
      <c r="V1321" s="34">
        <v>1</v>
      </c>
      <c r="W1321" s="25">
        <v>0.5</v>
      </c>
      <c r="X1321" s="25">
        <v>1</v>
      </c>
      <c r="Y1321">
        <v>1.5476535380000001</v>
      </c>
      <c r="Z1321" t="s">
        <v>1111</v>
      </c>
      <c r="AA1321" t="s">
        <v>622</v>
      </c>
      <c r="AB1321">
        <v>1</v>
      </c>
      <c r="AC1321">
        <v>75</v>
      </c>
      <c r="AF1321" t="s">
        <v>568</v>
      </c>
      <c r="AG1321" s="32">
        <v>750</v>
      </c>
      <c r="AH1321" s="32" t="s">
        <v>2442</v>
      </c>
      <c r="AI1321" s="32" t="s">
        <v>2448</v>
      </c>
      <c r="AJ1321" s="31" t="s">
        <v>3307</v>
      </c>
      <c r="AK1321" s="31">
        <v>0.15859999999999999</v>
      </c>
      <c r="AL1321" s="31">
        <v>118.94999999999999</v>
      </c>
      <c r="AM1321" s="31">
        <v>631.04999999999995</v>
      </c>
      <c r="AN1321" s="31">
        <v>4883.922077829774</v>
      </c>
      <c r="AO1321" s="31">
        <v>25910.038059810671</v>
      </c>
      <c r="AP1321" s="31">
        <v>7.5586192830695609</v>
      </c>
      <c r="AQ1321" s="31">
        <v>40.099762072980639</v>
      </c>
      <c r="AR1321" s="31">
        <v>0.13341858489683281</v>
      </c>
    </row>
    <row r="1322" spans="1:44" x14ac:dyDescent="0.5">
      <c r="A1322" s="31">
        <v>1321</v>
      </c>
      <c r="B1322" s="31">
        <v>93</v>
      </c>
      <c r="C1322" s="225" t="s">
        <v>9</v>
      </c>
      <c r="D1322" s="32">
        <v>11.890529000000001</v>
      </c>
      <c r="E1322" s="38">
        <v>79.826802000000001</v>
      </c>
      <c r="F1322">
        <v>0</v>
      </c>
      <c r="G1322">
        <f t="shared" si="16"/>
        <v>0</v>
      </c>
      <c r="H1322" s="32" t="s">
        <v>10</v>
      </c>
      <c r="I1322">
        <v>0</v>
      </c>
      <c r="J1322">
        <v>641.39610529557797</v>
      </c>
      <c r="K1322" s="26">
        <v>2019</v>
      </c>
      <c r="L1322" t="s">
        <v>11</v>
      </c>
      <c r="M1322" s="32">
        <v>300</v>
      </c>
      <c r="N1322">
        <v>36.542166029999997</v>
      </c>
      <c r="O1322">
        <v>4.75</v>
      </c>
      <c r="P1322" t="s">
        <v>12</v>
      </c>
      <c r="Q1322">
        <v>89</v>
      </c>
      <c r="R1322" t="s">
        <v>13</v>
      </c>
      <c r="S1322" t="s">
        <v>14</v>
      </c>
      <c r="T1322" t="s">
        <v>14</v>
      </c>
      <c r="U1322" s="34">
        <v>0</v>
      </c>
      <c r="V1322" s="34">
        <v>1</v>
      </c>
      <c r="W1322" s="25">
        <v>0.5</v>
      </c>
      <c r="X1322" s="25">
        <v>1</v>
      </c>
      <c r="Y1322">
        <v>1.5476535380000001</v>
      </c>
      <c r="Z1322" t="s">
        <v>1111</v>
      </c>
      <c r="AA1322" t="s">
        <v>622</v>
      </c>
      <c r="AB1322">
        <v>1</v>
      </c>
      <c r="AC1322">
        <v>64</v>
      </c>
      <c r="AF1322" t="s">
        <v>568</v>
      </c>
      <c r="AG1322" s="32">
        <v>640</v>
      </c>
      <c r="AH1322" s="32" t="s">
        <v>2442</v>
      </c>
      <c r="AI1322" s="32" t="s">
        <v>2449</v>
      </c>
      <c r="AJ1322" s="31" t="s">
        <v>3308</v>
      </c>
      <c r="AK1322" s="31">
        <v>0.15859999999999999</v>
      </c>
      <c r="AL1322" s="31">
        <v>101.50399999999999</v>
      </c>
      <c r="AM1322" s="31">
        <v>538.49599999999998</v>
      </c>
      <c r="AN1322" s="31">
        <v>4167.6135064147411</v>
      </c>
      <c r="AO1322" s="31">
        <v>22109.899144371771</v>
      </c>
      <c r="AP1322" s="31">
        <v>6.4500217882193605</v>
      </c>
      <c r="AQ1322" s="31">
        <v>34.218463635610142</v>
      </c>
      <c r="AR1322" s="31">
        <v>0.13341858489683281</v>
      </c>
    </row>
    <row r="1323" spans="1:44" x14ac:dyDescent="0.5">
      <c r="A1323" s="31">
        <v>1322</v>
      </c>
      <c r="B1323" s="31">
        <v>93</v>
      </c>
      <c r="C1323" s="225" t="s">
        <v>9</v>
      </c>
      <c r="D1323" s="32">
        <v>11.890529000000001</v>
      </c>
      <c r="E1323" s="38">
        <v>79.826802000000001</v>
      </c>
      <c r="F1323">
        <v>0</v>
      </c>
      <c r="G1323">
        <f t="shared" si="16"/>
        <v>0</v>
      </c>
      <c r="H1323" s="32" t="s">
        <v>10</v>
      </c>
      <c r="I1323">
        <v>0</v>
      </c>
      <c r="J1323">
        <v>641.39610529557797</v>
      </c>
      <c r="K1323" s="26">
        <v>2019</v>
      </c>
      <c r="L1323" t="s">
        <v>11</v>
      </c>
      <c r="M1323" s="32">
        <v>300</v>
      </c>
      <c r="N1323">
        <v>36.542166029999997</v>
      </c>
      <c r="O1323">
        <v>4.75</v>
      </c>
      <c r="P1323" t="s">
        <v>12</v>
      </c>
      <c r="Q1323">
        <v>89</v>
      </c>
      <c r="R1323" t="s">
        <v>13</v>
      </c>
      <c r="S1323" t="s">
        <v>14</v>
      </c>
      <c r="T1323" t="s">
        <v>14</v>
      </c>
      <c r="U1323" s="34">
        <v>0</v>
      </c>
      <c r="V1323" s="34">
        <v>1</v>
      </c>
      <c r="W1323" s="25">
        <v>0.5</v>
      </c>
      <c r="X1323" s="25">
        <v>1</v>
      </c>
      <c r="Y1323">
        <v>1.5476535380000001</v>
      </c>
      <c r="Z1323" t="s">
        <v>1111</v>
      </c>
      <c r="AA1323" t="s">
        <v>622</v>
      </c>
      <c r="AB1323">
        <v>1</v>
      </c>
      <c r="AC1323">
        <v>69</v>
      </c>
      <c r="AF1323" t="s">
        <v>568</v>
      </c>
      <c r="AG1323" s="32">
        <v>690</v>
      </c>
      <c r="AH1323" s="32" t="s">
        <v>2442</v>
      </c>
      <c r="AI1323" s="32" t="s">
        <v>2450</v>
      </c>
      <c r="AJ1323" s="31" t="s">
        <v>3309</v>
      </c>
      <c r="AK1323" s="31">
        <v>0.15859999999999999</v>
      </c>
      <c r="AL1323" s="31">
        <v>109.434</v>
      </c>
      <c r="AM1323" s="31">
        <v>580.56600000000003</v>
      </c>
      <c r="AN1323" s="31">
        <v>4493.2083116033928</v>
      </c>
      <c r="AO1323" s="31">
        <v>23837.235015025821</v>
      </c>
      <c r="AP1323" s="31">
        <v>6.9539297404239981</v>
      </c>
      <c r="AQ1323" s="31">
        <v>36.891781107142201</v>
      </c>
      <c r="AR1323" s="31">
        <v>0.13341858489683281</v>
      </c>
    </row>
    <row r="1324" spans="1:44" x14ac:dyDescent="0.5">
      <c r="A1324" s="31">
        <v>1323</v>
      </c>
      <c r="B1324" s="31">
        <v>93</v>
      </c>
      <c r="C1324" s="225" t="s">
        <v>9</v>
      </c>
      <c r="D1324" s="32">
        <v>11.890529000000001</v>
      </c>
      <c r="E1324" s="38">
        <v>79.826802000000001</v>
      </c>
      <c r="F1324">
        <v>0</v>
      </c>
      <c r="G1324">
        <f t="shared" si="16"/>
        <v>0</v>
      </c>
      <c r="H1324" s="32" t="s">
        <v>10</v>
      </c>
      <c r="I1324">
        <v>0</v>
      </c>
      <c r="J1324">
        <v>641.39610529557797</v>
      </c>
      <c r="K1324" s="26">
        <v>2019</v>
      </c>
      <c r="L1324" t="s">
        <v>11</v>
      </c>
      <c r="M1324" s="32">
        <v>300</v>
      </c>
      <c r="N1324">
        <v>36.542166029999997</v>
      </c>
      <c r="O1324">
        <v>4.75</v>
      </c>
      <c r="P1324" t="s">
        <v>12</v>
      </c>
      <c r="Q1324">
        <v>89</v>
      </c>
      <c r="R1324" t="s">
        <v>13</v>
      </c>
      <c r="S1324" t="s">
        <v>14</v>
      </c>
      <c r="T1324" t="s">
        <v>14</v>
      </c>
      <c r="U1324" s="34">
        <v>0</v>
      </c>
      <c r="V1324" s="34">
        <v>1</v>
      </c>
      <c r="W1324" s="25">
        <v>0.5</v>
      </c>
      <c r="X1324" s="25">
        <v>1</v>
      </c>
      <c r="Y1324">
        <v>1.5476535380000001</v>
      </c>
      <c r="Z1324" t="s">
        <v>1111</v>
      </c>
      <c r="AA1324" t="s">
        <v>622</v>
      </c>
      <c r="AB1324">
        <v>1</v>
      </c>
      <c r="AC1324">
        <v>85</v>
      </c>
      <c r="AF1324" t="s">
        <v>568</v>
      </c>
      <c r="AG1324" s="32">
        <v>850</v>
      </c>
      <c r="AH1324" s="32" t="s">
        <v>2442</v>
      </c>
      <c r="AI1324" s="32" t="s">
        <v>2451</v>
      </c>
      <c r="AJ1324" s="31" t="s">
        <v>3310</v>
      </c>
      <c r="AK1324" s="31">
        <v>0.15859999999999999</v>
      </c>
      <c r="AL1324" s="31">
        <v>134.81</v>
      </c>
      <c r="AM1324" s="31">
        <v>715.19</v>
      </c>
      <c r="AN1324" s="31">
        <v>5535.1116882070783</v>
      </c>
      <c r="AO1324" s="31">
        <v>29364.709801118766</v>
      </c>
      <c r="AP1324" s="31">
        <v>8.566435187478838</v>
      </c>
      <c r="AQ1324" s="31">
        <v>45.446397016044735</v>
      </c>
      <c r="AR1324" s="31">
        <v>0.13341858489683281</v>
      </c>
    </row>
    <row r="1325" spans="1:44" x14ac:dyDescent="0.5">
      <c r="A1325" s="31">
        <v>1324</v>
      </c>
      <c r="B1325" s="31">
        <v>93</v>
      </c>
      <c r="C1325" s="225" t="s">
        <v>9</v>
      </c>
      <c r="D1325" s="32">
        <v>11.890529000000001</v>
      </c>
      <c r="E1325" s="38">
        <v>79.826802000000001</v>
      </c>
      <c r="F1325">
        <v>0</v>
      </c>
      <c r="G1325">
        <f t="shared" si="16"/>
        <v>0</v>
      </c>
      <c r="H1325" s="32" t="s">
        <v>10</v>
      </c>
      <c r="I1325">
        <v>0</v>
      </c>
      <c r="J1325">
        <v>641.39610529557797</v>
      </c>
      <c r="K1325" s="26">
        <v>2019</v>
      </c>
      <c r="L1325" t="s">
        <v>11</v>
      </c>
      <c r="M1325" s="32">
        <v>300</v>
      </c>
      <c r="N1325">
        <v>36.542166029999997</v>
      </c>
      <c r="O1325">
        <v>4.75</v>
      </c>
      <c r="P1325" t="s">
        <v>12</v>
      </c>
      <c r="Q1325">
        <v>89</v>
      </c>
      <c r="R1325" t="s">
        <v>13</v>
      </c>
      <c r="S1325" t="s">
        <v>14</v>
      </c>
      <c r="T1325" t="s">
        <v>14</v>
      </c>
      <c r="U1325" s="34">
        <v>0</v>
      </c>
      <c r="V1325" s="34">
        <v>1</v>
      </c>
      <c r="W1325" s="25">
        <v>0.5</v>
      </c>
      <c r="X1325" s="25">
        <v>1</v>
      </c>
      <c r="Y1325">
        <v>1.5476535380000001</v>
      </c>
      <c r="Z1325" t="s">
        <v>1111</v>
      </c>
      <c r="AA1325" t="s">
        <v>622</v>
      </c>
      <c r="AB1325">
        <v>1</v>
      </c>
      <c r="AC1325">
        <v>110</v>
      </c>
      <c r="AF1325" t="s">
        <v>568</v>
      </c>
      <c r="AG1325" s="32">
        <v>1100</v>
      </c>
      <c r="AH1325" s="32" t="s">
        <v>2442</v>
      </c>
      <c r="AI1325" s="32" t="s">
        <v>2452</v>
      </c>
      <c r="AJ1325" s="31" t="s">
        <v>3311</v>
      </c>
      <c r="AK1325" s="31">
        <v>0.15859999999999999</v>
      </c>
      <c r="AL1325" s="31">
        <v>174.45999999999998</v>
      </c>
      <c r="AM1325" s="31">
        <v>925.54</v>
      </c>
      <c r="AN1325" s="31">
        <v>7163.0857141503357</v>
      </c>
      <c r="AO1325" s="31">
        <v>38001.389154388984</v>
      </c>
      <c r="AP1325" s="31">
        <v>11.085974948502024</v>
      </c>
      <c r="AQ1325" s="31">
        <v>58.812984373704936</v>
      </c>
      <c r="AR1325" s="31">
        <v>0.13341858489683281</v>
      </c>
    </row>
    <row r="1326" spans="1:44" x14ac:dyDescent="0.5">
      <c r="A1326" s="31">
        <v>1325</v>
      </c>
      <c r="B1326" s="31">
        <v>93</v>
      </c>
      <c r="C1326" s="225" t="s">
        <v>9</v>
      </c>
      <c r="D1326" s="32">
        <v>11.890529000000001</v>
      </c>
      <c r="E1326" s="38">
        <v>79.826802000000001</v>
      </c>
      <c r="F1326">
        <v>0</v>
      </c>
      <c r="G1326">
        <f t="shared" si="16"/>
        <v>0</v>
      </c>
      <c r="H1326" s="32" t="s">
        <v>10</v>
      </c>
      <c r="I1326">
        <v>0</v>
      </c>
      <c r="J1326">
        <v>641.39610529557797</v>
      </c>
      <c r="K1326" s="26">
        <v>2019</v>
      </c>
      <c r="L1326" t="s">
        <v>11</v>
      </c>
      <c r="M1326" s="32">
        <v>300</v>
      </c>
      <c r="N1326">
        <v>36.542166029999997</v>
      </c>
      <c r="O1326">
        <v>4.75</v>
      </c>
      <c r="P1326" t="s">
        <v>12</v>
      </c>
      <c r="Q1326">
        <v>89</v>
      </c>
      <c r="R1326" t="s">
        <v>13</v>
      </c>
      <c r="S1326" t="s">
        <v>14</v>
      </c>
      <c r="T1326" t="s">
        <v>14</v>
      </c>
      <c r="U1326" s="34">
        <v>0</v>
      </c>
      <c r="V1326" s="34">
        <v>1</v>
      </c>
      <c r="W1326" s="25">
        <v>0.5</v>
      </c>
      <c r="X1326" s="25">
        <v>1</v>
      </c>
      <c r="Y1326">
        <v>1.5476535380000001</v>
      </c>
      <c r="Z1326" t="s">
        <v>1111</v>
      </c>
      <c r="AA1326" t="s">
        <v>622</v>
      </c>
      <c r="AB1326">
        <v>1</v>
      </c>
      <c r="AC1326">
        <v>154</v>
      </c>
      <c r="AF1326" t="s">
        <v>568</v>
      </c>
      <c r="AG1326" s="32">
        <v>1540</v>
      </c>
      <c r="AH1326" s="32" t="s">
        <v>2442</v>
      </c>
      <c r="AI1326" s="32" t="s">
        <v>2453</v>
      </c>
      <c r="AJ1326" s="31" t="s">
        <v>3312</v>
      </c>
      <c r="AK1326" s="31">
        <v>0.15859999999999999</v>
      </c>
      <c r="AL1326" s="31">
        <v>244.244</v>
      </c>
      <c r="AM1326" s="31">
        <v>1295.7560000000001</v>
      </c>
      <c r="AN1326" s="31">
        <v>10028.31999981047</v>
      </c>
      <c r="AO1326" s="31">
        <v>53201.944816144576</v>
      </c>
      <c r="AP1326" s="31">
        <v>15.520364927902834</v>
      </c>
      <c r="AQ1326" s="31">
        <v>82.338178123186907</v>
      </c>
      <c r="AR1326" s="31">
        <v>0.13341858489683281</v>
      </c>
    </row>
    <row r="1327" spans="1:44" x14ac:dyDescent="0.5">
      <c r="A1327" s="31">
        <v>1326</v>
      </c>
      <c r="B1327" s="31">
        <v>93</v>
      </c>
      <c r="C1327" s="225" t="s">
        <v>9</v>
      </c>
      <c r="D1327" s="32">
        <v>11.890529000000001</v>
      </c>
      <c r="E1327" s="38">
        <v>79.826802000000001</v>
      </c>
      <c r="F1327">
        <v>0</v>
      </c>
      <c r="G1327">
        <f t="shared" si="16"/>
        <v>0</v>
      </c>
      <c r="H1327" s="32" t="s">
        <v>10</v>
      </c>
      <c r="I1327">
        <v>0</v>
      </c>
      <c r="J1327">
        <v>641.39610529557797</v>
      </c>
      <c r="K1327" s="26">
        <v>2019</v>
      </c>
      <c r="L1327" t="s">
        <v>11</v>
      </c>
      <c r="M1327" s="32">
        <v>300</v>
      </c>
      <c r="N1327">
        <v>36.542166029999997</v>
      </c>
      <c r="O1327">
        <v>4.75</v>
      </c>
      <c r="P1327" t="s">
        <v>12</v>
      </c>
      <c r="Q1327">
        <v>89</v>
      </c>
      <c r="R1327" t="s">
        <v>13</v>
      </c>
      <c r="S1327" t="s">
        <v>14</v>
      </c>
      <c r="T1327" t="s">
        <v>14</v>
      </c>
      <c r="U1327" s="34">
        <v>0</v>
      </c>
      <c r="V1327" s="34">
        <v>1</v>
      </c>
      <c r="W1327" s="25">
        <v>0.5</v>
      </c>
      <c r="X1327" s="25">
        <v>1</v>
      </c>
      <c r="Y1327">
        <v>1.5476535380000001</v>
      </c>
      <c r="Z1327" t="s">
        <v>1111</v>
      </c>
      <c r="AA1327" t="s">
        <v>622</v>
      </c>
      <c r="AB1327">
        <v>1</v>
      </c>
      <c r="AC1327">
        <v>157</v>
      </c>
      <c r="AF1327" t="s">
        <v>568</v>
      </c>
      <c r="AG1327" s="32">
        <v>1570</v>
      </c>
      <c r="AH1327" s="32" t="s">
        <v>2442</v>
      </c>
      <c r="AI1327" s="32" t="s">
        <v>2454</v>
      </c>
      <c r="AJ1327" s="31" t="s">
        <v>3313</v>
      </c>
      <c r="AK1327" s="31">
        <v>0.15859999999999999</v>
      </c>
      <c r="AL1327" s="31">
        <v>249.00199999999998</v>
      </c>
      <c r="AM1327" s="31">
        <v>1320.998</v>
      </c>
      <c r="AN1327" s="31">
        <v>10223.676882923661</v>
      </c>
      <c r="AO1327" s="31">
        <v>54238.346338537005</v>
      </c>
      <c r="AP1327" s="31">
        <v>15.822709699225616</v>
      </c>
      <c r="AQ1327" s="31">
        <v>83.942168606106151</v>
      </c>
      <c r="AR1327" s="31">
        <v>0.13341858489683281</v>
      </c>
    </row>
    <row r="1328" spans="1:44" x14ac:dyDescent="0.5">
      <c r="A1328" s="31">
        <v>1327</v>
      </c>
      <c r="B1328" s="31">
        <v>93</v>
      </c>
      <c r="C1328" s="225" t="s">
        <v>9</v>
      </c>
      <c r="D1328" s="32">
        <v>11.969035</v>
      </c>
      <c r="E1328" s="38">
        <v>79.844565000000003</v>
      </c>
      <c r="F1328">
        <v>0</v>
      </c>
      <c r="G1328">
        <f t="shared" si="16"/>
        <v>0</v>
      </c>
      <c r="H1328" s="32" t="s">
        <v>10</v>
      </c>
      <c r="I1328">
        <v>0</v>
      </c>
      <c r="J1328">
        <v>671.06173450664403</v>
      </c>
      <c r="K1328" s="26">
        <v>2019</v>
      </c>
      <c r="L1328" t="s">
        <v>11</v>
      </c>
      <c r="M1328" s="32">
        <v>300</v>
      </c>
      <c r="N1328">
        <v>36.542166029999997</v>
      </c>
      <c r="O1328">
        <v>4.75</v>
      </c>
      <c r="P1328" t="s">
        <v>12</v>
      </c>
      <c r="Q1328">
        <v>89</v>
      </c>
      <c r="R1328" t="s">
        <v>13</v>
      </c>
      <c r="S1328" t="s">
        <v>14</v>
      </c>
      <c r="T1328" t="s">
        <v>14</v>
      </c>
      <c r="U1328" s="34">
        <v>0</v>
      </c>
      <c r="V1328" s="34">
        <v>1</v>
      </c>
      <c r="W1328" s="25">
        <v>0.5</v>
      </c>
      <c r="X1328" s="25">
        <v>1</v>
      </c>
      <c r="Y1328">
        <v>1.5476535380000001</v>
      </c>
      <c r="Z1328" t="s">
        <v>1111</v>
      </c>
      <c r="AA1328" t="s">
        <v>622</v>
      </c>
      <c r="AB1328">
        <v>1</v>
      </c>
      <c r="AC1328">
        <v>98</v>
      </c>
      <c r="AF1328" t="s">
        <v>568</v>
      </c>
      <c r="AG1328" s="32">
        <v>980</v>
      </c>
      <c r="AH1328" s="32" t="s">
        <v>2442</v>
      </c>
      <c r="AI1328" s="32" t="s">
        <v>2455</v>
      </c>
      <c r="AJ1328" s="31" t="s">
        <v>3314</v>
      </c>
      <c r="AK1328" s="31">
        <v>0.15859999999999999</v>
      </c>
      <c r="AL1328" s="31">
        <v>155.428</v>
      </c>
      <c r="AM1328" s="31">
        <v>824.572</v>
      </c>
      <c r="AN1328" s="31">
        <v>6381.6581816975722</v>
      </c>
      <c r="AO1328" s="31">
        <v>33855.783064819283</v>
      </c>
      <c r="AP1328" s="31">
        <v>9.8765958632108948</v>
      </c>
      <c r="AQ1328" s="31">
        <v>52.397022442028053</v>
      </c>
      <c r="AR1328" s="31">
        <v>0.13341858489683281</v>
      </c>
    </row>
    <row r="1329" spans="1:44" x14ac:dyDescent="0.5">
      <c r="A1329" s="31">
        <v>1328</v>
      </c>
      <c r="B1329" s="31">
        <v>93</v>
      </c>
      <c r="C1329" s="225" t="s">
        <v>9</v>
      </c>
      <c r="D1329" s="32">
        <v>11.969035</v>
      </c>
      <c r="E1329" s="38">
        <v>79.844565000000003</v>
      </c>
      <c r="F1329">
        <v>0</v>
      </c>
      <c r="G1329">
        <f t="shared" si="16"/>
        <v>0</v>
      </c>
      <c r="H1329" s="32" t="s">
        <v>10</v>
      </c>
      <c r="I1329">
        <v>0</v>
      </c>
      <c r="J1329">
        <v>671.06173450664403</v>
      </c>
      <c r="K1329" s="26">
        <v>2019</v>
      </c>
      <c r="L1329" t="s">
        <v>11</v>
      </c>
      <c r="M1329" s="32">
        <v>300</v>
      </c>
      <c r="N1329">
        <v>36.542166029999997</v>
      </c>
      <c r="O1329">
        <v>4.75</v>
      </c>
      <c r="P1329" t="s">
        <v>12</v>
      </c>
      <c r="Q1329">
        <v>89</v>
      </c>
      <c r="R1329" t="s">
        <v>13</v>
      </c>
      <c r="S1329" t="s">
        <v>14</v>
      </c>
      <c r="T1329" t="s">
        <v>14</v>
      </c>
      <c r="U1329" s="34">
        <v>0</v>
      </c>
      <c r="V1329" s="34">
        <v>1</v>
      </c>
      <c r="W1329" s="25">
        <v>0.5</v>
      </c>
      <c r="X1329" s="25">
        <v>1</v>
      </c>
      <c r="Y1329">
        <v>1.5476535380000001</v>
      </c>
      <c r="Z1329" t="s">
        <v>1111</v>
      </c>
      <c r="AA1329" t="s">
        <v>622</v>
      </c>
      <c r="AB1329">
        <v>1</v>
      </c>
      <c r="AC1329">
        <v>106</v>
      </c>
      <c r="AF1329" t="s">
        <v>568</v>
      </c>
      <c r="AG1329" s="32">
        <v>1060</v>
      </c>
      <c r="AH1329" s="32" t="s">
        <v>2442</v>
      </c>
      <c r="AI1329" s="32" t="s">
        <v>2456</v>
      </c>
      <c r="AJ1329" s="31" t="s">
        <v>3315</v>
      </c>
      <c r="AK1329" s="31">
        <v>0.15859999999999999</v>
      </c>
      <c r="AL1329" s="31">
        <v>168.11599999999999</v>
      </c>
      <c r="AM1329" s="31">
        <v>891.88400000000001</v>
      </c>
      <c r="AN1329" s="31">
        <v>6902.6098699994154</v>
      </c>
      <c r="AO1329" s="31">
        <v>36619.52045786575</v>
      </c>
      <c r="AP1329" s="31">
        <v>10.682848586738316</v>
      </c>
      <c r="AQ1329" s="31">
        <v>56.674330396479313</v>
      </c>
      <c r="AR1329" s="31">
        <v>0.13341858489683281</v>
      </c>
    </row>
    <row r="1330" spans="1:44" x14ac:dyDescent="0.5">
      <c r="A1330" s="31">
        <v>1329</v>
      </c>
      <c r="B1330" s="31">
        <v>93</v>
      </c>
      <c r="C1330" s="225" t="s">
        <v>9</v>
      </c>
      <c r="D1330" s="32">
        <v>11.969035</v>
      </c>
      <c r="E1330" s="38">
        <v>79.844565000000003</v>
      </c>
      <c r="F1330">
        <v>0</v>
      </c>
      <c r="G1330">
        <f t="shared" si="16"/>
        <v>0</v>
      </c>
      <c r="H1330" s="32" t="s">
        <v>10</v>
      </c>
      <c r="I1330">
        <v>0</v>
      </c>
      <c r="J1330">
        <v>671.06173450664403</v>
      </c>
      <c r="K1330" s="26">
        <v>2019</v>
      </c>
      <c r="L1330" t="s">
        <v>11</v>
      </c>
      <c r="M1330" s="32">
        <v>300</v>
      </c>
      <c r="N1330">
        <v>36.542166029999997</v>
      </c>
      <c r="O1330">
        <v>4.75</v>
      </c>
      <c r="P1330" t="s">
        <v>12</v>
      </c>
      <c r="Q1330">
        <v>89</v>
      </c>
      <c r="R1330" t="s">
        <v>13</v>
      </c>
      <c r="S1330" t="s">
        <v>14</v>
      </c>
      <c r="T1330" t="s">
        <v>14</v>
      </c>
      <c r="U1330" s="34">
        <v>0</v>
      </c>
      <c r="V1330" s="34">
        <v>1</v>
      </c>
      <c r="W1330" s="25">
        <v>0.5</v>
      </c>
      <c r="X1330" s="25">
        <v>1</v>
      </c>
      <c r="Y1330">
        <v>1.5476535380000001</v>
      </c>
      <c r="Z1330" t="s">
        <v>1111</v>
      </c>
      <c r="AA1330" t="s">
        <v>622</v>
      </c>
      <c r="AB1330">
        <v>1</v>
      </c>
      <c r="AC1330">
        <v>135</v>
      </c>
      <c r="AF1330" t="s">
        <v>568</v>
      </c>
      <c r="AG1330" s="32">
        <v>1350</v>
      </c>
      <c r="AH1330" s="32" t="s">
        <v>2442</v>
      </c>
      <c r="AI1330" s="32" t="s">
        <v>2457</v>
      </c>
      <c r="AJ1330" s="31" t="s">
        <v>3316</v>
      </c>
      <c r="AK1330" s="31">
        <v>0.15859999999999999</v>
      </c>
      <c r="AL1330" s="31">
        <v>214.10999999999999</v>
      </c>
      <c r="AM1330" s="31">
        <v>1135.8900000000001</v>
      </c>
      <c r="AN1330" s="31">
        <v>8791.0597400935949</v>
      </c>
      <c r="AO1330" s="31">
        <v>46638.068507659213</v>
      </c>
      <c r="AP1330" s="31">
        <v>13.605514709525211</v>
      </c>
      <c r="AQ1330" s="31">
        <v>72.179571731365158</v>
      </c>
      <c r="AR1330" s="31">
        <v>0.13341858489683281</v>
      </c>
    </row>
    <row r="1331" spans="1:44" x14ac:dyDescent="0.5">
      <c r="A1331" s="31">
        <v>1330</v>
      </c>
      <c r="B1331" s="31">
        <v>93</v>
      </c>
      <c r="C1331" s="225" t="s">
        <v>9</v>
      </c>
      <c r="D1331" s="32">
        <v>11.969035</v>
      </c>
      <c r="E1331" s="38">
        <v>79.844565000000003</v>
      </c>
      <c r="F1331">
        <v>0</v>
      </c>
      <c r="G1331">
        <f t="shared" si="16"/>
        <v>0</v>
      </c>
      <c r="H1331" s="32" t="s">
        <v>10</v>
      </c>
      <c r="I1331">
        <v>0</v>
      </c>
      <c r="J1331">
        <v>671.06173450664403</v>
      </c>
      <c r="K1331" s="26">
        <v>2019</v>
      </c>
      <c r="L1331" t="s">
        <v>11</v>
      </c>
      <c r="M1331" s="32">
        <v>300</v>
      </c>
      <c r="N1331">
        <v>36.542166029999997</v>
      </c>
      <c r="O1331">
        <v>4.75</v>
      </c>
      <c r="P1331" t="s">
        <v>12</v>
      </c>
      <c r="Q1331">
        <v>89</v>
      </c>
      <c r="R1331" t="s">
        <v>13</v>
      </c>
      <c r="S1331" t="s">
        <v>14</v>
      </c>
      <c r="T1331" t="s">
        <v>14</v>
      </c>
      <c r="U1331" s="34">
        <v>0</v>
      </c>
      <c r="V1331" s="34">
        <v>1</v>
      </c>
      <c r="W1331" s="25">
        <v>0.5</v>
      </c>
      <c r="X1331" s="25">
        <v>1</v>
      </c>
      <c r="Y1331">
        <v>1.5476535380000001</v>
      </c>
      <c r="Z1331" t="s">
        <v>1111</v>
      </c>
      <c r="AA1331" t="s">
        <v>622</v>
      </c>
      <c r="AB1331">
        <v>1</v>
      </c>
      <c r="AC1331">
        <v>147</v>
      </c>
      <c r="AF1331" t="s">
        <v>568</v>
      </c>
      <c r="AG1331" s="32">
        <v>1470</v>
      </c>
      <c r="AH1331" s="32" t="s">
        <v>2442</v>
      </c>
      <c r="AI1331" s="32" t="s">
        <v>2458</v>
      </c>
      <c r="AJ1331" s="31" t="s">
        <v>3317</v>
      </c>
      <c r="AK1331" s="31">
        <v>0.15859999999999999</v>
      </c>
      <c r="AL1331" s="31">
        <v>233.142</v>
      </c>
      <c r="AM1331" s="31">
        <v>1236.8579999999999</v>
      </c>
      <c r="AN1331" s="31">
        <v>9572.4872725463592</v>
      </c>
      <c r="AO1331" s="31">
        <v>50783.674597228921</v>
      </c>
      <c r="AP1331" s="31">
        <v>14.814893794816344</v>
      </c>
      <c r="AQ1331" s="31">
        <v>78.595533663042076</v>
      </c>
      <c r="AR1331" s="31">
        <v>0.13341858489683281</v>
      </c>
    </row>
    <row r="1332" spans="1:44" x14ac:dyDescent="0.5">
      <c r="A1332" s="31">
        <v>1331</v>
      </c>
      <c r="B1332" s="31">
        <v>93</v>
      </c>
      <c r="C1332" s="225" t="s">
        <v>9</v>
      </c>
      <c r="D1332" s="32">
        <v>11.969035</v>
      </c>
      <c r="E1332" s="38">
        <v>79.844565000000003</v>
      </c>
      <c r="F1332">
        <v>0</v>
      </c>
      <c r="G1332">
        <f t="shared" si="16"/>
        <v>0</v>
      </c>
      <c r="H1332" s="32" t="s">
        <v>10</v>
      </c>
      <c r="I1332">
        <v>0</v>
      </c>
      <c r="J1332">
        <v>671.06173450664403</v>
      </c>
      <c r="K1332" s="26">
        <v>2019</v>
      </c>
      <c r="L1332" t="s">
        <v>11</v>
      </c>
      <c r="M1332" s="32">
        <v>300</v>
      </c>
      <c r="N1332">
        <v>36.542166029999997</v>
      </c>
      <c r="O1332">
        <v>4.75</v>
      </c>
      <c r="P1332" t="s">
        <v>12</v>
      </c>
      <c r="Q1332">
        <v>89</v>
      </c>
      <c r="R1332" t="s">
        <v>13</v>
      </c>
      <c r="S1332" t="s">
        <v>14</v>
      </c>
      <c r="T1332" t="s">
        <v>14</v>
      </c>
      <c r="U1332" s="34">
        <v>0</v>
      </c>
      <c r="V1332" s="34">
        <v>1</v>
      </c>
      <c r="W1332" s="25">
        <v>0.5</v>
      </c>
      <c r="X1332" s="25">
        <v>1</v>
      </c>
      <c r="Y1332">
        <v>1.5476535380000001</v>
      </c>
      <c r="Z1332" t="s">
        <v>1111</v>
      </c>
      <c r="AA1332" t="s">
        <v>622</v>
      </c>
      <c r="AB1332">
        <v>1</v>
      </c>
      <c r="AC1332">
        <v>152</v>
      </c>
      <c r="AF1332" t="s">
        <v>568</v>
      </c>
      <c r="AG1332" s="32">
        <v>1520</v>
      </c>
      <c r="AH1332" s="32" t="s">
        <v>2442</v>
      </c>
      <c r="AI1332" s="32" t="s">
        <v>2459</v>
      </c>
      <c r="AJ1332" s="31" t="s">
        <v>3318</v>
      </c>
      <c r="AK1332" s="31">
        <v>0.15859999999999999</v>
      </c>
      <c r="AL1332" s="31">
        <v>241.07199999999997</v>
      </c>
      <c r="AM1332" s="31">
        <v>1278.9280000000001</v>
      </c>
      <c r="AN1332" s="31">
        <v>9898.0820777350091</v>
      </c>
      <c r="AO1332" s="31">
        <v>52511.010467882967</v>
      </c>
      <c r="AP1332" s="31">
        <v>15.318801747020977</v>
      </c>
      <c r="AQ1332" s="31">
        <v>81.26885113457412</v>
      </c>
      <c r="AR1332" s="31">
        <v>0.13341858489683281</v>
      </c>
    </row>
    <row r="1333" spans="1:44" x14ac:dyDescent="0.5">
      <c r="A1333" s="31">
        <v>1332</v>
      </c>
      <c r="B1333" s="31">
        <v>93</v>
      </c>
      <c r="C1333" s="225" t="s">
        <v>9</v>
      </c>
      <c r="D1333" s="32">
        <v>11.969035</v>
      </c>
      <c r="E1333" s="38">
        <v>79.844565000000003</v>
      </c>
      <c r="F1333">
        <v>0</v>
      </c>
      <c r="G1333">
        <f t="shared" si="16"/>
        <v>0</v>
      </c>
      <c r="H1333" s="32" t="s">
        <v>10</v>
      </c>
      <c r="I1333">
        <v>0</v>
      </c>
      <c r="J1333">
        <v>671.06173450664403</v>
      </c>
      <c r="K1333" s="26">
        <v>2019</v>
      </c>
      <c r="L1333" t="s">
        <v>11</v>
      </c>
      <c r="M1333" s="32">
        <v>300</v>
      </c>
      <c r="N1333">
        <v>36.542166029999997</v>
      </c>
      <c r="O1333">
        <v>4.75</v>
      </c>
      <c r="P1333" t="s">
        <v>12</v>
      </c>
      <c r="Q1333">
        <v>89</v>
      </c>
      <c r="R1333" t="s">
        <v>13</v>
      </c>
      <c r="S1333" t="s">
        <v>14</v>
      </c>
      <c r="T1333" t="s">
        <v>14</v>
      </c>
      <c r="U1333" s="34">
        <v>0</v>
      </c>
      <c r="V1333" s="34">
        <v>1</v>
      </c>
      <c r="W1333" s="25">
        <v>0.5</v>
      </c>
      <c r="X1333" s="25">
        <v>1</v>
      </c>
      <c r="Y1333">
        <v>1.5476535380000001</v>
      </c>
      <c r="Z1333" t="s">
        <v>1111</v>
      </c>
      <c r="AA1333" t="s">
        <v>622</v>
      </c>
      <c r="AB1333">
        <v>1</v>
      </c>
      <c r="AC1333">
        <v>176</v>
      </c>
      <c r="AF1333" t="s">
        <v>568</v>
      </c>
      <c r="AG1333" s="32">
        <v>1760</v>
      </c>
      <c r="AH1333" s="32" t="s">
        <v>2442</v>
      </c>
      <c r="AI1333" s="32" t="s">
        <v>2460</v>
      </c>
      <c r="AJ1333" s="31" t="s">
        <v>3319</v>
      </c>
      <c r="AK1333" s="31">
        <v>0.15859999999999999</v>
      </c>
      <c r="AL1333" s="31">
        <v>279.13599999999997</v>
      </c>
      <c r="AM1333" s="31">
        <v>1480.864</v>
      </c>
      <c r="AN1333" s="31">
        <v>11460.937142640536</v>
      </c>
      <c r="AO1333" s="31">
        <v>60802.222647022383</v>
      </c>
      <c r="AP1333" s="31">
        <v>17.737559917603235</v>
      </c>
      <c r="AQ1333" s="31">
        <v>94.100774997927914</v>
      </c>
      <c r="AR1333" s="31">
        <v>0.13341858489683281</v>
      </c>
    </row>
    <row r="1334" spans="1:44" x14ac:dyDescent="0.5">
      <c r="A1334" s="31">
        <v>1333</v>
      </c>
      <c r="B1334" s="31">
        <v>93</v>
      </c>
      <c r="C1334" s="225" t="s">
        <v>9</v>
      </c>
      <c r="D1334" s="32">
        <v>11.986520000000001</v>
      </c>
      <c r="E1334" s="38">
        <v>79.849670000000003</v>
      </c>
      <c r="F1334">
        <v>0</v>
      </c>
      <c r="G1334">
        <f t="shared" si="16"/>
        <v>0</v>
      </c>
      <c r="H1334" s="32" t="s">
        <v>10</v>
      </c>
      <c r="I1334">
        <v>0</v>
      </c>
      <c r="J1334">
        <v>680.35220054955596</v>
      </c>
      <c r="K1334" s="26">
        <v>2019</v>
      </c>
      <c r="L1334" t="s">
        <v>11</v>
      </c>
      <c r="M1334" s="32">
        <v>300</v>
      </c>
      <c r="N1334">
        <v>36.542166029999997</v>
      </c>
      <c r="O1334">
        <v>4.75</v>
      </c>
      <c r="P1334" t="s">
        <v>12</v>
      </c>
      <c r="Q1334">
        <v>89</v>
      </c>
      <c r="R1334" t="s">
        <v>13</v>
      </c>
      <c r="S1334" t="s">
        <v>14</v>
      </c>
      <c r="T1334" t="s">
        <v>14</v>
      </c>
      <c r="U1334" s="34">
        <v>0</v>
      </c>
      <c r="V1334" s="34">
        <v>1</v>
      </c>
      <c r="W1334" s="25">
        <v>0.5</v>
      </c>
      <c r="X1334" s="25">
        <v>1</v>
      </c>
      <c r="Y1334">
        <v>1.5476535380000001</v>
      </c>
      <c r="Z1334" t="s">
        <v>1111</v>
      </c>
      <c r="AA1334" t="s">
        <v>622</v>
      </c>
      <c r="AB1334">
        <v>1</v>
      </c>
      <c r="AC1334">
        <v>0</v>
      </c>
      <c r="AF1334" t="s">
        <v>568</v>
      </c>
      <c r="AG1334" s="32">
        <v>0</v>
      </c>
      <c r="AH1334" s="32" t="s">
        <v>671</v>
      </c>
      <c r="AI1334" s="32" t="s">
        <v>1129</v>
      </c>
      <c r="AJ1334" s="31" t="s">
        <v>1130</v>
      </c>
      <c r="AK1334" s="31">
        <v>0.59524549999999998</v>
      </c>
      <c r="AL1334" s="31">
        <v>0</v>
      </c>
      <c r="AM1334" s="31">
        <v>0</v>
      </c>
      <c r="AN1334" s="31">
        <v>0</v>
      </c>
      <c r="AO1334" s="31">
        <v>0</v>
      </c>
      <c r="AP1334" s="31">
        <v>0</v>
      </c>
      <c r="AQ1334" s="31">
        <v>0</v>
      </c>
      <c r="AR1334" s="31">
        <v>0.13341858489683281</v>
      </c>
    </row>
    <row r="1335" spans="1:44" x14ac:dyDescent="0.5">
      <c r="A1335" s="31">
        <v>1334</v>
      </c>
      <c r="B1335" s="31">
        <v>93</v>
      </c>
      <c r="C1335" s="225" t="s">
        <v>9</v>
      </c>
      <c r="D1335" s="32">
        <v>11.986520000000001</v>
      </c>
      <c r="E1335" s="38">
        <v>79.849670000000003</v>
      </c>
      <c r="F1335">
        <v>0</v>
      </c>
      <c r="G1335">
        <f t="shared" si="16"/>
        <v>0</v>
      </c>
      <c r="H1335" s="32" t="s">
        <v>10</v>
      </c>
      <c r="I1335">
        <v>0</v>
      </c>
      <c r="J1335">
        <v>680.35220054955596</v>
      </c>
      <c r="K1335" s="26">
        <v>2019</v>
      </c>
      <c r="L1335" t="s">
        <v>11</v>
      </c>
      <c r="M1335" s="32">
        <v>300</v>
      </c>
      <c r="N1335">
        <v>36.542166029999997</v>
      </c>
      <c r="O1335">
        <v>4.75</v>
      </c>
      <c r="P1335" t="s">
        <v>12</v>
      </c>
      <c r="Q1335">
        <v>89</v>
      </c>
      <c r="R1335" t="s">
        <v>13</v>
      </c>
      <c r="S1335" t="s">
        <v>14</v>
      </c>
      <c r="T1335" t="s">
        <v>14</v>
      </c>
      <c r="U1335" s="34">
        <v>0</v>
      </c>
      <c r="V1335" s="34">
        <v>1</v>
      </c>
      <c r="W1335" s="25">
        <v>0.5</v>
      </c>
      <c r="X1335" s="25">
        <v>1</v>
      </c>
      <c r="Y1335">
        <v>1.5476535380000001</v>
      </c>
      <c r="Z1335" t="s">
        <v>1111</v>
      </c>
      <c r="AA1335" t="s">
        <v>622</v>
      </c>
      <c r="AB1335">
        <v>1</v>
      </c>
      <c r="AC1335">
        <v>15</v>
      </c>
      <c r="AF1335" t="s">
        <v>568</v>
      </c>
      <c r="AG1335" s="32">
        <v>150</v>
      </c>
      <c r="AH1335" s="32" t="s">
        <v>2442</v>
      </c>
      <c r="AI1335" s="32" t="s">
        <v>2461</v>
      </c>
      <c r="AJ1335" s="31" t="s">
        <v>3320</v>
      </c>
      <c r="AK1335" s="31">
        <v>0.15859999999999999</v>
      </c>
      <c r="AL1335" s="31">
        <v>23.79</v>
      </c>
      <c r="AM1335" s="31">
        <v>126.21000000000001</v>
      </c>
      <c r="AN1335" s="31">
        <v>976.78441556595499</v>
      </c>
      <c r="AO1335" s="31">
        <v>5182.0076119621344</v>
      </c>
      <c r="AP1335" s="31">
        <v>1.5117238566139126</v>
      </c>
      <c r="AQ1335" s="31">
        <v>8.0199524145961298</v>
      </c>
      <c r="AR1335" s="31">
        <v>0.13341858489683281</v>
      </c>
    </row>
    <row r="1336" spans="1:44" x14ac:dyDescent="0.5">
      <c r="A1336" s="31">
        <v>1335</v>
      </c>
      <c r="B1336" s="31">
        <v>93</v>
      </c>
      <c r="C1336" s="225" t="s">
        <v>9</v>
      </c>
      <c r="D1336" s="32">
        <v>11.986520000000001</v>
      </c>
      <c r="E1336" s="38">
        <v>79.849670000000003</v>
      </c>
      <c r="F1336">
        <v>0</v>
      </c>
      <c r="G1336">
        <f t="shared" si="16"/>
        <v>0</v>
      </c>
      <c r="H1336" s="32" t="s">
        <v>10</v>
      </c>
      <c r="I1336">
        <v>0</v>
      </c>
      <c r="J1336">
        <v>680.35220054955596</v>
      </c>
      <c r="K1336" s="26">
        <v>2019</v>
      </c>
      <c r="L1336" t="s">
        <v>11</v>
      </c>
      <c r="M1336" s="32">
        <v>300</v>
      </c>
      <c r="N1336">
        <v>36.542166029999997</v>
      </c>
      <c r="O1336">
        <v>4.75</v>
      </c>
      <c r="P1336" t="s">
        <v>12</v>
      </c>
      <c r="Q1336">
        <v>89</v>
      </c>
      <c r="R1336" t="s">
        <v>13</v>
      </c>
      <c r="S1336" t="s">
        <v>14</v>
      </c>
      <c r="T1336" t="s">
        <v>14</v>
      </c>
      <c r="U1336" s="34">
        <v>0</v>
      </c>
      <c r="V1336" s="34">
        <v>1</v>
      </c>
      <c r="W1336" s="25">
        <v>0.5</v>
      </c>
      <c r="X1336" s="25">
        <v>1</v>
      </c>
      <c r="Y1336">
        <v>1.5476535380000001</v>
      </c>
      <c r="Z1336" t="s">
        <v>1111</v>
      </c>
      <c r="AA1336" t="s">
        <v>622</v>
      </c>
      <c r="AB1336">
        <v>1</v>
      </c>
      <c r="AC1336">
        <v>20</v>
      </c>
      <c r="AF1336" t="s">
        <v>568</v>
      </c>
      <c r="AG1336" s="32">
        <v>200</v>
      </c>
      <c r="AH1336" s="32" t="s">
        <v>2442</v>
      </c>
      <c r="AI1336" s="32" t="s">
        <v>2462</v>
      </c>
      <c r="AJ1336" s="31" t="s">
        <v>3321</v>
      </c>
      <c r="AK1336" s="31">
        <v>0.15859999999999999</v>
      </c>
      <c r="AL1336" s="31">
        <v>31.72</v>
      </c>
      <c r="AM1336" s="31">
        <v>168.28</v>
      </c>
      <c r="AN1336" s="31">
        <v>1302.3792207546066</v>
      </c>
      <c r="AO1336" s="31">
        <v>6909.3434826161792</v>
      </c>
      <c r="AP1336" s="31">
        <v>2.0156318088185499</v>
      </c>
      <c r="AQ1336" s="31">
        <v>10.693269886128171</v>
      </c>
      <c r="AR1336" s="31">
        <v>0.13341858489683281</v>
      </c>
    </row>
    <row r="1337" spans="1:44" x14ac:dyDescent="0.5">
      <c r="A1337" s="31">
        <v>1336</v>
      </c>
      <c r="B1337" s="31">
        <v>93</v>
      </c>
      <c r="C1337" s="225" t="s">
        <v>9</v>
      </c>
      <c r="D1337" s="32">
        <v>11.986520000000001</v>
      </c>
      <c r="E1337" s="38">
        <v>79.849670000000003</v>
      </c>
      <c r="F1337">
        <v>0</v>
      </c>
      <c r="G1337">
        <f t="shared" si="16"/>
        <v>0</v>
      </c>
      <c r="H1337" s="32" t="s">
        <v>10</v>
      </c>
      <c r="I1337">
        <v>0</v>
      </c>
      <c r="J1337">
        <v>680.35220054955596</v>
      </c>
      <c r="K1337" s="26">
        <v>2019</v>
      </c>
      <c r="L1337" t="s">
        <v>11</v>
      </c>
      <c r="M1337" s="32">
        <v>300</v>
      </c>
      <c r="N1337">
        <v>36.542166029999997</v>
      </c>
      <c r="O1337">
        <v>4.75</v>
      </c>
      <c r="P1337" t="s">
        <v>12</v>
      </c>
      <c r="Q1337">
        <v>89</v>
      </c>
      <c r="R1337" t="s">
        <v>13</v>
      </c>
      <c r="S1337" t="s">
        <v>14</v>
      </c>
      <c r="T1337" t="s">
        <v>14</v>
      </c>
      <c r="U1337" s="34">
        <v>0</v>
      </c>
      <c r="V1337" s="34">
        <v>1</v>
      </c>
      <c r="W1337" s="25">
        <v>0.5</v>
      </c>
      <c r="X1337" s="25">
        <v>1</v>
      </c>
      <c r="Y1337">
        <v>1.5476535380000001</v>
      </c>
      <c r="Z1337" t="s">
        <v>1111</v>
      </c>
      <c r="AA1337" t="s">
        <v>622</v>
      </c>
      <c r="AB1337">
        <v>1</v>
      </c>
      <c r="AC1337">
        <v>24</v>
      </c>
      <c r="AF1337" t="s">
        <v>568</v>
      </c>
      <c r="AG1337" s="32">
        <v>240</v>
      </c>
      <c r="AH1337" s="32" t="s">
        <v>2442</v>
      </c>
      <c r="AI1337" s="32" t="s">
        <v>2463</v>
      </c>
      <c r="AJ1337" s="31" t="s">
        <v>3322</v>
      </c>
      <c r="AK1337" s="31">
        <v>0.15859999999999999</v>
      </c>
      <c r="AL1337" s="31">
        <v>38.064</v>
      </c>
      <c r="AM1337" s="31">
        <v>201.93600000000001</v>
      </c>
      <c r="AN1337" s="31">
        <v>1562.855064905528</v>
      </c>
      <c r="AO1337" s="31">
        <v>8291.2121791394147</v>
      </c>
      <c r="AP1337" s="31">
        <v>2.4187581705822598</v>
      </c>
      <c r="AQ1337" s="31">
        <v>12.831923863353804</v>
      </c>
      <c r="AR1337" s="31">
        <v>0.13341858489683281</v>
      </c>
    </row>
    <row r="1338" spans="1:44" x14ac:dyDescent="0.5">
      <c r="A1338" s="31">
        <v>1337</v>
      </c>
      <c r="B1338" s="31">
        <v>93</v>
      </c>
      <c r="C1338" s="225" t="s">
        <v>9</v>
      </c>
      <c r="D1338" s="32">
        <v>11.986520000000001</v>
      </c>
      <c r="E1338" s="38">
        <v>79.849670000000003</v>
      </c>
      <c r="F1338">
        <v>0</v>
      </c>
      <c r="G1338">
        <f t="shared" si="16"/>
        <v>0</v>
      </c>
      <c r="H1338" s="32" t="s">
        <v>10</v>
      </c>
      <c r="I1338">
        <v>0</v>
      </c>
      <c r="J1338">
        <v>680.35220054955596</v>
      </c>
      <c r="K1338" s="26">
        <v>2019</v>
      </c>
      <c r="L1338" t="s">
        <v>11</v>
      </c>
      <c r="M1338" s="32">
        <v>300</v>
      </c>
      <c r="N1338">
        <v>36.542166029999997</v>
      </c>
      <c r="O1338">
        <v>4.75</v>
      </c>
      <c r="P1338" t="s">
        <v>12</v>
      </c>
      <c r="Q1338">
        <v>89</v>
      </c>
      <c r="R1338" t="s">
        <v>13</v>
      </c>
      <c r="S1338" t="s">
        <v>14</v>
      </c>
      <c r="T1338" t="s">
        <v>14</v>
      </c>
      <c r="U1338" s="34">
        <v>0</v>
      </c>
      <c r="V1338" s="34">
        <v>1</v>
      </c>
      <c r="W1338" s="25">
        <v>0.5</v>
      </c>
      <c r="X1338" s="25">
        <v>1</v>
      </c>
      <c r="Y1338">
        <v>1.5476535380000001</v>
      </c>
      <c r="Z1338" t="s">
        <v>1111</v>
      </c>
      <c r="AA1338" t="s">
        <v>622</v>
      </c>
      <c r="AB1338">
        <v>1</v>
      </c>
      <c r="AC1338">
        <v>27</v>
      </c>
      <c r="AF1338" t="s">
        <v>568</v>
      </c>
      <c r="AG1338" s="32">
        <v>270</v>
      </c>
      <c r="AH1338" s="32" t="s">
        <v>2442</v>
      </c>
      <c r="AI1338" s="32" t="s">
        <v>2464</v>
      </c>
      <c r="AJ1338" s="31" t="s">
        <v>3323</v>
      </c>
      <c r="AK1338" s="31">
        <v>0.15859999999999999</v>
      </c>
      <c r="AL1338" s="31">
        <v>42.821999999999996</v>
      </c>
      <c r="AM1338" s="31">
        <v>227.178</v>
      </c>
      <c r="AN1338" s="31">
        <v>1758.2119480187189</v>
      </c>
      <c r="AO1338" s="31">
        <v>9327.6137015318418</v>
      </c>
      <c r="AP1338" s="31">
        <v>2.7211029419050425</v>
      </c>
      <c r="AQ1338" s="31">
        <v>14.435914346273032</v>
      </c>
      <c r="AR1338" s="31">
        <v>0.13341858489683281</v>
      </c>
    </row>
    <row r="1339" spans="1:44" x14ac:dyDescent="0.5">
      <c r="A1339" s="31">
        <v>1338</v>
      </c>
      <c r="B1339" s="31">
        <v>93</v>
      </c>
      <c r="C1339" s="225" t="s">
        <v>9</v>
      </c>
      <c r="D1339" s="32">
        <v>11.986520000000001</v>
      </c>
      <c r="E1339" s="38">
        <v>79.849670000000003</v>
      </c>
      <c r="F1339">
        <v>0</v>
      </c>
      <c r="G1339">
        <f t="shared" si="16"/>
        <v>0</v>
      </c>
      <c r="H1339" s="32" t="s">
        <v>10</v>
      </c>
      <c r="I1339">
        <v>0</v>
      </c>
      <c r="J1339">
        <v>680.35220054955596</v>
      </c>
      <c r="K1339" s="26">
        <v>2019</v>
      </c>
      <c r="L1339" t="s">
        <v>11</v>
      </c>
      <c r="M1339" s="32">
        <v>300</v>
      </c>
      <c r="N1339">
        <v>36.542166029999997</v>
      </c>
      <c r="O1339">
        <v>4.75</v>
      </c>
      <c r="P1339" t="s">
        <v>12</v>
      </c>
      <c r="Q1339">
        <v>89</v>
      </c>
      <c r="R1339" t="s">
        <v>13</v>
      </c>
      <c r="S1339" t="s">
        <v>14</v>
      </c>
      <c r="T1339" t="s">
        <v>14</v>
      </c>
      <c r="U1339" s="34">
        <v>0</v>
      </c>
      <c r="V1339" s="34">
        <v>1</v>
      </c>
      <c r="W1339" s="25">
        <v>0.5</v>
      </c>
      <c r="X1339" s="25">
        <v>1</v>
      </c>
      <c r="Y1339">
        <v>1.5476535380000001</v>
      </c>
      <c r="Z1339" t="s">
        <v>1111</v>
      </c>
      <c r="AA1339" t="s">
        <v>622</v>
      </c>
      <c r="AB1339">
        <v>1</v>
      </c>
      <c r="AC1339">
        <v>31</v>
      </c>
      <c r="AF1339" t="s">
        <v>568</v>
      </c>
      <c r="AG1339" s="32">
        <v>310</v>
      </c>
      <c r="AH1339" s="32" t="s">
        <v>2442</v>
      </c>
      <c r="AI1339" s="32" t="s">
        <v>2465</v>
      </c>
      <c r="AJ1339" s="31" t="s">
        <v>3324</v>
      </c>
      <c r="AK1339" s="31">
        <v>0.15859999999999999</v>
      </c>
      <c r="AL1339" s="31">
        <v>49.165999999999997</v>
      </c>
      <c r="AM1339" s="31">
        <v>260.834</v>
      </c>
      <c r="AN1339" s="31">
        <v>2018.68779216964</v>
      </c>
      <c r="AO1339" s="31">
        <v>10709.482398055079</v>
      </c>
      <c r="AP1339" s="31">
        <v>3.1242293036687521</v>
      </c>
      <c r="AQ1339" s="31">
        <v>16.574568323498671</v>
      </c>
      <c r="AR1339" s="31">
        <v>0.13341858489683281</v>
      </c>
    </row>
    <row r="1340" spans="1:44" x14ac:dyDescent="0.5">
      <c r="A1340" s="31">
        <v>1339</v>
      </c>
      <c r="B1340" s="31">
        <v>93</v>
      </c>
      <c r="C1340" s="225" t="s">
        <v>9</v>
      </c>
      <c r="D1340" s="32">
        <v>11.99817</v>
      </c>
      <c r="E1340" s="38">
        <v>79.854326</v>
      </c>
      <c r="F1340">
        <v>0</v>
      </c>
      <c r="G1340">
        <f t="shared" si="16"/>
        <v>0</v>
      </c>
      <c r="H1340" s="32" t="s">
        <v>10</v>
      </c>
      <c r="I1340">
        <v>0</v>
      </c>
      <c r="J1340">
        <v>692.9165133578</v>
      </c>
      <c r="K1340" s="26">
        <v>2019</v>
      </c>
      <c r="L1340" t="s">
        <v>11</v>
      </c>
      <c r="M1340" s="32">
        <v>300</v>
      </c>
      <c r="N1340">
        <v>36.542166029999997</v>
      </c>
      <c r="O1340">
        <v>4.75</v>
      </c>
      <c r="P1340" t="s">
        <v>12</v>
      </c>
      <c r="Q1340">
        <v>89</v>
      </c>
      <c r="R1340" t="s">
        <v>13</v>
      </c>
      <c r="S1340" t="s">
        <v>14</v>
      </c>
      <c r="T1340" t="s">
        <v>14</v>
      </c>
      <c r="U1340" s="34">
        <v>0</v>
      </c>
      <c r="V1340" s="34">
        <v>1</v>
      </c>
      <c r="W1340" s="25">
        <v>0.5</v>
      </c>
      <c r="X1340" s="25">
        <v>1</v>
      </c>
      <c r="Y1340">
        <v>1.5476535380000001</v>
      </c>
      <c r="Z1340" t="s">
        <v>1111</v>
      </c>
      <c r="AA1340" t="s">
        <v>622</v>
      </c>
      <c r="AB1340">
        <v>1</v>
      </c>
      <c r="AC1340">
        <v>0</v>
      </c>
      <c r="AF1340" t="s">
        <v>568</v>
      </c>
      <c r="AG1340" s="32">
        <v>0</v>
      </c>
      <c r="AH1340" s="32" t="s">
        <v>671</v>
      </c>
      <c r="AI1340" s="32" t="s">
        <v>1129</v>
      </c>
      <c r="AJ1340" s="31" t="s">
        <v>1130</v>
      </c>
      <c r="AK1340" s="31">
        <v>0.59524549999999998</v>
      </c>
      <c r="AL1340" s="31">
        <v>0</v>
      </c>
      <c r="AM1340" s="31">
        <v>0</v>
      </c>
      <c r="AN1340" s="31">
        <v>0</v>
      </c>
      <c r="AO1340" s="31">
        <v>0</v>
      </c>
      <c r="AP1340" s="31">
        <v>0</v>
      </c>
      <c r="AQ1340" s="31">
        <v>0</v>
      </c>
      <c r="AR1340" s="31">
        <v>0.13341858489683281</v>
      </c>
    </row>
    <row r="1341" spans="1:44" x14ac:dyDescent="0.5">
      <c r="A1341" s="31">
        <v>1340</v>
      </c>
      <c r="B1341" s="31">
        <v>93</v>
      </c>
      <c r="C1341" s="225" t="s">
        <v>9</v>
      </c>
      <c r="D1341" s="32">
        <v>11.99817</v>
      </c>
      <c r="E1341" s="38">
        <v>79.854326</v>
      </c>
      <c r="F1341">
        <v>0</v>
      </c>
      <c r="G1341">
        <f t="shared" si="16"/>
        <v>0</v>
      </c>
      <c r="H1341" s="32" t="s">
        <v>10</v>
      </c>
      <c r="I1341">
        <v>0</v>
      </c>
      <c r="J1341">
        <v>692.9165133578</v>
      </c>
      <c r="K1341" s="26">
        <v>2019</v>
      </c>
      <c r="L1341" t="s">
        <v>11</v>
      </c>
      <c r="M1341" s="32">
        <v>300</v>
      </c>
      <c r="N1341">
        <v>36.542166029999997</v>
      </c>
      <c r="O1341">
        <v>4.75</v>
      </c>
      <c r="P1341" t="s">
        <v>12</v>
      </c>
      <c r="Q1341">
        <v>89</v>
      </c>
      <c r="R1341" t="s">
        <v>13</v>
      </c>
      <c r="S1341" t="s">
        <v>14</v>
      </c>
      <c r="T1341" t="s">
        <v>14</v>
      </c>
      <c r="U1341" s="34">
        <v>0</v>
      </c>
      <c r="V1341" s="34">
        <v>1</v>
      </c>
      <c r="W1341" s="25">
        <v>0.5</v>
      </c>
      <c r="X1341" s="25">
        <v>1</v>
      </c>
      <c r="Y1341">
        <v>1.5476535380000001</v>
      </c>
      <c r="Z1341" t="s">
        <v>1111</v>
      </c>
      <c r="AA1341" t="s">
        <v>622</v>
      </c>
      <c r="AB1341">
        <v>1</v>
      </c>
      <c r="AC1341">
        <v>12</v>
      </c>
      <c r="AF1341" t="s">
        <v>568</v>
      </c>
      <c r="AG1341" s="32">
        <v>120</v>
      </c>
      <c r="AH1341" s="32" t="s">
        <v>2442</v>
      </c>
      <c r="AI1341" s="32" t="s">
        <v>2466</v>
      </c>
      <c r="AJ1341" s="31" t="s">
        <v>3325</v>
      </c>
      <c r="AK1341" s="31">
        <v>0.15859999999999999</v>
      </c>
      <c r="AL1341" s="31">
        <v>19.032</v>
      </c>
      <c r="AM1341" s="31">
        <v>100.968</v>
      </c>
      <c r="AN1341" s="31">
        <v>781.42753245276401</v>
      </c>
      <c r="AO1341" s="31">
        <v>4145.6060895697074</v>
      </c>
      <c r="AP1341" s="31">
        <v>1.2093790852911299</v>
      </c>
      <c r="AQ1341" s="31">
        <v>6.4159619316769021</v>
      </c>
      <c r="AR1341" s="31">
        <v>0.13341858489683281</v>
      </c>
    </row>
    <row r="1342" spans="1:44" x14ac:dyDescent="0.5">
      <c r="A1342" s="31">
        <v>1341</v>
      </c>
      <c r="B1342" s="31">
        <v>93</v>
      </c>
      <c r="C1342" s="225" t="s">
        <v>9</v>
      </c>
      <c r="D1342" s="32">
        <v>11.99817</v>
      </c>
      <c r="E1342" s="38">
        <v>79.854326</v>
      </c>
      <c r="F1342">
        <v>0</v>
      </c>
      <c r="G1342">
        <f t="shared" si="16"/>
        <v>0</v>
      </c>
      <c r="H1342" s="32" t="s">
        <v>10</v>
      </c>
      <c r="I1342">
        <v>0</v>
      </c>
      <c r="J1342">
        <v>692.9165133578</v>
      </c>
      <c r="K1342" s="26">
        <v>2019</v>
      </c>
      <c r="L1342" t="s">
        <v>11</v>
      </c>
      <c r="M1342" s="32">
        <v>300</v>
      </c>
      <c r="N1342">
        <v>36.542166029999997</v>
      </c>
      <c r="O1342">
        <v>4.75</v>
      </c>
      <c r="P1342" t="s">
        <v>12</v>
      </c>
      <c r="Q1342">
        <v>89</v>
      </c>
      <c r="R1342" t="s">
        <v>13</v>
      </c>
      <c r="S1342" t="s">
        <v>14</v>
      </c>
      <c r="T1342" t="s">
        <v>14</v>
      </c>
      <c r="U1342" s="34">
        <v>0</v>
      </c>
      <c r="V1342" s="34">
        <v>1</v>
      </c>
      <c r="W1342" s="25">
        <v>0.5</v>
      </c>
      <c r="X1342" s="25">
        <v>1</v>
      </c>
      <c r="Y1342">
        <v>1.5476535380000001</v>
      </c>
      <c r="Z1342" t="s">
        <v>1111</v>
      </c>
      <c r="AA1342" t="s">
        <v>622</v>
      </c>
      <c r="AB1342">
        <v>1</v>
      </c>
      <c r="AC1342">
        <v>20</v>
      </c>
      <c r="AF1342" t="s">
        <v>568</v>
      </c>
      <c r="AG1342" s="32">
        <v>200</v>
      </c>
      <c r="AH1342" s="32" t="s">
        <v>2442</v>
      </c>
      <c r="AI1342" s="32" t="s">
        <v>2462</v>
      </c>
      <c r="AJ1342" s="31" t="s">
        <v>3321</v>
      </c>
      <c r="AK1342" s="31">
        <v>0.15859999999999999</v>
      </c>
      <c r="AL1342" s="31">
        <v>31.72</v>
      </c>
      <c r="AM1342" s="31">
        <v>168.28</v>
      </c>
      <c r="AN1342" s="31">
        <v>1302.3792207546066</v>
      </c>
      <c r="AO1342" s="31">
        <v>6909.3434826161792</v>
      </c>
      <c r="AP1342" s="31">
        <v>2.0156318088185499</v>
      </c>
      <c r="AQ1342" s="31">
        <v>10.693269886128171</v>
      </c>
      <c r="AR1342" s="31">
        <v>0.13341858489683281</v>
      </c>
    </row>
    <row r="1343" spans="1:44" x14ac:dyDescent="0.5">
      <c r="A1343" s="31">
        <v>1342</v>
      </c>
      <c r="B1343" s="31">
        <v>93</v>
      </c>
      <c r="C1343" s="225" t="s">
        <v>9</v>
      </c>
      <c r="D1343" s="32">
        <v>11.99817</v>
      </c>
      <c r="E1343" s="38">
        <v>79.854326</v>
      </c>
      <c r="F1343">
        <v>0</v>
      </c>
      <c r="G1343">
        <f t="shared" si="16"/>
        <v>0</v>
      </c>
      <c r="H1343" s="32" t="s">
        <v>10</v>
      </c>
      <c r="I1343">
        <v>0</v>
      </c>
      <c r="J1343">
        <v>692.9165133578</v>
      </c>
      <c r="K1343" s="26">
        <v>2019</v>
      </c>
      <c r="L1343" t="s">
        <v>11</v>
      </c>
      <c r="M1343" s="32">
        <v>300</v>
      </c>
      <c r="N1343">
        <v>36.542166029999997</v>
      </c>
      <c r="O1343">
        <v>4.75</v>
      </c>
      <c r="P1343" t="s">
        <v>12</v>
      </c>
      <c r="Q1343">
        <v>89</v>
      </c>
      <c r="R1343" t="s">
        <v>13</v>
      </c>
      <c r="S1343" t="s">
        <v>14</v>
      </c>
      <c r="T1343" t="s">
        <v>14</v>
      </c>
      <c r="U1343" s="34">
        <v>0</v>
      </c>
      <c r="V1343" s="34">
        <v>1</v>
      </c>
      <c r="W1343" s="25">
        <v>0.5</v>
      </c>
      <c r="X1343" s="25">
        <v>1</v>
      </c>
      <c r="Y1343">
        <v>1.5476535380000001</v>
      </c>
      <c r="Z1343" t="s">
        <v>1111</v>
      </c>
      <c r="AA1343" t="s">
        <v>622</v>
      </c>
      <c r="AB1343">
        <v>1</v>
      </c>
      <c r="AC1343">
        <v>23</v>
      </c>
      <c r="AF1343" t="s">
        <v>568</v>
      </c>
      <c r="AG1343" s="32">
        <v>230</v>
      </c>
      <c r="AH1343" s="32" t="s">
        <v>2442</v>
      </c>
      <c r="AI1343" s="32" t="s">
        <v>2467</v>
      </c>
      <c r="AJ1343" s="31" t="s">
        <v>3326</v>
      </c>
      <c r="AK1343" s="31">
        <v>0.15859999999999999</v>
      </c>
      <c r="AL1343" s="31">
        <v>36.477999999999994</v>
      </c>
      <c r="AM1343" s="31">
        <v>193.52199999999999</v>
      </c>
      <c r="AN1343" s="31">
        <v>1497.7361038677973</v>
      </c>
      <c r="AO1343" s="31">
        <v>7945.7450050086063</v>
      </c>
      <c r="AP1343" s="31">
        <v>2.3179765801413321</v>
      </c>
      <c r="AQ1343" s="31">
        <v>12.297260369047398</v>
      </c>
      <c r="AR1343" s="31">
        <v>0.13341858489683281</v>
      </c>
    </row>
    <row r="1344" spans="1:44" x14ac:dyDescent="0.5">
      <c r="A1344" s="31">
        <v>1343</v>
      </c>
      <c r="B1344" s="31">
        <v>93</v>
      </c>
      <c r="C1344" s="225" t="s">
        <v>9</v>
      </c>
      <c r="D1344" s="32">
        <v>11.99817</v>
      </c>
      <c r="E1344" s="38">
        <v>79.854326</v>
      </c>
      <c r="F1344">
        <v>0</v>
      </c>
      <c r="G1344">
        <f t="shared" si="16"/>
        <v>0</v>
      </c>
      <c r="H1344" s="32" t="s">
        <v>10</v>
      </c>
      <c r="I1344">
        <v>0</v>
      </c>
      <c r="J1344">
        <v>692.9165133578</v>
      </c>
      <c r="K1344" s="26">
        <v>2019</v>
      </c>
      <c r="L1344" t="s">
        <v>11</v>
      </c>
      <c r="M1344" s="32">
        <v>300</v>
      </c>
      <c r="N1344">
        <v>36.542166029999997</v>
      </c>
      <c r="O1344">
        <v>4.75</v>
      </c>
      <c r="P1344" t="s">
        <v>12</v>
      </c>
      <c r="Q1344">
        <v>89</v>
      </c>
      <c r="R1344" t="s">
        <v>13</v>
      </c>
      <c r="S1344" t="s">
        <v>14</v>
      </c>
      <c r="T1344" t="s">
        <v>14</v>
      </c>
      <c r="U1344" s="34">
        <v>0</v>
      </c>
      <c r="V1344" s="34">
        <v>1</v>
      </c>
      <c r="W1344" s="25">
        <v>0.5</v>
      </c>
      <c r="X1344" s="25">
        <v>1</v>
      </c>
      <c r="Y1344">
        <v>1.5476535380000001</v>
      </c>
      <c r="Z1344" t="s">
        <v>1111</v>
      </c>
      <c r="AA1344" t="s">
        <v>622</v>
      </c>
      <c r="AB1344">
        <v>1</v>
      </c>
      <c r="AC1344">
        <v>32</v>
      </c>
      <c r="AF1344" t="s">
        <v>568</v>
      </c>
      <c r="AG1344" s="32">
        <v>320</v>
      </c>
      <c r="AH1344" s="32" t="s">
        <v>2442</v>
      </c>
      <c r="AI1344" s="32" t="s">
        <v>2468</v>
      </c>
      <c r="AJ1344" s="31" t="s">
        <v>3327</v>
      </c>
      <c r="AK1344" s="31">
        <v>0.15859999999999999</v>
      </c>
      <c r="AL1344" s="31">
        <v>50.751999999999995</v>
      </c>
      <c r="AM1344" s="31">
        <v>269.24799999999999</v>
      </c>
      <c r="AN1344" s="31">
        <v>2083.8067532073705</v>
      </c>
      <c r="AO1344" s="31">
        <v>11054.949572185886</v>
      </c>
      <c r="AP1344" s="31">
        <v>3.2250108941096802</v>
      </c>
      <c r="AQ1344" s="31">
        <v>17.109231817805071</v>
      </c>
      <c r="AR1344" s="31">
        <v>0.13341858489683281</v>
      </c>
    </row>
    <row r="1345" spans="1:44" x14ac:dyDescent="0.5">
      <c r="A1345" s="31">
        <v>1344</v>
      </c>
      <c r="B1345" s="31">
        <v>93</v>
      </c>
      <c r="C1345" s="225" t="s">
        <v>9</v>
      </c>
      <c r="D1345" s="32">
        <v>11.99817</v>
      </c>
      <c r="E1345" s="38">
        <v>79.854326</v>
      </c>
      <c r="F1345">
        <v>0</v>
      </c>
      <c r="G1345">
        <f t="shared" si="16"/>
        <v>0</v>
      </c>
      <c r="H1345" s="32" t="s">
        <v>10</v>
      </c>
      <c r="I1345">
        <v>0</v>
      </c>
      <c r="J1345">
        <v>692.9165133578</v>
      </c>
      <c r="K1345" s="26">
        <v>2019</v>
      </c>
      <c r="L1345" t="s">
        <v>11</v>
      </c>
      <c r="M1345" s="32">
        <v>300</v>
      </c>
      <c r="N1345">
        <v>36.542166029999997</v>
      </c>
      <c r="O1345">
        <v>4.75</v>
      </c>
      <c r="P1345" t="s">
        <v>12</v>
      </c>
      <c r="Q1345">
        <v>89</v>
      </c>
      <c r="R1345" t="s">
        <v>13</v>
      </c>
      <c r="S1345" t="s">
        <v>14</v>
      </c>
      <c r="T1345" t="s">
        <v>14</v>
      </c>
      <c r="U1345" s="34">
        <v>0</v>
      </c>
      <c r="V1345" s="34">
        <v>1</v>
      </c>
      <c r="W1345" s="25">
        <v>0.5</v>
      </c>
      <c r="X1345" s="25">
        <v>1</v>
      </c>
      <c r="Y1345">
        <v>1.5476535380000001</v>
      </c>
      <c r="Z1345" t="s">
        <v>1111</v>
      </c>
      <c r="AA1345" t="s">
        <v>622</v>
      </c>
      <c r="AB1345">
        <v>1</v>
      </c>
      <c r="AC1345">
        <v>32</v>
      </c>
      <c r="AF1345" t="s">
        <v>568</v>
      </c>
      <c r="AG1345" s="32">
        <v>320</v>
      </c>
      <c r="AH1345" s="32" t="s">
        <v>2442</v>
      </c>
      <c r="AI1345" s="32" t="s">
        <v>2468</v>
      </c>
      <c r="AJ1345" s="31" t="s">
        <v>3327</v>
      </c>
      <c r="AK1345" s="31">
        <v>0.15859999999999999</v>
      </c>
      <c r="AL1345" s="31">
        <v>50.751999999999995</v>
      </c>
      <c r="AM1345" s="31">
        <v>269.24799999999999</v>
      </c>
      <c r="AN1345" s="31">
        <v>2083.8067532073705</v>
      </c>
      <c r="AO1345" s="31">
        <v>11054.949572185886</v>
      </c>
      <c r="AP1345" s="31">
        <v>3.2250108941096802</v>
      </c>
      <c r="AQ1345" s="31">
        <v>17.109231817805071</v>
      </c>
      <c r="AR1345" s="31">
        <v>0.13341858489683281</v>
      </c>
    </row>
    <row r="1346" spans="1:44" x14ac:dyDescent="0.5">
      <c r="A1346" s="31">
        <v>1345</v>
      </c>
      <c r="B1346" s="31">
        <v>93</v>
      </c>
      <c r="C1346" s="225" t="s">
        <v>9</v>
      </c>
      <c r="D1346" s="32">
        <v>12.013878</v>
      </c>
      <c r="E1346" s="38">
        <v>79.860753000000003</v>
      </c>
      <c r="F1346">
        <v>0</v>
      </c>
      <c r="G1346">
        <f t="shared" si="16"/>
        <v>0</v>
      </c>
      <c r="H1346" s="32" t="s">
        <v>10</v>
      </c>
      <c r="I1346">
        <v>0</v>
      </c>
      <c r="J1346">
        <v>712.90129704312301</v>
      </c>
      <c r="K1346" s="26">
        <v>2019</v>
      </c>
      <c r="L1346" t="s">
        <v>11</v>
      </c>
      <c r="M1346" s="32">
        <v>300</v>
      </c>
      <c r="N1346">
        <v>36.542166029999997</v>
      </c>
      <c r="O1346">
        <v>4.75</v>
      </c>
      <c r="P1346" t="s">
        <v>12</v>
      </c>
      <c r="Q1346">
        <v>89</v>
      </c>
      <c r="R1346" t="s">
        <v>13</v>
      </c>
      <c r="S1346" t="s">
        <v>14</v>
      </c>
      <c r="T1346" t="s">
        <v>14</v>
      </c>
      <c r="U1346" s="34">
        <v>0</v>
      </c>
      <c r="V1346" s="34">
        <v>1</v>
      </c>
      <c r="W1346" s="25">
        <v>0.5</v>
      </c>
      <c r="X1346" s="25">
        <v>1</v>
      </c>
      <c r="Y1346">
        <v>1.5476535380000001</v>
      </c>
      <c r="Z1346" t="s">
        <v>1111</v>
      </c>
      <c r="AA1346" t="s">
        <v>622</v>
      </c>
      <c r="AB1346">
        <v>1</v>
      </c>
      <c r="AC1346">
        <v>69</v>
      </c>
      <c r="AF1346" t="s">
        <v>568</v>
      </c>
      <c r="AG1346" s="32">
        <v>690</v>
      </c>
      <c r="AH1346" s="32" t="s">
        <v>2442</v>
      </c>
      <c r="AI1346" s="32" t="s">
        <v>2450</v>
      </c>
      <c r="AJ1346" s="31" t="s">
        <v>3309</v>
      </c>
      <c r="AK1346" s="31">
        <v>0.15859999999999999</v>
      </c>
      <c r="AL1346" s="31">
        <v>109.434</v>
      </c>
      <c r="AM1346" s="31">
        <v>580.56600000000003</v>
      </c>
      <c r="AN1346" s="31">
        <v>4493.2083116033928</v>
      </c>
      <c r="AO1346" s="31">
        <v>23837.235015025821</v>
      </c>
      <c r="AP1346" s="31">
        <v>6.9539297404239981</v>
      </c>
      <c r="AQ1346" s="31">
        <v>36.891781107142201</v>
      </c>
      <c r="AR1346" s="31">
        <v>0.13341858489683281</v>
      </c>
    </row>
    <row r="1347" spans="1:44" x14ac:dyDescent="0.5">
      <c r="A1347" s="31">
        <v>1346</v>
      </c>
      <c r="B1347" s="31">
        <v>93</v>
      </c>
      <c r="C1347" s="225" t="s">
        <v>9</v>
      </c>
      <c r="D1347" s="32">
        <v>12.013878</v>
      </c>
      <c r="E1347" s="38">
        <v>79.860753000000003</v>
      </c>
      <c r="F1347">
        <v>0</v>
      </c>
      <c r="G1347">
        <f t="shared" si="16"/>
        <v>0</v>
      </c>
      <c r="H1347" s="32" t="s">
        <v>10</v>
      </c>
      <c r="I1347">
        <v>0</v>
      </c>
      <c r="J1347">
        <v>712.90129704312301</v>
      </c>
      <c r="K1347" s="26">
        <v>2019</v>
      </c>
      <c r="L1347" t="s">
        <v>11</v>
      </c>
      <c r="M1347" s="32">
        <v>300</v>
      </c>
      <c r="N1347">
        <v>36.542166029999997</v>
      </c>
      <c r="O1347">
        <v>4.75</v>
      </c>
      <c r="P1347" t="s">
        <v>12</v>
      </c>
      <c r="Q1347">
        <v>89</v>
      </c>
      <c r="R1347" t="s">
        <v>13</v>
      </c>
      <c r="S1347" t="s">
        <v>14</v>
      </c>
      <c r="T1347" t="s">
        <v>14</v>
      </c>
      <c r="U1347" s="34">
        <v>0</v>
      </c>
      <c r="V1347" s="34">
        <v>1</v>
      </c>
      <c r="W1347" s="25">
        <v>0.5</v>
      </c>
      <c r="X1347" s="25">
        <v>1</v>
      </c>
      <c r="Y1347">
        <v>1.5476535380000001</v>
      </c>
      <c r="Z1347" t="s">
        <v>1111</v>
      </c>
      <c r="AA1347" t="s">
        <v>622</v>
      </c>
      <c r="AB1347">
        <v>1</v>
      </c>
      <c r="AC1347">
        <v>75</v>
      </c>
      <c r="AF1347" t="s">
        <v>568</v>
      </c>
      <c r="AG1347" s="32">
        <v>750</v>
      </c>
      <c r="AH1347" s="32" t="s">
        <v>2442</v>
      </c>
      <c r="AI1347" s="32" t="s">
        <v>2448</v>
      </c>
      <c r="AJ1347" s="31" t="s">
        <v>3307</v>
      </c>
      <c r="AK1347" s="31">
        <v>0.15859999999999999</v>
      </c>
      <c r="AL1347" s="31">
        <v>118.94999999999999</v>
      </c>
      <c r="AM1347" s="31">
        <v>631.04999999999995</v>
      </c>
      <c r="AN1347" s="31">
        <v>4883.922077829774</v>
      </c>
      <c r="AO1347" s="31">
        <v>25910.038059810671</v>
      </c>
      <c r="AP1347" s="31">
        <v>7.5586192830695609</v>
      </c>
      <c r="AQ1347" s="31">
        <v>40.099762072980639</v>
      </c>
      <c r="AR1347" s="31">
        <v>0.13341858489683281</v>
      </c>
    </row>
    <row r="1348" spans="1:44" x14ac:dyDescent="0.5">
      <c r="A1348" s="31">
        <v>1347</v>
      </c>
      <c r="B1348" s="31">
        <v>93</v>
      </c>
      <c r="C1348" s="225" t="s">
        <v>9</v>
      </c>
      <c r="D1348" s="32">
        <v>12.013878</v>
      </c>
      <c r="E1348" s="38">
        <v>79.860753000000003</v>
      </c>
      <c r="F1348">
        <v>0</v>
      </c>
      <c r="G1348">
        <f t="shared" si="16"/>
        <v>0</v>
      </c>
      <c r="H1348" s="32" t="s">
        <v>10</v>
      </c>
      <c r="I1348">
        <v>0</v>
      </c>
      <c r="J1348">
        <v>712.90129704312301</v>
      </c>
      <c r="K1348" s="26">
        <v>2019</v>
      </c>
      <c r="L1348" t="s">
        <v>11</v>
      </c>
      <c r="M1348" s="32">
        <v>300</v>
      </c>
      <c r="N1348">
        <v>36.542166029999997</v>
      </c>
      <c r="O1348">
        <v>4.75</v>
      </c>
      <c r="P1348" t="s">
        <v>12</v>
      </c>
      <c r="Q1348">
        <v>89</v>
      </c>
      <c r="R1348" t="s">
        <v>13</v>
      </c>
      <c r="S1348" t="s">
        <v>14</v>
      </c>
      <c r="T1348" t="s">
        <v>14</v>
      </c>
      <c r="U1348" s="34">
        <v>0</v>
      </c>
      <c r="V1348" s="34">
        <v>1</v>
      </c>
      <c r="W1348" s="25">
        <v>0.5</v>
      </c>
      <c r="X1348" s="25">
        <v>1</v>
      </c>
      <c r="Y1348">
        <v>1.5476535380000001</v>
      </c>
      <c r="Z1348" t="s">
        <v>1111</v>
      </c>
      <c r="AA1348" t="s">
        <v>622</v>
      </c>
      <c r="AB1348">
        <v>1</v>
      </c>
      <c r="AC1348">
        <v>81</v>
      </c>
      <c r="AF1348" t="s">
        <v>568</v>
      </c>
      <c r="AG1348" s="32">
        <v>810</v>
      </c>
      <c r="AH1348" s="32" t="s">
        <v>2442</v>
      </c>
      <c r="AI1348" s="32" t="s">
        <v>2469</v>
      </c>
      <c r="AJ1348" s="31" t="s">
        <v>3328</v>
      </c>
      <c r="AK1348" s="31">
        <v>0.15859999999999999</v>
      </c>
      <c r="AL1348" s="31">
        <v>128.46599999999998</v>
      </c>
      <c r="AM1348" s="31">
        <v>681.53399999999999</v>
      </c>
      <c r="AN1348" s="31">
        <v>5274.6358440561562</v>
      </c>
      <c r="AO1348" s="31">
        <v>27982.841104595525</v>
      </c>
      <c r="AP1348" s="31">
        <v>8.1633088257151272</v>
      </c>
      <c r="AQ1348" s="31">
        <v>43.307743038819098</v>
      </c>
      <c r="AR1348" s="31">
        <v>0.13341858489683281</v>
      </c>
    </row>
    <row r="1349" spans="1:44" x14ac:dyDescent="0.5">
      <c r="A1349" s="31">
        <v>1348</v>
      </c>
      <c r="B1349" s="31">
        <v>93</v>
      </c>
      <c r="C1349" s="225" t="s">
        <v>9</v>
      </c>
      <c r="D1349" s="32">
        <v>12.013878</v>
      </c>
      <c r="E1349" s="38">
        <v>79.860753000000003</v>
      </c>
      <c r="F1349">
        <v>0</v>
      </c>
      <c r="G1349">
        <f t="shared" si="16"/>
        <v>0</v>
      </c>
      <c r="H1349" s="32" t="s">
        <v>10</v>
      </c>
      <c r="I1349">
        <v>0</v>
      </c>
      <c r="J1349">
        <v>712.90129704312301</v>
      </c>
      <c r="K1349" s="26">
        <v>2019</v>
      </c>
      <c r="L1349" t="s">
        <v>11</v>
      </c>
      <c r="M1349" s="32">
        <v>300</v>
      </c>
      <c r="N1349">
        <v>36.542166029999997</v>
      </c>
      <c r="O1349">
        <v>4.75</v>
      </c>
      <c r="P1349" t="s">
        <v>12</v>
      </c>
      <c r="Q1349">
        <v>89</v>
      </c>
      <c r="R1349" t="s">
        <v>13</v>
      </c>
      <c r="S1349" t="s">
        <v>14</v>
      </c>
      <c r="T1349" t="s">
        <v>14</v>
      </c>
      <c r="U1349" s="34">
        <v>0</v>
      </c>
      <c r="V1349" s="34">
        <v>1</v>
      </c>
      <c r="W1349" s="25">
        <v>0.5</v>
      </c>
      <c r="X1349" s="25">
        <v>1</v>
      </c>
      <c r="Y1349">
        <v>1.5476535380000001</v>
      </c>
      <c r="Z1349" t="s">
        <v>1111</v>
      </c>
      <c r="AA1349" t="s">
        <v>622</v>
      </c>
      <c r="AB1349">
        <v>1</v>
      </c>
      <c r="AC1349">
        <v>94</v>
      </c>
      <c r="AF1349" t="s">
        <v>568</v>
      </c>
      <c r="AG1349" s="32">
        <v>940</v>
      </c>
      <c r="AH1349" s="32" t="s">
        <v>2442</v>
      </c>
      <c r="AI1349" s="32" t="s">
        <v>2470</v>
      </c>
      <c r="AJ1349" s="31" t="s">
        <v>3329</v>
      </c>
      <c r="AK1349" s="31">
        <v>0.15859999999999999</v>
      </c>
      <c r="AL1349" s="31">
        <v>149.084</v>
      </c>
      <c r="AM1349" s="31">
        <v>790.91599999999994</v>
      </c>
      <c r="AN1349" s="31">
        <v>6121.1823375466511</v>
      </c>
      <c r="AO1349" s="31">
        <v>32473.914368296038</v>
      </c>
      <c r="AP1349" s="31">
        <v>9.4734695014471857</v>
      </c>
      <c r="AQ1349" s="31">
        <v>50.258368464802395</v>
      </c>
      <c r="AR1349" s="31">
        <v>0.13341858489683281</v>
      </c>
    </row>
    <row r="1350" spans="1:44" x14ac:dyDescent="0.5">
      <c r="A1350" s="31">
        <v>1349</v>
      </c>
      <c r="B1350" s="31">
        <v>93</v>
      </c>
      <c r="C1350" s="225" t="s">
        <v>9</v>
      </c>
      <c r="D1350" s="32">
        <v>12.013878</v>
      </c>
      <c r="E1350" s="38">
        <v>79.860753000000003</v>
      </c>
      <c r="F1350">
        <v>0</v>
      </c>
      <c r="G1350">
        <f t="shared" si="16"/>
        <v>0</v>
      </c>
      <c r="H1350" s="32" t="s">
        <v>10</v>
      </c>
      <c r="I1350">
        <v>0</v>
      </c>
      <c r="J1350">
        <v>712.90129704312301</v>
      </c>
      <c r="K1350" s="26">
        <v>2019</v>
      </c>
      <c r="L1350" t="s">
        <v>11</v>
      </c>
      <c r="M1350" s="32">
        <v>300</v>
      </c>
      <c r="N1350">
        <v>36.542166029999997</v>
      </c>
      <c r="O1350">
        <v>4.75</v>
      </c>
      <c r="P1350" t="s">
        <v>12</v>
      </c>
      <c r="Q1350">
        <v>89</v>
      </c>
      <c r="R1350" t="s">
        <v>13</v>
      </c>
      <c r="S1350" t="s">
        <v>14</v>
      </c>
      <c r="T1350" t="s">
        <v>14</v>
      </c>
      <c r="U1350" s="34">
        <v>0</v>
      </c>
      <c r="V1350" s="34">
        <v>1</v>
      </c>
      <c r="W1350" s="25">
        <v>0.5</v>
      </c>
      <c r="X1350" s="25">
        <v>1</v>
      </c>
      <c r="Y1350">
        <v>1.5476535380000001</v>
      </c>
      <c r="Z1350" t="s">
        <v>1111</v>
      </c>
      <c r="AA1350" t="s">
        <v>622</v>
      </c>
      <c r="AB1350">
        <v>1</v>
      </c>
      <c r="AC1350">
        <v>114</v>
      </c>
      <c r="AF1350" t="s">
        <v>568</v>
      </c>
      <c r="AG1350" s="32">
        <v>1140</v>
      </c>
      <c r="AH1350" s="32" t="s">
        <v>2442</v>
      </c>
      <c r="AI1350" s="32" t="s">
        <v>2471</v>
      </c>
      <c r="AJ1350" s="31" t="s">
        <v>3330</v>
      </c>
      <c r="AK1350" s="31">
        <v>0.15859999999999999</v>
      </c>
      <c r="AL1350" s="31">
        <v>180.804</v>
      </c>
      <c r="AM1350" s="31">
        <v>959.19600000000003</v>
      </c>
      <c r="AN1350" s="31">
        <v>7423.5615583012577</v>
      </c>
      <c r="AO1350" s="31">
        <v>39383.257850912218</v>
      </c>
      <c r="AP1350" s="31">
        <v>11.489101310265735</v>
      </c>
      <c r="AQ1350" s="31">
        <v>60.951638350930573</v>
      </c>
      <c r="AR1350" s="31">
        <v>0.13341858489683281</v>
      </c>
    </row>
    <row r="1351" spans="1:44" x14ac:dyDescent="0.5">
      <c r="A1351" s="31">
        <v>1350</v>
      </c>
      <c r="B1351" s="31">
        <v>93</v>
      </c>
      <c r="C1351" s="225" t="s">
        <v>9</v>
      </c>
      <c r="D1351" s="32">
        <v>12.013878</v>
      </c>
      <c r="E1351" s="38">
        <v>79.860753000000003</v>
      </c>
      <c r="F1351">
        <v>0</v>
      </c>
      <c r="G1351">
        <f t="shared" si="16"/>
        <v>0</v>
      </c>
      <c r="H1351" s="32" t="s">
        <v>10</v>
      </c>
      <c r="I1351">
        <v>0</v>
      </c>
      <c r="J1351">
        <v>712.90129704312301</v>
      </c>
      <c r="K1351" s="26">
        <v>2019</v>
      </c>
      <c r="L1351" t="s">
        <v>11</v>
      </c>
      <c r="M1351" s="32">
        <v>300</v>
      </c>
      <c r="N1351">
        <v>36.542166029999997</v>
      </c>
      <c r="O1351">
        <v>4.75</v>
      </c>
      <c r="P1351" t="s">
        <v>12</v>
      </c>
      <c r="Q1351">
        <v>89</v>
      </c>
      <c r="R1351" t="s">
        <v>13</v>
      </c>
      <c r="S1351" t="s">
        <v>14</v>
      </c>
      <c r="T1351" t="s">
        <v>14</v>
      </c>
      <c r="U1351" s="34">
        <v>0</v>
      </c>
      <c r="V1351" s="34">
        <v>1</v>
      </c>
      <c r="W1351" s="25">
        <v>0.5</v>
      </c>
      <c r="X1351" s="25">
        <v>1</v>
      </c>
      <c r="Y1351">
        <v>1.5476535380000001</v>
      </c>
      <c r="Z1351" t="s">
        <v>1111</v>
      </c>
      <c r="AA1351" t="s">
        <v>622</v>
      </c>
      <c r="AB1351">
        <v>1</v>
      </c>
      <c r="AC1351">
        <v>135</v>
      </c>
      <c r="AF1351" t="s">
        <v>568</v>
      </c>
      <c r="AG1351" s="32">
        <v>1350</v>
      </c>
      <c r="AH1351" s="32" t="s">
        <v>2442</v>
      </c>
      <c r="AI1351" s="32" t="s">
        <v>2457</v>
      </c>
      <c r="AJ1351" s="31" t="s">
        <v>3316</v>
      </c>
      <c r="AK1351" s="31">
        <v>0.15859999999999999</v>
      </c>
      <c r="AL1351" s="31">
        <v>214.10999999999999</v>
      </c>
      <c r="AM1351" s="31">
        <v>1135.8900000000001</v>
      </c>
      <c r="AN1351" s="31">
        <v>8791.0597400935949</v>
      </c>
      <c r="AO1351" s="31">
        <v>46638.068507659213</v>
      </c>
      <c r="AP1351" s="31">
        <v>13.605514709525211</v>
      </c>
      <c r="AQ1351" s="31">
        <v>72.179571731365158</v>
      </c>
      <c r="AR1351" s="31">
        <v>0.13341858489683281</v>
      </c>
    </row>
    <row r="1352" spans="1:44" customFormat="1" hidden="1" x14ac:dyDescent="0.5">
      <c r="A1352">
        <v>1351</v>
      </c>
      <c r="B1352">
        <v>94</v>
      </c>
      <c r="C1352" s="226" t="s">
        <v>25</v>
      </c>
      <c r="D1352" s="229">
        <v>28.498038999999999</v>
      </c>
      <c r="E1352" s="237">
        <v>-11.335931</v>
      </c>
      <c r="F1352">
        <v>0</v>
      </c>
      <c r="G1352">
        <f t="shared" si="16"/>
        <v>0</v>
      </c>
      <c r="H1352" t="s">
        <v>10</v>
      </c>
      <c r="I1352">
        <v>0</v>
      </c>
      <c r="J1352">
        <v>5.7015269726617399</v>
      </c>
      <c r="K1352" s="26">
        <v>2016</v>
      </c>
      <c r="L1352" t="s">
        <v>11</v>
      </c>
      <c r="M1352" s="30"/>
      <c r="N1352">
        <v>1</v>
      </c>
      <c r="O1352">
        <v>5</v>
      </c>
      <c r="P1352" t="s">
        <v>12</v>
      </c>
      <c r="Q1352">
        <v>89</v>
      </c>
      <c r="R1352" t="s">
        <v>13</v>
      </c>
      <c r="S1352" t="s">
        <v>14</v>
      </c>
      <c r="T1352" t="s">
        <v>14</v>
      </c>
      <c r="U1352" s="25">
        <v>0</v>
      </c>
      <c r="V1352" s="25">
        <v>2</v>
      </c>
      <c r="W1352" s="25">
        <v>1</v>
      </c>
      <c r="X1352" s="25">
        <v>2</v>
      </c>
      <c r="Y1352">
        <v>1.1444976769999999</v>
      </c>
      <c r="Z1352" t="s">
        <v>1113</v>
      </c>
      <c r="AA1352" t="s">
        <v>622</v>
      </c>
      <c r="AB1352">
        <v>3</v>
      </c>
      <c r="AC1352">
        <v>110.67</v>
      </c>
      <c r="AD1352">
        <v>35.394575860000003</v>
      </c>
      <c r="AE1352" t="s">
        <v>519</v>
      </c>
      <c r="AF1352" t="s">
        <v>521</v>
      </c>
      <c r="AG1352" s="30">
        <v>4.8348721986964769</v>
      </c>
      <c r="AH1352" s="30">
        <v>0.46989999999999998</v>
      </c>
      <c r="AI1352" s="30">
        <v>2.2719064461674745</v>
      </c>
      <c r="AJ1352">
        <v>2.5629657525290024</v>
      </c>
      <c r="AK1352">
        <v>0.46989999999999998</v>
      </c>
      <c r="AL1352">
        <v>2.2719064461674745</v>
      </c>
      <c r="AM1352">
        <v>2.5629657525290024</v>
      </c>
      <c r="AN1352">
        <v>2.5527038720982858</v>
      </c>
      <c r="AO1352">
        <v>2.8797368005943849</v>
      </c>
      <c r="AP1352">
        <v>2.921563651685393E-3</v>
      </c>
      <c r="AQ1352">
        <v>3.2958520786516856E-3</v>
      </c>
      <c r="AR1352">
        <v>0.13341858489683281</v>
      </c>
    </row>
    <row r="1353" spans="1:44" customFormat="1" hidden="1" x14ac:dyDescent="0.5">
      <c r="A1353">
        <v>1352</v>
      </c>
      <c r="B1353">
        <v>94</v>
      </c>
      <c r="C1353" s="226" t="s">
        <v>25</v>
      </c>
      <c r="D1353" s="229">
        <v>29.591214000000001</v>
      </c>
      <c r="E1353" s="237">
        <v>-10.037981</v>
      </c>
      <c r="F1353">
        <v>0</v>
      </c>
      <c r="G1353">
        <f t="shared" si="16"/>
        <v>0</v>
      </c>
      <c r="H1353" t="s">
        <v>10</v>
      </c>
      <c r="I1353">
        <v>0</v>
      </c>
      <c r="J1353">
        <v>110.23665321173701</v>
      </c>
      <c r="K1353" s="26">
        <v>2016</v>
      </c>
      <c r="L1353" t="s">
        <v>11</v>
      </c>
      <c r="M1353" s="30"/>
      <c r="N1353">
        <v>1</v>
      </c>
      <c r="O1353">
        <v>5</v>
      </c>
      <c r="P1353" t="s">
        <v>12</v>
      </c>
      <c r="Q1353">
        <v>89</v>
      </c>
      <c r="R1353" t="s">
        <v>13</v>
      </c>
      <c r="S1353" t="s">
        <v>14</v>
      </c>
      <c r="T1353" t="s">
        <v>14</v>
      </c>
      <c r="U1353" s="25">
        <v>0</v>
      </c>
      <c r="V1353" s="25">
        <v>2</v>
      </c>
      <c r="W1353" s="25">
        <v>1</v>
      </c>
      <c r="X1353" s="25">
        <v>2</v>
      </c>
      <c r="Y1353">
        <v>0.941174705</v>
      </c>
      <c r="Z1353" t="s">
        <v>1126</v>
      </c>
      <c r="AA1353" t="s">
        <v>622</v>
      </c>
      <c r="AB1353">
        <v>3</v>
      </c>
      <c r="AC1353">
        <v>185.96</v>
      </c>
      <c r="AD1353">
        <v>41.772873969999999</v>
      </c>
      <c r="AE1353" t="s">
        <v>519</v>
      </c>
      <c r="AF1353" t="s">
        <v>521</v>
      </c>
      <c r="AG1353" s="30">
        <v>9.8791435326558208</v>
      </c>
      <c r="AH1353" s="30">
        <v>0.5232</v>
      </c>
      <c r="AI1353" s="30">
        <v>5.1687678962855257</v>
      </c>
      <c r="AJ1353">
        <v>4.7103756363702951</v>
      </c>
      <c r="AK1353">
        <v>0.5232</v>
      </c>
      <c r="AL1353">
        <v>5.1687678962855257</v>
      </c>
      <c r="AM1353">
        <v>4.7103756363702951</v>
      </c>
      <c r="AN1353">
        <v>5.8076043778489055</v>
      </c>
      <c r="AO1353">
        <v>5.2925568947980848</v>
      </c>
      <c r="AP1353">
        <v>5.4659703370786529E-3</v>
      </c>
      <c r="AQ1353">
        <v>4.9812206741573035E-3</v>
      </c>
      <c r="AR1353">
        <v>0.13341858489683281</v>
      </c>
    </row>
    <row r="1354" spans="1:44" customFormat="1" hidden="1" x14ac:dyDescent="0.5">
      <c r="A1354">
        <v>1353</v>
      </c>
      <c r="B1354">
        <v>94</v>
      </c>
      <c r="C1354" s="226" t="s">
        <v>25</v>
      </c>
      <c r="D1354" s="229">
        <v>33.230759999999997</v>
      </c>
      <c r="E1354" s="237">
        <v>-8.5547280000000008</v>
      </c>
      <c r="F1354">
        <v>0</v>
      </c>
      <c r="G1354">
        <f t="shared" si="16"/>
        <v>0</v>
      </c>
      <c r="H1354" t="s">
        <v>10</v>
      </c>
      <c r="I1354">
        <v>0</v>
      </c>
      <c r="J1354">
        <v>233.27075916578599</v>
      </c>
      <c r="K1354" s="26">
        <v>2016</v>
      </c>
      <c r="L1354" t="s">
        <v>11</v>
      </c>
      <c r="M1354" s="30"/>
      <c r="N1354">
        <v>1</v>
      </c>
      <c r="O1354">
        <v>5</v>
      </c>
      <c r="P1354" t="s">
        <v>12</v>
      </c>
      <c r="Q1354">
        <v>89</v>
      </c>
      <c r="R1354" t="s">
        <v>13</v>
      </c>
      <c r="S1354" t="s">
        <v>14</v>
      </c>
      <c r="T1354" t="s">
        <v>14</v>
      </c>
      <c r="U1354" s="25">
        <v>0</v>
      </c>
      <c r="V1354" s="25">
        <v>2</v>
      </c>
      <c r="W1354" s="25">
        <v>1</v>
      </c>
      <c r="X1354" s="25">
        <v>2</v>
      </c>
      <c r="Y1354">
        <v>0.86796846599999999</v>
      </c>
      <c r="Z1354" t="s">
        <v>1126</v>
      </c>
      <c r="AA1354" t="s">
        <v>622</v>
      </c>
      <c r="AB1354">
        <v>3</v>
      </c>
      <c r="AC1354">
        <v>101.33</v>
      </c>
      <c r="AD1354">
        <v>48.221738870000003</v>
      </c>
      <c r="AE1354" t="s">
        <v>519</v>
      </c>
      <c r="AF1354" t="s">
        <v>521</v>
      </c>
      <c r="AG1354" s="30">
        <v>5.837193629105875</v>
      </c>
      <c r="AH1354" s="30">
        <v>0.11840000000000001</v>
      </c>
      <c r="AI1354" s="30">
        <v>0.69112372568613567</v>
      </c>
      <c r="AJ1354">
        <v>5.1460699034197397</v>
      </c>
      <c r="AK1354">
        <v>0.11840000000000001</v>
      </c>
      <c r="AL1354">
        <v>0.69112372568613567</v>
      </c>
      <c r="AM1354">
        <v>5.1460699034197397</v>
      </c>
      <c r="AN1354">
        <v>0.77654351200689398</v>
      </c>
      <c r="AO1354">
        <v>5.7821010150783589</v>
      </c>
      <c r="AP1354">
        <v>6.7401528089887635E-4</v>
      </c>
      <c r="AQ1354">
        <v>5.018681348314606E-3</v>
      </c>
      <c r="AR1354">
        <v>0.13341858489683281</v>
      </c>
    </row>
    <row r="1355" spans="1:44" customFormat="1" hidden="1" x14ac:dyDescent="0.5">
      <c r="A1355">
        <v>1354</v>
      </c>
      <c r="B1355">
        <v>94</v>
      </c>
      <c r="C1355" s="226" t="s">
        <v>25</v>
      </c>
      <c r="D1355" s="229">
        <v>33.922994000000003</v>
      </c>
      <c r="E1355" s="237">
        <v>-6.9645060000000001</v>
      </c>
      <c r="F1355">
        <v>0</v>
      </c>
      <c r="G1355">
        <f t="shared" si="16"/>
        <v>0</v>
      </c>
      <c r="H1355" t="s">
        <v>10</v>
      </c>
      <c r="I1355">
        <v>0</v>
      </c>
      <c r="J1355">
        <v>490.24311503607402</v>
      </c>
      <c r="K1355" s="26">
        <v>2016</v>
      </c>
      <c r="L1355" t="s">
        <v>11</v>
      </c>
      <c r="M1355" s="30"/>
      <c r="N1355">
        <v>1</v>
      </c>
      <c r="O1355">
        <v>5</v>
      </c>
      <c r="P1355" t="s">
        <v>12</v>
      </c>
      <c r="Q1355">
        <v>89</v>
      </c>
      <c r="R1355" t="s">
        <v>13</v>
      </c>
      <c r="S1355" t="s">
        <v>14</v>
      </c>
      <c r="T1355" t="s">
        <v>14</v>
      </c>
      <c r="U1355" s="25">
        <v>0</v>
      </c>
      <c r="V1355" s="25">
        <v>2</v>
      </c>
      <c r="W1355" s="25">
        <v>1</v>
      </c>
      <c r="X1355" s="25">
        <v>2</v>
      </c>
      <c r="Y1355">
        <v>0.86796846599999999</v>
      </c>
      <c r="Z1355" t="s">
        <v>1126</v>
      </c>
      <c r="AA1355" t="s">
        <v>622</v>
      </c>
      <c r="AB1355">
        <v>3</v>
      </c>
      <c r="AC1355">
        <v>1670.57</v>
      </c>
      <c r="AD1355">
        <v>873.71064590000003</v>
      </c>
      <c r="AE1355" t="s">
        <v>519</v>
      </c>
      <c r="AF1355" t="s">
        <v>521</v>
      </c>
      <c r="AG1355" s="30">
        <v>96.234486933537966</v>
      </c>
      <c r="AH1355" s="30">
        <v>0.84119999999999995</v>
      </c>
      <c r="AI1355" s="30">
        <v>80.952450408492126</v>
      </c>
      <c r="AJ1355">
        <v>15.282036525045839</v>
      </c>
      <c r="AK1355">
        <v>0.84119999999999995</v>
      </c>
      <c r="AL1355">
        <v>80.952450408492126</v>
      </c>
      <c r="AM1355">
        <v>15.282036525045839</v>
      </c>
      <c r="AN1355">
        <v>90.957809447743969</v>
      </c>
      <c r="AO1355">
        <v>17.170827556231281</v>
      </c>
      <c r="AP1355">
        <v>7.8948510337078642E-2</v>
      </c>
      <c r="AQ1355">
        <v>1.4903736853932592E-2</v>
      </c>
      <c r="AR1355">
        <v>0.13341858489683281</v>
      </c>
    </row>
    <row r="1356" spans="1:44" customFormat="1" hidden="1" x14ac:dyDescent="0.5">
      <c r="A1356">
        <v>1515</v>
      </c>
      <c r="B1356">
        <v>113</v>
      </c>
      <c r="C1356" s="226" t="s">
        <v>20</v>
      </c>
      <c r="D1356" s="229">
        <v>41.438156999999997</v>
      </c>
      <c r="E1356" s="239">
        <v>9.8719429999999999</v>
      </c>
      <c r="F1356">
        <v>23.58</v>
      </c>
      <c r="G1356">
        <f t="shared" si="16"/>
        <v>37948.33152</v>
      </c>
      <c r="H1356" s="30" t="s">
        <v>611</v>
      </c>
      <c r="I1356">
        <v>784.7</v>
      </c>
      <c r="J1356">
        <v>35.304675984097599</v>
      </c>
      <c r="K1356" s="26">
        <v>2008</v>
      </c>
      <c r="L1356" t="s">
        <v>30</v>
      </c>
      <c r="M1356" s="30">
        <v>63</v>
      </c>
      <c r="N1356">
        <v>7.0097463050000002</v>
      </c>
      <c r="P1356" t="s">
        <v>23</v>
      </c>
      <c r="Q1356">
        <v>95.5</v>
      </c>
      <c r="R1356" t="s">
        <v>13</v>
      </c>
      <c r="S1356" t="s">
        <v>14</v>
      </c>
      <c r="T1356" t="s">
        <v>14</v>
      </c>
      <c r="U1356" s="29">
        <v>0</v>
      </c>
      <c r="V1356" s="29">
        <v>5</v>
      </c>
      <c r="W1356" s="25">
        <v>2.5</v>
      </c>
      <c r="X1356" s="25">
        <v>5</v>
      </c>
      <c r="Y1356" s="244">
        <v>0.82002076999999995</v>
      </c>
      <c r="Z1356" t="s">
        <v>1103</v>
      </c>
      <c r="AA1356" t="s">
        <v>622</v>
      </c>
      <c r="AB1356">
        <v>1</v>
      </c>
      <c r="AC1356">
        <v>1833.4763979999998</v>
      </c>
      <c r="AF1356" t="s">
        <v>532</v>
      </c>
      <c r="AG1356" s="30" t="s">
        <v>2611</v>
      </c>
      <c r="AH1356" s="30" t="s">
        <v>2612</v>
      </c>
      <c r="AI1356" s="30" t="s">
        <v>2613</v>
      </c>
      <c r="AJ1356" t="s">
        <v>3396</v>
      </c>
      <c r="AK1356">
        <v>0.91011235800000001</v>
      </c>
      <c r="AL1356">
        <v>1668.6695279211265</v>
      </c>
      <c r="AM1356">
        <v>164.80687007887354</v>
      </c>
      <c r="AN1356">
        <v>12248.115243571949</v>
      </c>
      <c r="AO1356">
        <v>1209.6904173549726</v>
      </c>
      <c r="AP1356">
        <v>10.043708893082606</v>
      </c>
      <c r="AQ1356">
        <v>0.99197126750104592</v>
      </c>
      <c r="AR1356">
        <v>6.078237505278046E-2</v>
      </c>
    </row>
    <row r="1357" spans="1:44" customFormat="1" hidden="1" x14ac:dyDescent="0.5">
      <c r="A1357">
        <v>1516</v>
      </c>
      <c r="B1357">
        <v>113</v>
      </c>
      <c r="C1357" s="226" t="s">
        <v>20</v>
      </c>
      <c r="D1357" s="229">
        <v>41.438156999999997</v>
      </c>
      <c r="E1357" s="239">
        <v>9.8719429999999999</v>
      </c>
      <c r="F1357">
        <v>23.58</v>
      </c>
      <c r="G1357">
        <f t="shared" si="16"/>
        <v>37948.33152</v>
      </c>
      <c r="H1357" s="30" t="s">
        <v>611</v>
      </c>
      <c r="I1357">
        <v>802</v>
      </c>
      <c r="J1357">
        <v>35.304675984097599</v>
      </c>
      <c r="K1357" s="26">
        <v>2008</v>
      </c>
      <c r="L1357" t="s">
        <v>30</v>
      </c>
      <c r="M1357" s="30">
        <v>63</v>
      </c>
      <c r="N1357">
        <v>7.0097463050000002</v>
      </c>
      <c r="P1357" t="s">
        <v>23</v>
      </c>
      <c r="Q1357">
        <v>95.5</v>
      </c>
      <c r="R1357" t="s">
        <v>13</v>
      </c>
      <c r="S1357" t="s">
        <v>14</v>
      </c>
      <c r="T1357" t="s">
        <v>14</v>
      </c>
      <c r="U1357" s="29">
        <v>0</v>
      </c>
      <c r="V1357" s="29">
        <v>5</v>
      </c>
      <c r="W1357" s="25">
        <v>2.5</v>
      </c>
      <c r="X1357" s="25">
        <v>5</v>
      </c>
      <c r="Y1357" s="244">
        <v>0.82002076999999995</v>
      </c>
      <c r="Z1357" t="s">
        <v>1103</v>
      </c>
      <c r="AA1357" t="s">
        <v>622</v>
      </c>
      <c r="AB1357">
        <v>1</v>
      </c>
      <c r="AC1357">
        <v>1324.2630390000002</v>
      </c>
      <c r="AF1357" t="s">
        <v>532</v>
      </c>
      <c r="AG1357" s="30" t="s">
        <v>2614</v>
      </c>
      <c r="AH1357" s="30" t="s">
        <v>2615</v>
      </c>
      <c r="AI1357" s="30" t="s">
        <v>2616</v>
      </c>
      <c r="AJ1357" t="s">
        <v>3397</v>
      </c>
      <c r="AK1357">
        <v>0.93150684900000003</v>
      </c>
      <c r="AL1357">
        <v>1233.5600907060541</v>
      </c>
      <c r="AM1357">
        <v>90.702948293945838</v>
      </c>
      <c r="AN1357">
        <v>9054.3908773007606</v>
      </c>
      <c r="AO1357">
        <v>665.76403838334329</v>
      </c>
      <c r="AP1357">
        <v>7.4247885790851438</v>
      </c>
      <c r="AQ1357">
        <v>0.54594033939341868</v>
      </c>
      <c r="AR1357">
        <v>5.9737919045638813E-2</v>
      </c>
    </row>
    <row r="1358" spans="1:44" customFormat="1" hidden="1" x14ac:dyDescent="0.5">
      <c r="A1358">
        <v>1517</v>
      </c>
      <c r="B1358">
        <v>113</v>
      </c>
      <c r="C1358" s="226" t="s">
        <v>20</v>
      </c>
      <c r="D1358" s="229">
        <v>41.438156999999997</v>
      </c>
      <c r="E1358" s="239">
        <v>9.8719429999999999</v>
      </c>
      <c r="F1358">
        <v>23.58</v>
      </c>
      <c r="G1358">
        <f t="shared" si="16"/>
        <v>37948.33152</v>
      </c>
      <c r="H1358" s="30" t="s">
        <v>611</v>
      </c>
      <c r="I1358">
        <v>806.7</v>
      </c>
      <c r="J1358">
        <v>35.304675984097599</v>
      </c>
      <c r="K1358" s="26">
        <v>2008</v>
      </c>
      <c r="L1358" t="s">
        <v>30</v>
      </c>
      <c r="M1358" s="30">
        <v>63</v>
      </c>
      <c r="N1358">
        <v>7.0097463050000002</v>
      </c>
      <c r="P1358" t="s">
        <v>23</v>
      </c>
      <c r="Q1358">
        <v>95.5</v>
      </c>
      <c r="R1358" t="s">
        <v>13</v>
      </c>
      <c r="S1358" t="s">
        <v>14</v>
      </c>
      <c r="T1358" t="s">
        <v>14</v>
      </c>
      <c r="U1358" s="29">
        <v>0</v>
      </c>
      <c r="V1358" s="29">
        <v>5</v>
      </c>
      <c r="W1358" s="25">
        <v>2.5</v>
      </c>
      <c r="X1358" s="25">
        <v>5</v>
      </c>
      <c r="Y1358" s="244">
        <v>0.82002076999999995</v>
      </c>
      <c r="Z1358" t="s">
        <v>1103</v>
      </c>
      <c r="AA1358" t="s">
        <v>622</v>
      </c>
      <c r="AB1358">
        <v>1</v>
      </c>
      <c r="AC1358">
        <v>1034.8071514000001</v>
      </c>
      <c r="AF1358" t="s">
        <v>532</v>
      </c>
      <c r="AG1358" s="30" t="s">
        <v>2617</v>
      </c>
      <c r="AH1358" s="30" t="s">
        <v>2618</v>
      </c>
      <c r="AI1358" s="30" t="s">
        <v>2619</v>
      </c>
      <c r="AJ1358" t="s">
        <v>3398</v>
      </c>
      <c r="AK1358">
        <v>0.87272727100000003</v>
      </c>
      <c r="AL1358">
        <v>903.10442090351489</v>
      </c>
      <c r="AM1358">
        <v>131.70273009648508</v>
      </c>
      <c r="AN1358">
        <v>6628.8302381754747</v>
      </c>
      <c r="AO1358">
        <v>966.70442476675248</v>
      </c>
      <c r="AP1358">
        <v>5.4357784761079362</v>
      </c>
      <c r="AQ1358">
        <v>0.79271770675963937</v>
      </c>
      <c r="AR1358">
        <v>5.9457278412358587E-2</v>
      </c>
    </row>
    <row r="1359" spans="1:44" customFormat="1" hidden="1" x14ac:dyDescent="0.5">
      <c r="A1359">
        <v>1518</v>
      </c>
      <c r="B1359">
        <v>113</v>
      </c>
      <c r="C1359" s="226" t="s">
        <v>20</v>
      </c>
      <c r="D1359" s="229">
        <v>41.438156999999997</v>
      </c>
      <c r="E1359" s="239">
        <v>9.8719429999999999</v>
      </c>
      <c r="F1359">
        <v>23.58</v>
      </c>
      <c r="G1359">
        <f t="shared" si="16"/>
        <v>37948.33152</v>
      </c>
      <c r="H1359" s="30" t="s">
        <v>611</v>
      </c>
      <c r="I1359">
        <v>810</v>
      </c>
      <c r="J1359">
        <v>35.304675984097599</v>
      </c>
      <c r="K1359" s="26">
        <v>2008</v>
      </c>
      <c r="L1359" t="s">
        <v>30</v>
      </c>
      <c r="M1359" s="30">
        <v>63</v>
      </c>
      <c r="N1359">
        <v>7.0097463050000002</v>
      </c>
      <c r="P1359" t="s">
        <v>23</v>
      </c>
      <c r="Q1359">
        <v>95.5</v>
      </c>
      <c r="R1359" t="s">
        <v>13</v>
      </c>
      <c r="S1359" t="s">
        <v>14</v>
      </c>
      <c r="T1359" t="s">
        <v>14</v>
      </c>
      <c r="U1359" s="29">
        <v>0</v>
      </c>
      <c r="V1359" s="29">
        <v>5</v>
      </c>
      <c r="W1359" s="25">
        <v>2.5</v>
      </c>
      <c r="X1359" s="25">
        <v>5</v>
      </c>
      <c r="Y1359" s="244">
        <v>0.82002076999999995</v>
      </c>
      <c r="Z1359" t="s">
        <v>1103</v>
      </c>
      <c r="AA1359" t="s">
        <v>622</v>
      </c>
      <c r="AB1359">
        <v>1</v>
      </c>
      <c r="AC1359">
        <v>1870.709382</v>
      </c>
      <c r="AF1359" t="s">
        <v>532</v>
      </c>
      <c r="AG1359" s="30" t="s">
        <v>2620</v>
      </c>
      <c r="AH1359" s="30" t="s">
        <v>2621</v>
      </c>
      <c r="AI1359" s="30" t="s">
        <v>2622</v>
      </c>
      <c r="AJ1359" t="s">
        <v>3399</v>
      </c>
      <c r="AK1359">
        <v>0.93577981600000004</v>
      </c>
      <c r="AL1359">
        <v>1750.5720812774339</v>
      </c>
      <c r="AM1359">
        <v>120.13730072256612</v>
      </c>
      <c r="AN1359">
        <v>12849.283956409061</v>
      </c>
      <c r="AO1359">
        <v>881.8136123902425</v>
      </c>
      <c r="AP1359">
        <v>10.536679723883204</v>
      </c>
      <c r="AQ1359">
        <v>0.72310547742872811</v>
      </c>
      <c r="AR1359">
        <v>5.9261021053417219E-2</v>
      </c>
    </row>
    <row r="1360" spans="1:44" hidden="1" x14ac:dyDescent="0.5">
      <c r="A1360" s="31">
        <v>1519</v>
      </c>
      <c r="B1360" s="31">
        <v>113</v>
      </c>
      <c r="C1360" s="225" t="s">
        <v>20</v>
      </c>
      <c r="D1360" s="41">
        <v>41.438156999999997</v>
      </c>
      <c r="E1360" s="43">
        <v>9.8719429999999999</v>
      </c>
      <c r="F1360">
        <v>23.58</v>
      </c>
      <c r="G1360">
        <f t="shared" ref="G1360:G1423" si="17">F1360*1609.344</f>
        <v>37948.33152</v>
      </c>
      <c r="H1360" s="32" t="s">
        <v>611</v>
      </c>
      <c r="I1360">
        <v>863</v>
      </c>
      <c r="J1360">
        <v>35.304675984097599</v>
      </c>
      <c r="K1360" s="26">
        <v>2008</v>
      </c>
      <c r="L1360" t="s">
        <v>30</v>
      </c>
      <c r="M1360" s="32">
        <v>63</v>
      </c>
      <c r="N1360">
        <v>7.0097463050000002</v>
      </c>
      <c r="P1360" t="s">
        <v>23</v>
      </c>
      <c r="Q1360">
        <v>95.5</v>
      </c>
      <c r="R1360" t="s">
        <v>13</v>
      </c>
      <c r="S1360" t="s">
        <v>14</v>
      </c>
      <c r="T1360" t="s">
        <v>14</v>
      </c>
      <c r="U1360" s="34">
        <v>0</v>
      </c>
      <c r="V1360" s="34">
        <v>5</v>
      </c>
      <c r="W1360" s="25">
        <v>2.5</v>
      </c>
      <c r="X1360" s="25">
        <v>5</v>
      </c>
      <c r="Y1360" s="244">
        <v>0.82002076999999995</v>
      </c>
      <c r="Z1360" t="s">
        <v>1103</v>
      </c>
      <c r="AA1360" t="s">
        <v>622</v>
      </c>
      <c r="AB1360">
        <v>1</v>
      </c>
      <c r="AC1360">
        <v>299.65352560000002</v>
      </c>
      <c r="AF1360" t="s">
        <v>532</v>
      </c>
      <c r="AG1360" s="32" t="s">
        <v>2623</v>
      </c>
      <c r="AH1360" s="32">
        <v>1</v>
      </c>
      <c r="AI1360" s="32" t="s">
        <v>2623</v>
      </c>
      <c r="AJ1360" s="31">
        <v>0</v>
      </c>
      <c r="AK1360" s="31">
        <v>1</v>
      </c>
      <c r="AL1360" s="31">
        <v>299.65352560000002</v>
      </c>
      <c r="AM1360" s="31">
        <v>0</v>
      </c>
      <c r="AN1360" s="31">
        <v>2199.4714071778253</v>
      </c>
      <c r="AO1360" s="31">
        <v>0</v>
      </c>
      <c r="AP1360" s="31">
        <v>1.8036122369069436</v>
      </c>
      <c r="AQ1360" s="31">
        <v>0</v>
      </c>
      <c r="AR1360" s="31">
        <v>5.6196306173975689E-2</v>
      </c>
    </row>
    <row r="1361" spans="1:44" hidden="1" x14ac:dyDescent="0.5">
      <c r="A1361" s="31">
        <v>1520</v>
      </c>
      <c r="B1361" s="31">
        <v>113</v>
      </c>
      <c r="C1361" s="225" t="s">
        <v>20</v>
      </c>
      <c r="D1361" s="41">
        <v>41.438156999999997</v>
      </c>
      <c r="E1361" s="43">
        <v>9.8719429999999999</v>
      </c>
      <c r="F1361">
        <v>23.58</v>
      </c>
      <c r="G1361">
        <f t="shared" si="17"/>
        <v>37948.33152</v>
      </c>
      <c r="H1361" s="32" t="s">
        <v>611</v>
      </c>
      <c r="I1361">
        <v>1195.4000000000001</v>
      </c>
      <c r="J1361">
        <v>35.304675984097599</v>
      </c>
      <c r="K1361" s="26">
        <v>2008</v>
      </c>
      <c r="L1361" t="s">
        <v>30</v>
      </c>
      <c r="M1361" s="32">
        <v>63</v>
      </c>
      <c r="N1361">
        <v>7.0097463050000002</v>
      </c>
      <c r="P1361" t="s">
        <v>23</v>
      </c>
      <c r="Q1361">
        <v>95.5</v>
      </c>
      <c r="R1361" t="s">
        <v>13</v>
      </c>
      <c r="S1361" t="s">
        <v>14</v>
      </c>
      <c r="T1361" t="s">
        <v>14</v>
      </c>
      <c r="U1361" s="34">
        <v>0</v>
      </c>
      <c r="V1361" s="34">
        <v>5</v>
      </c>
      <c r="W1361" s="25">
        <v>2.5</v>
      </c>
      <c r="X1361" s="25">
        <v>5</v>
      </c>
      <c r="Y1361" s="244">
        <v>0.82002076999999995</v>
      </c>
      <c r="Z1361" t="s">
        <v>1103</v>
      </c>
      <c r="AA1361" t="s">
        <v>622</v>
      </c>
      <c r="AB1361">
        <v>1</v>
      </c>
      <c r="AC1361">
        <v>1006.2049274</v>
      </c>
      <c r="AF1361" t="s">
        <v>532</v>
      </c>
      <c r="AG1361" s="32" t="s">
        <v>2624</v>
      </c>
      <c r="AH1361" s="32" t="s">
        <v>2625</v>
      </c>
      <c r="AI1361" s="32" t="s">
        <v>2626</v>
      </c>
      <c r="AJ1361" s="31" t="s">
        <v>3400</v>
      </c>
      <c r="AK1361" s="31">
        <v>0.90000000300000005</v>
      </c>
      <c r="AL1361" s="31">
        <v>905.58443731861485</v>
      </c>
      <c r="AM1361" s="31">
        <v>100.62048968138515</v>
      </c>
      <c r="AN1361" s="31">
        <v>6647.0336789106423</v>
      </c>
      <c r="AO1361" s="31">
        <v>738.55927303809449</v>
      </c>
      <c r="AP1361" s="31">
        <v>5.4507056755962369</v>
      </c>
      <c r="AQ1361" s="31">
        <v>0.60563394376733848</v>
      </c>
      <c r="AR1361" s="31">
        <v>4.0278555021074781E-2</v>
      </c>
    </row>
    <row r="1362" spans="1:44" customFormat="1" x14ac:dyDescent="0.5">
      <c r="A1362">
        <v>1361</v>
      </c>
      <c r="B1362">
        <v>96</v>
      </c>
      <c r="C1362" s="226" t="s">
        <v>9</v>
      </c>
      <c r="D1362" s="229">
        <v>1.224472</v>
      </c>
      <c r="E1362" s="237">
        <v>103.852056</v>
      </c>
      <c r="F1362">
        <v>0</v>
      </c>
      <c r="G1362">
        <f t="shared" si="17"/>
        <v>0</v>
      </c>
      <c r="H1362" t="s">
        <v>10</v>
      </c>
      <c r="I1362">
        <v>0</v>
      </c>
      <c r="J1362">
        <v>597.36979514945597</v>
      </c>
      <c r="K1362" s="26">
        <v>2018</v>
      </c>
      <c r="L1362" t="s">
        <v>11</v>
      </c>
      <c r="M1362" s="30">
        <v>1000</v>
      </c>
      <c r="N1362">
        <v>130.61708849999999</v>
      </c>
      <c r="O1362">
        <v>5</v>
      </c>
      <c r="P1362" t="s">
        <v>12</v>
      </c>
      <c r="Q1362">
        <v>89</v>
      </c>
      <c r="R1362" t="s">
        <v>31</v>
      </c>
      <c r="S1362" t="s">
        <v>16</v>
      </c>
      <c r="T1362" t="s">
        <v>14</v>
      </c>
      <c r="U1362" s="25">
        <v>0</v>
      </c>
      <c r="V1362" s="25">
        <v>5</v>
      </c>
      <c r="W1362" s="25">
        <v>2.5</v>
      </c>
      <c r="X1362" s="25">
        <v>5</v>
      </c>
      <c r="Y1362">
        <v>0.69148334600000005</v>
      </c>
      <c r="Z1362" t="s">
        <v>719</v>
      </c>
      <c r="AA1362" t="s">
        <v>623</v>
      </c>
      <c r="AB1362">
        <v>3</v>
      </c>
      <c r="AC1362">
        <v>2.66</v>
      </c>
      <c r="AD1362">
        <v>1.4</v>
      </c>
      <c r="AF1362" t="s">
        <v>552</v>
      </c>
      <c r="AG1362" s="30">
        <v>7.6936053930646651</v>
      </c>
      <c r="AH1362" s="30">
        <v>0.5</v>
      </c>
      <c r="AI1362" s="30">
        <v>3.8468026965323325</v>
      </c>
      <c r="AJ1362">
        <v>3.8468026965323325</v>
      </c>
      <c r="AK1362">
        <v>0.5</v>
      </c>
      <c r="AL1362">
        <v>3.8468026965323325</v>
      </c>
      <c r="AM1362">
        <v>3.8468026965323325</v>
      </c>
      <c r="AN1362">
        <v>564.55973961236214</v>
      </c>
      <c r="AO1362">
        <v>564.55973961236214</v>
      </c>
      <c r="AP1362">
        <v>0.39038365776404499</v>
      </c>
      <c r="AQ1362">
        <v>0.39038365776404499</v>
      </c>
      <c r="AR1362">
        <v>0.13341858489683281</v>
      </c>
    </row>
    <row r="1363" spans="1:44" customFormat="1" x14ac:dyDescent="0.5">
      <c r="A1363">
        <v>1362</v>
      </c>
      <c r="B1363">
        <v>96</v>
      </c>
      <c r="C1363" s="226" t="s">
        <v>9</v>
      </c>
      <c r="D1363" s="30">
        <v>1.392417</v>
      </c>
      <c r="E1363" s="238">
        <v>103.978917</v>
      </c>
      <c r="F1363">
        <v>0</v>
      </c>
      <c r="G1363">
        <f t="shared" si="17"/>
        <v>0</v>
      </c>
      <c r="H1363" t="s">
        <v>10</v>
      </c>
      <c r="I1363">
        <v>0</v>
      </c>
      <c r="J1363">
        <v>632.71666482989997</v>
      </c>
      <c r="K1363" s="26">
        <v>2018</v>
      </c>
      <c r="L1363" t="s">
        <v>11</v>
      </c>
      <c r="M1363" s="30">
        <v>1000</v>
      </c>
      <c r="N1363">
        <v>130.61708849999999</v>
      </c>
      <c r="O1363">
        <v>5</v>
      </c>
      <c r="P1363" t="s">
        <v>12</v>
      </c>
      <c r="Q1363">
        <v>89</v>
      </c>
      <c r="R1363" t="s">
        <v>31</v>
      </c>
      <c r="S1363" t="s">
        <v>16</v>
      </c>
      <c r="T1363" t="s">
        <v>14</v>
      </c>
      <c r="U1363" s="25">
        <v>0</v>
      </c>
      <c r="V1363" s="25">
        <v>5</v>
      </c>
      <c r="W1363" s="25">
        <v>2.5</v>
      </c>
      <c r="X1363" s="25">
        <v>5</v>
      </c>
      <c r="Y1363">
        <v>0.69148334600000005</v>
      </c>
      <c r="Z1363" t="s">
        <v>719</v>
      </c>
      <c r="AA1363" t="s">
        <v>623</v>
      </c>
      <c r="AB1363">
        <v>3</v>
      </c>
      <c r="AC1363">
        <v>28.03</v>
      </c>
      <c r="AD1363">
        <v>14.2</v>
      </c>
      <c r="AF1363" t="s">
        <v>552</v>
      </c>
      <c r="AG1363" s="30">
        <v>81.072089912632549</v>
      </c>
      <c r="AH1363" s="30">
        <v>0.42799999999999999</v>
      </c>
      <c r="AI1363" s="30">
        <v>34.698854482606727</v>
      </c>
      <c r="AJ1363">
        <v>46.373235430025822</v>
      </c>
      <c r="AK1363">
        <v>0.42799999999999999</v>
      </c>
      <c r="AL1363">
        <v>34.698854482606727</v>
      </c>
      <c r="AM1363">
        <v>46.373235430025822</v>
      </c>
      <c r="AN1363">
        <v>5092.4307267452414</v>
      </c>
      <c r="AO1363">
        <v>6805.7719058370994</v>
      </c>
      <c r="AP1363">
        <v>3.5213310382030114</v>
      </c>
      <c r="AQ1363">
        <v>4.7060779295610349</v>
      </c>
      <c r="AR1363">
        <v>0.13341858489683281</v>
      </c>
    </row>
    <row r="1364" spans="1:44" customFormat="1" x14ac:dyDescent="0.5">
      <c r="A1364">
        <v>1363</v>
      </c>
      <c r="B1364">
        <v>96</v>
      </c>
      <c r="C1364" s="226" t="s">
        <v>9</v>
      </c>
      <c r="D1364" s="229">
        <v>1.4638059999999999</v>
      </c>
      <c r="E1364" s="237">
        <v>103.837444</v>
      </c>
      <c r="F1364">
        <v>0</v>
      </c>
      <c r="G1364">
        <f t="shared" si="17"/>
        <v>0</v>
      </c>
      <c r="H1364" t="s">
        <v>10</v>
      </c>
      <c r="I1364">
        <v>0</v>
      </c>
      <c r="J1364">
        <v>572.77481200338298</v>
      </c>
      <c r="K1364" s="26">
        <v>2018</v>
      </c>
      <c r="L1364" t="s">
        <v>11</v>
      </c>
      <c r="M1364" s="30">
        <v>1000</v>
      </c>
      <c r="N1364">
        <v>130.61708849999999</v>
      </c>
      <c r="O1364">
        <v>5</v>
      </c>
      <c r="P1364" t="s">
        <v>12</v>
      </c>
      <c r="Q1364">
        <v>89</v>
      </c>
      <c r="R1364" t="s">
        <v>31</v>
      </c>
      <c r="S1364" t="s">
        <v>16</v>
      </c>
      <c r="T1364" t="s">
        <v>14</v>
      </c>
      <c r="U1364" s="25">
        <v>0</v>
      </c>
      <c r="V1364" s="25">
        <v>5</v>
      </c>
      <c r="W1364" s="25">
        <v>2.5</v>
      </c>
      <c r="X1364" s="25">
        <v>5</v>
      </c>
      <c r="Y1364">
        <v>0.69148334600000005</v>
      </c>
      <c r="Z1364" t="s">
        <v>719</v>
      </c>
      <c r="AA1364" t="s">
        <v>623</v>
      </c>
      <c r="AB1364">
        <v>3</v>
      </c>
      <c r="AC1364">
        <v>20.02</v>
      </c>
      <c r="AD1364">
        <v>7.4</v>
      </c>
      <c r="AF1364" t="s">
        <v>552</v>
      </c>
      <c r="AG1364" s="30">
        <v>57.904503747802472</v>
      </c>
      <c r="AH1364" s="30">
        <v>0.16600000000000001</v>
      </c>
      <c r="AI1364" s="30">
        <v>9.6121476221352111</v>
      </c>
      <c r="AJ1364">
        <v>48.292356125667261</v>
      </c>
      <c r="AK1364">
        <v>0.16600000000000001</v>
      </c>
      <c r="AL1364">
        <v>9.6121476221352111</v>
      </c>
      <c r="AM1364">
        <v>48.292356125667261</v>
      </c>
      <c r="AN1364">
        <v>1410.6862209387634</v>
      </c>
      <c r="AO1364">
        <v>7087.4235437525813</v>
      </c>
      <c r="AP1364">
        <v>0.97546602821083139</v>
      </c>
      <c r="AQ1364">
        <v>4.9008353465532126</v>
      </c>
      <c r="AR1364">
        <v>0.13341858489683281</v>
      </c>
    </row>
    <row r="1365" spans="1:44" customFormat="1" hidden="1" x14ac:dyDescent="0.5">
      <c r="A1365">
        <v>1521</v>
      </c>
      <c r="B1365">
        <v>113</v>
      </c>
      <c r="C1365" s="226" t="s">
        <v>20</v>
      </c>
      <c r="D1365" s="229">
        <v>41.438156999999997</v>
      </c>
      <c r="E1365" s="239">
        <v>9.8719429999999999</v>
      </c>
      <c r="F1365">
        <v>23.58</v>
      </c>
      <c r="G1365">
        <f t="shared" si="17"/>
        <v>37948.33152</v>
      </c>
      <c r="H1365" s="30" t="s">
        <v>611</v>
      </c>
      <c r="I1365">
        <v>1344.1</v>
      </c>
      <c r="J1365">
        <v>35.304675984097599</v>
      </c>
      <c r="K1365" s="26">
        <v>2008</v>
      </c>
      <c r="L1365" t="s">
        <v>30</v>
      </c>
      <c r="M1365" s="30">
        <v>63</v>
      </c>
      <c r="N1365">
        <v>7.0097463050000002</v>
      </c>
      <c r="P1365" t="s">
        <v>23</v>
      </c>
      <c r="Q1365">
        <v>95.5</v>
      </c>
      <c r="R1365" t="s">
        <v>13</v>
      </c>
      <c r="S1365" t="s">
        <v>14</v>
      </c>
      <c r="T1365" t="s">
        <v>14</v>
      </c>
      <c r="U1365" s="29">
        <v>0</v>
      </c>
      <c r="V1365" s="29">
        <v>5</v>
      </c>
      <c r="W1365" s="25">
        <v>2.5</v>
      </c>
      <c r="X1365" s="25">
        <v>5</v>
      </c>
      <c r="Y1365" s="244">
        <v>0.82002076999999995</v>
      </c>
      <c r="Z1365" t="s">
        <v>1103</v>
      </c>
      <c r="AA1365" t="s">
        <v>622</v>
      </c>
      <c r="AB1365">
        <v>1</v>
      </c>
      <c r="AC1365">
        <v>558.41781630000003</v>
      </c>
      <c r="AF1365" t="s">
        <v>532</v>
      </c>
      <c r="AG1365" s="30" t="s">
        <v>2627</v>
      </c>
      <c r="AH1365" s="30" t="s">
        <v>2628</v>
      </c>
      <c r="AI1365" s="30" t="s">
        <v>2629</v>
      </c>
      <c r="AJ1365" t="s">
        <v>3401</v>
      </c>
      <c r="AK1365">
        <v>0.92857142800000003</v>
      </c>
      <c r="AL1365">
        <v>518.53082910233275</v>
      </c>
      <c r="AM1365">
        <v>39.886987197667281</v>
      </c>
      <c r="AN1365">
        <v>3806.0414275692815</v>
      </c>
      <c r="AO1365">
        <v>292.77242002767593</v>
      </c>
      <c r="AP1365">
        <v>3.1210330220872611</v>
      </c>
      <c r="AQ1365">
        <v>0.24007946530585825</v>
      </c>
      <c r="AR1365">
        <v>3.4703361000665678E-2</v>
      </c>
    </row>
    <row r="1366" spans="1:44" customFormat="1" hidden="1" x14ac:dyDescent="0.5">
      <c r="A1366">
        <v>527</v>
      </c>
      <c r="B1366">
        <v>35</v>
      </c>
      <c r="C1366" s="226" t="s">
        <v>20</v>
      </c>
      <c r="D1366" s="230">
        <v>41.4</v>
      </c>
      <c r="E1366" s="231">
        <v>2.21</v>
      </c>
      <c r="F1366">
        <v>0</v>
      </c>
      <c r="G1366">
        <f t="shared" si="17"/>
        <v>0</v>
      </c>
      <c r="H1366" s="30" t="s">
        <v>10</v>
      </c>
      <c r="I1366">
        <v>0</v>
      </c>
      <c r="J1366">
        <v>508.43235945970599</v>
      </c>
      <c r="K1366" s="26">
        <v>2015</v>
      </c>
      <c r="L1366" t="s">
        <v>11</v>
      </c>
      <c r="M1366" s="30">
        <v>300</v>
      </c>
      <c r="N1366">
        <v>36.542166029999997</v>
      </c>
      <c r="O1366">
        <v>5</v>
      </c>
      <c r="P1366" t="s">
        <v>12</v>
      </c>
      <c r="Q1366">
        <v>83</v>
      </c>
      <c r="R1366" t="s">
        <v>13</v>
      </c>
      <c r="S1366" t="s">
        <v>14</v>
      </c>
      <c r="T1366" t="s">
        <v>14</v>
      </c>
      <c r="U1366" s="29">
        <v>0</v>
      </c>
      <c r="V1366" s="29">
        <v>5</v>
      </c>
      <c r="W1366" s="25">
        <v>2.5</v>
      </c>
      <c r="X1366" s="25">
        <v>5</v>
      </c>
      <c r="Y1366" s="244">
        <v>0.91019609899999998</v>
      </c>
      <c r="Z1366" t="s">
        <v>1103</v>
      </c>
      <c r="AA1366" t="s">
        <v>622</v>
      </c>
      <c r="AB1366">
        <v>5</v>
      </c>
      <c r="AC1366">
        <v>148</v>
      </c>
      <c r="AD1366">
        <v>23</v>
      </c>
      <c r="AE1366" t="s">
        <v>525</v>
      </c>
      <c r="AF1366" t="s">
        <v>532</v>
      </c>
      <c r="AG1366" s="30">
        <v>148</v>
      </c>
      <c r="AH1366" s="30" t="s">
        <v>1541</v>
      </c>
      <c r="AI1366" s="30" t="s">
        <v>1549</v>
      </c>
      <c r="AJ1366" t="s">
        <v>2932</v>
      </c>
      <c r="AK1366">
        <v>0.98699999999999999</v>
      </c>
      <c r="AL1366">
        <v>146.07599999999999</v>
      </c>
      <c r="AM1366">
        <v>1.9240000000000066</v>
      </c>
      <c r="AN1366">
        <v>6431.2451144557572</v>
      </c>
      <c r="AO1366">
        <v>84.707382459903897</v>
      </c>
      <c r="AP1366">
        <v>5.8536942148904387</v>
      </c>
      <c r="AQ1366">
        <v>7.7100329071505547E-2</v>
      </c>
      <c r="AR1366">
        <v>0.13341858489683281</v>
      </c>
    </row>
    <row r="1367" spans="1:44" customFormat="1" hidden="1" x14ac:dyDescent="0.5">
      <c r="A1367">
        <v>833</v>
      </c>
      <c r="B1367">
        <v>60</v>
      </c>
      <c r="C1367" s="226" t="s">
        <v>20</v>
      </c>
      <c r="D1367" s="236">
        <v>41.259957999999997</v>
      </c>
      <c r="E1367" s="237">
        <v>2.167411</v>
      </c>
      <c r="F1367">
        <v>6.85</v>
      </c>
      <c r="G1367">
        <f t="shared" si="17"/>
        <v>11024.0064</v>
      </c>
      <c r="H1367" s="30" t="s">
        <v>614</v>
      </c>
      <c r="I1367">
        <v>65</v>
      </c>
      <c r="J1367">
        <v>590.951654621123</v>
      </c>
      <c r="K1367" s="26">
        <v>2014</v>
      </c>
      <c r="L1367" t="s">
        <v>30</v>
      </c>
      <c r="M1367" s="30">
        <v>38</v>
      </c>
      <c r="N1367">
        <v>4.1059253030000002</v>
      </c>
      <c r="O1367">
        <v>4.9329999999999998</v>
      </c>
      <c r="P1367" t="s">
        <v>12</v>
      </c>
      <c r="Q1367">
        <v>89</v>
      </c>
      <c r="R1367" t="s">
        <v>13</v>
      </c>
      <c r="S1367" t="s">
        <v>14</v>
      </c>
      <c r="T1367" t="s">
        <v>14</v>
      </c>
      <c r="U1367" s="29">
        <v>0</v>
      </c>
      <c r="V1367" s="29">
        <v>1.5</v>
      </c>
      <c r="W1367" s="25">
        <v>0.75</v>
      </c>
      <c r="X1367" s="25">
        <v>1.5</v>
      </c>
      <c r="Y1367" s="244">
        <v>0.91019609899999998</v>
      </c>
      <c r="Z1367" t="s">
        <v>1103</v>
      </c>
      <c r="AA1367" t="s">
        <v>622</v>
      </c>
      <c r="AB1367">
        <v>3</v>
      </c>
      <c r="AC1367">
        <v>74.5</v>
      </c>
      <c r="AD1367">
        <v>29.1</v>
      </c>
      <c r="AE1367" t="s">
        <v>519</v>
      </c>
      <c r="AF1367" t="s">
        <v>532</v>
      </c>
      <c r="AG1367" s="30" t="s">
        <v>2040</v>
      </c>
      <c r="AH1367" s="30" t="s">
        <v>2041</v>
      </c>
      <c r="AI1367" s="30" t="s">
        <v>2042</v>
      </c>
      <c r="AJ1367" t="s">
        <v>3149</v>
      </c>
      <c r="AK1367">
        <v>0.75033557100000003</v>
      </c>
      <c r="AL1367">
        <v>55.9000000395</v>
      </c>
      <c r="AM1367">
        <v>18.5999999605</v>
      </c>
      <c r="AN1367">
        <v>257.8890164043641</v>
      </c>
      <c r="AO1367">
        <v>85.809225251253878</v>
      </c>
      <c r="AP1367">
        <v>0.23472957670619923</v>
      </c>
      <c r="AQ1367">
        <v>7.8103222081903581E-2</v>
      </c>
      <c r="AR1367">
        <v>0.1250067689176515</v>
      </c>
    </row>
    <row r="1368" spans="1:44" customFormat="1" hidden="1" x14ac:dyDescent="0.5">
      <c r="A1368">
        <v>838</v>
      </c>
      <c r="B1368">
        <v>60</v>
      </c>
      <c r="C1368" s="226" t="s">
        <v>20</v>
      </c>
      <c r="D1368" s="236">
        <v>41.235928999999999</v>
      </c>
      <c r="E1368" s="237">
        <v>2.091145</v>
      </c>
      <c r="F1368">
        <v>4.28</v>
      </c>
      <c r="G1368">
        <f t="shared" si="17"/>
        <v>6887.9923200000003</v>
      </c>
      <c r="H1368" s="30" t="s">
        <v>614</v>
      </c>
      <c r="I1368">
        <v>83</v>
      </c>
      <c r="J1368">
        <v>587.10835371152098</v>
      </c>
      <c r="K1368" s="26">
        <v>2014</v>
      </c>
      <c r="L1368" t="s">
        <v>30</v>
      </c>
      <c r="M1368" s="30">
        <v>38</v>
      </c>
      <c r="N1368">
        <v>4.1059253030000002</v>
      </c>
      <c r="O1368">
        <v>4.9329999999999998</v>
      </c>
      <c r="P1368" t="s">
        <v>12</v>
      </c>
      <c r="Q1368">
        <v>89</v>
      </c>
      <c r="R1368" t="s">
        <v>13</v>
      </c>
      <c r="S1368" t="s">
        <v>14</v>
      </c>
      <c r="T1368" t="s">
        <v>14</v>
      </c>
      <c r="U1368" s="29">
        <v>0</v>
      </c>
      <c r="V1368" s="29">
        <v>1.5</v>
      </c>
      <c r="W1368" s="25">
        <v>0.75</v>
      </c>
      <c r="X1368" s="25">
        <v>1.5</v>
      </c>
      <c r="Y1368" s="244">
        <v>0.91019609899999998</v>
      </c>
      <c r="Z1368" t="s">
        <v>1103</v>
      </c>
      <c r="AA1368" t="s">
        <v>622</v>
      </c>
      <c r="AB1368">
        <v>3</v>
      </c>
      <c r="AC1368">
        <v>132.69999999999999</v>
      </c>
      <c r="AD1368">
        <v>67.8</v>
      </c>
      <c r="AE1368" t="s">
        <v>519</v>
      </c>
      <c r="AF1368" t="s">
        <v>532</v>
      </c>
      <c r="AG1368" s="30" t="s">
        <v>2055</v>
      </c>
      <c r="AH1368" s="30" t="s">
        <v>2056</v>
      </c>
      <c r="AI1368" s="30" t="s">
        <v>2057</v>
      </c>
      <c r="AJ1368" t="s">
        <v>3154</v>
      </c>
      <c r="AK1368">
        <v>0.359457423</v>
      </c>
      <c r="AL1368">
        <v>47.700000032099993</v>
      </c>
      <c r="AM1368">
        <v>84.999999967899996</v>
      </c>
      <c r="AN1368">
        <v>220.05914279202267</v>
      </c>
      <c r="AO1368">
        <v>392.13893328449416</v>
      </c>
      <c r="AP1368">
        <v>0.20029697331858301</v>
      </c>
      <c r="AQ1368">
        <v>0.35692332734156784</v>
      </c>
      <c r="AR1368">
        <v>0.12277257649331776</v>
      </c>
    </row>
    <row r="1369" spans="1:44" customFormat="1" hidden="1" x14ac:dyDescent="0.5">
      <c r="A1369">
        <v>526</v>
      </c>
      <c r="B1369">
        <v>35</v>
      </c>
      <c r="C1369" s="226" t="s">
        <v>20</v>
      </c>
      <c r="D1369" s="156">
        <v>41.176851999999997</v>
      </c>
      <c r="E1369" s="242">
        <v>-8.6947580000000002</v>
      </c>
      <c r="F1369">
        <v>0</v>
      </c>
      <c r="G1369">
        <f t="shared" si="17"/>
        <v>0</v>
      </c>
      <c r="H1369" s="30" t="s">
        <v>10</v>
      </c>
      <c r="I1369">
        <v>0</v>
      </c>
      <c r="J1369">
        <v>268.72275165080401</v>
      </c>
      <c r="K1369" s="26">
        <v>2015</v>
      </c>
      <c r="L1369" t="s">
        <v>11</v>
      </c>
      <c r="M1369" s="30">
        <v>300</v>
      </c>
      <c r="N1369">
        <v>36.542166029999997</v>
      </c>
      <c r="O1369">
        <v>5</v>
      </c>
      <c r="P1369" t="s">
        <v>12</v>
      </c>
      <c r="Q1369">
        <v>83</v>
      </c>
      <c r="R1369" t="s">
        <v>13</v>
      </c>
      <c r="S1369" t="s">
        <v>14</v>
      </c>
      <c r="T1369" t="s">
        <v>14</v>
      </c>
      <c r="U1369" s="29">
        <v>0</v>
      </c>
      <c r="V1369" s="29">
        <v>5</v>
      </c>
      <c r="W1369" s="25">
        <v>2.5</v>
      </c>
      <c r="X1369" s="25">
        <v>5</v>
      </c>
      <c r="Y1369" s="244">
        <v>1.2133108295000001</v>
      </c>
      <c r="Z1369" t="s">
        <v>714</v>
      </c>
      <c r="AA1369" t="s">
        <v>633</v>
      </c>
      <c r="AB1369">
        <v>5</v>
      </c>
      <c r="AC1369">
        <v>140</v>
      </c>
      <c r="AD1369">
        <v>26</v>
      </c>
      <c r="AE1369" t="s">
        <v>525</v>
      </c>
      <c r="AF1369" t="s">
        <v>532</v>
      </c>
      <c r="AG1369" s="30">
        <v>140</v>
      </c>
      <c r="AH1369" s="30" t="s">
        <v>1541</v>
      </c>
      <c r="AI1369" s="30" t="s">
        <v>1548</v>
      </c>
      <c r="AJ1369" t="s">
        <v>2931</v>
      </c>
      <c r="AK1369">
        <v>0.98699999999999999</v>
      </c>
      <c r="AL1369">
        <v>138.18</v>
      </c>
      <c r="AM1369">
        <v>1.8199999999999932</v>
      </c>
      <c r="AN1369">
        <v>6083.6102434040959</v>
      </c>
      <c r="AO1369">
        <v>80.128605029638251</v>
      </c>
      <c r="AP1369">
        <v>7.3813101907793213</v>
      </c>
      <c r="AQ1369">
        <v>9.7220904235188269E-2</v>
      </c>
      <c r="AR1369">
        <v>0.13341858489683281</v>
      </c>
    </row>
    <row r="1370" spans="1:44" customFormat="1" hidden="1" x14ac:dyDescent="0.5">
      <c r="A1370">
        <v>835</v>
      </c>
      <c r="B1370">
        <v>60</v>
      </c>
      <c r="C1370" s="226" t="s">
        <v>20</v>
      </c>
      <c r="D1370" s="236">
        <v>40.342564000000003</v>
      </c>
      <c r="E1370" s="237">
        <v>0.46467900000000001</v>
      </c>
      <c r="F1370">
        <v>3.32</v>
      </c>
      <c r="G1370">
        <f t="shared" si="17"/>
        <v>5343.0220799999997</v>
      </c>
      <c r="H1370" s="30" t="s">
        <v>614</v>
      </c>
      <c r="I1370">
        <v>43</v>
      </c>
      <c r="J1370">
        <v>80.679853286877105</v>
      </c>
      <c r="K1370" s="26">
        <v>2014</v>
      </c>
      <c r="L1370" t="s">
        <v>30</v>
      </c>
      <c r="M1370" s="30">
        <v>38</v>
      </c>
      <c r="N1370">
        <v>4.1059253030000002</v>
      </c>
      <c r="O1370">
        <v>4.9329999999999998</v>
      </c>
      <c r="P1370" t="s">
        <v>12</v>
      </c>
      <c r="Q1370">
        <v>89</v>
      </c>
      <c r="R1370" t="s">
        <v>13</v>
      </c>
      <c r="S1370" t="s">
        <v>14</v>
      </c>
      <c r="T1370" t="s">
        <v>14</v>
      </c>
      <c r="U1370" s="29">
        <v>0</v>
      </c>
      <c r="V1370" s="29">
        <v>1.5</v>
      </c>
      <c r="W1370" s="25">
        <v>0.75</v>
      </c>
      <c r="X1370" s="25">
        <v>1.5</v>
      </c>
      <c r="Y1370" s="244">
        <v>1.6702460939999999</v>
      </c>
      <c r="Z1370" t="s">
        <v>1103</v>
      </c>
      <c r="AA1370" t="s">
        <v>622</v>
      </c>
      <c r="AB1370">
        <v>3</v>
      </c>
      <c r="AC1370">
        <v>94.8</v>
      </c>
      <c r="AD1370">
        <v>80.2</v>
      </c>
      <c r="AE1370" t="s">
        <v>519</v>
      </c>
      <c r="AF1370" t="s">
        <v>532</v>
      </c>
      <c r="AG1370" s="30" t="s">
        <v>2046</v>
      </c>
      <c r="AH1370" s="30" t="s">
        <v>2047</v>
      </c>
      <c r="AI1370" s="30" t="s">
        <v>2048</v>
      </c>
      <c r="AJ1370" t="s">
        <v>3151</v>
      </c>
      <c r="AK1370">
        <v>0.93776371300000005</v>
      </c>
      <c r="AL1370">
        <v>88.899999992399998</v>
      </c>
      <c r="AM1370">
        <v>5.9000000075999992</v>
      </c>
      <c r="AN1370">
        <v>410.1311903432528</v>
      </c>
      <c r="AO1370">
        <v>27.219055414500033</v>
      </c>
      <c r="AP1370">
        <v>0.68502001869838847</v>
      </c>
      <c r="AQ1370">
        <v>4.5462520988438233E-2</v>
      </c>
      <c r="AR1370">
        <v>0.12779273648875281</v>
      </c>
    </row>
    <row r="1371" spans="1:44" customFormat="1" hidden="1" x14ac:dyDescent="0.5">
      <c r="A1371">
        <v>371</v>
      </c>
      <c r="B1371">
        <v>26</v>
      </c>
      <c r="C1371" s="226" t="s">
        <v>20</v>
      </c>
      <c r="D1371" s="227">
        <v>39.536999999999999</v>
      </c>
      <c r="E1371" s="228">
        <v>2.3690000000000002</v>
      </c>
      <c r="F1371">
        <v>0.02</v>
      </c>
      <c r="G1371">
        <f t="shared" si="17"/>
        <v>32.186880000000002</v>
      </c>
      <c r="H1371" s="30" t="s">
        <v>57</v>
      </c>
      <c r="I1371">
        <v>10</v>
      </c>
      <c r="J1371">
        <v>272.731031831574</v>
      </c>
      <c r="K1371" s="26">
        <v>2013</v>
      </c>
      <c r="L1371" t="s">
        <v>30</v>
      </c>
      <c r="M1371" s="30">
        <v>63</v>
      </c>
      <c r="N1371">
        <v>7.0097463050000002</v>
      </c>
      <c r="P1371" t="s">
        <v>58</v>
      </c>
      <c r="Q1371">
        <v>72</v>
      </c>
      <c r="R1371" t="s">
        <v>13</v>
      </c>
      <c r="S1371" t="s">
        <v>16</v>
      </c>
      <c r="T1371" t="s">
        <v>14</v>
      </c>
      <c r="U1371" s="29">
        <v>0</v>
      </c>
      <c r="V1371" s="29">
        <v>3.5</v>
      </c>
      <c r="W1371" s="25">
        <v>1.75</v>
      </c>
      <c r="X1371" s="25">
        <v>3.5</v>
      </c>
      <c r="Y1371" s="244">
        <v>1.0968526569499999</v>
      </c>
      <c r="Z1371" t="s">
        <v>722</v>
      </c>
      <c r="AA1371" t="s">
        <v>627</v>
      </c>
      <c r="AB1371">
        <v>2</v>
      </c>
      <c r="AC1371">
        <v>122.8</v>
      </c>
      <c r="AD1371">
        <v>98.18</v>
      </c>
      <c r="AE1371" t="s">
        <v>519</v>
      </c>
      <c r="AF1371" t="s">
        <v>532</v>
      </c>
      <c r="AG1371" s="30" t="s">
        <v>1359</v>
      </c>
      <c r="AH1371" s="30" t="s">
        <v>671</v>
      </c>
      <c r="AI1371" s="30" t="s">
        <v>1129</v>
      </c>
      <c r="AJ1371" t="s">
        <v>1130</v>
      </c>
      <c r="AK1371">
        <v>0.59524549999999998</v>
      </c>
      <c r="AL1371">
        <v>73.096147399999992</v>
      </c>
      <c r="AM1371">
        <v>49.703852600000005</v>
      </c>
      <c r="AN1371">
        <v>711.64645714845176</v>
      </c>
      <c r="AO1371">
        <v>483.90471820432595</v>
      </c>
      <c r="AP1371">
        <v>0.7805713073323336</v>
      </c>
      <c r="AQ1371">
        <v>0.53077217587305592</v>
      </c>
      <c r="AR1371">
        <v>0.20269999999999999</v>
      </c>
    </row>
    <row r="1372" spans="1:44" customFormat="1" hidden="1" x14ac:dyDescent="0.5">
      <c r="A1372">
        <v>372</v>
      </c>
      <c r="B1372">
        <v>26</v>
      </c>
      <c r="C1372" s="226" t="s">
        <v>20</v>
      </c>
      <c r="D1372" s="227">
        <v>39.536999999999999</v>
      </c>
      <c r="E1372" s="228">
        <v>2.3690000000000002</v>
      </c>
      <c r="F1372">
        <v>0.02</v>
      </c>
      <c r="G1372">
        <f t="shared" si="17"/>
        <v>32.186880000000002</v>
      </c>
      <c r="H1372" s="30" t="s">
        <v>57</v>
      </c>
      <c r="I1372">
        <v>10</v>
      </c>
      <c r="J1372">
        <v>272.731031831574</v>
      </c>
      <c r="K1372" s="26">
        <v>2013</v>
      </c>
      <c r="L1372" t="s">
        <v>30</v>
      </c>
      <c r="M1372" s="30">
        <v>63</v>
      </c>
      <c r="N1372">
        <v>7.0097463050000002</v>
      </c>
      <c r="P1372" t="s">
        <v>58</v>
      </c>
      <c r="Q1372">
        <v>72</v>
      </c>
      <c r="R1372" t="s">
        <v>13</v>
      </c>
      <c r="S1372" t="s">
        <v>16</v>
      </c>
      <c r="T1372" t="s">
        <v>14</v>
      </c>
      <c r="U1372" s="29">
        <v>0</v>
      </c>
      <c r="V1372" s="29">
        <v>3.5</v>
      </c>
      <c r="W1372" s="25">
        <v>1.75</v>
      </c>
      <c r="X1372" s="25">
        <v>3.5</v>
      </c>
      <c r="Y1372" s="244">
        <v>1.0968526569499999</v>
      </c>
      <c r="Z1372" t="s">
        <v>722</v>
      </c>
      <c r="AA1372" t="s">
        <v>627</v>
      </c>
      <c r="AB1372">
        <v>2</v>
      </c>
      <c r="AC1372">
        <v>163.68</v>
      </c>
      <c r="AD1372">
        <v>93.02</v>
      </c>
      <c r="AE1372" t="s">
        <v>519</v>
      </c>
      <c r="AF1372" t="s">
        <v>532</v>
      </c>
      <c r="AG1372" s="30" t="s">
        <v>1360</v>
      </c>
      <c r="AH1372" s="30" t="s">
        <v>671</v>
      </c>
      <c r="AI1372" s="30" t="s">
        <v>1129</v>
      </c>
      <c r="AJ1372" t="s">
        <v>1130</v>
      </c>
      <c r="AK1372">
        <v>0.59524549999999998</v>
      </c>
      <c r="AL1372">
        <v>97.429783439999994</v>
      </c>
      <c r="AM1372">
        <v>66.250216560000013</v>
      </c>
      <c r="AN1372">
        <v>948.55286731318063</v>
      </c>
      <c r="AO1372">
        <v>644.996126023486</v>
      </c>
      <c r="AP1372">
        <v>1.0404227327700029</v>
      </c>
      <c r="AQ1372">
        <v>0.70746571455131757</v>
      </c>
      <c r="AR1372">
        <v>0.20269999999999999</v>
      </c>
    </row>
    <row r="1373" spans="1:44" customFormat="1" hidden="1" x14ac:dyDescent="0.5">
      <c r="A1373">
        <v>832</v>
      </c>
      <c r="B1373">
        <v>60</v>
      </c>
      <c r="C1373" s="226" t="s">
        <v>20</v>
      </c>
      <c r="D1373" s="236">
        <v>39.444147000000001</v>
      </c>
      <c r="E1373" s="237">
        <v>2.5184890000000002</v>
      </c>
      <c r="F1373">
        <v>1.73</v>
      </c>
      <c r="G1373">
        <f t="shared" si="17"/>
        <v>2784.1651200000001</v>
      </c>
      <c r="H1373" s="30" t="s">
        <v>614</v>
      </c>
      <c r="I1373">
        <v>57</v>
      </c>
      <c r="J1373">
        <v>271.48651616452997</v>
      </c>
      <c r="K1373" s="26">
        <v>2014</v>
      </c>
      <c r="L1373" t="s">
        <v>30</v>
      </c>
      <c r="M1373" s="30">
        <v>38</v>
      </c>
      <c r="N1373">
        <v>4.1059253030000002</v>
      </c>
      <c r="O1373">
        <v>4.9329999999999998</v>
      </c>
      <c r="P1373" t="s">
        <v>12</v>
      </c>
      <c r="Q1373">
        <v>89</v>
      </c>
      <c r="R1373" t="s">
        <v>13</v>
      </c>
      <c r="S1373" t="s">
        <v>14</v>
      </c>
      <c r="T1373" t="s">
        <v>14</v>
      </c>
      <c r="U1373" s="29">
        <v>0</v>
      </c>
      <c r="V1373" s="29">
        <v>1.5</v>
      </c>
      <c r="W1373" s="25">
        <v>0.75</v>
      </c>
      <c r="X1373" s="25">
        <v>1.5</v>
      </c>
      <c r="Y1373" s="244">
        <v>0.91019609899999998</v>
      </c>
      <c r="Z1373" t="s">
        <v>1103</v>
      </c>
      <c r="AA1373" t="s">
        <v>622</v>
      </c>
      <c r="AB1373">
        <v>3</v>
      </c>
      <c r="AC1373">
        <v>45.9</v>
      </c>
      <c r="AD1373">
        <v>23.9</v>
      </c>
      <c r="AE1373" t="s">
        <v>519</v>
      </c>
      <c r="AF1373" t="s">
        <v>532</v>
      </c>
      <c r="AG1373" s="30" t="s">
        <v>2037</v>
      </c>
      <c r="AH1373" s="30" t="s">
        <v>2038</v>
      </c>
      <c r="AI1373" s="30" t="s">
        <v>2039</v>
      </c>
      <c r="AJ1373" t="s">
        <v>3148</v>
      </c>
      <c r="AK1373">
        <v>0.77777777800000003</v>
      </c>
      <c r="AL1373">
        <v>35.7000000102</v>
      </c>
      <c r="AM1373">
        <v>10.199999989799998</v>
      </c>
      <c r="AN1373">
        <v>164.69835208874207</v>
      </c>
      <c r="AO1373">
        <v>47.056671964853443</v>
      </c>
      <c r="AP1373">
        <v>0.14990779758290151</v>
      </c>
      <c r="AQ1373">
        <v>4.2830799254332266E-2</v>
      </c>
      <c r="AR1373">
        <v>0.12601275018579738</v>
      </c>
    </row>
    <row r="1374" spans="1:44" customFormat="1" hidden="1" x14ac:dyDescent="0.5">
      <c r="A1374">
        <v>525</v>
      </c>
      <c r="B1374">
        <v>35</v>
      </c>
      <c r="C1374" s="226" t="s">
        <v>20</v>
      </c>
      <c r="D1374" s="230">
        <v>39.44</v>
      </c>
      <c r="E1374" s="231">
        <v>23.05</v>
      </c>
      <c r="F1374">
        <v>0</v>
      </c>
      <c r="G1374">
        <f t="shared" si="17"/>
        <v>0</v>
      </c>
      <c r="H1374" s="30" t="s">
        <v>10</v>
      </c>
      <c r="I1374">
        <v>0</v>
      </c>
      <c r="J1374">
        <v>57.033499853304598</v>
      </c>
      <c r="K1374" s="26">
        <v>2015</v>
      </c>
      <c r="L1374" t="s">
        <v>11</v>
      </c>
      <c r="M1374" s="30">
        <v>300</v>
      </c>
      <c r="N1374">
        <v>36.542166029999997</v>
      </c>
      <c r="O1374">
        <v>5</v>
      </c>
      <c r="P1374" t="s">
        <v>12</v>
      </c>
      <c r="Q1374">
        <v>83</v>
      </c>
      <c r="R1374" t="s">
        <v>13</v>
      </c>
      <c r="S1374" t="s">
        <v>14</v>
      </c>
      <c r="T1374" t="s">
        <v>14</v>
      </c>
      <c r="U1374" s="29">
        <v>0</v>
      </c>
      <c r="V1374" s="29">
        <v>5</v>
      </c>
      <c r="W1374" s="25">
        <v>2.5</v>
      </c>
      <c r="X1374" s="25">
        <v>5</v>
      </c>
      <c r="Y1374" s="244">
        <v>0.89401670899999997</v>
      </c>
      <c r="Z1374" t="s">
        <v>785</v>
      </c>
      <c r="AA1374" t="s">
        <v>632</v>
      </c>
      <c r="AB1374">
        <v>5</v>
      </c>
      <c r="AC1374">
        <v>232</v>
      </c>
      <c r="AD1374">
        <v>93</v>
      </c>
      <c r="AE1374" t="s">
        <v>525</v>
      </c>
      <c r="AF1374" t="s">
        <v>532</v>
      </c>
      <c r="AG1374" s="30">
        <v>232</v>
      </c>
      <c r="AH1374" s="30" t="s">
        <v>1541</v>
      </c>
      <c r="AI1374" s="30" t="s">
        <v>1547</v>
      </c>
      <c r="AJ1374" t="s">
        <v>2930</v>
      </c>
      <c r="AK1374">
        <v>0.98699999999999999</v>
      </c>
      <c r="AL1374">
        <v>228.98400000000001</v>
      </c>
      <c r="AM1374">
        <v>3.0159999999999911</v>
      </c>
      <c r="AN1374">
        <v>10081.411260498217</v>
      </c>
      <c r="AO1374">
        <v>132.78454547768635</v>
      </c>
      <c r="AP1374">
        <v>9.0129501171861559</v>
      </c>
      <c r="AQ1374">
        <v>0.11871160235402196</v>
      </c>
      <c r="AR1374">
        <v>0.13341858489683281</v>
      </c>
    </row>
    <row r="1375" spans="1:44" customFormat="1" hidden="1" x14ac:dyDescent="0.5">
      <c r="A1375">
        <v>1562</v>
      </c>
      <c r="B1375" s="1">
        <v>115</v>
      </c>
      <c r="C1375" s="226" t="s">
        <v>20</v>
      </c>
      <c r="D1375" s="229">
        <v>39.153333000000003</v>
      </c>
      <c r="E1375" s="239">
        <v>2.9455559999999998</v>
      </c>
      <c r="F1375">
        <v>0.18</v>
      </c>
      <c r="G1375">
        <f t="shared" si="17"/>
        <v>289.68191999999999</v>
      </c>
      <c r="H1375" s="30" t="s">
        <v>57</v>
      </c>
      <c r="I1375">
        <v>25</v>
      </c>
      <c r="J1375">
        <v>271.80487230074101</v>
      </c>
      <c r="K1375" s="26">
        <v>2015</v>
      </c>
      <c r="L1375" t="s">
        <v>30</v>
      </c>
      <c r="M1375" s="30">
        <v>100</v>
      </c>
      <c r="N1375">
        <v>11.428783320000001</v>
      </c>
      <c r="O1375">
        <v>5</v>
      </c>
      <c r="P1375" t="s">
        <v>15</v>
      </c>
      <c r="Q1375">
        <v>97</v>
      </c>
      <c r="R1375" t="s">
        <v>13</v>
      </c>
      <c r="S1375" t="s">
        <v>14</v>
      </c>
      <c r="T1375" t="s">
        <v>14</v>
      </c>
      <c r="U1375" s="29">
        <v>0</v>
      </c>
      <c r="V1375" s="29">
        <v>1</v>
      </c>
      <c r="W1375" s="25">
        <v>0.5</v>
      </c>
      <c r="X1375" s="25">
        <v>1</v>
      </c>
      <c r="Y1375" s="244">
        <v>0.64280850899999997</v>
      </c>
      <c r="Z1375" t="s">
        <v>722</v>
      </c>
      <c r="AA1375" t="s">
        <v>628</v>
      </c>
      <c r="AB1375">
        <v>1</v>
      </c>
      <c r="AC1375">
        <v>362</v>
      </c>
      <c r="AF1375" t="s">
        <v>532</v>
      </c>
      <c r="AG1375" s="30">
        <v>362</v>
      </c>
      <c r="AH1375" s="30" t="s">
        <v>1201</v>
      </c>
      <c r="AI1375" s="30" t="s">
        <v>2662</v>
      </c>
      <c r="AJ1375" t="s">
        <v>3434</v>
      </c>
      <c r="AK1375">
        <v>0.1</v>
      </c>
      <c r="AL1375">
        <v>36.200000000000003</v>
      </c>
      <c r="AM1375">
        <v>325.8</v>
      </c>
      <c r="AN1375">
        <v>426.51748060206194</v>
      </c>
      <c r="AO1375">
        <v>3838.6573254185569</v>
      </c>
      <c r="AP1375">
        <v>0.27416906576824784</v>
      </c>
      <c r="AQ1375">
        <v>2.4675215919142302</v>
      </c>
      <c r="AR1375">
        <v>0.20269999999999999</v>
      </c>
    </row>
    <row r="1376" spans="1:44" customFormat="1" hidden="1" x14ac:dyDescent="0.5">
      <c r="A1376">
        <v>1563</v>
      </c>
      <c r="B1376" s="1">
        <v>115</v>
      </c>
      <c r="C1376" s="226" t="s">
        <v>20</v>
      </c>
      <c r="D1376" s="229">
        <v>39.153333000000003</v>
      </c>
      <c r="E1376" s="239">
        <v>2.9455559999999998</v>
      </c>
      <c r="F1376">
        <v>0.18</v>
      </c>
      <c r="G1376">
        <f t="shared" si="17"/>
        <v>289.68191999999999</v>
      </c>
      <c r="H1376" s="30" t="s">
        <v>57</v>
      </c>
      <c r="I1376">
        <v>25</v>
      </c>
      <c r="J1376">
        <v>271.80487230074101</v>
      </c>
      <c r="K1376" s="26">
        <v>2015</v>
      </c>
      <c r="L1376" t="s">
        <v>30</v>
      </c>
      <c r="M1376" s="30">
        <v>100</v>
      </c>
      <c r="N1376">
        <v>11.428783320000001</v>
      </c>
      <c r="O1376">
        <v>5</v>
      </c>
      <c r="P1376" t="s">
        <v>15</v>
      </c>
      <c r="Q1376">
        <v>97</v>
      </c>
      <c r="R1376" t="s">
        <v>13</v>
      </c>
      <c r="S1376" t="s">
        <v>14</v>
      </c>
      <c r="T1376" t="s">
        <v>14</v>
      </c>
      <c r="U1376" s="29">
        <v>1</v>
      </c>
      <c r="V1376" s="29">
        <v>2</v>
      </c>
      <c r="W1376" s="25">
        <v>1.5</v>
      </c>
      <c r="X1376" s="25">
        <v>1</v>
      </c>
      <c r="Y1376" s="244">
        <v>0.64280850899999997</v>
      </c>
      <c r="Z1376" t="s">
        <v>722</v>
      </c>
      <c r="AA1376" t="s">
        <v>628</v>
      </c>
      <c r="AB1376">
        <v>1</v>
      </c>
      <c r="AC1376">
        <v>477</v>
      </c>
      <c r="AF1376" t="s">
        <v>532</v>
      </c>
      <c r="AG1376" s="30">
        <v>477</v>
      </c>
      <c r="AH1376" s="30" t="s">
        <v>1201</v>
      </c>
      <c r="AI1376" s="30" t="s">
        <v>2663</v>
      </c>
      <c r="AJ1376" t="s">
        <v>3435</v>
      </c>
      <c r="AK1376">
        <v>0.1</v>
      </c>
      <c r="AL1376">
        <v>47.7</v>
      </c>
      <c r="AM1376">
        <v>429.3</v>
      </c>
      <c r="AN1376">
        <v>562.01336532371147</v>
      </c>
      <c r="AO1376">
        <v>5058.1202879134025</v>
      </c>
      <c r="AP1376">
        <v>0.36126697340180725</v>
      </c>
      <c r="AQ1376">
        <v>3.2514027606162648</v>
      </c>
      <c r="AR1376">
        <v>0.20269999999999999</v>
      </c>
    </row>
    <row r="1377" spans="1:44" customFormat="1" hidden="1" x14ac:dyDescent="0.5">
      <c r="A1377">
        <v>1564</v>
      </c>
      <c r="B1377" s="1">
        <v>115</v>
      </c>
      <c r="C1377" s="226" t="s">
        <v>20</v>
      </c>
      <c r="D1377" s="229">
        <v>39.153333000000003</v>
      </c>
      <c r="E1377" s="239">
        <v>2.9455559999999998</v>
      </c>
      <c r="F1377">
        <v>0.18</v>
      </c>
      <c r="G1377">
        <f t="shared" si="17"/>
        <v>289.68191999999999</v>
      </c>
      <c r="H1377" s="30" t="s">
        <v>57</v>
      </c>
      <c r="I1377">
        <v>25</v>
      </c>
      <c r="J1377">
        <v>271.80487230074101</v>
      </c>
      <c r="K1377" s="26">
        <v>2015</v>
      </c>
      <c r="L1377" t="s">
        <v>30</v>
      </c>
      <c r="M1377" s="30">
        <v>100</v>
      </c>
      <c r="N1377">
        <v>11.428783320000001</v>
      </c>
      <c r="O1377">
        <v>5</v>
      </c>
      <c r="P1377" t="s">
        <v>15</v>
      </c>
      <c r="Q1377">
        <v>97</v>
      </c>
      <c r="R1377" t="s">
        <v>13</v>
      </c>
      <c r="S1377" t="s">
        <v>14</v>
      </c>
      <c r="T1377" t="s">
        <v>14</v>
      </c>
      <c r="U1377" s="29">
        <v>2</v>
      </c>
      <c r="V1377" s="29">
        <v>3</v>
      </c>
      <c r="W1377" s="25">
        <v>2.5</v>
      </c>
      <c r="X1377" s="25">
        <v>1</v>
      </c>
      <c r="Y1377" s="244">
        <v>0.64280850899999997</v>
      </c>
      <c r="Z1377" t="s">
        <v>722</v>
      </c>
      <c r="AA1377" t="s">
        <v>628</v>
      </c>
      <c r="AB1377">
        <v>1</v>
      </c>
      <c r="AC1377">
        <v>60</v>
      </c>
      <c r="AF1377" t="s">
        <v>532</v>
      </c>
      <c r="AG1377" s="30">
        <v>60</v>
      </c>
      <c r="AH1377" s="30" t="s">
        <v>1201</v>
      </c>
      <c r="AI1377" s="30">
        <v>6</v>
      </c>
      <c r="AJ1377">
        <v>54</v>
      </c>
      <c r="AK1377">
        <v>0.1</v>
      </c>
      <c r="AL1377">
        <v>6</v>
      </c>
      <c r="AM1377">
        <v>54</v>
      </c>
      <c r="AN1377">
        <v>70.693505072164953</v>
      </c>
      <c r="AO1377">
        <v>636.24154564948458</v>
      </c>
      <c r="AP1377">
        <v>4.5442386591422294E-2</v>
      </c>
      <c r="AQ1377">
        <v>0.4089814793228006</v>
      </c>
      <c r="AR1377">
        <v>0.20269999999999999</v>
      </c>
    </row>
    <row r="1378" spans="1:44" customFormat="1" hidden="1" x14ac:dyDescent="0.5">
      <c r="A1378">
        <v>1565</v>
      </c>
      <c r="B1378" s="1">
        <v>115</v>
      </c>
      <c r="C1378" s="226" t="s">
        <v>20</v>
      </c>
      <c r="D1378" s="229">
        <v>39.153333000000003</v>
      </c>
      <c r="E1378" s="239">
        <v>2.9455559999999998</v>
      </c>
      <c r="F1378">
        <v>0.18</v>
      </c>
      <c r="G1378">
        <f t="shared" si="17"/>
        <v>289.68191999999999</v>
      </c>
      <c r="H1378" s="30" t="s">
        <v>57</v>
      </c>
      <c r="I1378">
        <v>25</v>
      </c>
      <c r="J1378">
        <v>271.80487230074101</v>
      </c>
      <c r="K1378" s="26">
        <v>2015</v>
      </c>
      <c r="L1378" t="s">
        <v>30</v>
      </c>
      <c r="M1378" s="30">
        <v>100</v>
      </c>
      <c r="N1378">
        <v>11.428783320000001</v>
      </c>
      <c r="O1378">
        <v>5</v>
      </c>
      <c r="P1378" t="s">
        <v>15</v>
      </c>
      <c r="Q1378">
        <v>97</v>
      </c>
      <c r="R1378" t="s">
        <v>13</v>
      </c>
      <c r="S1378" t="s">
        <v>14</v>
      </c>
      <c r="T1378" t="s">
        <v>14</v>
      </c>
      <c r="U1378" s="29">
        <v>3</v>
      </c>
      <c r="V1378" s="29">
        <v>4</v>
      </c>
      <c r="W1378" s="25">
        <v>3.5</v>
      </c>
      <c r="X1378" s="25">
        <v>1</v>
      </c>
      <c r="Y1378" s="244">
        <v>0.64280850899999997</v>
      </c>
      <c r="Z1378" t="s">
        <v>722</v>
      </c>
      <c r="AA1378" t="s">
        <v>628</v>
      </c>
      <c r="AB1378">
        <v>1</v>
      </c>
      <c r="AC1378">
        <v>145</v>
      </c>
      <c r="AF1378" t="s">
        <v>532</v>
      </c>
      <c r="AG1378" s="30">
        <v>145</v>
      </c>
      <c r="AH1378" s="30" t="s">
        <v>1201</v>
      </c>
      <c r="AI1378" s="30" t="s">
        <v>2664</v>
      </c>
      <c r="AJ1378" t="s">
        <v>3436</v>
      </c>
      <c r="AK1378">
        <v>0.1</v>
      </c>
      <c r="AL1378">
        <v>14.5</v>
      </c>
      <c r="AM1378">
        <v>130.5</v>
      </c>
      <c r="AN1378">
        <v>170.84263725773198</v>
      </c>
      <c r="AO1378">
        <v>1537.5837353195877</v>
      </c>
      <c r="AP1378">
        <v>0.10981910092927052</v>
      </c>
      <c r="AQ1378">
        <v>0.9883719083634348</v>
      </c>
      <c r="AR1378">
        <v>0.20269999999999999</v>
      </c>
    </row>
    <row r="1379" spans="1:44" customFormat="1" hidden="1" x14ac:dyDescent="0.5">
      <c r="A1379">
        <v>1566</v>
      </c>
      <c r="B1379" s="1">
        <v>115</v>
      </c>
      <c r="C1379" s="226" t="s">
        <v>20</v>
      </c>
      <c r="D1379" s="229">
        <v>39.153333000000003</v>
      </c>
      <c r="E1379" s="239">
        <v>2.9455559999999998</v>
      </c>
      <c r="F1379">
        <v>0.18</v>
      </c>
      <c r="G1379">
        <f t="shared" si="17"/>
        <v>289.68191999999999</v>
      </c>
      <c r="H1379" s="30" t="s">
        <v>57</v>
      </c>
      <c r="I1379">
        <v>25</v>
      </c>
      <c r="J1379">
        <v>271.80487230074101</v>
      </c>
      <c r="K1379" s="26">
        <v>2015</v>
      </c>
      <c r="L1379" t="s">
        <v>30</v>
      </c>
      <c r="M1379" s="30">
        <v>100</v>
      </c>
      <c r="N1379">
        <v>11.428783320000001</v>
      </c>
      <c r="O1379">
        <v>5</v>
      </c>
      <c r="P1379" t="s">
        <v>15</v>
      </c>
      <c r="Q1379">
        <v>97</v>
      </c>
      <c r="R1379" t="s">
        <v>13</v>
      </c>
      <c r="S1379" t="s">
        <v>14</v>
      </c>
      <c r="T1379" t="s">
        <v>14</v>
      </c>
      <c r="U1379" s="29">
        <v>4</v>
      </c>
      <c r="V1379" s="29">
        <v>5</v>
      </c>
      <c r="W1379" s="25">
        <v>4.5</v>
      </c>
      <c r="X1379" s="25">
        <v>1</v>
      </c>
      <c r="Y1379" s="244">
        <v>0.64280850899999997</v>
      </c>
      <c r="Z1379" t="s">
        <v>722</v>
      </c>
      <c r="AA1379" t="s">
        <v>628</v>
      </c>
      <c r="AB1379">
        <v>1</v>
      </c>
      <c r="AC1379">
        <v>0</v>
      </c>
      <c r="AF1379" t="s">
        <v>532</v>
      </c>
      <c r="AG1379" s="30">
        <v>0</v>
      </c>
      <c r="AH1379" s="30" t="s">
        <v>1201</v>
      </c>
      <c r="AI1379" s="30">
        <v>0</v>
      </c>
      <c r="AJ1379">
        <v>0</v>
      </c>
      <c r="AK1379">
        <v>0.1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0.20269999999999999</v>
      </c>
    </row>
    <row r="1380" spans="1:44" customFormat="1" hidden="1" x14ac:dyDescent="0.5">
      <c r="A1380">
        <v>1567</v>
      </c>
      <c r="B1380" s="1">
        <v>115</v>
      </c>
      <c r="C1380" s="226" t="s">
        <v>20</v>
      </c>
      <c r="D1380" s="229">
        <v>39.153333000000003</v>
      </c>
      <c r="E1380" s="239">
        <v>2.9455559999999998</v>
      </c>
      <c r="F1380">
        <v>0.18</v>
      </c>
      <c r="G1380">
        <f t="shared" si="17"/>
        <v>289.68191999999999</v>
      </c>
      <c r="H1380" s="30" t="s">
        <v>57</v>
      </c>
      <c r="I1380">
        <v>25</v>
      </c>
      <c r="J1380">
        <v>271.80487230074101</v>
      </c>
      <c r="K1380" s="26">
        <v>2015</v>
      </c>
      <c r="L1380" t="s">
        <v>30</v>
      </c>
      <c r="M1380" s="30">
        <v>100</v>
      </c>
      <c r="N1380">
        <v>11.428783320000001</v>
      </c>
      <c r="O1380">
        <v>5</v>
      </c>
      <c r="P1380" t="s">
        <v>15</v>
      </c>
      <c r="Q1380">
        <v>97</v>
      </c>
      <c r="R1380" t="s">
        <v>13</v>
      </c>
      <c r="S1380" t="s">
        <v>14</v>
      </c>
      <c r="T1380" t="s">
        <v>14</v>
      </c>
      <c r="U1380" s="29">
        <v>5</v>
      </c>
      <c r="V1380" s="29">
        <v>6</v>
      </c>
      <c r="W1380" s="25">
        <v>5.5</v>
      </c>
      <c r="X1380" s="25">
        <v>1</v>
      </c>
      <c r="Y1380" s="244">
        <v>0.64280850899999997</v>
      </c>
      <c r="Z1380" t="s">
        <v>722</v>
      </c>
      <c r="AA1380" t="s">
        <v>628</v>
      </c>
      <c r="AB1380">
        <v>1</v>
      </c>
      <c r="AC1380">
        <v>0</v>
      </c>
      <c r="AF1380" t="s">
        <v>532</v>
      </c>
      <c r="AG1380" s="30">
        <v>0</v>
      </c>
      <c r="AH1380" s="30" t="s">
        <v>1201</v>
      </c>
      <c r="AI1380" s="30">
        <v>0</v>
      </c>
      <c r="AJ1380">
        <v>0</v>
      </c>
      <c r="AK1380">
        <v>0.1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0.20269999999999999</v>
      </c>
    </row>
    <row r="1381" spans="1:44" customFormat="1" hidden="1" x14ac:dyDescent="0.5">
      <c r="A1381">
        <v>1568</v>
      </c>
      <c r="B1381" s="1">
        <v>115</v>
      </c>
      <c r="C1381" s="226" t="s">
        <v>20</v>
      </c>
      <c r="D1381" s="229">
        <v>39.153333000000003</v>
      </c>
      <c r="E1381" s="239">
        <v>2.9455559999999998</v>
      </c>
      <c r="F1381">
        <v>0.18</v>
      </c>
      <c r="G1381">
        <f t="shared" si="17"/>
        <v>289.68191999999999</v>
      </c>
      <c r="H1381" s="30" t="s">
        <v>57</v>
      </c>
      <c r="I1381">
        <v>25</v>
      </c>
      <c r="J1381">
        <v>271.80487230074101</v>
      </c>
      <c r="K1381" s="26">
        <v>2015</v>
      </c>
      <c r="L1381" t="s">
        <v>30</v>
      </c>
      <c r="M1381" s="30">
        <v>100</v>
      </c>
      <c r="N1381">
        <v>11.428783320000001</v>
      </c>
      <c r="O1381">
        <v>5</v>
      </c>
      <c r="P1381" t="s">
        <v>15</v>
      </c>
      <c r="Q1381">
        <v>97</v>
      </c>
      <c r="R1381" t="s">
        <v>13</v>
      </c>
      <c r="S1381" t="s">
        <v>14</v>
      </c>
      <c r="T1381" t="s">
        <v>14</v>
      </c>
      <c r="U1381" s="29">
        <v>6</v>
      </c>
      <c r="V1381" s="29">
        <v>7</v>
      </c>
      <c r="W1381" s="25">
        <v>6.5</v>
      </c>
      <c r="X1381" s="25">
        <v>1</v>
      </c>
      <c r="Y1381" s="244">
        <v>0.64280850899999997</v>
      </c>
      <c r="Z1381" t="s">
        <v>722</v>
      </c>
      <c r="AA1381" t="s">
        <v>628</v>
      </c>
      <c r="AB1381">
        <v>1</v>
      </c>
      <c r="AC1381">
        <v>0</v>
      </c>
      <c r="AF1381" t="s">
        <v>532</v>
      </c>
      <c r="AG1381" s="30">
        <v>0</v>
      </c>
      <c r="AH1381" s="30" t="s">
        <v>1201</v>
      </c>
      <c r="AI1381" s="30">
        <v>0</v>
      </c>
      <c r="AJ1381">
        <v>0</v>
      </c>
      <c r="AK1381">
        <v>0.1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0.20269999999999999</v>
      </c>
    </row>
    <row r="1382" spans="1:44" customFormat="1" hidden="1" x14ac:dyDescent="0.5">
      <c r="A1382">
        <v>1569</v>
      </c>
      <c r="B1382" s="1">
        <v>115</v>
      </c>
      <c r="C1382" s="226" t="s">
        <v>20</v>
      </c>
      <c r="D1382" s="229">
        <v>39.153333000000003</v>
      </c>
      <c r="E1382" s="239">
        <v>2.9455559999999998</v>
      </c>
      <c r="F1382">
        <v>0.18</v>
      </c>
      <c r="G1382">
        <f t="shared" si="17"/>
        <v>289.68191999999999</v>
      </c>
      <c r="H1382" s="30" t="s">
        <v>57</v>
      </c>
      <c r="I1382">
        <v>25</v>
      </c>
      <c r="J1382">
        <v>271.80487230074101</v>
      </c>
      <c r="K1382" s="26">
        <v>2015</v>
      </c>
      <c r="L1382" t="s">
        <v>30</v>
      </c>
      <c r="M1382" s="30">
        <v>100</v>
      </c>
      <c r="N1382">
        <v>11.428783320000001</v>
      </c>
      <c r="O1382">
        <v>5</v>
      </c>
      <c r="P1382" t="s">
        <v>15</v>
      </c>
      <c r="Q1382">
        <v>97</v>
      </c>
      <c r="R1382" t="s">
        <v>13</v>
      </c>
      <c r="S1382" t="s">
        <v>14</v>
      </c>
      <c r="T1382" t="s">
        <v>14</v>
      </c>
      <c r="U1382" s="29">
        <v>7</v>
      </c>
      <c r="V1382" s="29">
        <v>8</v>
      </c>
      <c r="W1382" s="25">
        <v>7.5</v>
      </c>
      <c r="X1382" s="25">
        <v>1</v>
      </c>
      <c r="Y1382" s="244">
        <v>0.64280850899999997</v>
      </c>
      <c r="Z1382" t="s">
        <v>722</v>
      </c>
      <c r="AA1382" t="s">
        <v>628</v>
      </c>
      <c r="AB1382">
        <v>1</v>
      </c>
      <c r="AC1382">
        <v>0</v>
      </c>
      <c r="AF1382" t="s">
        <v>532</v>
      </c>
      <c r="AG1382" s="30">
        <v>0</v>
      </c>
      <c r="AH1382" s="30" t="s">
        <v>1201</v>
      </c>
      <c r="AI1382" s="30">
        <v>0</v>
      </c>
      <c r="AJ1382">
        <v>0</v>
      </c>
      <c r="AK1382">
        <v>0.1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0.20269999999999999</v>
      </c>
    </row>
    <row r="1383" spans="1:44" customFormat="1" hidden="1" x14ac:dyDescent="0.5">
      <c r="A1383">
        <v>1570</v>
      </c>
      <c r="B1383" s="1">
        <v>115</v>
      </c>
      <c r="C1383" s="226" t="s">
        <v>20</v>
      </c>
      <c r="D1383" s="229">
        <v>39.153333000000003</v>
      </c>
      <c r="E1383" s="239">
        <v>2.9455559999999998</v>
      </c>
      <c r="F1383">
        <v>0.18</v>
      </c>
      <c r="G1383">
        <f t="shared" si="17"/>
        <v>289.68191999999999</v>
      </c>
      <c r="H1383" s="30" t="s">
        <v>57</v>
      </c>
      <c r="I1383">
        <v>25</v>
      </c>
      <c r="J1383">
        <v>271.80487230074101</v>
      </c>
      <c r="K1383" s="26">
        <v>2015</v>
      </c>
      <c r="L1383" t="s">
        <v>30</v>
      </c>
      <c r="M1383" s="30">
        <v>100</v>
      </c>
      <c r="N1383">
        <v>11.428783320000001</v>
      </c>
      <c r="O1383">
        <v>5</v>
      </c>
      <c r="P1383" t="s">
        <v>15</v>
      </c>
      <c r="Q1383">
        <v>97</v>
      </c>
      <c r="R1383" t="s">
        <v>13</v>
      </c>
      <c r="S1383" t="s">
        <v>14</v>
      </c>
      <c r="T1383" t="s">
        <v>14</v>
      </c>
      <c r="U1383" s="29">
        <v>8</v>
      </c>
      <c r="V1383" s="29">
        <v>9</v>
      </c>
      <c r="W1383" s="25">
        <v>8.5</v>
      </c>
      <c r="X1383" s="25">
        <v>1</v>
      </c>
      <c r="Y1383" s="244">
        <v>0.64280850899999997</v>
      </c>
      <c r="Z1383" t="s">
        <v>722</v>
      </c>
      <c r="AA1383" t="s">
        <v>628</v>
      </c>
      <c r="AB1383">
        <v>1</v>
      </c>
      <c r="AC1383">
        <v>0</v>
      </c>
      <c r="AF1383" t="s">
        <v>532</v>
      </c>
      <c r="AG1383" s="30">
        <v>0</v>
      </c>
      <c r="AH1383" s="30" t="s">
        <v>1201</v>
      </c>
      <c r="AI1383" s="30">
        <v>0</v>
      </c>
      <c r="AJ1383">
        <v>0</v>
      </c>
      <c r="AK1383">
        <v>0.1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0.20269999999999999</v>
      </c>
    </row>
    <row r="1384" spans="1:44" customFormat="1" hidden="1" x14ac:dyDescent="0.5">
      <c r="A1384">
        <v>1559</v>
      </c>
      <c r="B1384" s="1">
        <v>115</v>
      </c>
      <c r="C1384" s="226" t="s">
        <v>20</v>
      </c>
      <c r="D1384" s="229">
        <v>39.150832999999999</v>
      </c>
      <c r="E1384" s="239">
        <v>2.9486110000000001</v>
      </c>
      <c r="F1384">
        <v>7.0000000000000007E-2</v>
      </c>
      <c r="G1384">
        <f t="shared" si="17"/>
        <v>112.65408000000001</v>
      </c>
      <c r="H1384" s="30" t="s">
        <v>57</v>
      </c>
      <c r="I1384">
        <v>10</v>
      </c>
      <c r="J1384">
        <v>271.80487230074101</v>
      </c>
      <c r="K1384" s="26">
        <v>2015</v>
      </c>
      <c r="L1384" t="s">
        <v>30</v>
      </c>
      <c r="M1384" s="30">
        <v>100</v>
      </c>
      <c r="N1384">
        <v>11.428783320000001</v>
      </c>
      <c r="O1384">
        <v>5</v>
      </c>
      <c r="P1384" t="s">
        <v>15</v>
      </c>
      <c r="Q1384">
        <v>97</v>
      </c>
      <c r="R1384" t="s">
        <v>13</v>
      </c>
      <c r="S1384" t="s">
        <v>14</v>
      </c>
      <c r="T1384" t="s">
        <v>14</v>
      </c>
      <c r="U1384" s="29">
        <v>0</v>
      </c>
      <c r="V1384" s="29">
        <v>1</v>
      </c>
      <c r="W1384" s="25">
        <v>0.5</v>
      </c>
      <c r="X1384" s="25">
        <v>1</v>
      </c>
      <c r="Y1384" s="244">
        <v>0.64280850899999997</v>
      </c>
      <c r="Z1384" t="s">
        <v>722</v>
      </c>
      <c r="AA1384" t="s">
        <v>628</v>
      </c>
      <c r="AB1384">
        <v>1</v>
      </c>
      <c r="AC1384">
        <v>68</v>
      </c>
      <c r="AF1384" t="s">
        <v>532</v>
      </c>
      <c r="AG1384" s="30">
        <v>68</v>
      </c>
      <c r="AH1384" s="30" t="s">
        <v>1201</v>
      </c>
      <c r="AI1384" s="30" t="s">
        <v>2660</v>
      </c>
      <c r="AJ1384" t="s">
        <v>3432</v>
      </c>
      <c r="AK1384">
        <v>0.1</v>
      </c>
      <c r="AL1384">
        <v>6.8000000000000007</v>
      </c>
      <c r="AM1384">
        <v>61.2</v>
      </c>
      <c r="AN1384">
        <v>80.119305748453613</v>
      </c>
      <c r="AO1384">
        <v>721.07375173608261</v>
      </c>
      <c r="AP1384">
        <v>5.1501371470278591E-2</v>
      </c>
      <c r="AQ1384">
        <v>0.4635123432325074</v>
      </c>
      <c r="AR1384">
        <v>0.20269999999999999</v>
      </c>
    </row>
    <row r="1385" spans="1:44" customFormat="1" hidden="1" x14ac:dyDescent="0.5">
      <c r="A1385">
        <v>1560</v>
      </c>
      <c r="B1385" s="1">
        <v>115</v>
      </c>
      <c r="C1385" s="226" t="s">
        <v>20</v>
      </c>
      <c r="D1385" s="229">
        <v>39.150832999999999</v>
      </c>
      <c r="E1385" s="239">
        <v>2.9486110000000001</v>
      </c>
      <c r="F1385">
        <v>7.0000000000000007E-2</v>
      </c>
      <c r="G1385">
        <f t="shared" si="17"/>
        <v>112.65408000000001</v>
      </c>
      <c r="H1385" s="30" t="s">
        <v>57</v>
      </c>
      <c r="I1385">
        <v>10</v>
      </c>
      <c r="J1385">
        <v>271.80487230074101</v>
      </c>
      <c r="K1385" s="26">
        <v>2015</v>
      </c>
      <c r="L1385" t="s">
        <v>30</v>
      </c>
      <c r="M1385" s="30">
        <v>100</v>
      </c>
      <c r="N1385">
        <v>11.428783320000001</v>
      </c>
      <c r="O1385">
        <v>5</v>
      </c>
      <c r="P1385" t="s">
        <v>15</v>
      </c>
      <c r="Q1385">
        <v>97</v>
      </c>
      <c r="R1385" t="s">
        <v>13</v>
      </c>
      <c r="S1385" t="s">
        <v>14</v>
      </c>
      <c r="T1385" t="s">
        <v>14</v>
      </c>
      <c r="U1385" s="29">
        <v>1</v>
      </c>
      <c r="V1385" s="29">
        <v>2</v>
      </c>
      <c r="W1385" s="25">
        <v>1.5</v>
      </c>
      <c r="X1385" s="25">
        <v>1</v>
      </c>
      <c r="Y1385" s="244">
        <v>0.64280850899999997</v>
      </c>
      <c r="Z1385" t="s">
        <v>722</v>
      </c>
      <c r="AA1385" t="s">
        <v>628</v>
      </c>
      <c r="AB1385">
        <v>1</v>
      </c>
      <c r="AC1385">
        <v>174</v>
      </c>
      <c r="AF1385" t="s">
        <v>532</v>
      </c>
      <c r="AG1385" s="30">
        <v>174</v>
      </c>
      <c r="AH1385" s="30" t="s">
        <v>1201</v>
      </c>
      <c r="AI1385" s="30" t="s">
        <v>2661</v>
      </c>
      <c r="AJ1385" t="s">
        <v>3433</v>
      </c>
      <c r="AK1385">
        <v>0.1</v>
      </c>
      <c r="AL1385">
        <v>17.400000000000002</v>
      </c>
      <c r="AM1385">
        <v>156.6</v>
      </c>
      <c r="AN1385">
        <v>205.0111647092784</v>
      </c>
      <c r="AO1385">
        <v>1845.1004823835053</v>
      </c>
      <c r="AP1385">
        <v>0.13178292111512466</v>
      </c>
      <c r="AQ1385">
        <v>1.1860462900361217</v>
      </c>
      <c r="AR1385">
        <v>0.20269999999999999</v>
      </c>
    </row>
    <row r="1386" spans="1:44" customFormat="1" hidden="1" x14ac:dyDescent="0.5">
      <c r="A1386">
        <v>1561</v>
      </c>
      <c r="B1386" s="1">
        <v>115</v>
      </c>
      <c r="C1386" s="226" t="s">
        <v>20</v>
      </c>
      <c r="D1386" s="229">
        <v>39.150832999999999</v>
      </c>
      <c r="E1386" s="239">
        <v>2.9486110000000001</v>
      </c>
      <c r="F1386">
        <v>7.0000000000000007E-2</v>
      </c>
      <c r="G1386">
        <f t="shared" si="17"/>
        <v>112.65408000000001</v>
      </c>
      <c r="H1386" s="30" t="s">
        <v>57</v>
      </c>
      <c r="I1386">
        <v>10</v>
      </c>
      <c r="J1386">
        <v>271.80487230074101</v>
      </c>
      <c r="K1386" s="26">
        <v>2015</v>
      </c>
      <c r="L1386" t="s">
        <v>30</v>
      </c>
      <c r="M1386" s="30">
        <v>100</v>
      </c>
      <c r="N1386">
        <v>11.428783320000001</v>
      </c>
      <c r="O1386">
        <v>5</v>
      </c>
      <c r="P1386" t="s">
        <v>15</v>
      </c>
      <c r="Q1386">
        <v>97</v>
      </c>
      <c r="R1386" t="s">
        <v>13</v>
      </c>
      <c r="S1386" t="s">
        <v>14</v>
      </c>
      <c r="T1386" t="s">
        <v>14</v>
      </c>
      <c r="U1386" s="29">
        <v>2</v>
      </c>
      <c r="V1386" s="29">
        <v>3</v>
      </c>
      <c r="W1386" s="25">
        <v>2.5</v>
      </c>
      <c r="X1386" s="25">
        <v>1</v>
      </c>
      <c r="Y1386" s="244">
        <v>0.64280850899999997</v>
      </c>
      <c r="Z1386" t="s">
        <v>722</v>
      </c>
      <c r="AA1386" t="s">
        <v>628</v>
      </c>
      <c r="AB1386">
        <v>1</v>
      </c>
      <c r="AC1386">
        <v>190</v>
      </c>
      <c r="AF1386" t="s">
        <v>532</v>
      </c>
      <c r="AG1386" s="30">
        <v>190</v>
      </c>
      <c r="AH1386" s="30" t="s">
        <v>1201</v>
      </c>
      <c r="AI1386" s="30">
        <v>19</v>
      </c>
      <c r="AJ1386">
        <v>171</v>
      </c>
      <c r="AK1386">
        <v>0.1</v>
      </c>
      <c r="AL1386">
        <v>19</v>
      </c>
      <c r="AM1386">
        <v>171</v>
      </c>
      <c r="AN1386">
        <v>223.86276606185569</v>
      </c>
      <c r="AO1386">
        <v>2014.7648945567014</v>
      </c>
      <c r="AP1386">
        <v>0.14390089087283725</v>
      </c>
      <c r="AQ1386">
        <v>1.2951080178555354</v>
      </c>
      <c r="AR1386">
        <v>0.20269999999999999</v>
      </c>
    </row>
    <row r="1387" spans="1:44" customFormat="1" hidden="1" x14ac:dyDescent="0.5">
      <c r="A1387">
        <v>369</v>
      </c>
      <c r="B1387">
        <v>26</v>
      </c>
      <c r="C1387" s="226" t="s">
        <v>20</v>
      </c>
      <c r="D1387" s="227">
        <v>39.15</v>
      </c>
      <c r="E1387" s="228">
        <v>2.9489999999999998</v>
      </c>
      <c r="F1387">
        <v>0.05</v>
      </c>
      <c r="G1387">
        <f t="shared" si="17"/>
        <v>80.467200000000005</v>
      </c>
      <c r="H1387" s="30" t="s">
        <v>57</v>
      </c>
      <c r="I1387">
        <v>10</v>
      </c>
      <c r="J1387">
        <v>271.80487230074101</v>
      </c>
      <c r="K1387" s="26">
        <v>2013</v>
      </c>
      <c r="L1387" t="s">
        <v>30</v>
      </c>
      <c r="M1387" s="30">
        <v>63</v>
      </c>
      <c r="N1387">
        <v>7.0097463050000002</v>
      </c>
      <c r="P1387" t="s">
        <v>58</v>
      </c>
      <c r="Q1387">
        <v>72</v>
      </c>
      <c r="R1387" t="s">
        <v>13</v>
      </c>
      <c r="S1387" t="s">
        <v>16</v>
      </c>
      <c r="T1387" t="s">
        <v>14</v>
      </c>
      <c r="U1387" s="29">
        <v>0</v>
      </c>
      <c r="V1387" s="29">
        <v>3.5</v>
      </c>
      <c r="W1387" s="25">
        <v>1.75</v>
      </c>
      <c r="X1387" s="25">
        <v>3.5</v>
      </c>
      <c r="Y1387" s="244">
        <v>0.64280850899999997</v>
      </c>
      <c r="Z1387" t="s">
        <v>722</v>
      </c>
      <c r="AA1387" t="s">
        <v>628</v>
      </c>
      <c r="AB1387">
        <v>2</v>
      </c>
      <c r="AC1387">
        <v>244.01</v>
      </c>
      <c r="AD1387">
        <v>33.46</v>
      </c>
      <c r="AE1387" t="s">
        <v>519</v>
      </c>
      <c r="AF1387" t="s">
        <v>532</v>
      </c>
      <c r="AG1387" s="30" t="s">
        <v>1357</v>
      </c>
      <c r="AH1387" s="30" t="s">
        <v>671</v>
      </c>
      <c r="AI1387" s="30" t="s">
        <v>1129</v>
      </c>
      <c r="AJ1387" t="s">
        <v>1130</v>
      </c>
      <c r="AK1387">
        <v>0.59524549999999998</v>
      </c>
      <c r="AL1387">
        <v>145.245854455</v>
      </c>
      <c r="AM1387">
        <v>98.764145544999991</v>
      </c>
      <c r="AN1387">
        <v>1414.0785994201444</v>
      </c>
      <c r="AO1387">
        <v>961.54389486186938</v>
      </c>
      <c r="AP1387">
        <v>0.90898175610207121</v>
      </c>
      <c r="AQ1387">
        <v>0.61808859739421107</v>
      </c>
      <c r="AR1387">
        <v>0.20269999999999999</v>
      </c>
    </row>
    <row r="1388" spans="1:44" customFormat="1" hidden="1" x14ac:dyDescent="0.5">
      <c r="A1388">
        <v>370</v>
      </c>
      <c r="B1388">
        <v>26</v>
      </c>
      <c r="C1388" s="226" t="s">
        <v>20</v>
      </c>
      <c r="D1388" s="227">
        <v>39.15</v>
      </c>
      <c r="E1388" s="228">
        <v>2.9489999999999998</v>
      </c>
      <c r="F1388">
        <v>0.05</v>
      </c>
      <c r="G1388">
        <f t="shared" si="17"/>
        <v>80.467200000000005</v>
      </c>
      <c r="H1388" s="30" t="s">
        <v>57</v>
      </c>
      <c r="I1388">
        <v>10</v>
      </c>
      <c r="J1388">
        <v>271.80487230074101</v>
      </c>
      <c r="K1388" s="26">
        <v>2013</v>
      </c>
      <c r="L1388" t="s">
        <v>30</v>
      </c>
      <c r="M1388" s="30">
        <v>63</v>
      </c>
      <c r="N1388">
        <v>7.0097463050000002</v>
      </c>
      <c r="P1388" t="s">
        <v>58</v>
      </c>
      <c r="Q1388">
        <v>72</v>
      </c>
      <c r="R1388" t="s">
        <v>13</v>
      </c>
      <c r="S1388" t="s">
        <v>16</v>
      </c>
      <c r="T1388" t="s">
        <v>14</v>
      </c>
      <c r="U1388" s="29">
        <v>0</v>
      </c>
      <c r="V1388" s="29">
        <v>3.5</v>
      </c>
      <c r="W1388" s="25">
        <v>1.75</v>
      </c>
      <c r="X1388" s="25">
        <v>3.5</v>
      </c>
      <c r="Y1388" s="244">
        <v>0.64280850899999997</v>
      </c>
      <c r="Z1388" t="s">
        <v>722</v>
      </c>
      <c r="AA1388" t="s">
        <v>628</v>
      </c>
      <c r="AB1388">
        <v>2</v>
      </c>
      <c r="AC1388">
        <v>897.35</v>
      </c>
      <c r="AD1388">
        <v>103.31</v>
      </c>
      <c r="AE1388" t="s">
        <v>519</v>
      </c>
      <c r="AF1388" t="s">
        <v>532</v>
      </c>
      <c r="AG1388" s="30" t="s">
        <v>1358</v>
      </c>
      <c r="AH1388" s="30" t="s">
        <v>671</v>
      </c>
      <c r="AI1388" s="30" t="s">
        <v>1129</v>
      </c>
      <c r="AJ1388" t="s">
        <v>1130</v>
      </c>
      <c r="AK1388">
        <v>0.59524549999999998</v>
      </c>
      <c r="AL1388">
        <v>534.14354942499995</v>
      </c>
      <c r="AM1388">
        <v>363.20645057500008</v>
      </c>
      <c r="AN1388">
        <v>5200.2927387798309</v>
      </c>
      <c r="AO1388">
        <v>3536.0903817642666</v>
      </c>
      <c r="AP1388">
        <v>3.3427924217785896</v>
      </c>
      <c r="AQ1388">
        <v>2.2730289859911288</v>
      </c>
      <c r="AR1388">
        <v>0.20269999999999999</v>
      </c>
    </row>
    <row r="1389" spans="1:44" customFormat="1" hidden="1" x14ac:dyDescent="0.5">
      <c r="A1389">
        <v>368</v>
      </c>
      <c r="B1389">
        <v>26</v>
      </c>
      <c r="C1389" s="226" t="s">
        <v>20</v>
      </c>
      <c r="D1389" s="227">
        <v>39.146000000000001</v>
      </c>
      <c r="E1389" s="228">
        <v>2.9350000000000001</v>
      </c>
      <c r="F1389">
        <v>0.04</v>
      </c>
      <c r="G1389">
        <f t="shared" si="17"/>
        <v>64.373760000000004</v>
      </c>
      <c r="H1389" s="30" t="s">
        <v>57</v>
      </c>
      <c r="I1389">
        <v>10</v>
      </c>
      <c r="J1389">
        <v>271.80487230074101</v>
      </c>
      <c r="K1389" s="26">
        <v>2013</v>
      </c>
      <c r="L1389" t="s">
        <v>30</v>
      </c>
      <c r="M1389" s="30">
        <v>63</v>
      </c>
      <c r="N1389">
        <v>7.0097463050000002</v>
      </c>
      <c r="P1389" t="s">
        <v>58</v>
      </c>
      <c r="Q1389">
        <v>72</v>
      </c>
      <c r="R1389" t="s">
        <v>13</v>
      </c>
      <c r="S1389" t="s">
        <v>16</v>
      </c>
      <c r="T1389" t="s">
        <v>14</v>
      </c>
      <c r="U1389" s="29">
        <v>0</v>
      </c>
      <c r="V1389" s="29">
        <v>3.5</v>
      </c>
      <c r="W1389" s="25">
        <v>1.75</v>
      </c>
      <c r="X1389" s="25">
        <v>3.5</v>
      </c>
      <c r="Y1389" s="244">
        <v>0.64280850899999997</v>
      </c>
      <c r="Z1389" t="s">
        <v>722</v>
      </c>
      <c r="AA1389" t="s">
        <v>628</v>
      </c>
      <c r="AB1389">
        <v>2</v>
      </c>
      <c r="AC1389">
        <v>100</v>
      </c>
      <c r="AD1389">
        <v>30</v>
      </c>
      <c r="AE1389" t="s">
        <v>519</v>
      </c>
      <c r="AF1389" t="s">
        <v>532</v>
      </c>
      <c r="AG1389" s="30">
        <v>100</v>
      </c>
      <c r="AH1389" s="30" t="s">
        <v>671</v>
      </c>
      <c r="AI1389" s="30" t="s">
        <v>1129</v>
      </c>
      <c r="AJ1389" t="s">
        <v>1130</v>
      </c>
      <c r="AK1389">
        <v>0.59524549999999998</v>
      </c>
      <c r="AL1389">
        <v>59.524549999999998</v>
      </c>
      <c r="AM1389">
        <v>40.475450000000002</v>
      </c>
      <c r="AN1389">
        <v>579.51665891567745</v>
      </c>
      <c r="AO1389">
        <v>394.05921677876705</v>
      </c>
      <c r="AP1389">
        <v>0.37251823945824819</v>
      </c>
      <c r="AQ1389">
        <v>0.25330461759526701</v>
      </c>
      <c r="AR1389">
        <v>0.20269999999999999</v>
      </c>
    </row>
    <row r="1390" spans="1:44" customFormat="1" hidden="1" x14ac:dyDescent="0.5">
      <c r="A1390">
        <v>367</v>
      </c>
      <c r="B1390">
        <v>26</v>
      </c>
      <c r="C1390" s="226" t="s">
        <v>20</v>
      </c>
      <c r="D1390" s="227">
        <v>39.143999999999998</v>
      </c>
      <c r="E1390" s="228">
        <v>2.9319999999999999</v>
      </c>
      <c r="F1390">
        <v>0.05</v>
      </c>
      <c r="G1390">
        <f t="shared" si="17"/>
        <v>80.467200000000005</v>
      </c>
      <c r="H1390" s="30" t="s">
        <v>57</v>
      </c>
      <c r="I1390">
        <v>10</v>
      </c>
      <c r="J1390">
        <v>271.80487230074101</v>
      </c>
      <c r="K1390" s="26">
        <v>2013</v>
      </c>
      <c r="L1390" t="s">
        <v>30</v>
      </c>
      <c r="M1390" s="30">
        <v>63</v>
      </c>
      <c r="N1390">
        <v>7.0097463050000002</v>
      </c>
      <c r="P1390" t="s">
        <v>58</v>
      </c>
      <c r="Q1390">
        <v>72</v>
      </c>
      <c r="R1390" t="s">
        <v>13</v>
      </c>
      <c r="S1390" t="s">
        <v>16</v>
      </c>
      <c r="T1390" t="s">
        <v>14</v>
      </c>
      <c r="U1390" s="29">
        <v>0</v>
      </c>
      <c r="V1390" s="29">
        <v>3.5</v>
      </c>
      <c r="W1390" s="25">
        <v>1.75</v>
      </c>
      <c r="X1390" s="25">
        <v>3.5</v>
      </c>
      <c r="Y1390" s="244">
        <v>1.0968526569999999</v>
      </c>
      <c r="Z1390" t="s">
        <v>722</v>
      </c>
      <c r="AA1390" t="s">
        <v>627</v>
      </c>
      <c r="AB1390">
        <v>2</v>
      </c>
      <c r="AC1390">
        <v>100.78</v>
      </c>
      <c r="AD1390">
        <v>55.49</v>
      </c>
      <c r="AE1390" t="s">
        <v>519</v>
      </c>
      <c r="AF1390" t="s">
        <v>532</v>
      </c>
      <c r="AG1390" s="30" t="s">
        <v>1356</v>
      </c>
      <c r="AH1390" s="30" t="s">
        <v>671</v>
      </c>
      <c r="AI1390" s="30" t="s">
        <v>1129</v>
      </c>
      <c r="AJ1390" t="s">
        <v>1130</v>
      </c>
      <c r="AK1390">
        <v>0.59524549999999998</v>
      </c>
      <c r="AL1390">
        <v>59.988841489999999</v>
      </c>
      <c r="AM1390">
        <v>40.791158510000002</v>
      </c>
      <c r="AN1390">
        <v>584.03688885521967</v>
      </c>
      <c r="AO1390">
        <v>397.1328786696414</v>
      </c>
      <c r="AP1390">
        <v>0.6406024133268613</v>
      </c>
      <c r="AQ1390">
        <v>0.43559625315085476</v>
      </c>
      <c r="AR1390">
        <v>0.20269999999999999</v>
      </c>
    </row>
    <row r="1391" spans="1:44" customFormat="1" hidden="1" x14ac:dyDescent="0.5">
      <c r="A1391">
        <v>524</v>
      </c>
      <c r="B1391">
        <v>35</v>
      </c>
      <c r="C1391" s="226" t="s">
        <v>20</v>
      </c>
      <c r="D1391" s="230">
        <v>39.07</v>
      </c>
      <c r="E1391" s="231">
        <v>26.89</v>
      </c>
      <c r="F1391">
        <v>0</v>
      </c>
      <c r="G1391">
        <f t="shared" si="17"/>
        <v>0</v>
      </c>
      <c r="H1391" s="30" t="s">
        <v>10</v>
      </c>
      <c r="I1391">
        <v>0</v>
      </c>
      <c r="J1391">
        <v>230.35593091534099</v>
      </c>
      <c r="K1391" s="26">
        <v>2015</v>
      </c>
      <c r="L1391" t="s">
        <v>11</v>
      </c>
      <c r="M1391" s="30">
        <v>300</v>
      </c>
      <c r="N1391">
        <v>36.542166029999997</v>
      </c>
      <c r="O1391">
        <v>5</v>
      </c>
      <c r="P1391" t="s">
        <v>12</v>
      </c>
      <c r="Q1391">
        <v>83</v>
      </c>
      <c r="R1391" t="s">
        <v>13</v>
      </c>
      <c r="S1391" t="s">
        <v>14</v>
      </c>
      <c r="T1391" t="s">
        <v>14</v>
      </c>
      <c r="U1391" s="29">
        <v>0</v>
      </c>
      <c r="V1391" s="29">
        <v>5</v>
      </c>
      <c r="W1391" s="25">
        <v>2.5</v>
      </c>
      <c r="X1391" s="25">
        <v>5</v>
      </c>
      <c r="Y1391" s="244">
        <v>1.048712748</v>
      </c>
      <c r="Z1391" t="s">
        <v>785</v>
      </c>
      <c r="AA1391" t="s">
        <v>632</v>
      </c>
      <c r="AB1391">
        <v>5</v>
      </c>
      <c r="AC1391">
        <v>284</v>
      </c>
      <c r="AD1391">
        <v>47</v>
      </c>
      <c r="AE1391" t="s">
        <v>525</v>
      </c>
      <c r="AF1391" t="s">
        <v>532</v>
      </c>
      <c r="AG1391" s="30">
        <v>284</v>
      </c>
      <c r="AH1391" s="30" t="s">
        <v>1541</v>
      </c>
      <c r="AI1391" s="30" t="s">
        <v>1546</v>
      </c>
      <c r="AJ1391" t="s">
        <v>2929</v>
      </c>
      <c r="AK1391">
        <v>0.98699999999999999</v>
      </c>
      <c r="AL1391">
        <v>280.30799999999999</v>
      </c>
      <c r="AM1391">
        <v>3.6920000000000073</v>
      </c>
      <c r="AN1391">
        <v>12341.037922334022</v>
      </c>
      <c r="AO1391">
        <v>162.54659877440994</v>
      </c>
      <c r="AP1391">
        <v>12.942203792703124</v>
      </c>
      <c r="AQ1391">
        <v>0.17046469027876487</v>
      </c>
      <c r="AR1391">
        <v>0.13341858489683281</v>
      </c>
    </row>
    <row r="1392" spans="1:44" customFormat="1" hidden="1" x14ac:dyDescent="0.5">
      <c r="A1392">
        <v>523</v>
      </c>
      <c r="B1392">
        <v>35</v>
      </c>
      <c r="C1392" s="226" t="s">
        <v>20</v>
      </c>
      <c r="D1392" s="230">
        <v>38.840000000000003</v>
      </c>
      <c r="E1392" s="231">
        <v>0.11</v>
      </c>
      <c r="F1392">
        <v>0</v>
      </c>
      <c r="G1392">
        <f t="shared" si="17"/>
        <v>0</v>
      </c>
      <c r="H1392" s="30" t="s">
        <v>10</v>
      </c>
      <c r="I1392">
        <v>0</v>
      </c>
      <c r="J1392">
        <v>499.051394127317</v>
      </c>
      <c r="K1392" s="26">
        <v>2015</v>
      </c>
      <c r="L1392" t="s">
        <v>11</v>
      </c>
      <c r="M1392" s="30">
        <v>300</v>
      </c>
      <c r="N1392">
        <v>36.542166029999997</v>
      </c>
      <c r="O1392">
        <v>5</v>
      </c>
      <c r="P1392" t="s">
        <v>12</v>
      </c>
      <c r="Q1392">
        <v>83</v>
      </c>
      <c r="R1392" t="s">
        <v>13</v>
      </c>
      <c r="S1392" t="s">
        <v>14</v>
      </c>
      <c r="T1392" t="s">
        <v>14</v>
      </c>
      <c r="U1392" s="29">
        <v>0</v>
      </c>
      <c r="V1392" s="29">
        <v>5</v>
      </c>
      <c r="W1392" s="25">
        <v>2.5</v>
      </c>
      <c r="X1392" s="25">
        <v>5</v>
      </c>
      <c r="Y1392" s="244">
        <v>1.6702460939999999</v>
      </c>
      <c r="Z1392" t="s">
        <v>1103</v>
      </c>
      <c r="AA1392" t="s">
        <v>622</v>
      </c>
      <c r="AB1392">
        <v>5</v>
      </c>
      <c r="AC1392">
        <v>156</v>
      </c>
      <c r="AD1392">
        <v>29</v>
      </c>
      <c r="AE1392" t="s">
        <v>525</v>
      </c>
      <c r="AF1392" t="s">
        <v>532</v>
      </c>
      <c r="AG1392" s="30">
        <v>156</v>
      </c>
      <c r="AH1392" s="30" t="s">
        <v>1541</v>
      </c>
      <c r="AI1392" s="30" t="s">
        <v>1545</v>
      </c>
      <c r="AJ1392" t="s">
        <v>2928</v>
      </c>
      <c r="AK1392">
        <v>0.98699999999999999</v>
      </c>
      <c r="AL1392">
        <v>153.97200000000001</v>
      </c>
      <c r="AM1392">
        <v>2.0279999999999916</v>
      </c>
      <c r="AN1392">
        <v>6778.8799855074212</v>
      </c>
      <c r="AO1392">
        <v>89.286159890168307</v>
      </c>
      <c r="AP1392">
        <v>11.322397817488547</v>
      </c>
      <c r="AQ1392">
        <v>0.14912985980481308</v>
      </c>
      <c r="AR1392">
        <v>0.13341858489683281</v>
      </c>
    </row>
    <row r="1393" spans="1:44" customFormat="1" hidden="1" x14ac:dyDescent="0.5">
      <c r="A1393">
        <v>325</v>
      </c>
      <c r="B1393">
        <v>22</v>
      </c>
      <c r="C1393" s="226" t="s">
        <v>20</v>
      </c>
      <c r="D1393" s="227">
        <v>38.795999999999999</v>
      </c>
      <c r="E1393" s="228">
        <v>15.242000000000001</v>
      </c>
      <c r="F1393">
        <v>0</v>
      </c>
      <c r="G1393">
        <f t="shared" si="17"/>
        <v>0</v>
      </c>
      <c r="H1393" s="30" t="s">
        <v>614</v>
      </c>
      <c r="I1393">
        <v>30</v>
      </c>
      <c r="J1393">
        <v>273.417105454926</v>
      </c>
      <c r="K1393" s="26">
        <v>2015</v>
      </c>
      <c r="L1393" t="s">
        <v>11</v>
      </c>
      <c r="M1393" s="30">
        <v>63</v>
      </c>
      <c r="N1393">
        <v>7.0097463050000002</v>
      </c>
      <c r="P1393" t="s">
        <v>12</v>
      </c>
      <c r="Q1393">
        <v>89</v>
      </c>
      <c r="R1393" t="s">
        <v>13</v>
      </c>
      <c r="S1393" t="s">
        <v>16</v>
      </c>
      <c r="T1393" t="s">
        <v>14</v>
      </c>
      <c r="U1393" s="29">
        <v>0</v>
      </c>
      <c r="V1393" s="29">
        <v>5</v>
      </c>
      <c r="W1393" s="25">
        <v>2.5</v>
      </c>
      <c r="X1393" s="25">
        <v>5</v>
      </c>
      <c r="Y1393" s="244">
        <v>1.0353001390000001</v>
      </c>
      <c r="Z1393" t="s">
        <v>1103</v>
      </c>
      <c r="AA1393" t="s">
        <v>622</v>
      </c>
      <c r="AB1393">
        <v>3</v>
      </c>
      <c r="AC1393">
        <v>151</v>
      </c>
      <c r="AD1393">
        <v>34</v>
      </c>
      <c r="AF1393" t="s">
        <v>532</v>
      </c>
      <c r="AG1393" s="30">
        <v>151</v>
      </c>
      <c r="AH1393" s="30" t="s">
        <v>1342</v>
      </c>
      <c r="AI1393" s="30" t="s">
        <v>1343</v>
      </c>
      <c r="AJ1393" t="s">
        <v>2809</v>
      </c>
      <c r="AK1393">
        <v>0.75</v>
      </c>
      <c r="AL1393">
        <v>113.25</v>
      </c>
      <c r="AM1393">
        <v>37.75</v>
      </c>
      <c r="AN1393">
        <v>891.97052701264056</v>
      </c>
      <c r="AO1393">
        <v>297.32350900421346</v>
      </c>
      <c r="AP1393">
        <v>0.92345721060009012</v>
      </c>
      <c r="AQ1393">
        <v>0.30781907020002997</v>
      </c>
      <c r="AR1393">
        <v>0.12946808670713136</v>
      </c>
    </row>
    <row r="1394" spans="1:44" customFormat="1" hidden="1" x14ac:dyDescent="0.5">
      <c r="A1394">
        <v>324</v>
      </c>
      <c r="B1394">
        <v>22</v>
      </c>
      <c r="C1394" s="226" t="s">
        <v>20</v>
      </c>
      <c r="D1394" s="227">
        <v>38.637</v>
      </c>
      <c r="E1394" s="228">
        <v>15.079000000000001</v>
      </c>
      <c r="F1394">
        <v>0</v>
      </c>
      <c r="G1394">
        <f t="shared" si="17"/>
        <v>0</v>
      </c>
      <c r="H1394" s="30" t="s">
        <v>614</v>
      </c>
      <c r="I1394">
        <v>30</v>
      </c>
      <c r="J1394">
        <v>240.20807126415599</v>
      </c>
      <c r="K1394" s="26">
        <v>2015</v>
      </c>
      <c r="L1394" t="s">
        <v>11</v>
      </c>
      <c r="M1394" s="30">
        <v>63</v>
      </c>
      <c r="N1394">
        <v>7.0097463050000002</v>
      </c>
      <c r="P1394" t="s">
        <v>12</v>
      </c>
      <c r="Q1394">
        <v>89</v>
      </c>
      <c r="R1394" t="s">
        <v>13</v>
      </c>
      <c r="S1394" t="s">
        <v>16</v>
      </c>
      <c r="T1394" t="s">
        <v>14</v>
      </c>
      <c r="U1394" s="29">
        <v>0</v>
      </c>
      <c r="V1394" s="29">
        <v>5</v>
      </c>
      <c r="W1394" s="25">
        <v>2.5</v>
      </c>
      <c r="X1394" s="25">
        <v>5</v>
      </c>
      <c r="Y1394" s="244">
        <v>1.0353001390000001</v>
      </c>
      <c r="Z1394" t="s">
        <v>1103</v>
      </c>
      <c r="AA1394" t="s">
        <v>622</v>
      </c>
      <c r="AB1394">
        <v>3</v>
      </c>
      <c r="AC1394">
        <v>484.2</v>
      </c>
      <c r="AD1394">
        <v>124.4</v>
      </c>
      <c r="AF1394" t="s">
        <v>532</v>
      </c>
      <c r="AG1394" s="30" t="s">
        <v>1340</v>
      </c>
      <c r="AH1394" s="30" t="s">
        <v>1328</v>
      </c>
      <c r="AI1394" s="30" t="s">
        <v>1341</v>
      </c>
      <c r="AJ1394" t="s">
        <v>2808</v>
      </c>
      <c r="AK1394">
        <v>0.62</v>
      </c>
      <c r="AL1394">
        <v>300.20400000000001</v>
      </c>
      <c r="AM1394">
        <v>183.99599999999998</v>
      </c>
      <c r="AN1394">
        <v>2364.442561512607</v>
      </c>
      <c r="AO1394">
        <v>1449.1744731851459</v>
      </c>
      <c r="AP1394">
        <v>2.4479077125915181</v>
      </c>
      <c r="AQ1394">
        <v>1.5003305335238335</v>
      </c>
      <c r="AR1394">
        <v>0.12946808670713136</v>
      </c>
    </row>
    <row r="1395" spans="1:44" customFormat="1" hidden="1" x14ac:dyDescent="0.5">
      <c r="A1395">
        <v>323</v>
      </c>
      <c r="B1395">
        <v>22</v>
      </c>
      <c r="C1395" s="226" t="s">
        <v>20</v>
      </c>
      <c r="D1395" s="227">
        <v>38.582000000000001</v>
      </c>
      <c r="E1395" s="228">
        <v>14.847</v>
      </c>
      <c r="F1395">
        <v>0</v>
      </c>
      <c r="G1395">
        <f t="shared" si="17"/>
        <v>0</v>
      </c>
      <c r="H1395" s="30" t="s">
        <v>614</v>
      </c>
      <c r="I1395">
        <v>30</v>
      </c>
      <c r="J1395">
        <v>231.12684941338799</v>
      </c>
      <c r="K1395" s="26">
        <v>2015</v>
      </c>
      <c r="L1395" t="s">
        <v>11</v>
      </c>
      <c r="M1395" s="30">
        <v>63</v>
      </c>
      <c r="N1395">
        <v>7.0097463050000002</v>
      </c>
      <c r="P1395" t="s">
        <v>12</v>
      </c>
      <c r="Q1395">
        <v>89</v>
      </c>
      <c r="R1395" t="s">
        <v>13</v>
      </c>
      <c r="S1395" t="s">
        <v>16</v>
      </c>
      <c r="T1395" t="s">
        <v>14</v>
      </c>
      <c r="U1395" s="29">
        <v>0</v>
      </c>
      <c r="V1395" s="29">
        <v>5</v>
      </c>
      <c r="W1395" s="25">
        <v>2.5</v>
      </c>
      <c r="X1395" s="25">
        <v>5</v>
      </c>
      <c r="Y1395" s="244">
        <v>1.0353001390000001</v>
      </c>
      <c r="Z1395" t="s">
        <v>1103</v>
      </c>
      <c r="AA1395" t="s">
        <v>622</v>
      </c>
      <c r="AB1395">
        <v>3</v>
      </c>
      <c r="AC1395">
        <v>219.1</v>
      </c>
      <c r="AD1395">
        <v>198.7</v>
      </c>
      <c r="AF1395" t="s">
        <v>532</v>
      </c>
      <c r="AG1395" s="30" t="s">
        <v>1338</v>
      </c>
      <c r="AH1395" s="30" t="s">
        <v>1331</v>
      </c>
      <c r="AI1395" s="30" t="s">
        <v>1339</v>
      </c>
      <c r="AJ1395" t="s">
        <v>2807</v>
      </c>
      <c r="AK1395">
        <v>0.89</v>
      </c>
      <c r="AL1395">
        <v>194.999</v>
      </c>
      <c r="AM1395">
        <v>24.100999999999999</v>
      </c>
      <c r="AN1395">
        <v>1535.8354154255001</v>
      </c>
      <c r="AO1395">
        <v>189.82235471551124</v>
      </c>
      <c r="AP1395">
        <v>1.590050619071143</v>
      </c>
      <c r="AQ1395">
        <v>0.19652311022227609</v>
      </c>
      <c r="AR1395">
        <v>0.12946808670713136</v>
      </c>
    </row>
    <row r="1396" spans="1:44" customFormat="1" hidden="1" x14ac:dyDescent="0.5">
      <c r="A1396">
        <v>322</v>
      </c>
      <c r="B1396">
        <v>22</v>
      </c>
      <c r="C1396" s="226" t="s">
        <v>20</v>
      </c>
      <c r="D1396" s="227">
        <v>38.56</v>
      </c>
      <c r="E1396" s="228">
        <v>14.551</v>
      </c>
      <c r="F1396">
        <v>0</v>
      </c>
      <c r="G1396">
        <f t="shared" si="17"/>
        <v>0</v>
      </c>
      <c r="H1396" s="30" t="s">
        <v>614</v>
      </c>
      <c r="I1396">
        <v>30</v>
      </c>
      <c r="J1396">
        <v>109.84014228202</v>
      </c>
      <c r="K1396" s="26">
        <v>2015</v>
      </c>
      <c r="L1396" t="s">
        <v>11</v>
      </c>
      <c r="M1396" s="30">
        <v>63</v>
      </c>
      <c r="N1396">
        <v>7.0097463050000002</v>
      </c>
      <c r="P1396" t="s">
        <v>12</v>
      </c>
      <c r="Q1396">
        <v>89</v>
      </c>
      <c r="R1396" t="s">
        <v>13</v>
      </c>
      <c r="S1396" t="s">
        <v>16</v>
      </c>
      <c r="T1396" t="s">
        <v>14</v>
      </c>
      <c r="U1396" s="29">
        <v>0</v>
      </c>
      <c r="V1396" s="29">
        <v>5</v>
      </c>
      <c r="W1396" s="25">
        <v>2.5</v>
      </c>
      <c r="X1396" s="25">
        <v>5</v>
      </c>
      <c r="Y1396" s="244">
        <v>1.0353001390000001</v>
      </c>
      <c r="Z1396" t="s">
        <v>1103</v>
      </c>
      <c r="AA1396" t="s">
        <v>622</v>
      </c>
      <c r="AB1396">
        <v>3</v>
      </c>
      <c r="AC1396">
        <v>186.2</v>
      </c>
      <c r="AD1396">
        <v>161.1</v>
      </c>
      <c r="AF1396" t="s">
        <v>532</v>
      </c>
      <c r="AG1396" s="30" t="s">
        <v>1335</v>
      </c>
      <c r="AH1396" s="30" t="s">
        <v>1336</v>
      </c>
      <c r="AI1396" s="30" t="s">
        <v>1337</v>
      </c>
      <c r="AJ1396" t="s">
        <v>2806</v>
      </c>
      <c r="AK1396">
        <v>0.94</v>
      </c>
      <c r="AL1396">
        <v>175.02799999999999</v>
      </c>
      <c r="AM1396">
        <v>11.171999999999997</v>
      </c>
      <c r="AN1396">
        <v>1378.5414340129662</v>
      </c>
      <c r="AO1396">
        <v>87.992006426359538</v>
      </c>
      <c r="AP1396">
        <v>1.4272041382508833</v>
      </c>
      <c r="AQ1396">
        <v>9.1098136484098938E-2</v>
      </c>
      <c r="AR1396">
        <v>0.12946808670713136</v>
      </c>
    </row>
    <row r="1397" spans="1:44" customFormat="1" ht="0.4" hidden="1" customHeight="1" x14ac:dyDescent="0.5">
      <c r="A1397">
        <v>321</v>
      </c>
      <c r="B1397">
        <v>22</v>
      </c>
      <c r="C1397" s="226" t="s">
        <v>20</v>
      </c>
      <c r="D1397" s="227">
        <v>38.540999999999997</v>
      </c>
      <c r="E1397" s="228">
        <v>14.335000000000001</v>
      </c>
      <c r="F1397">
        <v>0</v>
      </c>
      <c r="G1397">
        <f t="shared" si="17"/>
        <v>0</v>
      </c>
      <c r="H1397" s="30" t="s">
        <v>614</v>
      </c>
      <c r="I1397">
        <v>30</v>
      </c>
      <c r="J1397">
        <v>115.80623786808</v>
      </c>
      <c r="K1397" s="26">
        <v>2015</v>
      </c>
      <c r="L1397" t="s">
        <v>11</v>
      </c>
      <c r="M1397" s="30">
        <v>63</v>
      </c>
      <c r="N1397">
        <v>7.0097463050000002</v>
      </c>
      <c r="P1397" t="s">
        <v>12</v>
      </c>
      <c r="Q1397">
        <v>89</v>
      </c>
      <c r="R1397" t="s">
        <v>13</v>
      </c>
      <c r="S1397" t="s">
        <v>16</v>
      </c>
      <c r="T1397" t="s">
        <v>14</v>
      </c>
      <c r="U1397" s="29">
        <v>0</v>
      </c>
      <c r="V1397" s="29">
        <v>5</v>
      </c>
      <c r="W1397" s="25">
        <v>2.5</v>
      </c>
      <c r="X1397" s="25">
        <v>5</v>
      </c>
      <c r="Y1397" s="244">
        <v>1.0353001390000001</v>
      </c>
      <c r="Z1397" t="s">
        <v>1103</v>
      </c>
      <c r="AA1397" t="s">
        <v>622</v>
      </c>
      <c r="AB1397">
        <v>3</v>
      </c>
      <c r="AC1397">
        <v>347.9</v>
      </c>
      <c r="AD1397">
        <v>87.4</v>
      </c>
      <c r="AF1397" t="s">
        <v>532</v>
      </c>
      <c r="AG1397" s="30" t="s">
        <v>1333</v>
      </c>
      <c r="AH1397" s="30" t="s">
        <v>1155</v>
      </c>
      <c r="AI1397" s="30" t="s">
        <v>1334</v>
      </c>
      <c r="AJ1397" t="s">
        <v>2805</v>
      </c>
      <c r="AK1397">
        <v>0.86</v>
      </c>
      <c r="AL1397">
        <v>299.19399999999996</v>
      </c>
      <c r="AM1397">
        <v>48.706000000000017</v>
      </c>
      <c r="AN1397">
        <v>2356.4876808743479</v>
      </c>
      <c r="AO1397">
        <v>383.61427363070806</v>
      </c>
      <c r="AP1397">
        <v>2.4396720235610001</v>
      </c>
      <c r="AQ1397">
        <v>0.3971559108122561</v>
      </c>
      <c r="AR1397">
        <v>0.12946808670713136</v>
      </c>
    </row>
    <row r="1398" spans="1:44" hidden="1" x14ac:dyDescent="0.5">
      <c r="A1398" s="31">
        <v>320</v>
      </c>
      <c r="B1398" s="31">
        <v>22</v>
      </c>
      <c r="C1398" s="225" t="s">
        <v>20</v>
      </c>
      <c r="D1398" s="35">
        <v>38.473999999999997</v>
      </c>
      <c r="E1398" s="33">
        <v>14.96</v>
      </c>
      <c r="F1398">
        <v>0</v>
      </c>
      <c r="G1398">
        <f t="shared" si="17"/>
        <v>0</v>
      </c>
      <c r="H1398" s="32" t="s">
        <v>614</v>
      </c>
      <c r="I1398">
        <v>30</v>
      </c>
      <c r="J1398">
        <v>293.56275157721899</v>
      </c>
      <c r="K1398" s="26">
        <v>2015</v>
      </c>
      <c r="L1398" t="s">
        <v>11</v>
      </c>
      <c r="M1398" s="32">
        <v>63</v>
      </c>
      <c r="N1398">
        <v>7.0097463050000002</v>
      </c>
      <c r="P1398" t="s">
        <v>12</v>
      </c>
      <c r="Q1398">
        <v>89</v>
      </c>
      <c r="R1398" t="s">
        <v>13</v>
      </c>
      <c r="S1398" t="s">
        <v>16</v>
      </c>
      <c r="T1398" t="s">
        <v>14</v>
      </c>
      <c r="U1398" s="34">
        <v>0</v>
      </c>
      <c r="V1398" s="34">
        <v>5</v>
      </c>
      <c r="W1398" s="25">
        <v>2.5</v>
      </c>
      <c r="X1398" s="25">
        <v>5</v>
      </c>
      <c r="Y1398" s="244">
        <v>1.0353001390000001</v>
      </c>
      <c r="Z1398" t="s">
        <v>1103</v>
      </c>
      <c r="AA1398" t="s">
        <v>622</v>
      </c>
      <c r="AB1398">
        <v>3</v>
      </c>
      <c r="AC1398">
        <v>678.7</v>
      </c>
      <c r="AD1398">
        <v>345.8</v>
      </c>
      <c r="AF1398" t="s">
        <v>532</v>
      </c>
      <c r="AG1398" s="32" t="s">
        <v>1330</v>
      </c>
      <c r="AH1398" s="32" t="s">
        <v>1331</v>
      </c>
      <c r="AI1398" s="32" t="s">
        <v>1332</v>
      </c>
      <c r="AJ1398" s="31" t="s">
        <v>2804</v>
      </c>
      <c r="AK1398" s="31">
        <v>0.89</v>
      </c>
      <c r="AL1398" s="31">
        <v>604.04300000000001</v>
      </c>
      <c r="AM1398" s="31">
        <v>74.657000000000039</v>
      </c>
      <c r="AN1398" s="31">
        <v>4757.5148172034997</v>
      </c>
      <c r="AO1398" s="31">
        <v>588.00744931728684</v>
      </c>
      <c r="AP1398" s="31">
        <v>4.9254557515453437</v>
      </c>
      <c r="AQ1398" s="31">
        <v>0.60876419401122261</v>
      </c>
      <c r="AR1398" s="31">
        <v>0.12946808670713136</v>
      </c>
    </row>
    <row r="1399" spans="1:44" hidden="1" x14ac:dyDescent="0.5">
      <c r="A1399" s="31">
        <v>839</v>
      </c>
      <c r="B1399" s="31">
        <v>60</v>
      </c>
      <c r="C1399" s="225" t="s">
        <v>20</v>
      </c>
      <c r="D1399" s="44">
        <v>38.465266</v>
      </c>
      <c r="E1399" s="45">
        <v>-0.122977</v>
      </c>
      <c r="F1399">
        <v>10.6</v>
      </c>
      <c r="G1399">
        <f t="shared" si="17"/>
        <v>17059.046399999999</v>
      </c>
      <c r="H1399" s="32" t="s">
        <v>614</v>
      </c>
      <c r="I1399">
        <v>86</v>
      </c>
      <c r="J1399">
        <v>344.35429515951103</v>
      </c>
      <c r="K1399" s="26">
        <v>2014</v>
      </c>
      <c r="L1399" t="s">
        <v>30</v>
      </c>
      <c r="M1399" s="32">
        <v>38</v>
      </c>
      <c r="N1399">
        <v>4.1059253030000002</v>
      </c>
      <c r="O1399">
        <v>4.9329999999999998</v>
      </c>
      <c r="P1399" t="s">
        <v>12</v>
      </c>
      <c r="Q1399">
        <v>89</v>
      </c>
      <c r="R1399" t="s">
        <v>13</v>
      </c>
      <c r="S1399" t="s">
        <v>14</v>
      </c>
      <c r="T1399" t="s">
        <v>14</v>
      </c>
      <c r="U1399" s="34">
        <v>0</v>
      </c>
      <c r="V1399" s="34">
        <v>1.5</v>
      </c>
      <c r="W1399" s="25">
        <v>0.75</v>
      </c>
      <c r="X1399" s="25">
        <v>1.5</v>
      </c>
      <c r="Y1399" s="244">
        <v>1.0288151290000001</v>
      </c>
      <c r="Z1399" t="s">
        <v>1103</v>
      </c>
      <c r="AA1399" t="s">
        <v>622</v>
      </c>
      <c r="AB1399">
        <v>3</v>
      </c>
      <c r="AC1399">
        <v>138.9</v>
      </c>
      <c r="AD1399">
        <v>54.7</v>
      </c>
      <c r="AE1399" t="s">
        <v>519</v>
      </c>
      <c r="AF1399" t="s">
        <v>532</v>
      </c>
      <c r="AG1399" s="32" t="s">
        <v>2058</v>
      </c>
      <c r="AH1399" s="32">
        <v>1</v>
      </c>
      <c r="AI1399" s="32" t="s">
        <v>2058</v>
      </c>
      <c r="AJ1399" s="31">
        <v>0</v>
      </c>
      <c r="AK1399" s="31">
        <v>1</v>
      </c>
      <c r="AL1399" s="31">
        <v>138.9</v>
      </c>
      <c r="AM1399" s="31">
        <v>0</v>
      </c>
      <c r="AN1399" s="31">
        <v>640.80115122101131</v>
      </c>
      <c r="AO1399" s="31">
        <v>0</v>
      </c>
      <c r="AP1399" s="31">
        <v>0.65926591905679333</v>
      </c>
      <c r="AQ1399" s="31">
        <v>0</v>
      </c>
      <c r="AR1399" s="31">
        <v>0.12240411267974328</v>
      </c>
    </row>
    <row r="1400" spans="1:44" hidden="1" x14ac:dyDescent="0.5">
      <c r="A1400" s="31">
        <v>1494</v>
      </c>
      <c r="B1400" s="31">
        <v>112</v>
      </c>
      <c r="C1400" s="225" t="s">
        <v>20</v>
      </c>
      <c r="D1400" s="44">
        <v>38</v>
      </c>
      <c r="E1400" s="45">
        <v>-0.5</v>
      </c>
      <c r="F1400">
        <v>1.86</v>
      </c>
      <c r="G1400">
        <f t="shared" si="17"/>
        <v>2993.3798400000001</v>
      </c>
      <c r="H1400" s="32" t="s">
        <v>614</v>
      </c>
      <c r="I1400">
        <v>31</v>
      </c>
      <c r="J1400">
        <v>0</v>
      </c>
      <c r="K1400" s="27">
        <v>2018</v>
      </c>
      <c r="L1400" t="s">
        <v>40</v>
      </c>
      <c r="M1400" s="32">
        <v>128</v>
      </c>
      <c r="N1400">
        <v>14.839803379999999</v>
      </c>
      <c r="O1400">
        <v>13.404999999999999</v>
      </c>
      <c r="P1400" t="s">
        <v>12</v>
      </c>
      <c r="Q1400">
        <v>89.6</v>
      </c>
      <c r="R1400" t="s">
        <v>13</v>
      </c>
      <c r="S1400" t="s">
        <v>14</v>
      </c>
      <c r="T1400" t="s">
        <v>14</v>
      </c>
      <c r="U1400" s="34">
        <v>0</v>
      </c>
      <c r="V1400" s="34">
        <v>10</v>
      </c>
      <c r="W1400" s="25">
        <v>5</v>
      </c>
      <c r="X1400" s="25">
        <v>10</v>
      </c>
      <c r="Y1400" s="244">
        <v>1.0288151290000001</v>
      </c>
      <c r="Z1400" t="s">
        <v>837</v>
      </c>
      <c r="AA1400" t="s">
        <v>622</v>
      </c>
      <c r="AB1400">
        <v>9</v>
      </c>
      <c r="AC1400">
        <v>48.784999999999997</v>
      </c>
      <c r="AD1400">
        <v>9.7630000000000052</v>
      </c>
      <c r="AE1400" t="s">
        <v>525</v>
      </c>
      <c r="AF1400" t="s">
        <v>532</v>
      </c>
      <c r="AG1400" s="32" t="s">
        <v>2565</v>
      </c>
      <c r="AH1400" s="32" t="s">
        <v>2183</v>
      </c>
      <c r="AI1400" s="32" t="s">
        <v>2566</v>
      </c>
      <c r="AJ1400" s="31" t="s">
        <v>3376</v>
      </c>
      <c r="AK1400" s="31">
        <v>0.55000000000000004</v>
      </c>
      <c r="AL1400" s="31">
        <v>26.84</v>
      </c>
      <c r="AM1400" s="31">
        <v>21.959999999999997</v>
      </c>
      <c r="AN1400" s="31">
        <v>444.5316101776786</v>
      </c>
      <c r="AO1400" s="31">
        <v>363.70768105446427</v>
      </c>
      <c r="AP1400" s="31">
        <v>0.45734084586952617</v>
      </c>
      <c r="AQ1400" s="31">
        <v>0.37418796480233951</v>
      </c>
      <c r="AR1400" s="31">
        <v>0.12933843748284002</v>
      </c>
    </row>
    <row r="1401" spans="1:44" hidden="1" x14ac:dyDescent="0.5">
      <c r="A1401" s="31">
        <v>1495</v>
      </c>
      <c r="B1401" s="31">
        <v>112</v>
      </c>
      <c r="C1401" s="225" t="s">
        <v>20</v>
      </c>
      <c r="D1401" s="44">
        <v>38</v>
      </c>
      <c r="E1401" s="45">
        <v>-0.5</v>
      </c>
      <c r="F1401">
        <v>1.86</v>
      </c>
      <c r="G1401">
        <f t="shared" si="17"/>
        <v>2993.3798400000001</v>
      </c>
      <c r="H1401" s="32" t="s">
        <v>614</v>
      </c>
      <c r="I1401">
        <v>31</v>
      </c>
      <c r="J1401">
        <v>0</v>
      </c>
      <c r="K1401" s="27">
        <v>2018</v>
      </c>
      <c r="L1401" t="s">
        <v>40</v>
      </c>
      <c r="M1401" s="32">
        <v>128</v>
      </c>
      <c r="N1401">
        <v>14.839803379999999</v>
      </c>
      <c r="O1401">
        <v>13.404999999999999</v>
      </c>
      <c r="P1401" t="s">
        <v>12</v>
      </c>
      <c r="Q1401">
        <v>89.6</v>
      </c>
      <c r="R1401" t="s">
        <v>13</v>
      </c>
      <c r="S1401" t="s">
        <v>14</v>
      </c>
      <c r="T1401" t="s">
        <v>14</v>
      </c>
      <c r="U1401" s="34">
        <v>0</v>
      </c>
      <c r="V1401" s="34">
        <v>10</v>
      </c>
      <c r="W1401" s="25">
        <v>5</v>
      </c>
      <c r="X1401" s="25">
        <v>10</v>
      </c>
      <c r="Y1401" s="244">
        <v>1.0288151290000001</v>
      </c>
      <c r="Z1401" t="s">
        <v>837</v>
      </c>
      <c r="AA1401" t="s">
        <v>622</v>
      </c>
      <c r="AB1401">
        <v>9</v>
      </c>
      <c r="AC1401">
        <v>51.845999999999997</v>
      </c>
      <c r="AD1401">
        <v>10.353000000000002</v>
      </c>
      <c r="AE1401" t="s">
        <v>525</v>
      </c>
      <c r="AF1401" t="s">
        <v>532</v>
      </c>
      <c r="AG1401" s="32" t="s">
        <v>2567</v>
      </c>
      <c r="AH1401" s="32" t="s">
        <v>2183</v>
      </c>
      <c r="AI1401" s="32" t="s">
        <v>2568</v>
      </c>
      <c r="AJ1401" s="31" t="s">
        <v>3377</v>
      </c>
      <c r="AK1401" s="31">
        <v>0.55000000000000004</v>
      </c>
      <c r="AL1401" s="31">
        <v>28.490000000000002</v>
      </c>
      <c r="AM1401" s="31">
        <v>23.309999999999995</v>
      </c>
      <c r="AN1401" s="31">
        <v>471.85937309843757</v>
      </c>
      <c r="AO1401" s="31">
        <v>386.06675980781245</v>
      </c>
      <c r="AP1401" s="31">
        <v>0.4854560618041282</v>
      </c>
      <c r="AQ1401" s="31">
        <v>0.39719132329428664</v>
      </c>
      <c r="AR1401" s="31">
        <v>0.12933843748284002</v>
      </c>
    </row>
    <row r="1402" spans="1:44" hidden="1" x14ac:dyDescent="0.5">
      <c r="A1402" s="31">
        <v>1496</v>
      </c>
      <c r="B1402" s="31">
        <v>112</v>
      </c>
      <c r="C1402" s="225" t="s">
        <v>20</v>
      </c>
      <c r="D1402" s="44">
        <v>38</v>
      </c>
      <c r="E1402" s="45">
        <v>-0.5</v>
      </c>
      <c r="F1402">
        <v>1.86</v>
      </c>
      <c r="G1402">
        <f t="shared" si="17"/>
        <v>2993.3798400000001</v>
      </c>
      <c r="H1402" s="32" t="s">
        <v>614</v>
      </c>
      <c r="I1402">
        <v>31</v>
      </c>
      <c r="J1402">
        <v>0</v>
      </c>
      <c r="K1402" s="27">
        <v>2018</v>
      </c>
      <c r="L1402" t="s">
        <v>40</v>
      </c>
      <c r="M1402" s="32">
        <v>128</v>
      </c>
      <c r="N1402">
        <v>14.839803379999999</v>
      </c>
      <c r="O1402">
        <v>13.404999999999999</v>
      </c>
      <c r="P1402" t="s">
        <v>12</v>
      </c>
      <c r="Q1402">
        <v>89.6</v>
      </c>
      <c r="R1402" t="s">
        <v>13</v>
      </c>
      <c r="S1402" t="s">
        <v>14</v>
      </c>
      <c r="T1402" t="s">
        <v>14</v>
      </c>
      <c r="U1402" s="34">
        <v>0</v>
      </c>
      <c r="V1402" s="34">
        <v>10</v>
      </c>
      <c r="W1402" s="25">
        <v>5</v>
      </c>
      <c r="X1402" s="25">
        <v>10</v>
      </c>
      <c r="Y1402" s="244">
        <v>1.0288151290000001</v>
      </c>
      <c r="Z1402" t="s">
        <v>837</v>
      </c>
      <c r="AA1402" t="s">
        <v>622</v>
      </c>
      <c r="AB1402">
        <v>9</v>
      </c>
      <c r="AC1402">
        <v>67.027000000000001</v>
      </c>
      <c r="AD1402">
        <v>13.409000000000006</v>
      </c>
      <c r="AE1402" t="s">
        <v>525</v>
      </c>
      <c r="AF1402" t="s">
        <v>532</v>
      </c>
      <c r="AG1402" s="32">
        <v>67</v>
      </c>
      <c r="AH1402" s="32" t="s">
        <v>2176</v>
      </c>
      <c r="AI1402" s="32" t="s">
        <v>2569</v>
      </c>
      <c r="AJ1402" s="31" t="s">
        <v>3378</v>
      </c>
      <c r="AK1402" s="31">
        <v>0.68</v>
      </c>
      <c r="AL1402" s="31">
        <v>45.56</v>
      </c>
      <c r="AM1402" s="31">
        <v>21.439999999999998</v>
      </c>
      <c r="AN1402" s="31">
        <v>754.57750222410721</v>
      </c>
      <c r="AO1402" s="31">
        <v>355.09529516428569</v>
      </c>
      <c r="AP1402" s="31">
        <v>0.77632075029119274</v>
      </c>
      <c r="AQ1402" s="31">
        <v>0.36532741190173768</v>
      </c>
      <c r="AR1402" s="31">
        <v>0.12933843748284002</v>
      </c>
    </row>
    <row r="1403" spans="1:44" hidden="1" x14ac:dyDescent="0.5">
      <c r="A1403" s="31">
        <v>1497</v>
      </c>
      <c r="B1403" s="31">
        <v>112</v>
      </c>
      <c r="C1403" s="225" t="s">
        <v>20</v>
      </c>
      <c r="D1403" s="44">
        <v>38</v>
      </c>
      <c r="E1403" s="45">
        <v>-0.5</v>
      </c>
      <c r="F1403">
        <v>1.86</v>
      </c>
      <c r="G1403">
        <f t="shared" si="17"/>
        <v>2993.3798400000001</v>
      </c>
      <c r="H1403" s="32" t="s">
        <v>614</v>
      </c>
      <c r="I1403">
        <v>31</v>
      </c>
      <c r="J1403">
        <v>0</v>
      </c>
      <c r="K1403" s="27">
        <v>2018</v>
      </c>
      <c r="L1403" t="s">
        <v>40</v>
      </c>
      <c r="M1403" s="32">
        <v>128</v>
      </c>
      <c r="N1403">
        <v>14.839803379999999</v>
      </c>
      <c r="O1403">
        <v>13.404999999999999</v>
      </c>
      <c r="P1403" t="s">
        <v>12</v>
      </c>
      <c r="Q1403">
        <v>89.6</v>
      </c>
      <c r="R1403" t="s">
        <v>13</v>
      </c>
      <c r="S1403" t="s">
        <v>14</v>
      </c>
      <c r="T1403" t="s">
        <v>14</v>
      </c>
      <c r="U1403" s="34">
        <v>0</v>
      </c>
      <c r="V1403" s="34">
        <v>10</v>
      </c>
      <c r="W1403" s="25">
        <v>5</v>
      </c>
      <c r="X1403" s="25">
        <v>10</v>
      </c>
      <c r="Y1403" s="244">
        <v>1.0288151290000001</v>
      </c>
      <c r="Z1403" t="s">
        <v>837</v>
      </c>
      <c r="AA1403" t="s">
        <v>622</v>
      </c>
      <c r="AB1403">
        <v>9</v>
      </c>
      <c r="AC1403">
        <v>86.605999999999995</v>
      </c>
      <c r="AD1403">
        <v>23.721000000000004</v>
      </c>
      <c r="AE1403" t="s">
        <v>525</v>
      </c>
      <c r="AF1403" t="s">
        <v>532</v>
      </c>
      <c r="AG1403" s="32" t="s">
        <v>2570</v>
      </c>
      <c r="AH1403" s="32" t="s">
        <v>1328</v>
      </c>
      <c r="AI1403" s="32" t="s">
        <v>2571</v>
      </c>
      <c r="AJ1403" s="31" t="s">
        <v>3379</v>
      </c>
      <c r="AK1403" s="31">
        <v>0.62</v>
      </c>
      <c r="AL1403" s="31">
        <v>53.691999999999993</v>
      </c>
      <c r="AM1403" s="31">
        <v>32.908000000000001</v>
      </c>
      <c r="AN1403" s="31">
        <v>889.26196772205333</v>
      </c>
      <c r="AO1403" s="31">
        <v>545.03152860383932</v>
      </c>
      <c r="AP1403" s="31">
        <v>0.91488616603675821</v>
      </c>
      <c r="AQ1403" s="31">
        <v>0.56073668240962615</v>
      </c>
      <c r="AR1403" s="31">
        <v>0.12933843748284002</v>
      </c>
    </row>
    <row r="1404" spans="1:44" hidden="1" x14ac:dyDescent="0.5">
      <c r="A1404" s="31">
        <v>1498</v>
      </c>
      <c r="B1404" s="31">
        <v>112</v>
      </c>
      <c r="C1404" s="225" t="s">
        <v>20</v>
      </c>
      <c r="D1404" s="44">
        <v>38</v>
      </c>
      <c r="E1404" s="45">
        <v>-0.5</v>
      </c>
      <c r="F1404">
        <v>1.74</v>
      </c>
      <c r="G1404">
        <f t="shared" si="17"/>
        <v>2800.2585600000002</v>
      </c>
      <c r="H1404" s="32" t="s">
        <v>614</v>
      </c>
      <c r="I1404">
        <v>34</v>
      </c>
      <c r="J1404">
        <v>0</v>
      </c>
      <c r="K1404" s="27">
        <v>2018</v>
      </c>
      <c r="L1404" t="s">
        <v>40</v>
      </c>
      <c r="M1404" s="32">
        <v>128</v>
      </c>
      <c r="N1404">
        <v>14.839803379999999</v>
      </c>
      <c r="O1404">
        <v>13.404999999999999</v>
      </c>
      <c r="P1404" t="s">
        <v>12</v>
      </c>
      <c r="Q1404">
        <v>89.6</v>
      </c>
      <c r="R1404" t="s">
        <v>13</v>
      </c>
      <c r="S1404" t="s">
        <v>14</v>
      </c>
      <c r="T1404" t="s">
        <v>14</v>
      </c>
      <c r="U1404" s="34">
        <v>0</v>
      </c>
      <c r="V1404" s="34">
        <v>10</v>
      </c>
      <c r="W1404" s="25">
        <v>5</v>
      </c>
      <c r="X1404" s="25">
        <v>10</v>
      </c>
      <c r="Y1404" s="244">
        <v>1.0288151290000001</v>
      </c>
      <c r="Z1404" t="s">
        <v>837</v>
      </c>
      <c r="AA1404" t="s">
        <v>622</v>
      </c>
      <c r="AB1404">
        <v>9</v>
      </c>
      <c r="AC1404">
        <v>11.055</v>
      </c>
      <c r="AD1404">
        <v>3.1790000000000003</v>
      </c>
      <c r="AE1404" t="s">
        <v>525</v>
      </c>
      <c r="AF1404" t="s">
        <v>532</v>
      </c>
      <c r="AG1404" s="32" t="s">
        <v>2572</v>
      </c>
      <c r="AH1404" s="32" t="s">
        <v>2183</v>
      </c>
      <c r="AI1404" s="32" t="s">
        <v>2573</v>
      </c>
      <c r="AJ1404" s="31" t="s">
        <v>3380</v>
      </c>
      <c r="AK1404" s="31">
        <v>0.55000000000000004</v>
      </c>
      <c r="AL1404" s="31">
        <v>6.1050000000000004</v>
      </c>
      <c r="AM1404" s="31">
        <v>4.9949999999999992</v>
      </c>
      <c r="AN1404" s="31">
        <v>101.11272280680805</v>
      </c>
      <c r="AO1404" s="31">
        <v>82.728591387388377</v>
      </c>
      <c r="AP1404" s="31">
        <v>0.10402629895802748</v>
      </c>
      <c r="AQ1404" s="31">
        <v>8.5112426420204265E-2</v>
      </c>
      <c r="AR1404" s="31">
        <v>0.12895026827373907</v>
      </c>
    </row>
    <row r="1405" spans="1:44" hidden="1" x14ac:dyDescent="0.5">
      <c r="A1405" s="31">
        <v>1499</v>
      </c>
      <c r="B1405" s="31">
        <v>112</v>
      </c>
      <c r="C1405" s="225" t="s">
        <v>20</v>
      </c>
      <c r="D1405" s="44">
        <v>38</v>
      </c>
      <c r="E1405" s="45">
        <v>-0.5</v>
      </c>
      <c r="F1405">
        <v>1.74</v>
      </c>
      <c r="G1405">
        <f t="shared" si="17"/>
        <v>2800.2585600000002</v>
      </c>
      <c r="H1405" s="32" t="s">
        <v>614</v>
      </c>
      <c r="I1405">
        <v>34</v>
      </c>
      <c r="J1405">
        <v>0</v>
      </c>
      <c r="K1405" s="27">
        <v>2018</v>
      </c>
      <c r="L1405" t="s">
        <v>40</v>
      </c>
      <c r="M1405" s="32">
        <v>128</v>
      </c>
      <c r="N1405">
        <v>14.839803379999999</v>
      </c>
      <c r="O1405">
        <v>13.404999999999999</v>
      </c>
      <c r="P1405" t="s">
        <v>12</v>
      </c>
      <c r="Q1405">
        <v>89.6</v>
      </c>
      <c r="R1405" t="s">
        <v>13</v>
      </c>
      <c r="S1405" t="s">
        <v>14</v>
      </c>
      <c r="T1405" t="s">
        <v>14</v>
      </c>
      <c r="U1405" s="34">
        <v>0</v>
      </c>
      <c r="V1405" s="34">
        <v>10</v>
      </c>
      <c r="W1405" s="25">
        <v>5</v>
      </c>
      <c r="X1405" s="25">
        <v>10</v>
      </c>
      <c r="Y1405" s="244">
        <v>1.0288151290000001</v>
      </c>
      <c r="Z1405" t="s">
        <v>837</v>
      </c>
      <c r="AA1405" t="s">
        <v>622</v>
      </c>
      <c r="AB1405">
        <v>9</v>
      </c>
      <c r="AC1405">
        <v>12.523</v>
      </c>
      <c r="AD1405">
        <v>3.5150000000000006</v>
      </c>
      <c r="AE1405" t="s">
        <v>525</v>
      </c>
      <c r="AF1405" t="s">
        <v>532</v>
      </c>
      <c r="AG1405" s="32" t="s">
        <v>2574</v>
      </c>
      <c r="AH1405" s="32" t="s">
        <v>2183</v>
      </c>
      <c r="AI1405" s="32" t="s">
        <v>2575</v>
      </c>
      <c r="AJ1405" s="31" t="s">
        <v>3381</v>
      </c>
      <c r="AK1405" s="31">
        <v>0.55000000000000004</v>
      </c>
      <c r="AL1405" s="31">
        <v>6.8750000000000009</v>
      </c>
      <c r="AM1405" s="31">
        <v>5.6249999999999991</v>
      </c>
      <c r="AN1405" s="31">
        <v>113.86567883649556</v>
      </c>
      <c r="AO1405" s="31">
        <v>93.162828138950886</v>
      </c>
      <c r="AP1405" s="31">
        <v>0.11714673306084177</v>
      </c>
      <c r="AQ1405" s="31">
        <v>9.5847327049779579E-2</v>
      </c>
      <c r="AR1405" s="31">
        <v>0.12895026827373907</v>
      </c>
    </row>
    <row r="1406" spans="1:44" hidden="1" x14ac:dyDescent="0.5">
      <c r="A1406" s="31">
        <v>1500</v>
      </c>
      <c r="B1406" s="31">
        <v>112</v>
      </c>
      <c r="C1406" s="225" t="s">
        <v>20</v>
      </c>
      <c r="D1406" s="44">
        <v>38</v>
      </c>
      <c r="E1406" s="45">
        <v>-0.5</v>
      </c>
      <c r="F1406">
        <v>1.74</v>
      </c>
      <c r="G1406">
        <f t="shared" si="17"/>
        <v>2800.2585600000002</v>
      </c>
      <c r="H1406" s="32" t="s">
        <v>614</v>
      </c>
      <c r="I1406">
        <v>34</v>
      </c>
      <c r="J1406">
        <v>0</v>
      </c>
      <c r="K1406" s="27">
        <v>2018</v>
      </c>
      <c r="L1406" t="s">
        <v>40</v>
      </c>
      <c r="M1406" s="32">
        <v>128</v>
      </c>
      <c r="N1406">
        <v>14.839803379999999</v>
      </c>
      <c r="O1406">
        <v>13.404999999999999</v>
      </c>
      <c r="P1406" t="s">
        <v>12</v>
      </c>
      <c r="Q1406">
        <v>89.6</v>
      </c>
      <c r="R1406" t="s">
        <v>13</v>
      </c>
      <c r="S1406" t="s">
        <v>14</v>
      </c>
      <c r="T1406" t="s">
        <v>14</v>
      </c>
      <c r="U1406" s="34">
        <v>0</v>
      </c>
      <c r="V1406" s="34">
        <v>10</v>
      </c>
      <c r="W1406" s="25">
        <v>5</v>
      </c>
      <c r="X1406" s="25">
        <v>10</v>
      </c>
      <c r="Y1406" s="244">
        <v>1.0288151290000001</v>
      </c>
      <c r="Z1406" t="s">
        <v>837</v>
      </c>
      <c r="AA1406" t="s">
        <v>622</v>
      </c>
      <c r="AB1406">
        <v>9</v>
      </c>
      <c r="AC1406">
        <v>16.108000000000001</v>
      </c>
      <c r="AD1406">
        <v>7.5189999999999984</v>
      </c>
      <c r="AE1406" t="s">
        <v>525</v>
      </c>
      <c r="AF1406" t="s">
        <v>532</v>
      </c>
      <c r="AG1406" s="32" t="s">
        <v>2576</v>
      </c>
      <c r="AH1406" s="32" t="s">
        <v>2176</v>
      </c>
      <c r="AI1406" s="32" t="s">
        <v>2577</v>
      </c>
      <c r="AJ1406" s="31" t="s">
        <v>3382</v>
      </c>
      <c r="AK1406" s="31">
        <v>0.68</v>
      </c>
      <c r="AL1406" s="31">
        <v>10.948000000000002</v>
      </c>
      <c r="AM1406" s="31">
        <v>5.1519999999999992</v>
      </c>
      <c r="AN1406" s="31">
        <v>181.32384754937505</v>
      </c>
      <c r="AO1406" s="31">
        <v>85.328869434999987</v>
      </c>
      <c r="AP1406" s="31">
        <v>0.18654871760728664</v>
      </c>
      <c r="AQ1406" s="31">
        <v>8.7787631815193667E-2</v>
      </c>
      <c r="AR1406" s="31">
        <v>0.12895026827373907</v>
      </c>
    </row>
    <row r="1407" spans="1:44" hidden="1" x14ac:dyDescent="0.5">
      <c r="A1407" s="31">
        <v>1501</v>
      </c>
      <c r="B1407" s="31">
        <v>112</v>
      </c>
      <c r="C1407" s="225" t="s">
        <v>20</v>
      </c>
      <c r="D1407" s="44">
        <v>38</v>
      </c>
      <c r="E1407" s="45">
        <v>-0.5</v>
      </c>
      <c r="F1407">
        <v>1.74</v>
      </c>
      <c r="G1407">
        <f t="shared" si="17"/>
        <v>2800.2585600000002</v>
      </c>
      <c r="H1407" s="32" t="s">
        <v>614</v>
      </c>
      <c r="I1407">
        <v>34</v>
      </c>
      <c r="J1407">
        <v>0</v>
      </c>
      <c r="K1407" s="27">
        <v>2018</v>
      </c>
      <c r="L1407" t="s">
        <v>40</v>
      </c>
      <c r="M1407" s="32">
        <v>128</v>
      </c>
      <c r="N1407">
        <v>14.839803379999999</v>
      </c>
      <c r="O1407">
        <v>13.404999999999999</v>
      </c>
      <c r="P1407" t="s">
        <v>12</v>
      </c>
      <c r="Q1407">
        <v>89.6</v>
      </c>
      <c r="R1407" t="s">
        <v>13</v>
      </c>
      <c r="S1407" t="s">
        <v>14</v>
      </c>
      <c r="T1407" t="s">
        <v>14</v>
      </c>
      <c r="U1407" s="34">
        <v>0</v>
      </c>
      <c r="V1407" s="34">
        <v>10</v>
      </c>
      <c r="W1407" s="25">
        <v>5</v>
      </c>
      <c r="X1407" s="25">
        <v>10</v>
      </c>
      <c r="Y1407" s="244">
        <v>1.0288151290000001</v>
      </c>
      <c r="Z1407" t="s">
        <v>837</v>
      </c>
      <c r="AA1407" t="s">
        <v>622</v>
      </c>
      <c r="AB1407">
        <v>9</v>
      </c>
      <c r="AC1407">
        <v>29.626999999999999</v>
      </c>
      <c r="AD1407">
        <v>5.7710000000000043</v>
      </c>
      <c r="AE1407" t="s">
        <v>525</v>
      </c>
      <c r="AF1407" t="s">
        <v>532</v>
      </c>
      <c r="AG1407" s="32" t="s">
        <v>2578</v>
      </c>
      <c r="AH1407" s="32" t="s">
        <v>1328</v>
      </c>
      <c r="AI1407" s="32" t="s">
        <v>2579</v>
      </c>
      <c r="AJ1407" s="31" t="s">
        <v>3383</v>
      </c>
      <c r="AK1407" s="31">
        <v>0.62</v>
      </c>
      <c r="AL1407" s="31">
        <v>18.352</v>
      </c>
      <c r="AM1407" s="31">
        <v>11.248000000000001</v>
      </c>
      <c r="AN1407" s="31">
        <v>303.95097280107149</v>
      </c>
      <c r="AO1407" s="31">
        <v>186.29253171678573</v>
      </c>
      <c r="AP1407" s="31">
        <v>0.31270935929200988</v>
      </c>
      <c r="AQ1407" s="31">
        <v>0.1916605750499415</v>
      </c>
      <c r="AR1407" s="31">
        <v>0.12895026827373907</v>
      </c>
    </row>
    <row r="1408" spans="1:44" hidden="1" x14ac:dyDescent="0.5">
      <c r="A1408" s="31">
        <v>1502</v>
      </c>
      <c r="B1408" s="31">
        <v>112</v>
      </c>
      <c r="C1408" s="225" t="s">
        <v>20</v>
      </c>
      <c r="D1408" s="44">
        <v>38</v>
      </c>
      <c r="E1408" s="45">
        <v>-0.5</v>
      </c>
      <c r="F1408">
        <v>3.73</v>
      </c>
      <c r="G1408">
        <f t="shared" si="17"/>
        <v>6002.8531199999998</v>
      </c>
      <c r="H1408" s="32" t="s">
        <v>614</v>
      </c>
      <c r="I1408">
        <v>37</v>
      </c>
      <c r="J1408">
        <v>0</v>
      </c>
      <c r="K1408" s="27">
        <v>2018</v>
      </c>
      <c r="L1408" t="s">
        <v>40</v>
      </c>
      <c r="M1408" s="32">
        <v>128</v>
      </c>
      <c r="N1408">
        <v>14.839803379999999</v>
      </c>
      <c r="O1408">
        <v>13.404999999999999</v>
      </c>
      <c r="P1408" t="s">
        <v>12</v>
      </c>
      <c r="Q1408">
        <v>89.6</v>
      </c>
      <c r="R1408" t="s">
        <v>13</v>
      </c>
      <c r="S1408" t="s">
        <v>14</v>
      </c>
      <c r="T1408" t="s">
        <v>14</v>
      </c>
      <c r="U1408" s="34">
        <v>0</v>
      </c>
      <c r="V1408" s="34">
        <v>10</v>
      </c>
      <c r="W1408" s="25">
        <v>5</v>
      </c>
      <c r="X1408" s="25">
        <v>10</v>
      </c>
      <c r="Y1408" s="244">
        <v>1.0288151290000001</v>
      </c>
      <c r="Z1408" t="s">
        <v>837</v>
      </c>
      <c r="AA1408" t="s">
        <v>622</v>
      </c>
      <c r="AB1408">
        <v>9</v>
      </c>
      <c r="AC1408">
        <v>7.8710000000000004</v>
      </c>
      <c r="AD1408">
        <v>3.7809999999999988</v>
      </c>
      <c r="AE1408" t="s">
        <v>525</v>
      </c>
      <c r="AF1408" t="s">
        <v>532</v>
      </c>
      <c r="AG1408" s="32" t="s">
        <v>2580</v>
      </c>
      <c r="AH1408" s="32" t="s">
        <v>2176</v>
      </c>
      <c r="AI1408" s="32" t="s">
        <v>2581</v>
      </c>
      <c r="AJ1408" s="31" t="s">
        <v>3384</v>
      </c>
      <c r="AK1408" s="31">
        <v>0.68</v>
      </c>
      <c r="AL1408" s="31">
        <v>5.3720000000000008</v>
      </c>
      <c r="AM1408" s="31">
        <v>2.5279999999999996</v>
      </c>
      <c r="AN1408" s="31">
        <v>88.97257115776786</v>
      </c>
      <c r="AO1408" s="31">
        <v>41.869445250714286</v>
      </c>
      <c r="AP1408" s="31">
        <v>9.1536327273140622E-2</v>
      </c>
      <c r="AQ1408" s="31">
        <v>4.3075918716772056E-2</v>
      </c>
      <c r="AR1408" s="31">
        <v>0.12856326403413854</v>
      </c>
    </row>
    <row r="1409" spans="1:44" hidden="1" x14ac:dyDescent="0.5">
      <c r="A1409" s="31">
        <v>1503</v>
      </c>
      <c r="B1409" s="31">
        <v>112</v>
      </c>
      <c r="C1409" s="225" t="s">
        <v>20</v>
      </c>
      <c r="D1409" s="44">
        <v>38</v>
      </c>
      <c r="E1409" s="45">
        <v>-0.5</v>
      </c>
      <c r="F1409">
        <v>3.73</v>
      </c>
      <c r="G1409">
        <f t="shared" si="17"/>
        <v>6002.8531199999998</v>
      </c>
      <c r="H1409" s="32" t="s">
        <v>614</v>
      </c>
      <c r="I1409">
        <v>37</v>
      </c>
      <c r="J1409">
        <v>0</v>
      </c>
      <c r="K1409" s="27">
        <v>2018</v>
      </c>
      <c r="L1409" t="s">
        <v>40</v>
      </c>
      <c r="M1409" s="32">
        <v>128</v>
      </c>
      <c r="N1409">
        <v>14.839803379999999</v>
      </c>
      <c r="O1409">
        <v>13.404999999999999</v>
      </c>
      <c r="P1409" t="s">
        <v>12</v>
      </c>
      <c r="Q1409">
        <v>89.6</v>
      </c>
      <c r="R1409" t="s">
        <v>13</v>
      </c>
      <c r="S1409" t="s">
        <v>14</v>
      </c>
      <c r="T1409" t="s">
        <v>14</v>
      </c>
      <c r="U1409" s="34">
        <v>0</v>
      </c>
      <c r="V1409" s="34">
        <v>10</v>
      </c>
      <c r="W1409" s="25">
        <v>5</v>
      </c>
      <c r="X1409" s="25">
        <v>10</v>
      </c>
      <c r="Y1409" s="244">
        <v>1.0288151290000001</v>
      </c>
      <c r="Z1409" t="s">
        <v>837</v>
      </c>
      <c r="AA1409" t="s">
        <v>622</v>
      </c>
      <c r="AB1409">
        <v>9</v>
      </c>
      <c r="AC1409">
        <v>13.449</v>
      </c>
      <c r="AD1409">
        <v>3.1420000000000012</v>
      </c>
      <c r="AE1409" t="s">
        <v>525</v>
      </c>
      <c r="AF1409" t="s">
        <v>532</v>
      </c>
      <c r="AG1409" s="32" t="s">
        <v>2582</v>
      </c>
      <c r="AH1409" s="32" t="s">
        <v>2183</v>
      </c>
      <c r="AI1409" s="32" t="s">
        <v>2583</v>
      </c>
      <c r="AJ1409" s="31" t="s">
        <v>3385</v>
      </c>
      <c r="AK1409" s="31">
        <v>0.55000000000000004</v>
      </c>
      <c r="AL1409" s="31">
        <v>7.370000000000001</v>
      </c>
      <c r="AM1409" s="31">
        <v>6.0299999999999994</v>
      </c>
      <c r="AN1409" s="31">
        <v>122.06400771272324</v>
      </c>
      <c r="AO1409" s="31">
        <v>99.870551764955351</v>
      </c>
      <c r="AP1409" s="31">
        <v>0.12558129784122238</v>
      </c>
      <c r="AQ1409" s="31">
        <v>0.10274833459736372</v>
      </c>
      <c r="AR1409" s="31">
        <v>0.12856326403413854</v>
      </c>
    </row>
    <row r="1410" spans="1:44" hidden="1" x14ac:dyDescent="0.5">
      <c r="A1410" s="31">
        <v>1504</v>
      </c>
      <c r="B1410" s="31">
        <v>112</v>
      </c>
      <c r="C1410" s="225" t="s">
        <v>20</v>
      </c>
      <c r="D1410" s="44">
        <v>38</v>
      </c>
      <c r="E1410" s="45">
        <v>-0.5</v>
      </c>
      <c r="F1410">
        <v>3.73</v>
      </c>
      <c r="G1410">
        <f t="shared" si="17"/>
        <v>6002.8531199999998</v>
      </c>
      <c r="H1410" s="32" t="s">
        <v>614</v>
      </c>
      <c r="I1410">
        <v>37</v>
      </c>
      <c r="J1410">
        <v>0</v>
      </c>
      <c r="K1410" s="27">
        <v>2018</v>
      </c>
      <c r="L1410" t="s">
        <v>40</v>
      </c>
      <c r="M1410" s="32">
        <v>128</v>
      </c>
      <c r="N1410">
        <v>14.839803379999999</v>
      </c>
      <c r="O1410">
        <v>13.404999999999999</v>
      </c>
      <c r="P1410" t="s">
        <v>12</v>
      </c>
      <c r="Q1410">
        <v>89.6</v>
      </c>
      <c r="R1410" t="s">
        <v>13</v>
      </c>
      <c r="S1410" t="s">
        <v>14</v>
      </c>
      <c r="T1410" t="s">
        <v>14</v>
      </c>
      <c r="U1410" s="34">
        <v>0</v>
      </c>
      <c r="V1410" s="34">
        <v>10</v>
      </c>
      <c r="W1410" s="25">
        <v>5</v>
      </c>
      <c r="X1410" s="25">
        <v>10</v>
      </c>
      <c r="Y1410" s="244">
        <v>1.0288151290000001</v>
      </c>
      <c r="Z1410" t="s">
        <v>837</v>
      </c>
      <c r="AA1410" t="s">
        <v>622</v>
      </c>
      <c r="AB1410">
        <v>9</v>
      </c>
      <c r="AC1410">
        <v>13.499000000000001</v>
      </c>
      <c r="AD1410">
        <v>4.6240000000000006</v>
      </c>
      <c r="AE1410" t="s">
        <v>525</v>
      </c>
      <c r="AF1410" t="s">
        <v>532</v>
      </c>
      <c r="AG1410" s="32" t="s">
        <v>2584</v>
      </c>
      <c r="AH1410" s="32" t="s">
        <v>1328</v>
      </c>
      <c r="AI1410" s="32" t="s">
        <v>2585</v>
      </c>
      <c r="AJ1410" s="31" t="s">
        <v>3386</v>
      </c>
      <c r="AK1410" s="31">
        <v>0.62</v>
      </c>
      <c r="AL1410" s="31">
        <v>8.3699999999999992</v>
      </c>
      <c r="AM1410" s="31">
        <v>5.1300000000000008</v>
      </c>
      <c r="AN1410" s="31">
        <v>138.62628827075892</v>
      </c>
      <c r="AO1410" s="31">
        <v>84.964499262723223</v>
      </c>
      <c r="AP1410" s="31">
        <v>0.14262082265007203</v>
      </c>
      <c r="AQ1410" s="31">
        <v>8.7412762269398994E-2</v>
      </c>
      <c r="AR1410" s="31">
        <v>0.12856326403413854</v>
      </c>
    </row>
    <row r="1411" spans="1:44" hidden="1" x14ac:dyDescent="0.5">
      <c r="A1411" s="31">
        <v>1505</v>
      </c>
      <c r="B1411" s="31">
        <v>112</v>
      </c>
      <c r="C1411" s="225" t="s">
        <v>20</v>
      </c>
      <c r="D1411" s="44">
        <v>38</v>
      </c>
      <c r="E1411" s="45">
        <v>-0.5</v>
      </c>
      <c r="F1411">
        <v>3.73</v>
      </c>
      <c r="G1411">
        <f t="shared" si="17"/>
        <v>6002.8531199999998</v>
      </c>
      <c r="H1411" s="32" t="s">
        <v>614</v>
      </c>
      <c r="I1411">
        <v>37</v>
      </c>
      <c r="J1411">
        <v>0</v>
      </c>
      <c r="K1411" s="27">
        <v>2018</v>
      </c>
      <c r="L1411" t="s">
        <v>40</v>
      </c>
      <c r="M1411" s="32">
        <v>128</v>
      </c>
      <c r="N1411">
        <v>14.839803379999999</v>
      </c>
      <c r="O1411">
        <v>13.404999999999999</v>
      </c>
      <c r="P1411" t="s">
        <v>12</v>
      </c>
      <c r="Q1411">
        <v>89.6</v>
      </c>
      <c r="R1411" t="s">
        <v>13</v>
      </c>
      <c r="S1411" t="s">
        <v>14</v>
      </c>
      <c r="T1411" t="s">
        <v>14</v>
      </c>
      <c r="U1411" s="34">
        <v>0</v>
      </c>
      <c r="V1411" s="34">
        <v>10</v>
      </c>
      <c r="W1411" s="25">
        <v>5</v>
      </c>
      <c r="X1411" s="25">
        <v>10</v>
      </c>
      <c r="Y1411" s="244">
        <v>1.0288151290000001</v>
      </c>
      <c r="Z1411" t="s">
        <v>837</v>
      </c>
      <c r="AA1411" t="s">
        <v>622</v>
      </c>
      <c r="AB1411">
        <v>9</v>
      </c>
      <c r="AC1411">
        <v>20.335000000000001</v>
      </c>
      <c r="AD1411">
        <v>6.3469999999999978</v>
      </c>
      <c r="AE1411" t="s">
        <v>525</v>
      </c>
      <c r="AF1411" t="s">
        <v>532</v>
      </c>
      <c r="AG1411" s="32" t="s">
        <v>2586</v>
      </c>
      <c r="AH1411" s="32" t="s">
        <v>2183</v>
      </c>
      <c r="AI1411" s="32" t="s">
        <v>2587</v>
      </c>
      <c r="AJ1411" s="31" t="s">
        <v>3387</v>
      </c>
      <c r="AK1411" s="31">
        <v>0.55000000000000004</v>
      </c>
      <c r="AL1411" s="31">
        <v>11.165000000000001</v>
      </c>
      <c r="AM1411" s="31">
        <v>9.1349999999999998</v>
      </c>
      <c r="AN1411" s="31">
        <v>184.91786243046877</v>
      </c>
      <c r="AO1411" s="31">
        <v>151.29643289765625</v>
      </c>
      <c r="AP1411" s="31">
        <v>0.19024629449080699</v>
      </c>
      <c r="AQ1411" s="31">
        <v>0.15565605912884206</v>
      </c>
      <c r="AR1411" s="31">
        <v>0.12856326403413854</v>
      </c>
    </row>
    <row r="1412" spans="1:44" hidden="1" x14ac:dyDescent="0.5">
      <c r="A1412" s="31">
        <v>1358</v>
      </c>
      <c r="B1412" s="31">
        <v>94</v>
      </c>
      <c r="C1412" s="225" t="s">
        <v>20</v>
      </c>
      <c r="D1412" s="41">
        <v>37.778258000000001</v>
      </c>
      <c r="E1412" s="45">
        <v>-8.8027719999999992</v>
      </c>
      <c r="F1412">
        <v>0</v>
      </c>
      <c r="G1412">
        <f t="shared" si="17"/>
        <v>0</v>
      </c>
      <c r="H1412" s="31" t="s">
        <v>10</v>
      </c>
      <c r="I1412">
        <v>0</v>
      </c>
      <c r="J1412">
        <v>84.747598078986798</v>
      </c>
      <c r="K1412" s="26">
        <v>2016</v>
      </c>
      <c r="L1412" t="s">
        <v>11</v>
      </c>
      <c r="N1412">
        <v>1</v>
      </c>
      <c r="O1412">
        <v>5</v>
      </c>
      <c r="P1412" t="s">
        <v>12</v>
      </c>
      <c r="Q1412">
        <v>89</v>
      </c>
      <c r="R1412" t="s">
        <v>13</v>
      </c>
      <c r="S1412" t="s">
        <v>14</v>
      </c>
      <c r="T1412" t="s">
        <v>14</v>
      </c>
      <c r="U1412" s="240">
        <v>0</v>
      </c>
      <c r="V1412" s="240">
        <v>2</v>
      </c>
      <c r="W1412" s="25">
        <v>1</v>
      </c>
      <c r="X1412" s="25">
        <v>2</v>
      </c>
      <c r="Y1412" s="244">
        <v>1.256875084</v>
      </c>
      <c r="Z1412" t="s">
        <v>714</v>
      </c>
      <c r="AA1412" t="s">
        <v>652</v>
      </c>
      <c r="AB1412">
        <v>3</v>
      </c>
      <c r="AC1412">
        <v>89.36</v>
      </c>
      <c r="AD1412">
        <v>58.188370829999997</v>
      </c>
      <c r="AE1412" t="s">
        <v>519</v>
      </c>
      <c r="AF1412" t="s">
        <v>521</v>
      </c>
      <c r="AG1412" s="32">
        <v>3.5548480965830014</v>
      </c>
      <c r="AH1412" s="32">
        <v>0.1343</v>
      </c>
      <c r="AI1412" s="32">
        <v>0.47741609937109708</v>
      </c>
      <c r="AJ1412" s="31">
        <v>3.0774319972119044</v>
      </c>
      <c r="AK1412" s="31">
        <v>0.1343</v>
      </c>
      <c r="AL1412" s="31">
        <v>0.47741609937109708</v>
      </c>
      <c r="AM1412" s="31">
        <v>3.0774319972119044</v>
      </c>
      <c r="AN1412" s="31">
        <v>0.53642258356303041</v>
      </c>
      <c r="AO1412" s="31">
        <v>3.4577887609122526</v>
      </c>
      <c r="AP1412" s="31">
        <v>6.7421617977528087E-4</v>
      </c>
      <c r="AQ1412" s="31">
        <v>4.3460085393258437E-3</v>
      </c>
      <c r="AR1412" s="31">
        <v>0.13341858489683281</v>
      </c>
    </row>
    <row r="1413" spans="1:44" hidden="1" x14ac:dyDescent="0.5">
      <c r="A1413" s="31">
        <v>840</v>
      </c>
      <c r="B1413" s="31">
        <v>60</v>
      </c>
      <c r="C1413" s="225" t="s">
        <v>20</v>
      </c>
      <c r="D1413" s="44">
        <v>37.542194000000002</v>
      </c>
      <c r="E1413" s="45">
        <v>-1.0154939999999999</v>
      </c>
      <c r="F1413">
        <v>4.79</v>
      </c>
      <c r="G1413">
        <f t="shared" si="17"/>
        <v>7708.7577600000004</v>
      </c>
      <c r="H1413" s="32" t="s">
        <v>614</v>
      </c>
      <c r="I1413">
        <v>138</v>
      </c>
      <c r="J1413">
        <v>235.58008335186099</v>
      </c>
      <c r="K1413" s="26">
        <v>2015</v>
      </c>
      <c r="L1413" t="s">
        <v>30</v>
      </c>
      <c r="M1413" s="32">
        <v>38</v>
      </c>
      <c r="N1413">
        <v>4.1059253030000002</v>
      </c>
      <c r="O1413">
        <v>4.9329999999999998</v>
      </c>
      <c r="P1413" t="s">
        <v>12</v>
      </c>
      <c r="Q1413">
        <v>89</v>
      </c>
      <c r="R1413" t="s">
        <v>13</v>
      </c>
      <c r="S1413" t="s">
        <v>14</v>
      </c>
      <c r="T1413" t="s">
        <v>14</v>
      </c>
      <c r="U1413" s="34">
        <v>0</v>
      </c>
      <c r="V1413" s="34">
        <v>1.5</v>
      </c>
      <c r="W1413" s="25">
        <v>0.75</v>
      </c>
      <c r="X1413" s="25">
        <v>1.5</v>
      </c>
      <c r="Y1413" s="244">
        <v>1.3241679239999999</v>
      </c>
      <c r="Z1413" t="s">
        <v>1103</v>
      </c>
      <c r="AA1413" t="s">
        <v>622</v>
      </c>
      <c r="AB1413">
        <v>3</v>
      </c>
      <c r="AC1413">
        <v>133.4</v>
      </c>
      <c r="AD1413">
        <v>104.1</v>
      </c>
      <c r="AE1413" t="s">
        <v>519</v>
      </c>
      <c r="AF1413" t="s">
        <v>532</v>
      </c>
      <c r="AG1413" s="32" t="s">
        <v>2059</v>
      </c>
      <c r="AH1413" s="32" t="s">
        <v>2060</v>
      </c>
      <c r="AI1413" s="32" t="s">
        <v>2061</v>
      </c>
      <c r="AJ1413" s="31" t="s">
        <v>3155</v>
      </c>
      <c r="AK1413" s="31">
        <v>0.874812594</v>
      </c>
      <c r="AL1413" s="31">
        <v>116.7000000396</v>
      </c>
      <c r="AM1413" s="31">
        <v>16.699999960400007</v>
      </c>
      <c r="AN1413" s="31">
        <v>538.38368878954452</v>
      </c>
      <c r="AO1413" s="31">
        <v>77.043766738770088</v>
      </c>
      <c r="AP1413" s="31">
        <v>0.7129104114999133</v>
      </c>
      <c r="AQ1413" s="31">
        <v>0.10201888465961743</v>
      </c>
      <c r="AR1413" s="31">
        <v>0.11619027243207801</v>
      </c>
    </row>
    <row r="1414" spans="1:44" hidden="1" x14ac:dyDescent="0.5">
      <c r="A1414" s="31">
        <v>1357</v>
      </c>
      <c r="B1414" s="31">
        <v>94</v>
      </c>
      <c r="C1414" s="225" t="s">
        <v>20</v>
      </c>
      <c r="D1414" s="41">
        <v>37.198374999999999</v>
      </c>
      <c r="E1414" s="45">
        <v>-8.9045559999999995</v>
      </c>
      <c r="F1414">
        <v>0</v>
      </c>
      <c r="G1414">
        <f t="shared" si="17"/>
        <v>0</v>
      </c>
      <c r="H1414" s="31" t="s">
        <v>10</v>
      </c>
      <c r="I1414">
        <v>0</v>
      </c>
      <c r="J1414">
        <v>52.335584554289497</v>
      </c>
      <c r="K1414" s="26">
        <v>2016</v>
      </c>
      <c r="L1414" t="s">
        <v>11</v>
      </c>
      <c r="N1414">
        <v>1</v>
      </c>
      <c r="O1414">
        <v>5</v>
      </c>
      <c r="P1414" t="s">
        <v>12</v>
      </c>
      <c r="Q1414">
        <v>89</v>
      </c>
      <c r="R1414" t="s">
        <v>13</v>
      </c>
      <c r="S1414" t="s">
        <v>14</v>
      </c>
      <c r="T1414" t="s">
        <v>14</v>
      </c>
      <c r="U1414" s="240">
        <v>0</v>
      </c>
      <c r="V1414" s="240">
        <v>2</v>
      </c>
      <c r="W1414" s="25">
        <v>1</v>
      </c>
      <c r="X1414" s="25">
        <v>2</v>
      </c>
      <c r="Y1414" s="244">
        <v>1.173715329</v>
      </c>
      <c r="Z1414" t="s">
        <v>714</v>
      </c>
      <c r="AA1414" t="s">
        <v>652</v>
      </c>
      <c r="AB1414">
        <v>3</v>
      </c>
      <c r="AC1414">
        <v>342.5</v>
      </c>
      <c r="AD1414">
        <v>94.619304580000005</v>
      </c>
      <c r="AE1414" t="s">
        <v>519</v>
      </c>
      <c r="AF1414" t="s">
        <v>521</v>
      </c>
      <c r="AG1414" s="32">
        <v>14.590420331811139</v>
      </c>
      <c r="AH1414" s="32">
        <v>0.55269999999999997</v>
      </c>
      <c r="AI1414" s="32">
        <v>8.0641253173920155</v>
      </c>
      <c r="AJ1414" s="31">
        <v>6.526295014419123</v>
      </c>
      <c r="AK1414" s="31">
        <v>0.55269999999999997</v>
      </c>
      <c r="AL1414" s="31">
        <v>8.0641253173920155</v>
      </c>
      <c r="AM1414" s="31">
        <v>6.526295014419123</v>
      </c>
      <c r="AN1414" s="31">
        <v>9.0608149633618158</v>
      </c>
      <c r="AO1414" s="31">
        <v>7.3329157465383403</v>
      </c>
      <c r="AP1414" s="31">
        <v>1.0634817415730337E-2</v>
      </c>
      <c r="AQ1414" s="31">
        <v>8.6067556179775292E-3</v>
      </c>
      <c r="AR1414" s="31">
        <v>0.13341858489683281</v>
      </c>
    </row>
    <row r="1415" spans="1:44" hidden="1" x14ac:dyDescent="0.5">
      <c r="A1415" s="31">
        <v>1356</v>
      </c>
      <c r="B1415" s="31">
        <v>94</v>
      </c>
      <c r="C1415" s="225" t="s">
        <v>20</v>
      </c>
      <c r="D1415" s="41">
        <v>37.169677999999998</v>
      </c>
      <c r="E1415" s="45">
        <v>-7.4087440000000004</v>
      </c>
      <c r="F1415">
        <v>0</v>
      </c>
      <c r="G1415">
        <f t="shared" si="17"/>
        <v>0</v>
      </c>
      <c r="H1415" s="31" t="s">
        <v>10</v>
      </c>
      <c r="I1415">
        <v>0</v>
      </c>
      <c r="J1415">
        <v>58.804495603796802</v>
      </c>
      <c r="K1415" s="26">
        <v>2016</v>
      </c>
      <c r="L1415" t="s">
        <v>11</v>
      </c>
      <c r="N1415">
        <v>1</v>
      </c>
      <c r="O1415">
        <v>5</v>
      </c>
      <c r="P1415" t="s">
        <v>12</v>
      </c>
      <c r="Q1415">
        <v>89</v>
      </c>
      <c r="R1415" t="s">
        <v>13</v>
      </c>
      <c r="S1415" t="s">
        <v>14</v>
      </c>
      <c r="T1415" t="s">
        <v>14</v>
      </c>
      <c r="U1415" s="240">
        <v>0</v>
      </c>
      <c r="V1415" s="240">
        <v>2</v>
      </c>
      <c r="W1415" s="25">
        <v>1</v>
      </c>
      <c r="X1415" s="25">
        <v>2</v>
      </c>
      <c r="Y1415" s="244">
        <v>1.356589059</v>
      </c>
      <c r="Z1415" t="s">
        <v>1103</v>
      </c>
      <c r="AA1415" t="s">
        <v>622</v>
      </c>
      <c r="AB1415">
        <v>3</v>
      </c>
      <c r="AC1415">
        <v>119.9</v>
      </c>
      <c r="AD1415">
        <v>59.700974870000003</v>
      </c>
      <c r="AE1415" t="s">
        <v>519</v>
      </c>
      <c r="AF1415" t="s">
        <v>521</v>
      </c>
      <c r="AG1415" s="32">
        <v>4.4191717161711237</v>
      </c>
      <c r="AH1415" s="32">
        <v>2.1700000000000001E-2</v>
      </c>
      <c r="AI1415" s="32">
        <v>9.5896026240913382E-2</v>
      </c>
      <c r="AJ1415" s="31">
        <v>4.3232756899302105</v>
      </c>
      <c r="AK1415" s="31">
        <v>2.1700000000000001E-2</v>
      </c>
      <c r="AL1415" s="31">
        <v>9.5896026240913382E-2</v>
      </c>
      <c r="AM1415" s="31">
        <v>4.3232756899302105</v>
      </c>
      <c r="AN1415" s="31">
        <v>0.1077483440909139</v>
      </c>
      <c r="AO1415" s="31">
        <v>4.8576131347530458</v>
      </c>
      <c r="AP1415" s="31">
        <v>1.4617022471910109E-4</v>
      </c>
      <c r="AQ1415" s="31">
        <v>6.5897848314606751E-3</v>
      </c>
      <c r="AR1415" s="31">
        <v>0.13341858489683281</v>
      </c>
    </row>
    <row r="1416" spans="1:44" customFormat="1" hidden="1" x14ac:dyDescent="0.5">
      <c r="A1416">
        <v>390</v>
      </c>
      <c r="B1416">
        <v>27</v>
      </c>
      <c r="C1416" s="226" t="s">
        <v>20</v>
      </c>
      <c r="D1416" s="227">
        <v>37.1</v>
      </c>
      <c r="E1416" s="228">
        <v>-8.6</v>
      </c>
      <c r="F1416">
        <v>1.57</v>
      </c>
      <c r="G1416">
        <f t="shared" si="17"/>
        <v>2526.6700800000003</v>
      </c>
      <c r="H1416" s="30" t="s">
        <v>614</v>
      </c>
      <c r="I1416">
        <v>19.399999999999999</v>
      </c>
      <c r="J1416">
        <v>53.149641331671098</v>
      </c>
      <c r="K1416" s="26">
        <v>2013</v>
      </c>
      <c r="M1416" s="30">
        <v>1</v>
      </c>
      <c r="N1416">
        <v>8.7498377000000002E-2</v>
      </c>
      <c r="P1416" t="s">
        <v>12</v>
      </c>
      <c r="Q1416">
        <v>89</v>
      </c>
      <c r="R1416" t="s">
        <v>13</v>
      </c>
      <c r="S1416" t="s">
        <v>14</v>
      </c>
      <c r="T1416" t="s">
        <v>14</v>
      </c>
      <c r="U1416" s="29">
        <v>0</v>
      </c>
      <c r="V1416" s="29">
        <v>6</v>
      </c>
      <c r="W1416" s="25">
        <v>3</v>
      </c>
      <c r="X1416" s="25">
        <v>6</v>
      </c>
      <c r="Y1416" s="244">
        <v>1.1009764799999999</v>
      </c>
      <c r="Z1416" t="s">
        <v>714</v>
      </c>
      <c r="AA1416" t="s">
        <v>629</v>
      </c>
      <c r="AB1416">
        <v>1</v>
      </c>
      <c r="AC1416">
        <v>0</v>
      </c>
      <c r="AF1416" t="s">
        <v>524</v>
      </c>
      <c r="AG1416" s="30">
        <v>0</v>
      </c>
      <c r="AH1416" s="30" t="s">
        <v>671</v>
      </c>
      <c r="AI1416" s="30" t="s">
        <v>1129</v>
      </c>
      <c r="AJ1416" t="s">
        <v>1130</v>
      </c>
      <c r="AK1416">
        <v>0.59524549999999998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0.13085038415673086</v>
      </c>
    </row>
    <row r="1417" spans="1:44" customFormat="1" hidden="1" x14ac:dyDescent="0.5">
      <c r="A1417">
        <v>391</v>
      </c>
      <c r="B1417">
        <v>27</v>
      </c>
      <c r="C1417" s="226" t="s">
        <v>20</v>
      </c>
      <c r="D1417" s="227">
        <v>37.1</v>
      </c>
      <c r="E1417" s="228">
        <v>-8.6</v>
      </c>
      <c r="F1417">
        <v>1.57</v>
      </c>
      <c r="G1417">
        <f t="shared" si="17"/>
        <v>2526.6700800000003</v>
      </c>
      <c r="H1417" s="30" t="s">
        <v>614</v>
      </c>
      <c r="I1417">
        <v>19.399999999999999</v>
      </c>
      <c r="J1417">
        <v>53.149641331671098</v>
      </c>
      <c r="K1417" s="26">
        <v>2013</v>
      </c>
      <c r="M1417" s="30">
        <v>1</v>
      </c>
      <c r="N1417">
        <v>8.7498377000000002E-2</v>
      </c>
      <c r="P1417" t="s">
        <v>12</v>
      </c>
      <c r="Q1417">
        <v>89</v>
      </c>
      <c r="R1417" t="s">
        <v>13</v>
      </c>
      <c r="S1417" t="s">
        <v>14</v>
      </c>
      <c r="T1417" t="s">
        <v>14</v>
      </c>
      <c r="U1417" s="29">
        <v>0</v>
      </c>
      <c r="V1417" s="29">
        <v>6</v>
      </c>
      <c r="W1417" s="25">
        <v>3</v>
      </c>
      <c r="X1417" s="25">
        <v>6</v>
      </c>
      <c r="Y1417" s="244">
        <v>1.1009764799999999</v>
      </c>
      <c r="Z1417" t="s">
        <v>714</v>
      </c>
      <c r="AA1417" t="s">
        <v>629</v>
      </c>
      <c r="AB1417">
        <v>1</v>
      </c>
      <c r="AC1417">
        <v>5.4999999999999997E-3</v>
      </c>
      <c r="AF1417" t="s">
        <v>524</v>
      </c>
      <c r="AG1417" s="30" t="s">
        <v>1371</v>
      </c>
      <c r="AH1417" s="30" t="s">
        <v>1136</v>
      </c>
      <c r="AI1417" s="30" t="s">
        <v>1372</v>
      </c>
      <c r="AJ1417" t="s">
        <v>2825</v>
      </c>
      <c r="AK1417">
        <v>0.81</v>
      </c>
      <c r="AL1417">
        <v>4.4550000000000001</v>
      </c>
      <c r="AM1417">
        <v>1.0449999999999999</v>
      </c>
      <c r="AN1417">
        <v>0.43798344891573032</v>
      </c>
      <c r="AO1417">
        <v>0.10273685838764043</v>
      </c>
      <c r="AP1417">
        <v>4.8220947588550054E-4</v>
      </c>
      <c r="AQ1417">
        <v>1.1311086471388282E-4</v>
      </c>
      <c r="AR1417">
        <v>0.13085038415673086</v>
      </c>
    </row>
    <row r="1418" spans="1:44" customFormat="1" hidden="1" x14ac:dyDescent="0.5">
      <c r="A1418">
        <v>395</v>
      </c>
      <c r="B1418">
        <v>27</v>
      </c>
      <c r="C1418" s="226" t="s">
        <v>20</v>
      </c>
      <c r="D1418" s="227">
        <v>37.1</v>
      </c>
      <c r="E1418" s="228">
        <v>-7.5</v>
      </c>
      <c r="F1418">
        <v>4.4000000000000004</v>
      </c>
      <c r="G1418">
        <f t="shared" si="17"/>
        <v>7081.1136000000006</v>
      </c>
      <c r="H1418" s="30" t="s">
        <v>614</v>
      </c>
      <c r="I1418">
        <v>27.4</v>
      </c>
      <c r="J1418">
        <v>62.3479759173335</v>
      </c>
      <c r="K1418" s="26">
        <v>2013</v>
      </c>
      <c r="M1418" s="30">
        <v>1</v>
      </c>
      <c r="N1418">
        <v>8.7498377000000002E-2</v>
      </c>
      <c r="P1418" t="s">
        <v>12</v>
      </c>
      <c r="Q1418">
        <v>89</v>
      </c>
      <c r="R1418" t="s">
        <v>13</v>
      </c>
      <c r="S1418" t="s">
        <v>14</v>
      </c>
      <c r="T1418" t="s">
        <v>14</v>
      </c>
      <c r="U1418" s="29">
        <v>0</v>
      </c>
      <c r="V1418" s="29">
        <v>9</v>
      </c>
      <c r="W1418" s="25">
        <v>4.5</v>
      </c>
      <c r="X1418" s="25">
        <v>9</v>
      </c>
      <c r="Y1418" s="244">
        <v>1.356589059</v>
      </c>
      <c r="Z1418" t="s">
        <v>1103</v>
      </c>
      <c r="AA1418" t="s">
        <v>622</v>
      </c>
      <c r="AB1418">
        <v>1</v>
      </c>
      <c r="AC1418">
        <v>1.7899999999999999E-2</v>
      </c>
      <c r="AF1418" t="s">
        <v>524</v>
      </c>
      <c r="AG1418" s="30" t="s">
        <v>1375</v>
      </c>
      <c r="AH1418" s="30" t="s">
        <v>1136</v>
      </c>
      <c r="AI1418" s="30" t="s">
        <v>1376</v>
      </c>
      <c r="AJ1418" t="s">
        <v>2827</v>
      </c>
      <c r="AK1418">
        <v>0.81</v>
      </c>
      <c r="AL1418">
        <v>14.499000000000001</v>
      </c>
      <c r="AM1418">
        <v>3.400999999999998</v>
      </c>
      <c r="AN1418">
        <v>1.4254370428348315</v>
      </c>
      <c r="AO1418">
        <v>0.33436177547977508</v>
      </c>
      <c r="AP1418">
        <v>1.9337322966030469E-3</v>
      </c>
      <c r="AQ1418">
        <v>4.535915263636774E-4</v>
      </c>
      <c r="AR1418">
        <v>0.12980578323184611</v>
      </c>
    </row>
    <row r="1419" spans="1:44" customFormat="1" hidden="1" x14ac:dyDescent="0.5">
      <c r="A1419">
        <v>1355</v>
      </c>
      <c r="B1419">
        <v>94</v>
      </c>
      <c r="C1419" s="226" t="s">
        <v>20</v>
      </c>
      <c r="D1419" s="229">
        <v>37.005460999999997</v>
      </c>
      <c r="E1419" s="237">
        <v>-8.9384080000000008</v>
      </c>
      <c r="F1419">
        <v>0</v>
      </c>
      <c r="G1419">
        <f t="shared" si="17"/>
        <v>0</v>
      </c>
      <c r="H1419" t="s">
        <v>10</v>
      </c>
      <c r="I1419">
        <v>0</v>
      </c>
      <c r="J1419">
        <v>60.657299644314897</v>
      </c>
      <c r="K1419" s="26">
        <v>2016</v>
      </c>
      <c r="L1419" t="s">
        <v>11</v>
      </c>
      <c r="M1419" s="30"/>
      <c r="N1419">
        <v>1</v>
      </c>
      <c r="O1419">
        <v>5</v>
      </c>
      <c r="P1419" t="s">
        <v>12</v>
      </c>
      <c r="Q1419">
        <v>89</v>
      </c>
      <c r="R1419" t="s">
        <v>13</v>
      </c>
      <c r="S1419" t="s">
        <v>14</v>
      </c>
      <c r="T1419" t="s">
        <v>14</v>
      </c>
      <c r="U1419" s="25">
        <v>0</v>
      </c>
      <c r="V1419" s="25">
        <v>2</v>
      </c>
      <c r="W1419" s="25">
        <v>1</v>
      </c>
      <c r="X1419" s="25">
        <v>2</v>
      </c>
      <c r="Y1419" s="244">
        <v>1.173715329</v>
      </c>
      <c r="Z1419" t="s">
        <v>714</v>
      </c>
      <c r="AA1419" t="s">
        <v>652</v>
      </c>
      <c r="AB1419">
        <v>3</v>
      </c>
      <c r="AC1419">
        <v>65.3</v>
      </c>
      <c r="AD1419">
        <v>20.522183120000001</v>
      </c>
      <c r="AE1419" t="s">
        <v>519</v>
      </c>
      <c r="AF1419" t="s">
        <v>521</v>
      </c>
      <c r="AG1419" s="30">
        <v>2.7817648107073496</v>
      </c>
      <c r="AH1419" s="30">
        <v>8.1199999999999994E-2</v>
      </c>
      <c r="AI1419" s="30">
        <v>0.22587930262943678</v>
      </c>
      <c r="AJ1419">
        <v>2.555885508077913</v>
      </c>
      <c r="AK1419">
        <v>8.1199999999999994E-2</v>
      </c>
      <c r="AL1419">
        <v>0.22587930262943678</v>
      </c>
      <c r="AM1419">
        <v>2.555885508077913</v>
      </c>
      <c r="AN1419">
        <v>0.2537969692465582</v>
      </c>
      <c r="AO1419">
        <v>2.8717814697504642</v>
      </c>
      <c r="AP1419">
        <v>2.9788539325842692E-4</v>
      </c>
      <c r="AQ1419">
        <v>3.3706539325842693E-3</v>
      </c>
      <c r="AR1419">
        <v>0.13341858489683281</v>
      </c>
    </row>
    <row r="1420" spans="1:44" hidden="1" x14ac:dyDescent="0.5">
      <c r="A1420" s="31">
        <v>1419</v>
      </c>
      <c r="B1420" s="31">
        <v>102</v>
      </c>
      <c r="C1420" s="225" t="s">
        <v>19</v>
      </c>
      <c r="D1420" s="41">
        <v>37.104216999999998</v>
      </c>
      <c r="E1420" s="43">
        <v>122.528103</v>
      </c>
      <c r="F1420">
        <v>3.19</v>
      </c>
      <c r="G1420">
        <f t="shared" si="17"/>
        <v>5133.8073599999998</v>
      </c>
      <c r="H1420" s="32" t="s">
        <v>614</v>
      </c>
      <c r="I1420">
        <v>7.5</v>
      </c>
      <c r="J1420">
        <v>546.19992923202801</v>
      </c>
      <c r="K1420" s="26">
        <v>2017</v>
      </c>
      <c r="L1420" t="s">
        <v>40</v>
      </c>
      <c r="M1420" s="32">
        <v>50</v>
      </c>
      <c r="N1420">
        <v>5.4892152799999998</v>
      </c>
      <c r="O1420">
        <v>5</v>
      </c>
      <c r="P1420" t="s">
        <v>15</v>
      </c>
      <c r="Q1420">
        <v>91.3</v>
      </c>
      <c r="R1420" t="s">
        <v>13</v>
      </c>
      <c r="S1420" t="s">
        <v>16</v>
      </c>
      <c r="T1420" t="s">
        <v>14</v>
      </c>
      <c r="U1420" s="34">
        <v>0</v>
      </c>
      <c r="V1420" s="34">
        <v>5</v>
      </c>
      <c r="W1420" s="25">
        <v>2.5</v>
      </c>
      <c r="X1420" s="25">
        <v>5</v>
      </c>
      <c r="Y1420">
        <v>0.61037440899999995</v>
      </c>
      <c r="Z1420" t="s">
        <v>812</v>
      </c>
      <c r="AA1420" t="s">
        <v>619</v>
      </c>
      <c r="AB1420">
        <v>24</v>
      </c>
      <c r="AC1420">
        <v>2178</v>
      </c>
      <c r="AD1420">
        <v>369</v>
      </c>
      <c r="AF1420" t="s">
        <v>532</v>
      </c>
      <c r="AG1420" s="32">
        <v>2178</v>
      </c>
      <c r="AH1420" s="32" t="s">
        <v>2501</v>
      </c>
      <c r="AI1420" s="32" t="s">
        <v>2502</v>
      </c>
      <c r="AJ1420" s="31" t="s">
        <v>3346</v>
      </c>
      <c r="AK1420" s="31">
        <v>0.90900000000000003</v>
      </c>
      <c r="AL1420" s="31">
        <v>1979.8020000000001</v>
      </c>
      <c r="AM1420" s="31">
        <v>198.19799999999987</v>
      </c>
      <c r="AN1420" s="31">
        <v>11903.131861746506</v>
      </c>
      <c r="AO1420" s="31">
        <v>1191.6226616269871</v>
      </c>
      <c r="AP1420" s="31">
        <v>7.2653670753625921</v>
      </c>
      <c r="AQ1420" s="31">
        <v>0.72733597784157922</v>
      </c>
      <c r="AR1420" s="31">
        <v>0.13241980072875215</v>
      </c>
    </row>
    <row r="1421" spans="1:44" hidden="1" x14ac:dyDescent="0.5">
      <c r="A1421" s="31">
        <v>1420</v>
      </c>
      <c r="B1421" s="31">
        <v>102</v>
      </c>
      <c r="C1421" s="225" t="s">
        <v>19</v>
      </c>
      <c r="D1421" s="41">
        <v>37.104216999999998</v>
      </c>
      <c r="E1421" s="43">
        <v>122.528103</v>
      </c>
      <c r="F1421">
        <v>3.19</v>
      </c>
      <c r="G1421">
        <f t="shared" si="17"/>
        <v>5133.8073599999998</v>
      </c>
      <c r="H1421" s="32" t="s">
        <v>614</v>
      </c>
      <c r="I1421">
        <v>7.5</v>
      </c>
      <c r="J1421">
        <v>546.19992923202801</v>
      </c>
      <c r="K1421" s="26">
        <v>2017</v>
      </c>
      <c r="L1421" t="s">
        <v>40</v>
      </c>
      <c r="M1421" s="32">
        <v>50</v>
      </c>
      <c r="N1421">
        <v>5.4892152799999998</v>
      </c>
      <c r="O1421">
        <v>5</v>
      </c>
      <c r="P1421" t="s">
        <v>15</v>
      </c>
      <c r="Q1421">
        <v>91.3</v>
      </c>
      <c r="R1421" t="s">
        <v>13</v>
      </c>
      <c r="S1421" t="s">
        <v>16</v>
      </c>
      <c r="T1421" t="s">
        <v>14</v>
      </c>
      <c r="U1421" s="34">
        <v>0</v>
      </c>
      <c r="V1421" s="34">
        <v>5</v>
      </c>
      <c r="W1421" s="25">
        <v>2.5</v>
      </c>
      <c r="X1421" s="25">
        <v>5</v>
      </c>
      <c r="Y1421">
        <v>0.61037440899999995</v>
      </c>
      <c r="Z1421" t="s">
        <v>812</v>
      </c>
      <c r="AA1421" t="s">
        <v>619</v>
      </c>
      <c r="AB1421">
        <v>24</v>
      </c>
      <c r="AC1421">
        <v>3035</v>
      </c>
      <c r="AD1421">
        <v>656</v>
      </c>
      <c r="AF1421" t="s">
        <v>532</v>
      </c>
      <c r="AG1421" s="32">
        <v>3035</v>
      </c>
      <c r="AH1421" s="32" t="s">
        <v>2503</v>
      </c>
      <c r="AI1421" s="32" t="s">
        <v>2504</v>
      </c>
      <c r="AJ1421" s="31" t="s">
        <v>3347</v>
      </c>
      <c r="AK1421" s="31">
        <v>0.749</v>
      </c>
      <c r="AL1421" s="31">
        <v>2273.2150000000001</v>
      </c>
      <c r="AM1421" s="31">
        <v>761.78499999999985</v>
      </c>
      <c r="AN1421" s="31">
        <v>13667.214143182036</v>
      </c>
      <c r="AO1421" s="31">
        <v>4580.0677569274912</v>
      </c>
      <c r="AP1421" s="31">
        <v>8.3421177553211763</v>
      </c>
      <c r="AQ1421" s="31">
        <v>2.7955561503145727</v>
      </c>
      <c r="AR1421" s="31">
        <v>0.13241980072875215</v>
      </c>
    </row>
    <row r="1422" spans="1:44" customFormat="1" hidden="1" x14ac:dyDescent="0.5">
      <c r="A1422">
        <v>1421</v>
      </c>
      <c r="B1422">
        <v>103</v>
      </c>
      <c r="C1422" s="226" t="s">
        <v>19</v>
      </c>
      <c r="D1422" s="229">
        <v>25.215609000000001</v>
      </c>
      <c r="E1422" s="239">
        <v>121.653763</v>
      </c>
      <c r="F1422">
        <v>0</v>
      </c>
      <c r="G1422">
        <f t="shared" si="17"/>
        <v>0</v>
      </c>
      <c r="H1422" t="s">
        <v>10</v>
      </c>
      <c r="I1422">
        <v>0</v>
      </c>
      <c r="J1422">
        <v>1331.70455964437</v>
      </c>
      <c r="K1422" s="26">
        <v>2017</v>
      </c>
      <c r="L1422" t="s">
        <v>11</v>
      </c>
      <c r="M1422" s="30">
        <v>1000</v>
      </c>
      <c r="N1422">
        <v>130.61708849999999</v>
      </c>
      <c r="P1422" t="s">
        <v>12</v>
      </c>
      <c r="Q1422">
        <v>96</v>
      </c>
      <c r="R1422" t="s">
        <v>13</v>
      </c>
      <c r="S1422" t="s">
        <v>14</v>
      </c>
      <c r="T1422" t="s">
        <v>16</v>
      </c>
      <c r="U1422" s="25">
        <v>0</v>
      </c>
      <c r="V1422" s="25">
        <v>1</v>
      </c>
      <c r="W1422" s="25">
        <v>0.5</v>
      </c>
      <c r="X1422" s="25">
        <v>1</v>
      </c>
      <c r="Y1422">
        <v>0.61037440899999995</v>
      </c>
      <c r="Z1422" t="s">
        <v>812</v>
      </c>
      <c r="AA1422" t="s">
        <v>619</v>
      </c>
      <c r="AB1422">
        <v>1</v>
      </c>
      <c r="AC1422">
        <v>0</v>
      </c>
      <c r="AD1422">
        <v>0</v>
      </c>
      <c r="AF1422" t="s">
        <v>529</v>
      </c>
      <c r="AG1422" s="30">
        <v>0</v>
      </c>
      <c r="AH1422" s="30" t="s">
        <v>671</v>
      </c>
      <c r="AI1422" s="30" t="s">
        <v>1129</v>
      </c>
      <c r="AJ1422" t="s">
        <v>1130</v>
      </c>
      <c r="AK1422">
        <v>0.59524549999999998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0.13341858489683281</v>
      </c>
    </row>
    <row r="1423" spans="1:44" customFormat="1" hidden="1" x14ac:dyDescent="0.5">
      <c r="A1423">
        <v>1422</v>
      </c>
      <c r="B1423">
        <v>103</v>
      </c>
      <c r="C1423" s="226" t="s">
        <v>19</v>
      </c>
      <c r="D1423" s="229">
        <v>25.215609000000001</v>
      </c>
      <c r="E1423" s="239">
        <v>121.653763</v>
      </c>
      <c r="F1423">
        <v>0</v>
      </c>
      <c r="G1423">
        <f t="shared" si="17"/>
        <v>0</v>
      </c>
      <c r="H1423" t="s">
        <v>10</v>
      </c>
      <c r="I1423">
        <v>0</v>
      </c>
      <c r="J1423">
        <v>1331.70455964437</v>
      </c>
      <c r="K1423" s="26">
        <v>2017</v>
      </c>
      <c r="L1423" t="s">
        <v>11</v>
      </c>
      <c r="M1423" s="30">
        <v>1000</v>
      </c>
      <c r="N1423">
        <v>130.61708849999999</v>
      </c>
      <c r="P1423" t="s">
        <v>12</v>
      </c>
      <c r="Q1423">
        <v>96</v>
      </c>
      <c r="R1423" t="s">
        <v>13</v>
      </c>
      <c r="S1423" t="s">
        <v>14</v>
      </c>
      <c r="T1423" t="s">
        <v>16</v>
      </c>
      <c r="U1423" s="25">
        <v>0</v>
      </c>
      <c r="V1423" s="25">
        <v>1</v>
      </c>
      <c r="W1423" s="25">
        <v>0.5</v>
      </c>
      <c r="X1423" s="25">
        <v>1</v>
      </c>
      <c r="Y1423">
        <v>0.61037440899999995</v>
      </c>
      <c r="Z1423" t="s">
        <v>812</v>
      </c>
      <c r="AA1423" t="s">
        <v>619</v>
      </c>
      <c r="AB1423">
        <v>1</v>
      </c>
      <c r="AC1423">
        <v>0</v>
      </c>
      <c r="AD1423">
        <v>0</v>
      </c>
      <c r="AF1423" t="s">
        <v>529</v>
      </c>
      <c r="AG1423" s="30">
        <v>0</v>
      </c>
      <c r="AH1423" s="30" t="s">
        <v>671</v>
      </c>
      <c r="AI1423" s="30" t="s">
        <v>1129</v>
      </c>
      <c r="AJ1423" t="s">
        <v>1130</v>
      </c>
      <c r="AK1423">
        <v>0.59524549999999998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0.13341858489683281</v>
      </c>
    </row>
    <row r="1424" spans="1:44" customFormat="1" hidden="1" x14ac:dyDescent="0.5">
      <c r="A1424">
        <v>1423</v>
      </c>
      <c r="B1424">
        <v>103</v>
      </c>
      <c r="C1424" s="226" t="s">
        <v>19</v>
      </c>
      <c r="D1424" s="229">
        <v>25.215609000000001</v>
      </c>
      <c r="E1424" s="239">
        <v>121.653763</v>
      </c>
      <c r="F1424">
        <v>0</v>
      </c>
      <c r="G1424">
        <f t="shared" ref="G1424:G1487" si="18">F1424*1609.344</f>
        <v>0</v>
      </c>
      <c r="H1424" t="s">
        <v>10</v>
      </c>
      <c r="I1424">
        <v>0</v>
      </c>
      <c r="J1424">
        <v>1331.70455964437</v>
      </c>
      <c r="K1424" s="26">
        <v>2017</v>
      </c>
      <c r="L1424" t="s">
        <v>11</v>
      </c>
      <c r="M1424" s="30">
        <v>1000</v>
      </c>
      <c r="N1424">
        <v>130.61708849999999</v>
      </c>
      <c r="P1424" t="s">
        <v>12</v>
      </c>
      <c r="Q1424">
        <v>96</v>
      </c>
      <c r="R1424" t="s">
        <v>13</v>
      </c>
      <c r="S1424" t="s">
        <v>14</v>
      </c>
      <c r="T1424" t="s">
        <v>16</v>
      </c>
      <c r="U1424" s="25">
        <v>0</v>
      </c>
      <c r="V1424" s="25">
        <v>1</v>
      </c>
      <c r="W1424" s="25">
        <v>0.5</v>
      </c>
      <c r="X1424" s="25">
        <v>1</v>
      </c>
      <c r="Y1424">
        <v>0.61037440899999995</v>
      </c>
      <c r="Z1424" t="s">
        <v>812</v>
      </c>
      <c r="AA1424" t="s">
        <v>619</v>
      </c>
      <c r="AB1424">
        <v>4</v>
      </c>
      <c r="AC1424">
        <v>6</v>
      </c>
      <c r="AD1424">
        <v>5</v>
      </c>
      <c r="AF1424" t="s">
        <v>529</v>
      </c>
      <c r="AG1424" s="30">
        <v>3.9320128180537792</v>
      </c>
      <c r="AH1424" s="30">
        <v>2E-3</v>
      </c>
      <c r="AI1424" s="30">
        <v>7.8640256361075592E-3</v>
      </c>
      <c r="AJ1424">
        <v>3.9241487924176717</v>
      </c>
      <c r="AK1424">
        <v>2E-3</v>
      </c>
      <c r="AL1424">
        <v>7.8640256361075592E-3</v>
      </c>
      <c r="AM1424">
        <v>3.9241487924176717</v>
      </c>
      <c r="AN1424">
        <v>1.0699751379976352</v>
      </c>
      <c r="AO1424">
        <v>533.91759386081992</v>
      </c>
      <c r="AP1424">
        <v>6.5308544249999994E-4</v>
      </c>
      <c r="AQ1424">
        <v>0.32588963580749997</v>
      </c>
      <c r="AR1424">
        <v>0.13341858489683281</v>
      </c>
    </row>
    <row r="1425" spans="1:44" customFormat="1" hidden="1" x14ac:dyDescent="0.5">
      <c r="A1425">
        <v>1424</v>
      </c>
      <c r="B1425">
        <v>103</v>
      </c>
      <c r="C1425" s="226" t="s">
        <v>19</v>
      </c>
      <c r="D1425" s="229">
        <v>25.215609000000001</v>
      </c>
      <c r="E1425" s="239">
        <v>121.653763</v>
      </c>
      <c r="F1425">
        <v>0</v>
      </c>
      <c r="G1425">
        <f t="shared" si="18"/>
        <v>0</v>
      </c>
      <c r="H1425" t="s">
        <v>10</v>
      </c>
      <c r="I1425">
        <v>0</v>
      </c>
      <c r="J1425">
        <v>1331.70455964437</v>
      </c>
      <c r="K1425" s="26">
        <v>2017</v>
      </c>
      <c r="L1425" t="s">
        <v>11</v>
      </c>
      <c r="M1425" s="30">
        <v>1000</v>
      </c>
      <c r="N1425">
        <v>130.61708849999999</v>
      </c>
      <c r="P1425" t="s">
        <v>12</v>
      </c>
      <c r="Q1425">
        <v>96</v>
      </c>
      <c r="R1425" t="s">
        <v>13</v>
      </c>
      <c r="S1425" t="s">
        <v>14</v>
      </c>
      <c r="T1425" t="s">
        <v>16</v>
      </c>
      <c r="U1425" s="25">
        <v>0</v>
      </c>
      <c r="V1425" s="25">
        <v>1</v>
      </c>
      <c r="W1425" s="25">
        <v>0.5</v>
      </c>
      <c r="X1425" s="25">
        <v>1</v>
      </c>
      <c r="Y1425">
        <v>0.61037440899999995</v>
      </c>
      <c r="Z1425" t="s">
        <v>812</v>
      </c>
      <c r="AA1425" t="s">
        <v>619</v>
      </c>
      <c r="AB1425">
        <v>2</v>
      </c>
      <c r="AC1425">
        <v>90.5</v>
      </c>
      <c r="AD1425">
        <v>123.7</v>
      </c>
      <c r="AF1425" t="s">
        <v>529</v>
      </c>
      <c r="AG1425" s="30">
        <v>59.307860005644514</v>
      </c>
      <c r="AH1425" s="30">
        <v>2E-3</v>
      </c>
      <c r="AI1425" s="30">
        <v>0.11861572001128903</v>
      </c>
      <c r="AJ1425">
        <v>59.189244285633222</v>
      </c>
      <c r="AK1425">
        <v>2E-3</v>
      </c>
      <c r="AL1425">
        <v>0.11861572001128903</v>
      </c>
      <c r="AM1425">
        <v>59.189244285633222</v>
      </c>
      <c r="AN1425">
        <v>16.138791664797665</v>
      </c>
      <c r="AO1425">
        <v>8053.2570407340345</v>
      </c>
      <c r="AP1425">
        <v>9.8507054243749999E-3</v>
      </c>
      <c r="AQ1425">
        <v>4.9155020067631252</v>
      </c>
      <c r="AR1425">
        <v>0.13341858489683281</v>
      </c>
    </row>
    <row r="1426" spans="1:44" hidden="1" x14ac:dyDescent="0.5">
      <c r="A1426" s="31">
        <v>392</v>
      </c>
      <c r="B1426" s="31">
        <v>27</v>
      </c>
      <c r="C1426" s="225" t="s">
        <v>20</v>
      </c>
      <c r="D1426" s="35">
        <v>37</v>
      </c>
      <c r="E1426" s="33">
        <v>-9</v>
      </c>
      <c r="F1426">
        <v>1.48</v>
      </c>
      <c r="G1426">
        <f t="shared" si="18"/>
        <v>2381.8291199999999</v>
      </c>
      <c r="H1426" s="32" t="s">
        <v>614</v>
      </c>
      <c r="I1426">
        <v>22</v>
      </c>
      <c r="J1426">
        <v>60.462315731424603</v>
      </c>
      <c r="K1426" s="26">
        <v>2013</v>
      </c>
      <c r="M1426" s="32">
        <v>1</v>
      </c>
      <c r="N1426">
        <v>8.7498377000000002E-2</v>
      </c>
      <c r="P1426" t="s">
        <v>12</v>
      </c>
      <c r="Q1426">
        <v>89</v>
      </c>
      <c r="R1426" t="s">
        <v>13</v>
      </c>
      <c r="S1426" t="s">
        <v>14</v>
      </c>
      <c r="T1426" t="s">
        <v>14</v>
      </c>
      <c r="U1426" s="34">
        <v>0</v>
      </c>
      <c r="V1426" s="34">
        <v>10</v>
      </c>
      <c r="W1426" s="25">
        <v>5</v>
      </c>
      <c r="X1426" s="25">
        <v>10</v>
      </c>
      <c r="Y1426" s="244">
        <v>1.173715329</v>
      </c>
      <c r="Z1426" t="s">
        <v>714</v>
      </c>
      <c r="AA1426" t="s">
        <v>629</v>
      </c>
      <c r="AB1426">
        <v>1</v>
      </c>
      <c r="AC1426">
        <v>0</v>
      </c>
      <c r="AF1426" t="s">
        <v>524</v>
      </c>
      <c r="AG1426" s="32">
        <v>0</v>
      </c>
      <c r="AH1426" s="32" t="s">
        <v>671</v>
      </c>
      <c r="AI1426" s="32" t="s">
        <v>1129</v>
      </c>
      <c r="AJ1426" s="31" t="s">
        <v>1130</v>
      </c>
      <c r="AK1426" s="31">
        <v>0.59524549999999998</v>
      </c>
      <c r="AL1426" s="31">
        <v>0</v>
      </c>
      <c r="AM1426" s="31">
        <v>0</v>
      </c>
      <c r="AN1426" s="31">
        <v>0</v>
      </c>
      <c r="AO1426" s="31">
        <v>0</v>
      </c>
      <c r="AP1426" s="31">
        <v>0</v>
      </c>
      <c r="AQ1426" s="31">
        <v>0</v>
      </c>
      <c r="AR1426" s="31">
        <v>0.13050997004815151</v>
      </c>
    </row>
    <row r="1427" spans="1:44" customFormat="1" hidden="1" x14ac:dyDescent="0.5">
      <c r="A1427">
        <v>1426</v>
      </c>
      <c r="B1427">
        <v>105</v>
      </c>
      <c r="C1427" s="226" t="s">
        <v>46</v>
      </c>
      <c r="D1427" s="229">
        <v>-20.325405</v>
      </c>
      <c r="E1427" s="239">
        <v>-40.349522</v>
      </c>
      <c r="F1427">
        <v>0</v>
      </c>
      <c r="G1427">
        <f t="shared" si="18"/>
        <v>0</v>
      </c>
      <c r="H1427" t="s">
        <v>45</v>
      </c>
      <c r="I1427" s="7">
        <v>0</v>
      </c>
      <c r="J1427">
        <v>166.88917906972301</v>
      </c>
      <c r="K1427" s="26">
        <v>2016</v>
      </c>
      <c r="L1427" t="s">
        <v>40</v>
      </c>
      <c r="M1427" s="30"/>
      <c r="N1427">
        <v>1</v>
      </c>
      <c r="P1427" t="s">
        <v>12</v>
      </c>
      <c r="Q1427">
        <v>89</v>
      </c>
      <c r="R1427" t="s">
        <v>13</v>
      </c>
      <c r="S1427" t="s">
        <v>16</v>
      </c>
      <c r="T1427" t="s">
        <v>16</v>
      </c>
      <c r="U1427" s="25">
        <v>0</v>
      </c>
      <c r="V1427" s="25">
        <v>10</v>
      </c>
      <c r="W1427" s="25">
        <v>5</v>
      </c>
      <c r="X1427" s="25">
        <v>10</v>
      </c>
      <c r="Y1427">
        <v>0.73632361099999999</v>
      </c>
      <c r="Z1427" t="s">
        <v>1128</v>
      </c>
      <c r="AA1427" t="s">
        <v>622</v>
      </c>
      <c r="AB1427">
        <v>1</v>
      </c>
      <c r="AC1427">
        <v>0</v>
      </c>
      <c r="AF1427" t="s">
        <v>554</v>
      </c>
      <c r="AG1427" s="30">
        <v>0</v>
      </c>
      <c r="AH1427" s="30" t="s">
        <v>671</v>
      </c>
      <c r="AI1427" s="30" t="s">
        <v>1129</v>
      </c>
      <c r="AJ1427" t="s">
        <v>1130</v>
      </c>
      <c r="AK1427">
        <v>0.59524549999999998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0.13341858489683281</v>
      </c>
    </row>
    <row r="1428" spans="1:44" customFormat="1" hidden="1" x14ac:dyDescent="0.5">
      <c r="A1428">
        <v>1427</v>
      </c>
      <c r="B1428">
        <v>105</v>
      </c>
      <c r="C1428" s="226" t="s">
        <v>46</v>
      </c>
      <c r="D1428" s="229">
        <v>-20.3246</v>
      </c>
      <c r="E1428" s="239">
        <v>-40.342998999999999</v>
      </c>
      <c r="F1428">
        <v>0</v>
      </c>
      <c r="G1428">
        <f t="shared" si="18"/>
        <v>0</v>
      </c>
      <c r="H1428" t="s">
        <v>45</v>
      </c>
      <c r="I1428" s="7">
        <v>0</v>
      </c>
      <c r="J1428">
        <v>168.14883265903001</v>
      </c>
      <c r="K1428" s="26">
        <v>2016</v>
      </c>
      <c r="L1428" t="s">
        <v>40</v>
      </c>
      <c r="M1428" s="30"/>
      <c r="N1428">
        <v>1</v>
      </c>
      <c r="P1428" t="s">
        <v>12</v>
      </c>
      <c r="Q1428">
        <v>89</v>
      </c>
      <c r="R1428" t="s">
        <v>13</v>
      </c>
      <c r="S1428" t="s">
        <v>16</v>
      </c>
      <c r="T1428" t="s">
        <v>16</v>
      </c>
      <c r="U1428" s="25">
        <v>0</v>
      </c>
      <c r="V1428" s="25">
        <v>10</v>
      </c>
      <c r="W1428" s="25">
        <v>5</v>
      </c>
      <c r="X1428" s="25">
        <v>10</v>
      </c>
      <c r="Y1428">
        <v>0.73632361099999999</v>
      </c>
      <c r="Z1428" t="s">
        <v>1128</v>
      </c>
      <c r="AA1428" t="s">
        <v>622</v>
      </c>
      <c r="AB1428">
        <v>1</v>
      </c>
      <c r="AC1428">
        <v>0</v>
      </c>
      <c r="AF1428" t="s">
        <v>554</v>
      </c>
      <c r="AG1428" s="30">
        <v>0</v>
      </c>
      <c r="AH1428" s="30" t="s">
        <v>671</v>
      </c>
      <c r="AI1428" s="30" t="s">
        <v>1129</v>
      </c>
      <c r="AJ1428" t="s">
        <v>1130</v>
      </c>
      <c r="AK1428">
        <v>0.59524549999999998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0.13341858489683281</v>
      </c>
    </row>
    <row r="1429" spans="1:44" customFormat="1" hidden="1" x14ac:dyDescent="0.5">
      <c r="A1429">
        <v>1428</v>
      </c>
      <c r="B1429">
        <v>105</v>
      </c>
      <c r="C1429" s="226" t="s">
        <v>46</v>
      </c>
      <c r="D1429" s="229">
        <v>-20.323633999999998</v>
      </c>
      <c r="E1429" s="239">
        <v>-40.355358000000003</v>
      </c>
      <c r="F1429">
        <v>0</v>
      </c>
      <c r="G1429">
        <f t="shared" si="18"/>
        <v>0</v>
      </c>
      <c r="H1429" t="s">
        <v>45</v>
      </c>
      <c r="I1429" s="7">
        <v>0</v>
      </c>
      <c r="J1429">
        <v>165.881139787362</v>
      </c>
      <c r="K1429" s="26">
        <v>2016</v>
      </c>
      <c r="L1429" t="s">
        <v>40</v>
      </c>
      <c r="M1429" s="30"/>
      <c r="N1429">
        <v>1</v>
      </c>
      <c r="P1429" t="s">
        <v>12</v>
      </c>
      <c r="Q1429">
        <v>89</v>
      </c>
      <c r="R1429" t="s">
        <v>13</v>
      </c>
      <c r="S1429" t="s">
        <v>16</v>
      </c>
      <c r="T1429" t="s">
        <v>16</v>
      </c>
      <c r="U1429" s="25">
        <v>0</v>
      </c>
      <c r="V1429" s="25">
        <v>10</v>
      </c>
      <c r="W1429" s="25">
        <v>5</v>
      </c>
      <c r="X1429" s="25">
        <v>10</v>
      </c>
      <c r="Y1429">
        <v>0.73632361099999999</v>
      </c>
      <c r="Z1429" t="s">
        <v>1128</v>
      </c>
      <c r="AA1429" t="s">
        <v>622</v>
      </c>
      <c r="AB1429">
        <v>1</v>
      </c>
      <c r="AC1429">
        <v>4</v>
      </c>
      <c r="AF1429" t="s">
        <v>554</v>
      </c>
      <c r="AG1429" s="30">
        <v>13.33333333</v>
      </c>
      <c r="AH1429" s="30">
        <v>0.77</v>
      </c>
      <c r="AI1429" s="30">
        <v>10.266666664100001</v>
      </c>
      <c r="AJ1429">
        <v>3.0666666658999997</v>
      </c>
      <c r="AK1429">
        <v>0.77</v>
      </c>
      <c r="AL1429">
        <v>10.266666664100001</v>
      </c>
      <c r="AM1429">
        <v>3.0666666658999997</v>
      </c>
      <c r="AN1429">
        <v>11.535580521460675</v>
      </c>
      <c r="AO1429">
        <v>3.4456928830337077</v>
      </c>
      <c r="AP1429">
        <v>8.4939203045431878E-3</v>
      </c>
      <c r="AQ1429">
        <v>2.53714502603238E-3</v>
      </c>
      <c r="AR1429">
        <v>0.13341858489683281</v>
      </c>
    </row>
    <row r="1430" spans="1:44" customFormat="1" hidden="1" x14ac:dyDescent="0.5">
      <c r="A1430">
        <v>1429</v>
      </c>
      <c r="B1430">
        <v>105</v>
      </c>
      <c r="C1430" s="226" t="s">
        <v>46</v>
      </c>
      <c r="D1430" s="229">
        <v>-20.323473</v>
      </c>
      <c r="E1430" s="239">
        <v>-40.337333999999998</v>
      </c>
      <c r="F1430">
        <v>0</v>
      </c>
      <c r="G1430">
        <f t="shared" si="18"/>
        <v>0</v>
      </c>
      <c r="H1430" t="s">
        <v>45</v>
      </c>
      <c r="I1430" s="7">
        <v>2</v>
      </c>
      <c r="J1430">
        <v>168.792665294344</v>
      </c>
      <c r="K1430" s="26">
        <v>2016</v>
      </c>
      <c r="L1430" t="s">
        <v>40</v>
      </c>
      <c r="M1430" s="30"/>
      <c r="N1430">
        <v>1</v>
      </c>
      <c r="P1430" t="s">
        <v>12</v>
      </c>
      <c r="Q1430">
        <v>89</v>
      </c>
      <c r="R1430" t="s">
        <v>13</v>
      </c>
      <c r="S1430" t="s">
        <v>16</v>
      </c>
      <c r="T1430" t="s">
        <v>16</v>
      </c>
      <c r="U1430" s="25">
        <v>0</v>
      </c>
      <c r="V1430" s="25">
        <v>10</v>
      </c>
      <c r="W1430" s="25">
        <v>5</v>
      </c>
      <c r="X1430" s="25">
        <v>10</v>
      </c>
      <c r="Y1430">
        <v>0.73632361099999999</v>
      </c>
      <c r="Z1430" t="s">
        <v>1128</v>
      </c>
      <c r="AA1430" t="s">
        <v>622</v>
      </c>
      <c r="AB1430">
        <v>1</v>
      </c>
      <c r="AC1430">
        <v>17</v>
      </c>
      <c r="AF1430" t="s">
        <v>554</v>
      </c>
      <c r="AG1430" s="30">
        <v>56.666666669999998</v>
      </c>
      <c r="AH1430" s="30">
        <v>0.77</v>
      </c>
      <c r="AI1430" s="30">
        <v>43.633333335899998</v>
      </c>
      <c r="AJ1430">
        <v>13.0333333341</v>
      </c>
      <c r="AK1430">
        <v>0.77</v>
      </c>
      <c r="AL1430">
        <v>43.633333335899998</v>
      </c>
      <c r="AM1430">
        <v>13.0333333341</v>
      </c>
      <c r="AN1430">
        <v>49.026217231348312</v>
      </c>
      <c r="AO1430">
        <v>14.644194757415729</v>
      </c>
      <c r="AP1430">
        <v>3.609916130545681E-2</v>
      </c>
      <c r="AQ1430">
        <v>1.0782866363967619E-2</v>
      </c>
      <c r="AR1430">
        <v>0.13315150818983643</v>
      </c>
    </row>
    <row r="1431" spans="1:44" customFormat="1" hidden="1" x14ac:dyDescent="0.5">
      <c r="A1431">
        <v>1430</v>
      </c>
      <c r="B1431">
        <v>105</v>
      </c>
      <c r="C1431" s="226" t="s">
        <v>46</v>
      </c>
      <c r="D1431" s="229">
        <v>-20.322808999999999</v>
      </c>
      <c r="E1431" s="239">
        <v>-40.289161</v>
      </c>
      <c r="F1431">
        <v>0</v>
      </c>
      <c r="G1431">
        <f t="shared" si="18"/>
        <v>0</v>
      </c>
      <c r="H1431" t="s">
        <v>45</v>
      </c>
      <c r="I1431" s="7">
        <v>5</v>
      </c>
      <c r="J1431">
        <v>173.29705768184499</v>
      </c>
      <c r="K1431" s="26">
        <v>2016</v>
      </c>
      <c r="L1431" t="s">
        <v>40</v>
      </c>
      <c r="M1431" s="30"/>
      <c r="N1431">
        <v>1</v>
      </c>
      <c r="P1431" t="s">
        <v>12</v>
      </c>
      <c r="Q1431">
        <v>89</v>
      </c>
      <c r="R1431" t="s">
        <v>13</v>
      </c>
      <c r="S1431" t="s">
        <v>16</v>
      </c>
      <c r="T1431" t="s">
        <v>16</v>
      </c>
      <c r="U1431" s="25">
        <v>0</v>
      </c>
      <c r="V1431" s="25">
        <v>10</v>
      </c>
      <c r="W1431" s="25">
        <v>5</v>
      </c>
      <c r="X1431" s="25">
        <v>10</v>
      </c>
      <c r="Y1431">
        <v>0.73632361099999999</v>
      </c>
      <c r="Z1431" t="s">
        <v>1128</v>
      </c>
      <c r="AA1431" t="s">
        <v>622</v>
      </c>
      <c r="AB1431">
        <v>1</v>
      </c>
      <c r="AC1431">
        <v>0</v>
      </c>
      <c r="AF1431" t="s">
        <v>554</v>
      </c>
      <c r="AG1431" s="30">
        <v>0</v>
      </c>
      <c r="AH1431" s="30" t="s">
        <v>671</v>
      </c>
      <c r="AI1431" s="30" t="s">
        <v>1129</v>
      </c>
      <c r="AJ1431" t="s">
        <v>1130</v>
      </c>
      <c r="AK1431">
        <v>0.59524549999999998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0.13275189523153463</v>
      </c>
    </row>
    <row r="1432" spans="1:44" customFormat="1" hidden="1" x14ac:dyDescent="0.5">
      <c r="A1432">
        <v>1431</v>
      </c>
      <c r="B1432">
        <v>105</v>
      </c>
      <c r="C1432" s="226" t="s">
        <v>46</v>
      </c>
      <c r="D1432" s="229">
        <v>-20.322668</v>
      </c>
      <c r="E1432" s="239">
        <v>-40.331184100000002</v>
      </c>
      <c r="F1432">
        <v>0</v>
      </c>
      <c r="G1432">
        <f t="shared" si="18"/>
        <v>0</v>
      </c>
      <c r="H1432" t="s">
        <v>45</v>
      </c>
      <c r="I1432" s="7">
        <v>2</v>
      </c>
      <c r="J1432">
        <v>169.35643761395701</v>
      </c>
      <c r="K1432" s="26">
        <v>2016</v>
      </c>
      <c r="L1432" t="s">
        <v>40</v>
      </c>
      <c r="M1432" s="30"/>
      <c r="N1432">
        <v>1</v>
      </c>
      <c r="P1432" t="s">
        <v>12</v>
      </c>
      <c r="Q1432">
        <v>89</v>
      </c>
      <c r="R1432" t="s">
        <v>13</v>
      </c>
      <c r="S1432" t="s">
        <v>16</v>
      </c>
      <c r="T1432" t="s">
        <v>16</v>
      </c>
      <c r="U1432" s="25">
        <v>0</v>
      </c>
      <c r="V1432" s="25">
        <v>10</v>
      </c>
      <c r="W1432" s="25">
        <v>5</v>
      </c>
      <c r="X1432" s="25">
        <v>10</v>
      </c>
      <c r="Y1432">
        <v>0.73632361099999999</v>
      </c>
      <c r="Z1432" t="s">
        <v>1128</v>
      </c>
      <c r="AA1432" t="s">
        <v>622</v>
      </c>
      <c r="AB1432">
        <v>1</v>
      </c>
      <c r="AC1432">
        <v>0</v>
      </c>
      <c r="AF1432" t="s">
        <v>554</v>
      </c>
      <c r="AG1432" s="30">
        <v>0</v>
      </c>
      <c r="AH1432" s="30" t="s">
        <v>671</v>
      </c>
      <c r="AI1432" s="30" t="s">
        <v>1129</v>
      </c>
      <c r="AJ1432" t="s">
        <v>1130</v>
      </c>
      <c r="AK1432">
        <v>0.59524549999999998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0.13315150818983643</v>
      </c>
    </row>
    <row r="1433" spans="1:44" customFormat="1" hidden="1" x14ac:dyDescent="0.5">
      <c r="A1433">
        <v>1432</v>
      </c>
      <c r="B1433">
        <v>105</v>
      </c>
      <c r="C1433" s="226" t="s">
        <v>46</v>
      </c>
      <c r="D1433" s="229">
        <v>-20.322507000000002</v>
      </c>
      <c r="E1433" s="239">
        <v>-40.293731999999999</v>
      </c>
      <c r="F1433">
        <v>0</v>
      </c>
      <c r="G1433">
        <f t="shared" si="18"/>
        <v>0</v>
      </c>
      <c r="H1433" t="s">
        <v>45</v>
      </c>
      <c r="I1433" s="7">
        <v>5</v>
      </c>
      <c r="J1433">
        <v>172.87831859412299</v>
      </c>
      <c r="K1433" s="26">
        <v>2016</v>
      </c>
      <c r="L1433" t="s">
        <v>40</v>
      </c>
      <c r="M1433" s="30"/>
      <c r="N1433">
        <v>1</v>
      </c>
      <c r="P1433" t="s">
        <v>12</v>
      </c>
      <c r="Q1433">
        <v>89</v>
      </c>
      <c r="R1433" t="s">
        <v>13</v>
      </c>
      <c r="S1433" t="s">
        <v>16</v>
      </c>
      <c r="T1433" t="s">
        <v>16</v>
      </c>
      <c r="U1433" s="25">
        <v>0</v>
      </c>
      <c r="V1433" s="25">
        <v>10</v>
      </c>
      <c r="W1433" s="25">
        <v>5</v>
      </c>
      <c r="X1433" s="25">
        <v>10</v>
      </c>
      <c r="Y1433">
        <v>0.73632361099999999</v>
      </c>
      <c r="Z1433" t="s">
        <v>1128</v>
      </c>
      <c r="AA1433" t="s">
        <v>622</v>
      </c>
      <c r="AB1433">
        <v>1</v>
      </c>
      <c r="AC1433">
        <v>14</v>
      </c>
      <c r="AF1433" t="s">
        <v>554</v>
      </c>
      <c r="AG1433" s="30">
        <v>46.666666669999998</v>
      </c>
      <c r="AH1433" s="30">
        <v>0.77</v>
      </c>
      <c r="AI1433" s="30">
        <v>35.933333335900002</v>
      </c>
      <c r="AJ1433">
        <v>10.733333334099996</v>
      </c>
      <c r="AK1433">
        <v>0.77</v>
      </c>
      <c r="AL1433">
        <v>35.933333335900002</v>
      </c>
      <c r="AM1433">
        <v>10.733333334099996</v>
      </c>
      <c r="AN1433">
        <v>40.374531838089887</v>
      </c>
      <c r="AO1433">
        <v>12.059925094494377</v>
      </c>
      <c r="AP1433">
        <v>2.9728721075456814E-2</v>
      </c>
      <c r="AQ1433">
        <v>8.8800075939676152E-3</v>
      </c>
      <c r="AR1433">
        <v>0.13275189523153463</v>
      </c>
    </row>
    <row r="1434" spans="1:44" customFormat="1" hidden="1" x14ac:dyDescent="0.5">
      <c r="A1434">
        <v>1433</v>
      </c>
      <c r="B1434">
        <v>105</v>
      </c>
      <c r="C1434" s="226" t="s">
        <v>46</v>
      </c>
      <c r="D1434" s="229">
        <v>-20.322023999999999</v>
      </c>
      <c r="E1434" s="239">
        <v>-40.326690999999997</v>
      </c>
      <c r="F1434">
        <v>0</v>
      </c>
      <c r="G1434">
        <f t="shared" si="18"/>
        <v>0</v>
      </c>
      <c r="H1434" t="s">
        <v>45</v>
      </c>
      <c r="I1434" s="7">
        <v>2</v>
      </c>
      <c r="J1434">
        <v>169.83054047871599</v>
      </c>
      <c r="K1434" s="26">
        <v>2016</v>
      </c>
      <c r="L1434" t="s">
        <v>40</v>
      </c>
      <c r="M1434" s="30"/>
      <c r="N1434">
        <v>1</v>
      </c>
      <c r="P1434" t="s">
        <v>12</v>
      </c>
      <c r="Q1434">
        <v>89</v>
      </c>
      <c r="R1434" t="s">
        <v>13</v>
      </c>
      <c r="S1434" t="s">
        <v>16</v>
      </c>
      <c r="T1434" t="s">
        <v>16</v>
      </c>
      <c r="U1434" s="25">
        <v>0</v>
      </c>
      <c r="V1434" s="25">
        <v>10</v>
      </c>
      <c r="W1434" s="25">
        <v>5</v>
      </c>
      <c r="X1434" s="25">
        <v>10</v>
      </c>
      <c r="Y1434">
        <v>0.73632361099999999</v>
      </c>
      <c r="Z1434" t="s">
        <v>1128</v>
      </c>
      <c r="AA1434" t="s">
        <v>622</v>
      </c>
      <c r="AB1434">
        <v>1</v>
      </c>
      <c r="AC1434">
        <v>0</v>
      </c>
      <c r="AF1434" t="s">
        <v>554</v>
      </c>
      <c r="AG1434" s="30">
        <v>0</v>
      </c>
      <c r="AH1434" s="30" t="s">
        <v>671</v>
      </c>
      <c r="AI1434" s="30" t="s">
        <v>1129</v>
      </c>
      <c r="AJ1434" t="s">
        <v>1130</v>
      </c>
      <c r="AK1434">
        <v>0.59524549999999998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0.13315150818983643</v>
      </c>
    </row>
    <row r="1435" spans="1:44" customFormat="1" hidden="1" x14ac:dyDescent="0.5">
      <c r="A1435">
        <v>1434</v>
      </c>
      <c r="B1435">
        <v>105</v>
      </c>
      <c r="C1435" s="226" t="s">
        <v>46</v>
      </c>
      <c r="D1435" s="229">
        <v>-20.321923999999999</v>
      </c>
      <c r="E1435" s="239">
        <v>-40.292552000000001</v>
      </c>
      <c r="F1435">
        <v>0</v>
      </c>
      <c r="G1435">
        <f t="shared" si="18"/>
        <v>0</v>
      </c>
      <c r="H1435" t="s">
        <v>45</v>
      </c>
      <c r="I1435" s="7">
        <v>5</v>
      </c>
      <c r="J1435">
        <v>172.88565827699301</v>
      </c>
      <c r="K1435" s="26">
        <v>2016</v>
      </c>
      <c r="L1435" t="s">
        <v>40</v>
      </c>
      <c r="M1435" s="30"/>
      <c r="N1435">
        <v>1</v>
      </c>
      <c r="P1435" t="s">
        <v>12</v>
      </c>
      <c r="Q1435">
        <v>89</v>
      </c>
      <c r="R1435" t="s">
        <v>13</v>
      </c>
      <c r="S1435" t="s">
        <v>16</v>
      </c>
      <c r="T1435" t="s">
        <v>16</v>
      </c>
      <c r="U1435" s="25">
        <v>0</v>
      </c>
      <c r="V1435" s="25">
        <v>10</v>
      </c>
      <c r="W1435" s="25">
        <v>5</v>
      </c>
      <c r="X1435" s="25">
        <v>10</v>
      </c>
      <c r="Y1435">
        <v>0.73632361099999999</v>
      </c>
      <c r="Z1435" t="s">
        <v>1128</v>
      </c>
      <c r="AA1435" t="s">
        <v>622</v>
      </c>
      <c r="AB1435">
        <v>1</v>
      </c>
      <c r="AC1435">
        <v>0</v>
      </c>
      <c r="AF1435" t="s">
        <v>554</v>
      </c>
      <c r="AG1435" s="30">
        <v>0</v>
      </c>
      <c r="AH1435" s="30" t="s">
        <v>671</v>
      </c>
      <c r="AI1435" s="30" t="s">
        <v>1129</v>
      </c>
      <c r="AJ1435" t="s">
        <v>1130</v>
      </c>
      <c r="AK1435">
        <v>0.59524549999999998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0.13275189523153463</v>
      </c>
    </row>
    <row r="1436" spans="1:44" customFormat="1" hidden="1" x14ac:dyDescent="0.5">
      <c r="A1436">
        <v>1435</v>
      </c>
      <c r="B1436">
        <v>105</v>
      </c>
      <c r="C1436" s="226" t="s">
        <v>46</v>
      </c>
      <c r="D1436" s="229">
        <v>-20.321863</v>
      </c>
      <c r="E1436" s="239">
        <v>-40.313130000000001</v>
      </c>
      <c r="F1436">
        <v>0</v>
      </c>
      <c r="G1436">
        <f t="shared" si="18"/>
        <v>0</v>
      </c>
      <c r="H1436" t="s">
        <v>45</v>
      </c>
      <c r="I1436" s="7">
        <v>4</v>
      </c>
      <c r="J1436">
        <v>171.59609708057201</v>
      </c>
      <c r="K1436" s="26">
        <v>2016</v>
      </c>
      <c r="L1436" t="s">
        <v>40</v>
      </c>
      <c r="M1436" s="30"/>
      <c r="N1436">
        <v>1</v>
      </c>
      <c r="P1436" t="s">
        <v>12</v>
      </c>
      <c r="Q1436">
        <v>89</v>
      </c>
      <c r="R1436" t="s">
        <v>13</v>
      </c>
      <c r="S1436" t="s">
        <v>16</v>
      </c>
      <c r="T1436" t="s">
        <v>16</v>
      </c>
      <c r="U1436" s="25">
        <v>0</v>
      </c>
      <c r="V1436" s="25">
        <v>10</v>
      </c>
      <c r="W1436" s="25">
        <v>5</v>
      </c>
      <c r="X1436" s="25">
        <v>10</v>
      </c>
      <c r="Y1436">
        <v>0.73632361099999999</v>
      </c>
      <c r="Z1436" t="s">
        <v>1128</v>
      </c>
      <c r="AA1436" t="s">
        <v>622</v>
      </c>
      <c r="AB1436">
        <v>1</v>
      </c>
      <c r="AC1436">
        <v>24</v>
      </c>
      <c r="AF1436" t="s">
        <v>554</v>
      </c>
      <c r="AG1436" s="30">
        <v>80</v>
      </c>
      <c r="AH1436" s="30">
        <v>0.77</v>
      </c>
      <c r="AI1436" s="30">
        <v>61.6</v>
      </c>
      <c r="AJ1436">
        <v>18.399999999999999</v>
      </c>
      <c r="AK1436">
        <v>0.77</v>
      </c>
      <c r="AL1436">
        <v>61.6</v>
      </c>
      <c r="AM1436">
        <v>18.399999999999999</v>
      </c>
      <c r="AN1436">
        <v>69.213483146067418</v>
      </c>
      <c r="AO1436">
        <v>20.674157303370784</v>
      </c>
      <c r="AP1436">
        <v>5.0963521839999998E-2</v>
      </c>
      <c r="AQ1436">
        <v>1.5222870159999999E-2</v>
      </c>
      <c r="AR1436">
        <v>0.13288496611575845</v>
      </c>
    </row>
    <row r="1437" spans="1:44" customFormat="1" hidden="1" x14ac:dyDescent="0.5">
      <c r="A1437">
        <v>1436</v>
      </c>
      <c r="B1437">
        <v>105</v>
      </c>
      <c r="C1437" s="226" t="s">
        <v>46</v>
      </c>
      <c r="D1437" s="229">
        <v>-20.321863</v>
      </c>
      <c r="E1437" s="239">
        <v>-40.306435</v>
      </c>
      <c r="F1437">
        <v>0</v>
      </c>
      <c r="G1437">
        <f t="shared" si="18"/>
        <v>0</v>
      </c>
      <c r="H1437" t="s">
        <v>45</v>
      </c>
      <c r="I1437" s="7">
        <v>4</v>
      </c>
      <c r="J1437">
        <v>171.95706592223999</v>
      </c>
      <c r="K1437" s="26">
        <v>2016</v>
      </c>
      <c r="L1437" t="s">
        <v>40</v>
      </c>
      <c r="M1437" s="30"/>
      <c r="N1437">
        <v>1</v>
      </c>
      <c r="P1437" t="s">
        <v>12</v>
      </c>
      <c r="Q1437">
        <v>89</v>
      </c>
      <c r="R1437" t="s">
        <v>13</v>
      </c>
      <c r="S1437" t="s">
        <v>16</v>
      </c>
      <c r="T1437" t="s">
        <v>16</v>
      </c>
      <c r="U1437" s="25">
        <v>0</v>
      </c>
      <c r="V1437" s="25">
        <v>10</v>
      </c>
      <c r="W1437" s="25">
        <v>5</v>
      </c>
      <c r="X1437" s="25">
        <v>10</v>
      </c>
      <c r="Y1437">
        <v>0.73632361099999999</v>
      </c>
      <c r="Z1437" t="s">
        <v>1128</v>
      </c>
      <c r="AA1437" t="s">
        <v>622</v>
      </c>
      <c r="AB1437">
        <v>1</v>
      </c>
      <c r="AC1437">
        <v>37</v>
      </c>
      <c r="AF1437" t="s">
        <v>554</v>
      </c>
      <c r="AG1437" s="30">
        <v>123.33333330000001</v>
      </c>
      <c r="AH1437" s="30">
        <v>0.77</v>
      </c>
      <c r="AI1437" s="30">
        <v>94.966666641000003</v>
      </c>
      <c r="AJ1437">
        <v>28.366666659000003</v>
      </c>
      <c r="AK1437">
        <v>0.77</v>
      </c>
      <c r="AL1437">
        <v>94.966666641000003</v>
      </c>
      <c r="AM1437">
        <v>28.366666659000003</v>
      </c>
      <c r="AN1437">
        <v>106.70411982134831</v>
      </c>
      <c r="AO1437">
        <v>31.872659167415733</v>
      </c>
      <c r="AP1437">
        <v>7.8568762815431861E-2</v>
      </c>
      <c r="AQ1437">
        <v>2.3468591490323806E-2</v>
      </c>
      <c r="AR1437">
        <v>0.13288496611575845</v>
      </c>
    </row>
    <row r="1438" spans="1:44" customFormat="1" hidden="1" x14ac:dyDescent="0.5">
      <c r="A1438">
        <v>1437</v>
      </c>
      <c r="B1438">
        <v>105</v>
      </c>
      <c r="C1438" s="226" t="s">
        <v>46</v>
      </c>
      <c r="D1438" s="229">
        <v>-20.321863</v>
      </c>
      <c r="E1438" s="239">
        <v>-40.302143000000001</v>
      </c>
      <c r="F1438">
        <v>0</v>
      </c>
      <c r="G1438">
        <f t="shared" si="18"/>
        <v>0</v>
      </c>
      <c r="H1438" t="s">
        <v>45</v>
      </c>
      <c r="I1438" s="7">
        <v>4</v>
      </c>
      <c r="J1438">
        <v>172.35865918153701</v>
      </c>
      <c r="K1438" s="26">
        <v>2016</v>
      </c>
      <c r="L1438" t="s">
        <v>40</v>
      </c>
      <c r="M1438" s="30"/>
      <c r="N1438">
        <v>1</v>
      </c>
      <c r="P1438" t="s">
        <v>12</v>
      </c>
      <c r="Q1438">
        <v>89</v>
      </c>
      <c r="R1438" t="s">
        <v>13</v>
      </c>
      <c r="S1438" t="s">
        <v>16</v>
      </c>
      <c r="T1438" t="s">
        <v>16</v>
      </c>
      <c r="U1438" s="25">
        <v>0</v>
      </c>
      <c r="V1438" s="25">
        <v>10</v>
      </c>
      <c r="W1438" s="25">
        <v>5</v>
      </c>
      <c r="X1438" s="25">
        <v>10</v>
      </c>
      <c r="Y1438">
        <v>0.73632361099999999</v>
      </c>
      <c r="Z1438" t="s">
        <v>1128</v>
      </c>
      <c r="AA1438" t="s">
        <v>622</v>
      </c>
      <c r="AB1438">
        <v>1</v>
      </c>
      <c r="AC1438">
        <v>38</v>
      </c>
      <c r="AF1438" t="s">
        <v>554</v>
      </c>
      <c r="AG1438" s="30">
        <v>126.66666669999999</v>
      </c>
      <c r="AH1438" s="30">
        <v>0.77</v>
      </c>
      <c r="AI1438" s="30">
        <v>97.533333358999997</v>
      </c>
      <c r="AJ1438">
        <v>29.133333340999997</v>
      </c>
      <c r="AK1438">
        <v>0.77</v>
      </c>
      <c r="AL1438">
        <v>97.533333358999997</v>
      </c>
      <c r="AM1438">
        <v>29.133333340999997</v>
      </c>
      <c r="AN1438">
        <v>109.58801501011234</v>
      </c>
      <c r="AO1438">
        <v>32.734082405617976</v>
      </c>
      <c r="AP1438">
        <v>8.0692242934568115E-2</v>
      </c>
      <c r="AQ1438">
        <v>2.4102877759676192E-2</v>
      </c>
      <c r="AR1438">
        <v>0.13288496611575845</v>
      </c>
    </row>
    <row r="1439" spans="1:44" customFormat="1" hidden="1" x14ac:dyDescent="0.5">
      <c r="A1439">
        <v>1438</v>
      </c>
      <c r="B1439">
        <v>105</v>
      </c>
      <c r="C1439" s="226" t="s">
        <v>46</v>
      </c>
      <c r="D1439" s="229">
        <v>-20.318805000000001</v>
      </c>
      <c r="E1439" s="239">
        <v>-40.359993000000003</v>
      </c>
      <c r="F1439">
        <v>0</v>
      </c>
      <c r="G1439">
        <f t="shared" si="18"/>
        <v>0</v>
      </c>
      <c r="H1439" t="s">
        <v>45</v>
      </c>
      <c r="I1439" s="7">
        <v>3</v>
      </c>
      <c r="J1439">
        <v>164.954967356482</v>
      </c>
      <c r="K1439" s="26">
        <v>2016</v>
      </c>
      <c r="L1439" t="s">
        <v>40</v>
      </c>
      <c r="M1439" s="30"/>
      <c r="N1439">
        <v>1</v>
      </c>
      <c r="P1439" t="s">
        <v>12</v>
      </c>
      <c r="Q1439">
        <v>89</v>
      </c>
      <c r="R1439" t="s">
        <v>13</v>
      </c>
      <c r="S1439" t="s">
        <v>16</v>
      </c>
      <c r="T1439" t="s">
        <v>16</v>
      </c>
      <c r="U1439" s="25">
        <v>0</v>
      </c>
      <c r="V1439" s="25">
        <v>10</v>
      </c>
      <c r="W1439" s="25">
        <v>5</v>
      </c>
      <c r="X1439" s="25">
        <v>10</v>
      </c>
      <c r="Y1439">
        <v>0.73632361099999999</v>
      </c>
      <c r="Z1439" t="s">
        <v>1128</v>
      </c>
      <c r="AA1439" t="s">
        <v>622</v>
      </c>
      <c r="AB1439">
        <v>1</v>
      </c>
      <c r="AC1439">
        <v>22</v>
      </c>
      <c r="AF1439" t="s">
        <v>554</v>
      </c>
      <c r="AG1439" s="30">
        <v>73.333333330000002</v>
      </c>
      <c r="AH1439" s="30">
        <v>0.77</v>
      </c>
      <c r="AI1439" s="30">
        <v>56.466666664100003</v>
      </c>
      <c r="AJ1439">
        <v>16.866666665899999</v>
      </c>
      <c r="AK1439">
        <v>0.77</v>
      </c>
      <c r="AL1439">
        <v>56.466666664100003</v>
      </c>
      <c r="AM1439">
        <v>16.866666665899999</v>
      </c>
      <c r="AN1439">
        <v>63.44569288101124</v>
      </c>
      <c r="AO1439">
        <v>18.951310860561797</v>
      </c>
      <c r="AP1439">
        <v>4.6716561684543183E-2</v>
      </c>
      <c r="AQ1439">
        <v>1.395429764603238E-2</v>
      </c>
      <c r="AR1439">
        <v>0.13301817039062197</v>
      </c>
    </row>
    <row r="1440" spans="1:44" customFormat="1" hidden="1" x14ac:dyDescent="0.5">
      <c r="A1440">
        <v>1439</v>
      </c>
      <c r="B1440">
        <v>105</v>
      </c>
      <c r="C1440" s="226" t="s">
        <v>46</v>
      </c>
      <c r="D1440" s="229">
        <v>-20.310594999999999</v>
      </c>
      <c r="E1440" s="239">
        <v>-40.361882000000001</v>
      </c>
      <c r="F1440">
        <v>0</v>
      </c>
      <c r="G1440">
        <f t="shared" si="18"/>
        <v>0</v>
      </c>
      <c r="H1440" t="s">
        <v>45</v>
      </c>
      <c r="I1440" s="7">
        <v>0</v>
      </c>
      <c r="J1440">
        <v>164.08180314584001</v>
      </c>
      <c r="K1440" s="26">
        <v>2016</v>
      </c>
      <c r="L1440" t="s">
        <v>40</v>
      </c>
      <c r="M1440" s="30"/>
      <c r="N1440">
        <v>1</v>
      </c>
      <c r="P1440" t="s">
        <v>12</v>
      </c>
      <c r="Q1440">
        <v>89</v>
      </c>
      <c r="R1440" t="s">
        <v>13</v>
      </c>
      <c r="S1440" t="s">
        <v>16</v>
      </c>
      <c r="T1440" t="s">
        <v>16</v>
      </c>
      <c r="U1440" s="25">
        <v>0</v>
      </c>
      <c r="V1440" s="25">
        <v>10</v>
      </c>
      <c r="W1440" s="25">
        <v>5</v>
      </c>
      <c r="X1440" s="25">
        <v>10</v>
      </c>
      <c r="Y1440">
        <v>0.73632361099999999</v>
      </c>
      <c r="Z1440" t="s">
        <v>1128</v>
      </c>
      <c r="AA1440" t="s">
        <v>622</v>
      </c>
      <c r="AB1440">
        <v>1</v>
      </c>
      <c r="AC1440">
        <v>3</v>
      </c>
      <c r="AF1440" t="s">
        <v>554</v>
      </c>
      <c r="AG1440" s="30">
        <v>10</v>
      </c>
      <c r="AH1440" s="30">
        <v>0.77</v>
      </c>
      <c r="AI1440" s="30">
        <v>7.7</v>
      </c>
      <c r="AJ1440">
        <v>2.2999999999999998</v>
      </c>
      <c r="AK1440">
        <v>0.77</v>
      </c>
      <c r="AL1440">
        <v>7.7</v>
      </c>
      <c r="AM1440">
        <v>2.2999999999999998</v>
      </c>
      <c r="AN1440">
        <v>8.6516853932584272</v>
      </c>
      <c r="AO1440">
        <v>2.584269662921348</v>
      </c>
      <c r="AP1440">
        <v>6.3704402299999997E-3</v>
      </c>
      <c r="AQ1440">
        <v>1.9028587699999999E-3</v>
      </c>
      <c r="AR1440">
        <v>0.13341858489683281</v>
      </c>
    </row>
    <row r="1441" spans="1:44" customFormat="1" hidden="1" x14ac:dyDescent="0.5">
      <c r="A1441">
        <v>1440</v>
      </c>
      <c r="B1441">
        <v>105</v>
      </c>
      <c r="C1441" s="226" t="s">
        <v>46</v>
      </c>
      <c r="D1441" s="229">
        <v>-20.299325</v>
      </c>
      <c r="E1441" s="239">
        <v>-40.352955000000001</v>
      </c>
      <c r="F1441">
        <v>0</v>
      </c>
      <c r="G1441">
        <f t="shared" si="18"/>
        <v>0</v>
      </c>
      <c r="H1441" t="s">
        <v>45</v>
      </c>
      <c r="I1441" s="7">
        <v>0</v>
      </c>
      <c r="J1441">
        <v>164.652657156554</v>
      </c>
      <c r="K1441" s="26">
        <v>2016</v>
      </c>
      <c r="L1441" t="s">
        <v>40</v>
      </c>
      <c r="M1441" s="30"/>
      <c r="N1441">
        <v>1</v>
      </c>
      <c r="P1441" t="s">
        <v>12</v>
      </c>
      <c r="Q1441">
        <v>89</v>
      </c>
      <c r="R1441" t="s">
        <v>13</v>
      </c>
      <c r="S1441" t="s">
        <v>16</v>
      </c>
      <c r="T1441" t="s">
        <v>16</v>
      </c>
      <c r="U1441" s="25">
        <v>0</v>
      </c>
      <c r="V1441" s="25">
        <v>10</v>
      </c>
      <c r="W1441" s="25">
        <v>5</v>
      </c>
      <c r="X1441" s="25">
        <v>10</v>
      </c>
      <c r="Y1441">
        <v>0.73632361099999999</v>
      </c>
      <c r="Z1441" t="s">
        <v>1128</v>
      </c>
      <c r="AA1441" t="s">
        <v>622</v>
      </c>
      <c r="AB1441">
        <v>1</v>
      </c>
      <c r="AC1441">
        <v>3</v>
      </c>
      <c r="AF1441" t="s">
        <v>554</v>
      </c>
      <c r="AG1441" s="30">
        <v>10</v>
      </c>
      <c r="AH1441" s="30">
        <v>0.77</v>
      </c>
      <c r="AI1441" s="30">
        <v>7.7</v>
      </c>
      <c r="AJ1441">
        <v>2.2999999999999998</v>
      </c>
      <c r="AK1441">
        <v>0.77</v>
      </c>
      <c r="AL1441">
        <v>7.7</v>
      </c>
      <c r="AM1441">
        <v>2.2999999999999998</v>
      </c>
      <c r="AN1441">
        <v>8.6516853932584272</v>
      </c>
      <c r="AO1441">
        <v>2.584269662921348</v>
      </c>
      <c r="AP1441">
        <v>6.3704402299999997E-3</v>
      </c>
      <c r="AQ1441">
        <v>1.9028587699999999E-3</v>
      </c>
      <c r="AR1441">
        <v>0.13341858489683281</v>
      </c>
    </row>
    <row r="1442" spans="1:44" customFormat="1" hidden="1" x14ac:dyDescent="0.5">
      <c r="A1442">
        <v>1441</v>
      </c>
      <c r="B1442">
        <v>105</v>
      </c>
      <c r="C1442" s="226" t="s">
        <v>46</v>
      </c>
      <c r="D1442" s="229">
        <v>-20.289182</v>
      </c>
      <c r="E1442" s="239">
        <v>-40.352612000000001</v>
      </c>
      <c r="F1442">
        <v>0</v>
      </c>
      <c r="G1442">
        <f t="shared" si="18"/>
        <v>0</v>
      </c>
      <c r="H1442" t="s">
        <v>45</v>
      </c>
      <c r="I1442" s="7">
        <v>0</v>
      </c>
      <c r="J1442">
        <v>163.94807683142901</v>
      </c>
      <c r="K1442" s="26">
        <v>2016</v>
      </c>
      <c r="L1442" t="s">
        <v>40</v>
      </c>
      <c r="M1442" s="30"/>
      <c r="N1442">
        <v>1</v>
      </c>
      <c r="P1442" t="s">
        <v>12</v>
      </c>
      <c r="Q1442">
        <v>89</v>
      </c>
      <c r="R1442" t="s">
        <v>13</v>
      </c>
      <c r="S1442" t="s">
        <v>16</v>
      </c>
      <c r="T1442" t="s">
        <v>16</v>
      </c>
      <c r="U1442" s="25">
        <v>0</v>
      </c>
      <c r="V1442" s="25">
        <v>10</v>
      </c>
      <c r="W1442" s="25">
        <v>5</v>
      </c>
      <c r="X1442" s="25">
        <v>10</v>
      </c>
      <c r="Y1442">
        <v>0.73632361099999999</v>
      </c>
      <c r="Z1442" t="s">
        <v>1128</v>
      </c>
      <c r="AA1442" t="s">
        <v>622</v>
      </c>
      <c r="AB1442">
        <v>1</v>
      </c>
      <c r="AC1442">
        <v>19</v>
      </c>
      <c r="AF1442" t="s">
        <v>554</v>
      </c>
      <c r="AG1442" s="30">
        <v>63.333333330000002</v>
      </c>
      <c r="AH1442" s="30">
        <v>0.77</v>
      </c>
      <c r="AI1442" s="30">
        <v>48.766666664100001</v>
      </c>
      <c r="AJ1442">
        <v>14.566666665900001</v>
      </c>
      <c r="AK1442">
        <v>0.77</v>
      </c>
      <c r="AL1442">
        <v>48.766666664100001</v>
      </c>
      <c r="AM1442">
        <v>14.566666665900001</v>
      </c>
      <c r="AN1442">
        <v>54.794007487752808</v>
      </c>
      <c r="AO1442">
        <v>16.36704119764045</v>
      </c>
      <c r="AP1442">
        <v>4.0346121454543186E-2</v>
      </c>
      <c r="AQ1442">
        <v>1.2051438876032381E-2</v>
      </c>
      <c r="AR1442">
        <v>0.13341858489683281</v>
      </c>
    </row>
    <row r="1443" spans="1:44" customFormat="1" hidden="1" x14ac:dyDescent="0.5">
      <c r="A1443">
        <v>1442</v>
      </c>
      <c r="B1443">
        <v>105</v>
      </c>
      <c r="C1443" s="226" t="s">
        <v>46</v>
      </c>
      <c r="D1443" s="229">
        <v>-20.282579999999999</v>
      </c>
      <c r="E1443" s="239">
        <v>-40.348148999999999</v>
      </c>
      <c r="F1443">
        <v>0</v>
      </c>
      <c r="G1443">
        <f t="shared" si="18"/>
        <v>0</v>
      </c>
      <c r="H1443" t="s">
        <v>45</v>
      </c>
      <c r="I1443" s="7">
        <v>4</v>
      </c>
      <c r="J1443">
        <v>163.565323201106</v>
      </c>
      <c r="K1443" s="26">
        <v>2016</v>
      </c>
      <c r="L1443" t="s">
        <v>40</v>
      </c>
      <c r="M1443" s="30"/>
      <c r="N1443">
        <v>1</v>
      </c>
      <c r="P1443" t="s">
        <v>12</v>
      </c>
      <c r="Q1443">
        <v>89</v>
      </c>
      <c r="R1443" t="s">
        <v>13</v>
      </c>
      <c r="S1443" t="s">
        <v>16</v>
      </c>
      <c r="T1443" t="s">
        <v>16</v>
      </c>
      <c r="U1443" s="25">
        <v>0</v>
      </c>
      <c r="V1443" s="25">
        <v>10</v>
      </c>
      <c r="W1443" s="25">
        <v>5</v>
      </c>
      <c r="X1443" s="25">
        <v>10</v>
      </c>
      <c r="Y1443">
        <v>0.73632361099999999</v>
      </c>
      <c r="Z1443" t="s">
        <v>1128</v>
      </c>
      <c r="AA1443" t="s">
        <v>622</v>
      </c>
      <c r="AB1443">
        <v>1</v>
      </c>
      <c r="AC1443">
        <v>33</v>
      </c>
      <c r="AF1443" t="s">
        <v>554</v>
      </c>
      <c r="AG1443" s="30">
        <v>110</v>
      </c>
      <c r="AH1443" s="30">
        <v>0.77</v>
      </c>
      <c r="AI1443" s="30">
        <v>84.7</v>
      </c>
      <c r="AJ1443">
        <v>25.299999999999997</v>
      </c>
      <c r="AK1443">
        <v>0.77</v>
      </c>
      <c r="AL1443">
        <v>84.7</v>
      </c>
      <c r="AM1443">
        <v>25.299999999999997</v>
      </c>
      <c r="AN1443">
        <v>95.168539325842701</v>
      </c>
      <c r="AO1443">
        <v>28.426966292134832</v>
      </c>
      <c r="AP1443">
        <v>7.0074842530000001E-2</v>
      </c>
      <c r="AQ1443">
        <v>2.093144647E-2</v>
      </c>
      <c r="AR1443">
        <v>0.13288496611575845</v>
      </c>
    </row>
    <row r="1444" spans="1:44" customFormat="1" hidden="1" x14ac:dyDescent="0.5">
      <c r="A1444">
        <v>1443</v>
      </c>
      <c r="B1444">
        <v>105</v>
      </c>
      <c r="C1444" s="226" t="s">
        <v>46</v>
      </c>
      <c r="D1444" s="229">
        <v>-20.276381000000001</v>
      </c>
      <c r="E1444" s="239">
        <v>-40.341152999999998</v>
      </c>
      <c r="F1444">
        <v>0</v>
      </c>
      <c r="G1444">
        <f t="shared" si="18"/>
        <v>0</v>
      </c>
      <c r="H1444" t="s">
        <v>45</v>
      </c>
      <c r="I1444" s="7">
        <v>0</v>
      </c>
      <c r="J1444">
        <v>163.926612365719</v>
      </c>
      <c r="K1444" s="26">
        <v>2016</v>
      </c>
      <c r="L1444" t="s">
        <v>40</v>
      </c>
      <c r="M1444" s="30"/>
      <c r="N1444">
        <v>1</v>
      </c>
      <c r="P1444" t="s">
        <v>12</v>
      </c>
      <c r="Q1444">
        <v>89</v>
      </c>
      <c r="R1444" t="s">
        <v>13</v>
      </c>
      <c r="S1444" t="s">
        <v>16</v>
      </c>
      <c r="T1444" t="s">
        <v>16</v>
      </c>
      <c r="U1444" s="25">
        <v>0</v>
      </c>
      <c r="V1444" s="25">
        <v>10</v>
      </c>
      <c r="W1444" s="25">
        <v>5</v>
      </c>
      <c r="X1444" s="25">
        <v>10</v>
      </c>
      <c r="Y1444">
        <v>0.73632361099999999</v>
      </c>
      <c r="Z1444" t="s">
        <v>1128</v>
      </c>
      <c r="AA1444" t="s">
        <v>622</v>
      </c>
      <c r="AB1444">
        <v>1</v>
      </c>
      <c r="AC1444">
        <v>0</v>
      </c>
      <c r="AF1444" t="s">
        <v>554</v>
      </c>
      <c r="AG1444" s="30">
        <v>0</v>
      </c>
      <c r="AH1444" s="30" t="s">
        <v>671</v>
      </c>
      <c r="AI1444" s="30" t="s">
        <v>1129</v>
      </c>
      <c r="AJ1444" t="s">
        <v>1130</v>
      </c>
      <c r="AK1444">
        <v>0.59524549999999998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0.13341858489683281</v>
      </c>
    </row>
    <row r="1445" spans="1:44" customFormat="1" hidden="1" x14ac:dyDescent="0.5">
      <c r="A1445">
        <v>1444</v>
      </c>
      <c r="B1445">
        <v>105</v>
      </c>
      <c r="C1445" s="226" t="s">
        <v>46</v>
      </c>
      <c r="D1445" s="229">
        <v>-20.268167999999999</v>
      </c>
      <c r="E1445" s="239">
        <v>-40.336174999999997</v>
      </c>
      <c r="F1445">
        <v>0</v>
      </c>
      <c r="G1445">
        <f t="shared" si="18"/>
        <v>0</v>
      </c>
      <c r="H1445" t="s">
        <v>45</v>
      </c>
      <c r="I1445" s="7">
        <v>0</v>
      </c>
      <c r="J1445">
        <v>163.310999660747</v>
      </c>
      <c r="K1445" s="26">
        <v>2016</v>
      </c>
      <c r="L1445" t="s">
        <v>40</v>
      </c>
      <c r="M1445" s="30"/>
      <c r="N1445">
        <v>1</v>
      </c>
      <c r="P1445" t="s">
        <v>12</v>
      </c>
      <c r="Q1445">
        <v>89</v>
      </c>
      <c r="R1445" t="s">
        <v>13</v>
      </c>
      <c r="S1445" t="s">
        <v>16</v>
      </c>
      <c r="T1445" t="s">
        <v>16</v>
      </c>
      <c r="U1445" s="25">
        <v>0</v>
      </c>
      <c r="V1445" s="25">
        <v>10</v>
      </c>
      <c r="W1445" s="25">
        <v>5</v>
      </c>
      <c r="X1445" s="25">
        <v>10</v>
      </c>
      <c r="Y1445">
        <v>0.73632361099999999</v>
      </c>
      <c r="Z1445" t="s">
        <v>1128</v>
      </c>
      <c r="AA1445" t="s">
        <v>622</v>
      </c>
      <c r="AB1445">
        <v>1</v>
      </c>
      <c r="AC1445">
        <v>0</v>
      </c>
      <c r="AF1445" t="s">
        <v>554</v>
      </c>
      <c r="AG1445" s="30">
        <v>0</v>
      </c>
      <c r="AH1445" s="30" t="s">
        <v>671</v>
      </c>
      <c r="AI1445" s="30" t="s">
        <v>1129</v>
      </c>
      <c r="AJ1445" t="s">
        <v>1130</v>
      </c>
      <c r="AK1445">
        <v>0.59524549999999998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0.13341858489683281</v>
      </c>
    </row>
    <row r="1446" spans="1:44" customFormat="1" hidden="1" x14ac:dyDescent="0.5">
      <c r="A1446">
        <v>1445</v>
      </c>
      <c r="B1446">
        <v>105</v>
      </c>
      <c r="C1446" s="226" t="s">
        <v>46</v>
      </c>
      <c r="D1446" s="229">
        <v>-20.257379</v>
      </c>
      <c r="E1446" s="239">
        <v>-40.329479999999997</v>
      </c>
      <c r="F1446">
        <v>0</v>
      </c>
      <c r="G1446">
        <f t="shared" si="18"/>
        <v>0</v>
      </c>
      <c r="H1446" t="s">
        <v>45</v>
      </c>
      <c r="I1446" s="7">
        <v>0</v>
      </c>
      <c r="J1446">
        <v>161.566918948498</v>
      </c>
      <c r="K1446" s="26">
        <v>2016</v>
      </c>
      <c r="L1446" t="s">
        <v>40</v>
      </c>
      <c r="M1446" s="30"/>
      <c r="N1446">
        <v>1</v>
      </c>
      <c r="P1446" t="s">
        <v>12</v>
      </c>
      <c r="Q1446">
        <v>89</v>
      </c>
      <c r="R1446" t="s">
        <v>13</v>
      </c>
      <c r="S1446" t="s">
        <v>16</v>
      </c>
      <c r="T1446" t="s">
        <v>16</v>
      </c>
      <c r="U1446" s="25">
        <v>0</v>
      </c>
      <c r="V1446" s="25">
        <v>10</v>
      </c>
      <c r="W1446" s="25">
        <v>5</v>
      </c>
      <c r="X1446" s="25">
        <v>10</v>
      </c>
      <c r="Y1446">
        <v>0.73632361099999999</v>
      </c>
      <c r="Z1446" t="s">
        <v>1128</v>
      </c>
      <c r="AA1446" t="s">
        <v>622</v>
      </c>
      <c r="AB1446">
        <v>1</v>
      </c>
      <c r="AC1446">
        <v>33</v>
      </c>
      <c r="AF1446" t="s">
        <v>554</v>
      </c>
      <c r="AG1446" s="30">
        <v>110</v>
      </c>
      <c r="AH1446" s="30">
        <v>0.77</v>
      </c>
      <c r="AI1446" s="30">
        <v>84.7</v>
      </c>
      <c r="AJ1446">
        <v>25.299999999999997</v>
      </c>
      <c r="AK1446">
        <v>0.77</v>
      </c>
      <c r="AL1446">
        <v>84.7</v>
      </c>
      <c r="AM1446">
        <v>25.299999999999997</v>
      </c>
      <c r="AN1446">
        <v>95.168539325842701</v>
      </c>
      <c r="AO1446">
        <v>28.426966292134832</v>
      </c>
      <c r="AP1446">
        <v>7.0074842530000001E-2</v>
      </c>
      <c r="AQ1446">
        <v>2.093144647E-2</v>
      </c>
      <c r="AR1446">
        <v>0.13341858489683281</v>
      </c>
    </row>
    <row r="1447" spans="1:44" hidden="1" x14ac:dyDescent="0.5">
      <c r="A1447" s="31">
        <v>393</v>
      </c>
      <c r="B1447" s="31">
        <v>27</v>
      </c>
      <c r="C1447" s="225" t="s">
        <v>20</v>
      </c>
      <c r="D1447" s="35">
        <v>37</v>
      </c>
      <c r="E1447" s="33">
        <v>-9</v>
      </c>
      <c r="F1447">
        <v>1.48</v>
      </c>
      <c r="G1447">
        <f t="shared" si="18"/>
        <v>2381.8291199999999</v>
      </c>
      <c r="H1447" s="32" t="s">
        <v>614</v>
      </c>
      <c r="I1447">
        <v>22</v>
      </c>
      <c r="J1447">
        <v>60.462315731424603</v>
      </c>
      <c r="K1447" s="26">
        <v>2013</v>
      </c>
      <c r="M1447" s="32">
        <v>1</v>
      </c>
      <c r="N1447">
        <v>8.7498377000000002E-2</v>
      </c>
      <c r="P1447" t="s">
        <v>12</v>
      </c>
      <c r="Q1447">
        <v>89</v>
      </c>
      <c r="R1447" t="s">
        <v>13</v>
      </c>
      <c r="S1447" t="s">
        <v>14</v>
      </c>
      <c r="T1447" t="s">
        <v>14</v>
      </c>
      <c r="U1447" s="34">
        <v>0</v>
      </c>
      <c r="V1447" s="34">
        <v>10</v>
      </c>
      <c r="W1447" s="25">
        <v>5</v>
      </c>
      <c r="X1447" s="25">
        <v>10</v>
      </c>
      <c r="Y1447" s="244">
        <v>1.173715329</v>
      </c>
      <c r="Z1447" t="s">
        <v>714</v>
      </c>
      <c r="AA1447" t="s">
        <v>629</v>
      </c>
      <c r="AB1447">
        <v>1</v>
      </c>
      <c r="AC1447">
        <v>0</v>
      </c>
      <c r="AF1447" t="s">
        <v>524</v>
      </c>
      <c r="AG1447" s="32">
        <v>0</v>
      </c>
      <c r="AH1447" s="32" t="s">
        <v>671</v>
      </c>
      <c r="AI1447" s="32" t="s">
        <v>1129</v>
      </c>
      <c r="AJ1447" s="31" t="s">
        <v>1130</v>
      </c>
      <c r="AK1447" s="31">
        <v>0.59524549999999998</v>
      </c>
      <c r="AL1447" s="31">
        <v>0</v>
      </c>
      <c r="AM1447" s="31">
        <v>0</v>
      </c>
      <c r="AN1447" s="31">
        <v>0</v>
      </c>
      <c r="AO1447" s="31">
        <v>0</v>
      </c>
      <c r="AP1447" s="31">
        <v>0</v>
      </c>
      <c r="AQ1447" s="31">
        <v>0</v>
      </c>
      <c r="AR1447" s="31">
        <v>0.13050997004815151</v>
      </c>
    </row>
    <row r="1448" spans="1:44" hidden="1" x14ac:dyDescent="0.5">
      <c r="A1448" s="31">
        <v>394</v>
      </c>
      <c r="B1448" s="31">
        <v>27</v>
      </c>
      <c r="C1448" s="225" t="s">
        <v>20</v>
      </c>
      <c r="D1448" s="35">
        <v>37</v>
      </c>
      <c r="E1448" s="33">
        <v>-9</v>
      </c>
      <c r="F1448">
        <v>1.48</v>
      </c>
      <c r="G1448">
        <f t="shared" si="18"/>
        <v>2381.8291199999999</v>
      </c>
      <c r="H1448" s="32" t="s">
        <v>614</v>
      </c>
      <c r="I1448">
        <v>22</v>
      </c>
      <c r="J1448">
        <v>60.462315731424603</v>
      </c>
      <c r="K1448" s="26">
        <v>2013</v>
      </c>
      <c r="M1448" s="32">
        <v>1</v>
      </c>
      <c r="N1448">
        <v>8.7498377000000002E-2</v>
      </c>
      <c r="P1448" t="s">
        <v>12</v>
      </c>
      <c r="Q1448">
        <v>89</v>
      </c>
      <c r="R1448" t="s">
        <v>13</v>
      </c>
      <c r="S1448" t="s">
        <v>14</v>
      </c>
      <c r="T1448" t="s">
        <v>14</v>
      </c>
      <c r="U1448" s="34">
        <v>0</v>
      </c>
      <c r="V1448" s="34">
        <v>8</v>
      </c>
      <c r="W1448" s="25">
        <v>4</v>
      </c>
      <c r="X1448" s="25">
        <v>8</v>
      </c>
      <c r="Y1448" s="244">
        <v>1.173715329</v>
      </c>
      <c r="Z1448" t="s">
        <v>714</v>
      </c>
      <c r="AA1448" t="s">
        <v>629</v>
      </c>
      <c r="AB1448">
        <v>1</v>
      </c>
      <c r="AC1448">
        <v>2.7199999999999998E-2</v>
      </c>
      <c r="AF1448" t="s">
        <v>524</v>
      </c>
      <c r="AG1448" s="32" t="s">
        <v>1373</v>
      </c>
      <c r="AH1448" s="32" t="s">
        <v>1136</v>
      </c>
      <c r="AI1448" s="32" t="s">
        <v>1374</v>
      </c>
      <c r="AJ1448" s="31" t="s">
        <v>2826</v>
      </c>
      <c r="AK1448" s="31">
        <v>0.81</v>
      </c>
      <c r="AL1448" s="31">
        <v>22.032</v>
      </c>
      <c r="AM1448" s="31">
        <v>5.1679999999999993</v>
      </c>
      <c r="AN1448" s="31">
        <v>2.1660272382741574</v>
      </c>
      <c r="AO1448" s="31">
        <v>0.50808046329887635</v>
      </c>
      <c r="AP1448" s="31">
        <v>2.5422993725939141E-3</v>
      </c>
      <c r="AQ1448" s="31">
        <v>5.96341828139313E-4</v>
      </c>
      <c r="AR1448" s="31">
        <v>0.13050997004815151</v>
      </c>
    </row>
    <row r="1449" spans="1:44" hidden="1" x14ac:dyDescent="0.5">
      <c r="A1449" s="31">
        <v>373</v>
      </c>
      <c r="B1449" s="31">
        <v>27</v>
      </c>
      <c r="C1449" s="225" t="s">
        <v>20</v>
      </c>
      <c r="D1449" s="35">
        <v>37</v>
      </c>
      <c r="E1449" s="33">
        <v>-8.9</v>
      </c>
      <c r="F1449">
        <v>1.73</v>
      </c>
      <c r="G1449">
        <f t="shared" si="18"/>
        <v>2784.1651200000001</v>
      </c>
      <c r="H1449" s="32" t="s">
        <v>614</v>
      </c>
      <c r="I1449">
        <v>7.1</v>
      </c>
      <c r="J1449">
        <v>65.384000915639405</v>
      </c>
      <c r="K1449" s="26">
        <v>2013</v>
      </c>
      <c r="M1449" s="32">
        <v>1</v>
      </c>
      <c r="N1449">
        <v>8.7498377000000002E-2</v>
      </c>
      <c r="P1449" t="s">
        <v>12</v>
      </c>
      <c r="Q1449">
        <v>89</v>
      </c>
      <c r="R1449" t="s">
        <v>13</v>
      </c>
      <c r="S1449" t="s">
        <v>14</v>
      </c>
      <c r="T1449" t="s">
        <v>14</v>
      </c>
      <c r="U1449" s="34">
        <v>0</v>
      </c>
      <c r="V1449" s="34">
        <v>9</v>
      </c>
      <c r="W1449" s="25">
        <v>4.5</v>
      </c>
      <c r="X1449" s="25">
        <v>9</v>
      </c>
      <c r="Y1449" s="244">
        <v>1.1009764799999999</v>
      </c>
      <c r="Z1449" t="s">
        <v>714</v>
      </c>
      <c r="AA1449" t="s">
        <v>629</v>
      </c>
      <c r="AB1449">
        <v>1</v>
      </c>
      <c r="AC1449">
        <v>0</v>
      </c>
      <c r="AF1449" t="s">
        <v>524</v>
      </c>
      <c r="AG1449" s="32">
        <v>0</v>
      </c>
      <c r="AH1449" s="32" t="s">
        <v>671</v>
      </c>
      <c r="AI1449" s="32" t="s">
        <v>1129</v>
      </c>
      <c r="AJ1449" s="31" t="s">
        <v>1130</v>
      </c>
      <c r="AK1449" s="31">
        <v>0.59524549999999998</v>
      </c>
      <c r="AL1449" s="31">
        <v>0</v>
      </c>
      <c r="AM1449" s="31">
        <v>0</v>
      </c>
      <c r="AN1449" s="31">
        <v>0</v>
      </c>
      <c r="AO1449" s="31">
        <v>0</v>
      </c>
      <c r="AP1449" s="31">
        <v>0</v>
      </c>
      <c r="AQ1449" s="31">
        <v>0</v>
      </c>
      <c r="AR1449" s="31">
        <v>0.13247287996714202</v>
      </c>
    </row>
    <row r="1450" spans="1:44" hidden="1" x14ac:dyDescent="0.5">
      <c r="A1450" s="31">
        <v>374</v>
      </c>
      <c r="B1450" s="31">
        <v>27</v>
      </c>
      <c r="C1450" s="225" t="s">
        <v>20</v>
      </c>
      <c r="D1450" s="35">
        <v>37</v>
      </c>
      <c r="E1450" s="33">
        <v>-8.9</v>
      </c>
      <c r="F1450">
        <v>1.73</v>
      </c>
      <c r="G1450">
        <f t="shared" si="18"/>
        <v>2784.1651200000001</v>
      </c>
      <c r="H1450" s="32" t="s">
        <v>614</v>
      </c>
      <c r="I1450">
        <v>7.1</v>
      </c>
      <c r="J1450">
        <v>65.384000915639405</v>
      </c>
      <c r="K1450" s="26">
        <v>2013</v>
      </c>
      <c r="M1450" s="32">
        <v>1</v>
      </c>
      <c r="N1450">
        <v>8.7498377000000002E-2</v>
      </c>
      <c r="P1450" t="s">
        <v>12</v>
      </c>
      <c r="Q1450">
        <v>89</v>
      </c>
      <c r="R1450" t="s">
        <v>13</v>
      </c>
      <c r="S1450" t="s">
        <v>14</v>
      </c>
      <c r="T1450" t="s">
        <v>14</v>
      </c>
      <c r="U1450" s="34">
        <v>0</v>
      </c>
      <c r="V1450" s="34">
        <v>10</v>
      </c>
      <c r="W1450" s="25">
        <v>5</v>
      </c>
      <c r="X1450" s="25">
        <v>10</v>
      </c>
      <c r="Y1450" s="244">
        <v>1.1009764799999999</v>
      </c>
      <c r="Z1450" t="s">
        <v>714</v>
      </c>
      <c r="AA1450" t="s">
        <v>629</v>
      </c>
      <c r="AB1450">
        <v>1</v>
      </c>
      <c r="AC1450">
        <v>0</v>
      </c>
      <c r="AF1450" t="s">
        <v>524</v>
      </c>
      <c r="AG1450" s="32">
        <v>0</v>
      </c>
      <c r="AH1450" s="32" t="s">
        <v>671</v>
      </c>
      <c r="AI1450" s="32" t="s">
        <v>1129</v>
      </c>
      <c r="AJ1450" s="31" t="s">
        <v>1130</v>
      </c>
      <c r="AK1450" s="31">
        <v>0.59524549999999998</v>
      </c>
      <c r="AL1450" s="31">
        <v>0</v>
      </c>
      <c r="AM1450" s="31">
        <v>0</v>
      </c>
      <c r="AN1450" s="31">
        <v>0</v>
      </c>
      <c r="AO1450" s="31">
        <v>0</v>
      </c>
      <c r="AP1450" s="31">
        <v>0</v>
      </c>
      <c r="AQ1450" s="31">
        <v>0</v>
      </c>
      <c r="AR1450" s="31">
        <v>0.13247287996714202</v>
      </c>
    </row>
    <row r="1451" spans="1:44" hidden="1" x14ac:dyDescent="0.5">
      <c r="A1451" s="31">
        <v>375</v>
      </c>
      <c r="B1451" s="31">
        <v>27</v>
      </c>
      <c r="C1451" s="225" t="s">
        <v>20</v>
      </c>
      <c r="D1451" s="35">
        <v>37</v>
      </c>
      <c r="E1451" s="33">
        <v>-8.9</v>
      </c>
      <c r="F1451">
        <v>1.54</v>
      </c>
      <c r="G1451">
        <f t="shared" si="18"/>
        <v>2478.38976</v>
      </c>
      <c r="H1451" s="32" t="s">
        <v>614</v>
      </c>
      <c r="I1451">
        <v>7.9</v>
      </c>
      <c r="J1451">
        <v>65.384000915639405</v>
      </c>
      <c r="K1451" s="26">
        <v>2013</v>
      </c>
      <c r="M1451" s="32">
        <v>1</v>
      </c>
      <c r="N1451">
        <v>8.7498377000000002E-2</v>
      </c>
      <c r="P1451" t="s">
        <v>12</v>
      </c>
      <c r="Q1451">
        <v>89</v>
      </c>
      <c r="R1451" t="s">
        <v>13</v>
      </c>
      <c r="S1451" t="s">
        <v>14</v>
      </c>
      <c r="T1451" t="s">
        <v>14</v>
      </c>
      <c r="U1451" s="34">
        <v>0</v>
      </c>
      <c r="V1451" s="34">
        <v>10</v>
      </c>
      <c r="W1451" s="25">
        <v>5</v>
      </c>
      <c r="X1451" s="25">
        <v>10</v>
      </c>
      <c r="Y1451" s="244">
        <v>1.1009764799999999</v>
      </c>
      <c r="Z1451" t="s">
        <v>714</v>
      </c>
      <c r="AA1451" t="s">
        <v>629</v>
      </c>
      <c r="AB1451">
        <v>1</v>
      </c>
      <c r="AC1451">
        <v>6.3500000000000001E-2</v>
      </c>
      <c r="AF1451" t="s">
        <v>524</v>
      </c>
      <c r="AG1451" s="32" t="s">
        <v>1361</v>
      </c>
      <c r="AH1451" s="32" t="s">
        <v>1136</v>
      </c>
      <c r="AI1451" s="32" t="s">
        <v>1362</v>
      </c>
      <c r="AJ1451" s="31" t="s">
        <v>2820</v>
      </c>
      <c r="AK1451" s="31">
        <v>0.81</v>
      </c>
      <c r="AL1451" s="31">
        <v>51.435000000000002</v>
      </c>
      <c r="AM1451" s="31">
        <v>12.064999999999998</v>
      </c>
      <c r="AN1451" s="31">
        <v>5.0567180011179786</v>
      </c>
      <c r="AO1451" s="31">
        <v>1.1861437286573031</v>
      </c>
      <c r="AP1451" s="31">
        <v>5.5673275852235081E-3</v>
      </c>
      <c r="AQ1451" s="31">
        <v>1.3059163471511926E-3</v>
      </c>
      <c r="AR1451" s="31">
        <v>0.13236674275815347</v>
      </c>
    </row>
    <row r="1452" spans="1:44" hidden="1" x14ac:dyDescent="0.5">
      <c r="A1452" s="31">
        <v>376</v>
      </c>
      <c r="B1452" s="31">
        <v>27</v>
      </c>
      <c r="C1452" s="225" t="s">
        <v>20</v>
      </c>
      <c r="D1452" s="35">
        <v>37</v>
      </c>
      <c r="E1452" s="33">
        <v>-8.9</v>
      </c>
      <c r="F1452">
        <v>1.54</v>
      </c>
      <c r="G1452">
        <f t="shared" si="18"/>
        <v>2478.38976</v>
      </c>
      <c r="H1452" s="32" t="s">
        <v>614</v>
      </c>
      <c r="I1452">
        <v>7.9</v>
      </c>
      <c r="J1452">
        <v>65.384000915639405</v>
      </c>
      <c r="K1452" s="26">
        <v>2013</v>
      </c>
      <c r="M1452" s="32">
        <v>1</v>
      </c>
      <c r="N1452">
        <v>8.7498377000000002E-2</v>
      </c>
      <c r="P1452" t="s">
        <v>12</v>
      </c>
      <c r="Q1452">
        <v>89</v>
      </c>
      <c r="R1452" t="s">
        <v>13</v>
      </c>
      <c r="S1452" t="s">
        <v>14</v>
      </c>
      <c r="T1452" t="s">
        <v>14</v>
      </c>
      <c r="U1452" s="34">
        <v>0</v>
      </c>
      <c r="V1452" s="34">
        <v>10</v>
      </c>
      <c r="W1452" s="25">
        <v>5</v>
      </c>
      <c r="X1452" s="25">
        <v>10</v>
      </c>
      <c r="Y1452" s="244">
        <v>1.1009764799999999</v>
      </c>
      <c r="Z1452" t="s">
        <v>714</v>
      </c>
      <c r="AA1452" t="s">
        <v>629</v>
      </c>
      <c r="AB1452">
        <v>1</v>
      </c>
      <c r="AC1452">
        <v>0.26279999999999998</v>
      </c>
      <c r="AF1452" t="s">
        <v>524</v>
      </c>
      <c r="AG1452" s="32" t="s">
        <v>1363</v>
      </c>
      <c r="AH1452" s="32" t="s">
        <v>1136</v>
      </c>
      <c r="AI1452" s="32" t="s">
        <v>1364</v>
      </c>
      <c r="AJ1452" s="31" t="s">
        <v>2821</v>
      </c>
      <c r="AK1452" s="31">
        <v>0.81</v>
      </c>
      <c r="AL1452" s="31">
        <v>212.86800000000002</v>
      </c>
      <c r="AM1452" s="31">
        <v>49.931999999999988</v>
      </c>
      <c r="AN1452" s="31">
        <v>20.92764552273708</v>
      </c>
      <c r="AO1452" s="31">
        <v>4.908953888049437</v>
      </c>
      <c r="AP1452" s="31">
        <v>2.3040845502310829E-2</v>
      </c>
      <c r="AQ1452" s="31">
        <v>5.4046427721469821E-3</v>
      </c>
      <c r="AR1452" s="31">
        <v>0.13236674275815347</v>
      </c>
    </row>
    <row r="1453" spans="1:44" hidden="1" x14ac:dyDescent="0.5">
      <c r="A1453" s="31">
        <v>377</v>
      </c>
      <c r="B1453" s="31">
        <v>27</v>
      </c>
      <c r="C1453" s="225" t="s">
        <v>20</v>
      </c>
      <c r="D1453" s="35">
        <v>37</v>
      </c>
      <c r="E1453" s="33">
        <v>-8.9</v>
      </c>
      <c r="F1453">
        <v>1.54</v>
      </c>
      <c r="G1453">
        <f t="shared" si="18"/>
        <v>2478.38976</v>
      </c>
      <c r="H1453" s="32" t="s">
        <v>614</v>
      </c>
      <c r="I1453">
        <v>7.9</v>
      </c>
      <c r="J1453">
        <v>65.384000915639405</v>
      </c>
      <c r="K1453" s="26">
        <v>2013</v>
      </c>
      <c r="M1453" s="32">
        <v>1</v>
      </c>
      <c r="N1453">
        <v>8.7498377000000002E-2</v>
      </c>
      <c r="P1453" t="s">
        <v>12</v>
      </c>
      <c r="Q1453">
        <v>89</v>
      </c>
      <c r="R1453" t="s">
        <v>13</v>
      </c>
      <c r="S1453" t="s">
        <v>14</v>
      </c>
      <c r="T1453" t="s">
        <v>14</v>
      </c>
      <c r="U1453" s="34">
        <v>0</v>
      </c>
      <c r="V1453" s="34">
        <v>10</v>
      </c>
      <c r="W1453" s="25">
        <v>5</v>
      </c>
      <c r="X1453" s="25">
        <v>10</v>
      </c>
      <c r="Y1453" s="244">
        <v>1.1009764799999999</v>
      </c>
      <c r="Z1453" t="s">
        <v>714</v>
      </c>
      <c r="AA1453" t="s">
        <v>629</v>
      </c>
      <c r="AB1453">
        <v>1</v>
      </c>
      <c r="AC1453">
        <v>0.26279999999999998</v>
      </c>
      <c r="AF1453" t="s">
        <v>524</v>
      </c>
      <c r="AG1453" s="32" t="s">
        <v>1363</v>
      </c>
      <c r="AH1453" s="32" t="s">
        <v>1136</v>
      </c>
      <c r="AI1453" s="32" t="s">
        <v>1364</v>
      </c>
      <c r="AJ1453" s="31" t="s">
        <v>2821</v>
      </c>
      <c r="AK1453" s="31">
        <v>0.81</v>
      </c>
      <c r="AL1453" s="31">
        <v>212.86800000000002</v>
      </c>
      <c r="AM1453" s="31">
        <v>49.931999999999988</v>
      </c>
      <c r="AN1453" s="31">
        <v>20.92764552273708</v>
      </c>
      <c r="AO1453" s="31">
        <v>4.908953888049437</v>
      </c>
      <c r="AP1453" s="31">
        <v>2.3040845502310829E-2</v>
      </c>
      <c r="AQ1453" s="31">
        <v>5.4046427721469821E-3</v>
      </c>
      <c r="AR1453" s="31">
        <v>0.13236674275815347</v>
      </c>
    </row>
    <row r="1454" spans="1:44" hidden="1" x14ac:dyDescent="0.5">
      <c r="A1454" s="31">
        <v>378</v>
      </c>
      <c r="B1454" s="31">
        <v>27</v>
      </c>
      <c r="C1454" s="225" t="s">
        <v>20</v>
      </c>
      <c r="D1454" s="35">
        <v>37</v>
      </c>
      <c r="E1454" s="33">
        <v>-8.1999999999999993</v>
      </c>
      <c r="F1454">
        <v>6.28</v>
      </c>
      <c r="G1454">
        <f t="shared" si="18"/>
        <v>10106.680320000001</v>
      </c>
      <c r="H1454" s="32" t="s">
        <v>614</v>
      </c>
      <c r="I1454">
        <v>9.6999999999999993</v>
      </c>
      <c r="J1454">
        <v>51.216605725106902</v>
      </c>
      <c r="K1454" s="26">
        <v>2013</v>
      </c>
      <c r="M1454" s="32">
        <v>1</v>
      </c>
      <c r="N1454">
        <v>8.7498377000000002E-2</v>
      </c>
      <c r="P1454" t="s">
        <v>12</v>
      </c>
      <c r="Q1454">
        <v>89</v>
      </c>
      <c r="R1454" t="s">
        <v>13</v>
      </c>
      <c r="S1454" t="s">
        <v>14</v>
      </c>
      <c r="T1454" t="s">
        <v>14</v>
      </c>
      <c r="U1454" s="34">
        <v>0</v>
      </c>
      <c r="V1454" s="34">
        <v>5</v>
      </c>
      <c r="W1454" s="25">
        <v>2.5</v>
      </c>
      <c r="X1454" s="25">
        <v>5</v>
      </c>
      <c r="Y1454" s="244">
        <v>1.1009764799999999</v>
      </c>
      <c r="Z1454" t="s">
        <v>714</v>
      </c>
      <c r="AA1454" t="s">
        <v>629</v>
      </c>
      <c r="AB1454">
        <v>1</v>
      </c>
      <c r="AC1454">
        <v>0</v>
      </c>
      <c r="AF1454" t="s">
        <v>524</v>
      </c>
      <c r="AG1454" s="32">
        <v>0</v>
      </c>
      <c r="AH1454" s="32" t="s">
        <v>671</v>
      </c>
      <c r="AI1454" s="32" t="s">
        <v>1129</v>
      </c>
      <c r="AJ1454" s="31" t="s">
        <v>1130</v>
      </c>
      <c r="AK1454" s="31">
        <v>0.59524549999999998</v>
      </c>
      <c r="AL1454" s="31">
        <v>0</v>
      </c>
      <c r="AM1454" s="31">
        <v>0</v>
      </c>
      <c r="AN1454" s="31">
        <v>0</v>
      </c>
      <c r="AO1454" s="31">
        <v>0</v>
      </c>
      <c r="AP1454" s="31">
        <v>0</v>
      </c>
      <c r="AQ1454" s="31">
        <v>0</v>
      </c>
      <c r="AR1454" s="31">
        <v>0.13212824485097038</v>
      </c>
    </row>
    <row r="1455" spans="1:44" hidden="1" x14ac:dyDescent="0.5">
      <c r="A1455" s="31">
        <v>379</v>
      </c>
      <c r="B1455" s="31">
        <v>27</v>
      </c>
      <c r="C1455" s="225" t="s">
        <v>20</v>
      </c>
      <c r="D1455" s="35">
        <v>37</v>
      </c>
      <c r="E1455" s="33">
        <v>-8.1999999999999993</v>
      </c>
      <c r="F1455">
        <v>6.28</v>
      </c>
      <c r="G1455">
        <f t="shared" si="18"/>
        <v>10106.680320000001</v>
      </c>
      <c r="H1455" s="32" t="s">
        <v>614</v>
      </c>
      <c r="I1455">
        <v>9.6999999999999993</v>
      </c>
      <c r="J1455">
        <v>51.216605725106902</v>
      </c>
      <c r="K1455" s="26">
        <v>2013</v>
      </c>
      <c r="M1455" s="32">
        <v>1</v>
      </c>
      <c r="N1455">
        <v>8.7498377000000002E-2</v>
      </c>
      <c r="P1455" t="s">
        <v>12</v>
      </c>
      <c r="Q1455">
        <v>89</v>
      </c>
      <c r="R1455" t="s">
        <v>13</v>
      </c>
      <c r="S1455" t="s">
        <v>14</v>
      </c>
      <c r="T1455" t="s">
        <v>14</v>
      </c>
      <c r="U1455" s="34">
        <v>0</v>
      </c>
      <c r="V1455" s="34">
        <v>6</v>
      </c>
      <c r="W1455" s="25">
        <v>3</v>
      </c>
      <c r="X1455" s="25">
        <v>6</v>
      </c>
      <c r="Y1455" s="244">
        <v>1.1009764799999999</v>
      </c>
      <c r="Z1455" t="s">
        <v>714</v>
      </c>
      <c r="AA1455" t="s">
        <v>629</v>
      </c>
      <c r="AB1455">
        <v>1</v>
      </c>
      <c r="AC1455">
        <v>0</v>
      </c>
      <c r="AF1455" t="s">
        <v>524</v>
      </c>
      <c r="AG1455" s="32">
        <v>0</v>
      </c>
      <c r="AH1455" s="32" t="s">
        <v>671</v>
      </c>
      <c r="AI1455" s="32" t="s">
        <v>1129</v>
      </c>
      <c r="AJ1455" s="31" t="s">
        <v>1130</v>
      </c>
      <c r="AK1455" s="31">
        <v>0.59524549999999998</v>
      </c>
      <c r="AL1455" s="31">
        <v>0</v>
      </c>
      <c r="AM1455" s="31">
        <v>0</v>
      </c>
      <c r="AN1455" s="31">
        <v>0</v>
      </c>
      <c r="AO1455" s="31">
        <v>0</v>
      </c>
      <c r="AP1455" s="31">
        <v>0</v>
      </c>
      <c r="AQ1455" s="31">
        <v>0</v>
      </c>
      <c r="AR1455" s="31">
        <v>0.13212824485097038</v>
      </c>
    </row>
    <row r="1456" spans="1:44" hidden="1" x14ac:dyDescent="0.5">
      <c r="A1456" s="31">
        <v>380</v>
      </c>
      <c r="B1456" s="31">
        <v>27</v>
      </c>
      <c r="C1456" s="225" t="s">
        <v>20</v>
      </c>
      <c r="D1456" s="35">
        <v>37</v>
      </c>
      <c r="E1456" s="33">
        <v>-8.1999999999999993</v>
      </c>
      <c r="F1456">
        <v>6.28</v>
      </c>
      <c r="G1456">
        <f t="shared" si="18"/>
        <v>10106.680320000001</v>
      </c>
      <c r="H1456" s="32" t="s">
        <v>614</v>
      </c>
      <c r="I1456">
        <v>9.6999999999999993</v>
      </c>
      <c r="J1456">
        <v>51.216605725106902</v>
      </c>
      <c r="K1456" s="26">
        <v>2013</v>
      </c>
      <c r="M1456" s="32">
        <v>1</v>
      </c>
      <c r="N1456">
        <v>8.7498377000000002E-2</v>
      </c>
      <c r="P1456" t="s">
        <v>12</v>
      </c>
      <c r="Q1456">
        <v>89</v>
      </c>
      <c r="R1456" t="s">
        <v>13</v>
      </c>
      <c r="S1456" t="s">
        <v>14</v>
      </c>
      <c r="T1456" t="s">
        <v>14</v>
      </c>
      <c r="U1456" s="34">
        <v>0</v>
      </c>
      <c r="V1456" s="34">
        <v>6</v>
      </c>
      <c r="W1456" s="25">
        <v>3</v>
      </c>
      <c r="X1456" s="25">
        <v>6</v>
      </c>
      <c r="Y1456" s="244">
        <v>1.1009764799999999</v>
      </c>
      <c r="Z1456" t="s">
        <v>714</v>
      </c>
      <c r="AA1456" t="s">
        <v>629</v>
      </c>
      <c r="AB1456">
        <v>1</v>
      </c>
      <c r="AC1456">
        <v>0.11840000000000001</v>
      </c>
      <c r="AF1456" t="s">
        <v>524</v>
      </c>
      <c r="AG1456" s="32" t="s">
        <v>1365</v>
      </c>
      <c r="AH1456" s="32" t="s">
        <v>1136</v>
      </c>
      <c r="AI1456" s="32" t="s">
        <v>1366</v>
      </c>
      <c r="AJ1456" s="31" t="s">
        <v>2822</v>
      </c>
      <c r="AK1456" s="31">
        <v>0.81</v>
      </c>
      <c r="AL1456" s="31">
        <v>95.904000000000011</v>
      </c>
      <c r="AM1456" s="31">
        <v>22.495999999999995</v>
      </c>
      <c r="AN1456" s="31">
        <v>9.4285891548404503</v>
      </c>
      <c r="AO1456" s="31">
        <v>2.2116443696539321</v>
      </c>
      <c r="AP1456" s="31">
        <v>1.0380654899062414E-2</v>
      </c>
      <c r="AQ1456" s="31">
        <v>2.434968433113405E-3</v>
      </c>
      <c r="AR1456" s="31">
        <v>0.13212824485097038</v>
      </c>
    </row>
    <row r="1457" spans="1:44" hidden="1" x14ac:dyDescent="0.5">
      <c r="A1457" s="31">
        <v>384</v>
      </c>
      <c r="B1457" s="31">
        <v>27</v>
      </c>
      <c r="C1457" s="225" t="s">
        <v>20</v>
      </c>
      <c r="D1457" s="35">
        <v>37</v>
      </c>
      <c r="E1457" s="33">
        <v>-8.1</v>
      </c>
      <c r="F1457">
        <v>3.89</v>
      </c>
      <c r="G1457">
        <f t="shared" si="18"/>
        <v>6260.3481600000005</v>
      </c>
      <c r="H1457" s="32" t="s">
        <v>614</v>
      </c>
      <c r="I1457">
        <v>17</v>
      </c>
      <c r="J1457">
        <v>51.4816231522462</v>
      </c>
      <c r="K1457" s="26">
        <v>2013</v>
      </c>
      <c r="M1457" s="32">
        <v>1</v>
      </c>
      <c r="N1457">
        <v>8.7498377000000002E-2</v>
      </c>
      <c r="P1457" t="s">
        <v>12</v>
      </c>
      <c r="Q1457">
        <v>89</v>
      </c>
      <c r="R1457" t="s">
        <v>13</v>
      </c>
      <c r="S1457" t="s">
        <v>14</v>
      </c>
      <c r="T1457" t="s">
        <v>14</v>
      </c>
      <c r="U1457" s="34">
        <v>0</v>
      </c>
      <c r="V1457" s="34">
        <v>5</v>
      </c>
      <c r="W1457" s="25">
        <v>2.5</v>
      </c>
      <c r="X1457" s="25">
        <v>5</v>
      </c>
      <c r="Y1457" s="244">
        <v>1.1009764799999999</v>
      </c>
      <c r="Z1457" t="s">
        <v>714</v>
      </c>
      <c r="AA1457" t="s">
        <v>629</v>
      </c>
      <c r="AB1457">
        <v>1</v>
      </c>
      <c r="AC1457">
        <v>0</v>
      </c>
      <c r="AF1457" t="s">
        <v>524</v>
      </c>
      <c r="AG1457" s="32">
        <v>0</v>
      </c>
      <c r="AH1457" s="32" t="s">
        <v>671</v>
      </c>
      <c r="AI1457" s="32" t="s">
        <v>1129</v>
      </c>
      <c r="AJ1457" s="31" t="s">
        <v>1130</v>
      </c>
      <c r="AK1457" s="31">
        <v>0.59524549999999998</v>
      </c>
      <c r="AL1457" s="31">
        <v>0</v>
      </c>
      <c r="AM1457" s="31">
        <v>0</v>
      </c>
      <c r="AN1457" s="31">
        <v>0</v>
      </c>
      <c r="AO1457" s="31">
        <v>0</v>
      </c>
      <c r="AP1457" s="31">
        <v>0</v>
      </c>
      <c r="AQ1457" s="31">
        <v>0</v>
      </c>
      <c r="AR1457" s="31">
        <v>0.13116540060225193</v>
      </c>
    </row>
    <row r="1458" spans="1:44" hidden="1" x14ac:dyDescent="0.5">
      <c r="A1458" s="31">
        <v>385</v>
      </c>
      <c r="B1458" s="31">
        <v>27</v>
      </c>
      <c r="C1458" s="225" t="s">
        <v>20</v>
      </c>
      <c r="D1458" s="35">
        <v>37</v>
      </c>
      <c r="E1458" s="33">
        <v>-8.1</v>
      </c>
      <c r="F1458">
        <v>3.89</v>
      </c>
      <c r="G1458">
        <f t="shared" si="18"/>
        <v>6260.3481600000005</v>
      </c>
      <c r="H1458" s="32" t="s">
        <v>614</v>
      </c>
      <c r="I1458">
        <v>17</v>
      </c>
      <c r="J1458">
        <v>51.4816231522462</v>
      </c>
      <c r="K1458" s="26">
        <v>2013</v>
      </c>
      <c r="M1458" s="32">
        <v>1</v>
      </c>
      <c r="N1458">
        <v>8.7498377000000002E-2</v>
      </c>
      <c r="P1458" t="s">
        <v>12</v>
      </c>
      <c r="Q1458">
        <v>89</v>
      </c>
      <c r="R1458" t="s">
        <v>13</v>
      </c>
      <c r="S1458" t="s">
        <v>14</v>
      </c>
      <c r="T1458" t="s">
        <v>14</v>
      </c>
      <c r="U1458" s="34">
        <v>0</v>
      </c>
      <c r="V1458" s="34">
        <v>5</v>
      </c>
      <c r="W1458" s="25">
        <v>2.5</v>
      </c>
      <c r="X1458" s="25">
        <v>5</v>
      </c>
      <c r="Y1458" s="244">
        <v>1.1009764799999999</v>
      </c>
      <c r="Z1458" t="s">
        <v>714</v>
      </c>
      <c r="AA1458" t="s">
        <v>629</v>
      </c>
      <c r="AB1458">
        <v>1</v>
      </c>
      <c r="AC1458">
        <v>0</v>
      </c>
      <c r="AF1458" t="s">
        <v>524</v>
      </c>
      <c r="AG1458" s="32">
        <v>0</v>
      </c>
      <c r="AH1458" s="32" t="s">
        <v>671</v>
      </c>
      <c r="AI1458" s="32" t="s">
        <v>1129</v>
      </c>
      <c r="AJ1458" s="31" t="s">
        <v>1130</v>
      </c>
      <c r="AK1458" s="31">
        <v>0.59524549999999998</v>
      </c>
      <c r="AL1458" s="31">
        <v>0</v>
      </c>
      <c r="AM1458" s="31">
        <v>0</v>
      </c>
      <c r="AN1458" s="31">
        <v>0</v>
      </c>
      <c r="AO1458" s="31">
        <v>0</v>
      </c>
      <c r="AP1458" s="31">
        <v>0</v>
      </c>
      <c r="AQ1458" s="31">
        <v>0</v>
      </c>
      <c r="AR1458" s="31">
        <v>0.13116540060225193</v>
      </c>
    </row>
    <row r="1459" spans="1:44" hidden="1" x14ac:dyDescent="0.5">
      <c r="A1459" s="31">
        <v>386</v>
      </c>
      <c r="B1459" s="31">
        <v>27</v>
      </c>
      <c r="C1459" s="225" t="s">
        <v>20</v>
      </c>
      <c r="D1459" s="35">
        <v>37</v>
      </c>
      <c r="E1459" s="33">
        <v>-8.1</v>
      </c>
      <c r="F1459">
        <v>3.89</v>
      </c>
      <c r="G1459">
        <f t="shared" si="18"/>
        <v>6260.3481600000005</v>
      </c>
      <c r="H1459" s="32" t="s">
        <v>614</v>
      </c>
      <c r="I1459">
        <v>17</v>
      </c>
      <c r="J1459">
        <v>51.4816231522462</v>
      </c>
      <c r="K1459" s="26">
        <v>2013</v>
      </c>
      <c r="M1459" s="32">
        <v>1</v>
      </c>
      <c r="N1459">
        <v>8.7498377000000002E-2</v>
      </c>
      <c r="P1459" t="s">
        <v>12</v>
      </c>
      <c r="Q1459">
        <v>89</v>
      </c>
      <c r="R1459" t="s">
        <v>13</v>
      </c>
      <c r="S1459" t="s">
        <v>14</v>
      </c>
      <c r="T1459" t="s">
        <v>14</v>
      </c>
      <c r="U1459" s="34">
        <v>0</v>
      </c>
      <c r="V1459" s="34">
        <v>5</v>
      </c>
      <c r="W1459" s="25">
        <v>2.5</v>
      </c>
      <c r="X1459" s="25">
        <v>5</v>
      </c>
      <c r="Y1459" s="244">
        <v>1.1009764799999999</v>
      </c>
      <c r="Z1459" t="s">
        <v>714</v>
      </c>
      <c r="AA1459" t="s">
        <v>629</v>
      </c>
      <c r="AB1459">
        <v>1</v>
      </c>
      <c r="AC1459">
        <v>0</v>
      </c>
      <c r="AF1459" t="s">
        <v>524</v>
      </c>
      <c r="AG1459" s="32">
        <v>0</v>
      </c>
      <c r="AH1459" s="32" t="s">
        <v>671</v>
      </c>
      <c r="AI1459" s="32" t="s">
        <v>1129</v>
      </c>
      <c r="AJ1459" s="31" t="s">
        <v>1130</v>
      </c>
      <c r="AK1459" s="31">
        <v>0.59524549999999998</v>
      </c>
      <c r="AL1459" s="31">
        <v>0</v>
      </c>
      <c r="AM1459" s="31">
        <v>0</v>
      </c>
      <c r="AN1459" s="31">
        <v>0</v>
      </c>
      <c r="AO1459" s="31">
        <v>0</v>
      </c>
      <c r="AP1459" s="31">
        <v>0</v>
      </c>
      <c r="AQ1459" s="31">
        <v>0</v>
      </c>
      <c r="AR1459" s="31">
        <v>0.13116540060225193</v>
      </c>
    </row>
    <row r="1460" spans="1:44" hidden="1" x14ac:dyDescent="0.5">
      <c r="A1460" s="31">
        <v>610</v>
      </c>
      <c r="B1460" s="31">
        <v>46</v>
      </c>
      <c r="C1460" s="225" t="s">
        <v>29</v>
      </c>
      <c r="D1460" s="35">
        <v>-43.551034000000001</v>
      </c>
      <c r="E1460" s="33">
        <v>172.751383</v>
      </c>
      <c r="F1460">
        <v>0</v>
      </c>
      <c r="G1460">
        <f t="shared" si="18"/>
        <v>0</v>
      </c>
      <c r="H1460" s="32" t="s">
        <v>10</v>
      </c>
      <c r="I1460">
        <v>0</v>
      </c>
      <c r="J1460">
        <v>37.904453456193202</v>
      </c>
      <c r="K1460" s="26">
        <v>2013</v>
      </c>
      <c r="L1460" t="s">
        <v>11</v>
      </c>
      <c r="M1460" s="32">
        <v>32</v>
      </c>
      <c r="N1460">
        <v>3.4233292909999999</v>
      </c>
      <c r="O1460">
        <v>5.6</v>
      </c>
      <c r="P1460" t="s">
        <v>12</v>
      </c>
      <c r="Q1460">
        <v>97</v>
      </c>
      <c r="R1460" t="s">
        <v>13</v>
      </c>
      <c r="S1460" t="s">
        <v>21</v>
      </c>
      <c r="T1460" t="s">
        <v>28</v>
      </c>
      <c r="U1460" s="34">
        <v>0</v>
      </c>
      <c r="V1460" s="34">
        <v>2</v>
      </c>
      <c r="W1460" s="25">
        <v>1</v>
      </c>
      <c r="X1460" s="25">
        <v>2</v>
      </c>
      <c r="Y1460">
        <v>0.97899434900000004</v>
      </c>
      <c r="Z1460" t="s">
        <v>775</v>
      </c>
      <c r="AA1460" t="s">
        <v>637</v>
      </c>
      <c r="AB1460">
        <v>3</v>
      </c>
      <c r="AC1460">
        <v>36.6</v>
      </c>
      <c r="AD1460">
        <v>14.3</v>
      </c>
      <c r="AF1460" t="s">
        <v>532</v>
      </c>
      <c r="AG1460" s="32" t="s">
        <v>1641</v>
      </c>
      <c r="AH1460" s="32" t="s">
        <v>671</v>
      </c>
      <c r="AI1460" s="32" t="s">
        <v>1129</v>
      </c>
      <c r="AJ1460" s="31" t="s">
        <v>1130</v>
      </c>
      <c r="AK1460" s="31">
        <v>0.59524549999999998</v>
      </c>
      <c r="AL1460" s="31">
        <v>53.825183660712845</v>
      </c>
      <c r="AM1460" s="31">
        <v>36.6</v>
      </c>
      <c r="AN1460" s="31">
        <v>189.96013177234317</v>
      </c>
      <c r="AO1460" s="31">
        <v>129.16891963979381</v>
      </c>
      <c r="AP1460" s="31">
        <v>0.18596989554041932</v>
      </c>
      <c r="AQ1460" s="31">
        <v>0.12645564239379328</v>
      </c>
      <c r="AR1460" s="31">
        <v>0.13341858489683281</v>
      </c>
    </row>
    <row r="1461" spans="1:44" hidden="1" x14ac:dyDescent="0.5">
      <c r="A1461" s="31">
        <v>611</v>
      </c>
      <c r="B1461" s="31">
        <v>46</v>
      </c>
      <c r="C1461" s="225" t="s">
        <v>29</v>
      </c>
      <c r="D1461" s="35">
        <v>-43.530867000000001</v>
      </c>
      <c r="E1461" s="33">
        <v>172.74160000000001</v>
      </c>
      <c r="F1461">
        <v>0</v>
      </c>
      <c r="G1461">
        <f t="shared" si="18"/>
        <v>0</v>
      </c>
      <c r="H1461" s="32" t="s">
        <v>10</v>
      </c>
      <c r="I1461">
        <v>0</v>
      </c>
      <c r="J1461">
        <v>36.937372219096098</v>
      </c>
      <c r="K1461" s="26">
        <v>2013</v>
      </c>
      <c r="L1461" t="s">
        <v>11</v>
      </c>
      <c r="M1461" s="32">
        <v>32</v>
      </c>
      <c r="N1461">
        <v>3.4233292909999999</v>
      </c>
      <c r="O1461">
        <v>5.6</v>
      </c>
      <c r="P1461" t="s">
        <v>12</v>
      </c>
      <c r="Q1461">
        <v>97</v>
      </c>
      <c r="R1461" t="s">
        <v>13</v>
      </c>
      <c r="S1461" t="s">
        <v>21</v>
      </c>
      <c r="T1461" t="s">
        <v>28</v>
      </c>
      <c r="U1461" s="34">
        <v>0</v>
      </c>
      <c r="V1461" s="34">
        <v>2</v>
      </c>
      <c r="W1461" s="25">
        <v>1</v>
      </c>
      <c r="X1461" s="25">
        <v>2</v>
      </c>
      <c r="Y1461">
        <v>0.97899434900000004</v>
      </c>
      <c r="Z1461" t="s">
        <v>775</v>
      </c>
      <c r="AA1461" t="s">
        <v>637</v>
      </c>
      <c r="AB1461">
        <v>3</v>
      </c>
      <c r="AC1461">
        <v>29.4</v>
      </c>
      <c r="AD1461">
        <v>13.2</v>
      </c>
      <c r="AF1461" t="s">
        <v>532</v>
      </c>
      <c r="AG1461" s="32" t="s">
        <v>1642</v>
      </c>
      <c r="AH1461" s="32" t="s">
        <v>671</v>
      </c>
      <c r="AI1461" s="32" t="s">
        <v>1129</v>
      </c>
      <c r="AJ1461" s="31" t="s">
        <v>1130</v>
      </c>
      <c r="AK1461" s="31">
        <v>0.59524549999999998</v>
      </c>
      <c r="AL1461" s="31">
        <v>43.236622940572609</v>
      </c>
      <c r="AM1461" s="31">
        <v>29.4</v>
      </c>
      <c r="AN1461" s="31">
        <v>152.59092552204615</v>
      </c>
      <c r="AO1461" s="31">
        <v>103.75864036639175</v>
      </c>
      <c r="AP1461" s="31">
        <v>0.14938565379476307</v>
      </c>
      <c r="AQ1461" s="31">
        <v>0.10157912257862081</v>
      </c>
      <c r="AR1461" s="31">
        <v>0.13341858489683281</v>
      </c>
    </row>
    <row r="1462" spans="1:44" hidden="1" x14ac:dyDescent="0.5">
      <c r="A1462" s="31">
        <v>612</v>
      </c>
      <c r="B1462" s="31">
        <v>46</v>
      </c>
      <c r="C1462" s="225" t="s">
        <v>29</v>
      </c>
      <c r="D1462" s="35">
        <v>-43.507474999999999</v>
      </c>
      <c r="E1462" s="33">
        <v>172.73256799999999</v>
      </c>
      <c r="F1462">
        <v>0</v>
      </c>
      <c r="G1462">
        <f t="shared" si="18"/>
        <v>0</v>
      </c>
      <c r="H1462" s="32" t="s">
        <v>10</v>
      </c>
      <c r="I1462">
        <v>0</v>
      </c>
      <c r="J1462">
        <v>35.948941406972502</v>
      </c>
      <c r="K1462" s="26">
        <v>2013</v>
      </c>
      <c r="L1462" t="s">
        <v>11</v>
      </c>
      <c r="M1462" s="32">
        <v>32</v>
      </c>
      <c r="N1462">
        <v>3.4233292909999999</v>
      </c>
      <c r="O1462">
        <v>5.6</v>
      </c>
      <c r="P1462" t="s">
        <v>12</v>
      </c>
      <c r="Q1462">
        <v>97</v>
      </c>
      <c r="R1462" t="s">
        <v>13</v>
      </c>
      <c r="S1462" t="s">
        <v>21</v>
      </c>
      <c r="T1462" t="s">
        <v>28</v>
      </c>
      <c r="U1462" s="34">
        <v>0</v>
      </c>
      <c r="V1462" s="34">
        <v>2</v>
      </c>
      <c r="W1462" s="25">
        <v>1</v>
      </c>
      <c r="X1462" s="25">
        <v>2</v>
      </c>
      <c r="Y1462">
        <v>0.89401670899999997</v>
      </c>
      <c r="Z1462" t="s">
        <v>775</v>
      </c>
      <c r="AA1462" t="s">
        <v>638</v>
      </c>
      <c r="AB1462">
        <v>3</v>
      </c>
      <c r="AC1462">
        <v>33.1</v>
      </c>
      <c r="AD1462">
        <v>11.5</v>
      </c>
      <c r="AF1462" t="s">
        <v>532</v>
      </c>
      <c r="AG1462" s="32" t="s">
        <v>1643</v>
      </c>
      <c r="AH1462" s="32" t="s">
        <v>671</v>
      </c>
      <c r="AI1462" s="32" t="s">
        <v>1129</v>
      </c>
      <c r="AJ1462" s="31" t="s">
        <v>1130</v>
      </c>
      <c r="AK1462" s="31">
        <v>0.59524549999999998</v>
      </c>
      <c r="AL1462" s="31">
        <v>48.677966643978017</v>
      </c>
      <c r="AM1462" s="31">
        <v>33.1</v>
      </c>
      <c r="AN1462" s="31">
        <v>171.79454540067104</v>
      </c>
      <c r="AO1462" s="31">
        <v>116.81670054855671</v>
      </c>
      <c r="AP1462" s="31">
        <v>0.15358719410325899</v>
      </c>
      <c r="AQ1462" s="31">
        <v>0.10443608218065915</v>
      </c>
      <c r="AR1462" s="31">
        <v>0.13341858489683281</v>
      </c>
    </row>
    <row r="1463" spans="1:44" hidden="1" x14ac:dyDescent="0.5">
      <c r="A1463" s="31">
        <v>613</v>
      </c>
      <c r="B1463" s="31">
        <v>46</v>
      </c>
      <c r="C1463" s="225" t="s">
        <v>29</v>
      </c>
      <c r="D1463" s="35">
        <v>-43.176178999999998</v>
      </c>
      <c r="E1463" s="33">
        <v>172.77849000000001</v>
      </c>
      <c r="F1463">
        <v>0</v>
      </c>
      <c r="G1463">
        <f t="shared" si="18"/>
        <v>0</v>
      </c>
      <c r="H1463" s="32" t="s">
        <v>10</v>
      </c>
      <c r="I1463">
        <v>0</v>
      </c>
      <c r="J1463">
        <v>30.959597655520199</v>
      </c>
      <c r="K1463" s="26">
        <v>2013</v>
      </c>
      <c r="L1463" t="s">
        <v>11</v>
      </c>
      <c r="M1463" s="32">
        <v>32</v>
      </c>
      <c r="N1463">
        <v>3.4233292909999999</v>
      </c>
      <c r="O1463">
        <v>5.6</v>
      </c>
      <c r="P1463" t="s">
        <v>12</v>
      </c>
      <c r="Q1463">
        <v>97</v>
      </c>
      <c r="R1463" t="s">
        <v>13</v>
      </c>
      <c r="S1463" t="s">
        <v>21</v>
      </c>
      <c r="T1463" t="s">
        <v>28</v>
      </c>
      <c r="U1463" s="34">
        <v>0</v>
      </c>
      <c r="V1463" s="34">
        <v>2</v>
      </c>
      <c r="W1463" s="25">
        <v>1</v>
      </c>
      <c r="X1463" s="25">
        <v>2</v>
      </c>
      <c r="Y1463">
        <v>0.96063527100000001</v>
      </c>
      <c r="Z1463" t="s">
        <v>775</v>
      </c>
      <c r="AA1463" t="s">
        <v>639</v>
      </c>
      <c r="AB1463">
        <v>3</v>
      </c>
      <c r="AC1463">
        <v>3.3</v>
      </c>
      <c r="AD1463">
        <v>2.9</v>
      </c>
      <c r="AF1463" t="s">
        <v>532</v>
      </c>
      <c r="AG1463" s="32" t="s">
        <v>1644</v>
      </c>
      <c r="AH1463" s="32" t="s">
        <v>671</v>
      </c>
      <c r="AI1463" s="32" t="s">
        <v>1129</v>
      </c>
      <c r="AJ1463" s="31" t="s">
        <v>1130</v>
      </c>
      <c r="AK1463" s="31">
        <v>0.59524549999999998</v>
      </c>
      <c r="AL1463" s="31">
        <v>4.8530903300642736</v>
      </c>
      <c r="AM1463" s="31">
        <v>3.3</v>
      </c>
      <c r="AN1463" s="31">
        <v>17.127552864719469</v>
      </c>
      <c r="AO1463" s="31">
        <v>11.646378000309278</v>
      </c>
      <c r="AP1463" s="31">
        <v>1.6453331387766616E-2</v>
      </c>
      <c r="AQ1463" s="31">
        <v>1.1187921486495542E-2</v>
      </c>
      <c r="AR1463" s="31">
        <v>0.13341858489683281</v>
      </c>
    </row>
    <row r="1464" spans="1:44" hidden="1" x14ac:dyDescent="0.5">
      <c r="A1464" s="31">
        <v>614</v>
      </c>
      <c r="B1464" s="31">
        <v>46</v>
      </c>
      <c r="C1464" s="225" t="s">
        <v>29</v>
      </c>
      <c r="D1464" s="35">
        <v>-39.640251999999997</v>
      </c>
      <c r="E1464" s="33">
        <v>177.00624999999999</v>
      </c>
      <c r="F1464">
        <v>0</v>
      </c>
      <c r="G1464">
        <f t="shared" si="18"/>
        <v>0</v>
      </c>
      <c r="H1464" s="32" t="s">
        <v>10</v>
      </c>
      <c r="I1464">
        <v>0</v>
      </c>
      <c r="J1464">
        <v>11.647253734300801</v>
      </c>
      <c r="K1464" s="26">
        <v>2013</v>
      </c>
      <c r="L1464" t="s">
        <v>11</v>
      </c>
      <c r="M1464" s="32">
        <v>32</v>
      </c>
      <c r="N1464">
        <v>3.4233292909999999</v>
      </c>
      <c r="O1464">
        <v>5.6</v>
      </c>
      <c r="P1464" t="s">
        <v>12</v>
      </c>
      <c r="Q1464">
        <v>97</v>
      </c>
      <c r="R1464" t="s">
        <v>13</v>
      </c>
      <c r="S1464" t="s">
        <v>21</v>
      </c>
      <c r="T1464" t="s">
        <v>28</v>
      </c>
      <c r="U1464" s="34">
        <v>0</v>
      </c>
      <c r="V1464" s="34">
        <v>2</v>
      </c>
      <c r="W1464" s="25">
        <v>1</v>
      </c>
      <c r="X1464" s="25">
        <v>2</v>
      </c>
      <c r="Y1464">
        <v>0.97899434900000004</v>
      </c>
      <c r="Z1464" t="s">
        <v>775</v>
      </c>
      <c r="AA1464" t="s">
        <v>637</v>
      </c>
      <c r="AB1464">
        <v>3</v>
      </c>
      <c r="AC1464">
        <v>3.3</v>
      </c>
      <c r="AD1464">
        <v>2.9</v>
      </c>
      <c r="AF1464" t="s">
        <v>532</v>
      </c>
      <c r="AG1464" s="32" t="s">
        <v>1644</v>
      </c>
      <c r="AH1464" s="32" t="s">
        <v>671</v>
      </c>
      <c r="AI1464" s="32" t="s">
        <v>1129</v>
      </c>
      <c r="AJ1464" s="31" t="s">
        <v>1130</v>
      </c>
      <c r="AK1464" s="31">
        <v>0.59524549999999998</v>
      </c>
      <c r="AL1464" s="31">
        <v>4.8530903300642736</v>
      </c>
      <c r="AM1464" s="31">
        <v>3.3</v>
      </c>
      <c r="AN1464" s="31">
        <v>17.127552864719469</v>
      </c>
      <c r="AO1464" s="31">
        <v>11.646378000309278</v>
      </c>
      <c r="AP1464" s="31">
        <v>1.6767777466759122E-2</v>
      </c>
      <c r="AQ1464" s="31">
        <v>1.1401738248620704E-2</v>
      </c>
      <c r="AR1464" s="31">
        <v>0.13341858489683281</v>
      </c>
    </row>
    <row r="1465" spans="1:44" hidden="1" x14ac:dyDescent="0.5">
      <c r="A1465" s="31">
        <v>615</v>
      </c>
      <c r="B1465" s="31">
        <v>46</v>
      </c>
      <c r="C1465" s="225" t="s">
        <v>29</v>
      </c>
      <c r="D1465" s="35">
        <v>-43.830156000000002</v>
      </c>
      <c r="E1465" s="33">
        <v>172.94369900000001</v>
      </c>
      <c r="F1465">
        <v>0</v>
      </c>
      <c r="G1465">
        <f t="shared" si="18"/>
        <v>0</v>
      </c>
      <c r="H1465" s="32" t="s">
        <v>47</v>
      </c>
      <c r="I1465">
        <v>0</v>
      </c>
      <c r="J1465">
        <v>62.8247645279938</v>
      </c>
      <c r="K1465" s="26">
        <v>2013</v>
      </c>
      <c r="L1465" t="s">
        <v>11</v>
      </c>
      <c r="M1465" s="32">
        <v>32</v>
      </c>
      <c r="N1465">
        <v>3.4233292909999999</v>
      </c>
      <c r="O1465">
        <v>5.6</v>
      </c>
      <c r="P1465" t="s">
        <v>12</v>
      </c>
      <c r="Q1465">
        <v>97</v>
      </c>
      <c r="R1465" t="s">
        <v>13</v>
      </c>
      <c r="S1465" t="s">
        <v>21</v>
      </c>
      <c r="T1465" t="s">
        <v>28</v>
      </c>
      <c r="U1465" s="34">
        <v>0</v>
      </c>
      <c r="V1465" s="34">
        <v>2</v>
      </c>
      <c r="W1465" s="25">
        <v>1</v>
      </c>
      <c r="X1465" s="25">
        <v>2</v>
      </c>
      <c r="Y1465">
        <v>0.97899434900000004</v>
      </c>
      <c r="Z1465" t="s">
        <v>775</v>
      </c>
      <c r="AA1465" t="s">
        <v>637</v>
      </c>
      <c r="AB1465">
        <v>3</v>
      </c>
      <c r="AC1465">
        <v>6.7</v>
      </c>
      <c r="AD1465">
        <v>7.7</v>
      </c>
      <c r="AF1465" t="s">
        <v>532</v>
      </c>
      <c r="AG1465" s="32" t="s">
        <v>1645</v>
      </c>
      <c r="AH1465" s="32" t="s">
        <v>671</v>
      </c>
      <c r="AI1465" s="32" t="s">
        <v>1129</v>
      </c>
      <c r="AJ1465" s="31" t="s">
        <v>1130</v>
      </c>
      <c r="AK1465" s="31">
        <v>0.59524549999999998</v>
      </c>
      <c r="AL1465" s="31">
        <v>9.8532440034638284</v>
      </c>
      <c r="AM1465" s="31">
        <v>6.7</v>
      </c>
      <c r="AN1465" s="31">
        <v>34.774122482915288</v>
      </c>
      <c r="AO1465" s="31">
        <v>23.645676546082473</v>
      </c>
      <c r="AP1465" s="31">
        <v>3.4043669402207918E-2</v>
      </c>
      <c r="AQ1465" s="31">
        <v>2.3148983716896578E-2</v>
      </c>
      <c r="AR1465" s="31">
        <v>0.13341858489683281</v>
      </c>
    </row>
    <row r="1466" spans="1:44" hidden="1" x14ac:dyDescent="0.5">
      <c r="A1466" s="31">
        <v>1465</v>
      </c>
      <c r="B1466" s="31">
        <v>108</v>
      </c>
      <c r="C1466" s="225" t="s">
        <v>19</v>
      </c>
      <c r="D1466" s="41">
        <v>29.548815999999999</v>
      </c>
      <c r="E1466" s="43">
        <v>121.711078</v>
      </c>
      <c r="F1466">
        <v>0</v>
      </c>
      <c r="G1466">
        <f t="shared" si="18"/>
        <v>0</v>
      </c>
      <c r="H1466" s="32" t="s">
        <v>614</v>
      </c>
      <c r="I1466">
        <v>13</v>
      </c>
      <c r="J1466">
        <v>792.24786342158302</v>
      </c>
      <c r="K1466" s="26">
        <v>2017</v>
      </c>
      <c r="L1466" t="s">
        <v>40</v>
      </c>
      <c r="M1466" s="32">
        <v>345</v>
      </c>
      <c r="N1466">
        <v>42.36552588</v>
      </c>
      <c r="O1466">
        <v>4.9980000000000002</v>
      </c>
      <c r="P1466" t="s">
        <v>12</v>
      </c>
      <c r="Q1466">
        <v>95.3</v>
      </c>
      <c r="R1466" t="s">
        <v>13</v>
      </c>
      <c r="S1466" t="s">
        <v>14</v>
      </c>
      <c r="T1466" t="s">
        <v>14</v>
      </c>
      <c r="U1466" s="34">
        <v>0</v>
      </c>
      <c r="V1466" s="34">
        <v>5</v>
      </c>
      <c r="W1466" s="25">
        <v>2.5</v>
      </c>
      <c r="X1466" s="25">
        <v>5</v>
      </c>
      <c r="Y1466">
        <v>0.61037440899999995</v>
      </c>
      <c r="AA1466" t="s">
        <v>619</v>
      </c>
      <c r="AB1466">
        <v>9</v>
      </c>
      <c r="AC1466">
        <v>51</v>
      </c>
      <c r="AD1466">
        <v>9.8999999999999986</v>
      </c>
      <c r="AE1466" t="s">
        <v>525</v>
      </c>
      <c r="AF1466" t="s">
        <v>532</v>
      </c>
      <c r="AG1466" s="32">
        <v>51</v>
      </c>
      <c r="AH1466" s="32" t="s">
        <v>2531</v>
      </c>
      <c r="AI1466" s="32" t="s">
        <v>2532</v>
      </c>
      <c r="AJ1466" s="31" t="s">
        <v>3364</v>
      </c>
      <c r="AK1466" s="31">
        <v>0.9466</v>
      </c>
      <c r="AL1466" s="31">
        <v>48.276600000000002</v>
      </c>
      <c r="AM1466" s="31">
        <v>2.723399999999998</v>
      </c>
      <c r="AN1466" s="31">
        <v>2146.1317384033664</v>
      </c>
      <c r="AO1466" s="31">
        <v>121.0684923206631</v>
      </c>
      <c r="AP1466" s="31">
        <v>1.3099438914640973</v>
      </c>
      <c r="AQ1466" s="31">
        <v>7.3897109448745765E-2</v>
      </c>
      <c r="AR1466" s="31">
        <v>0.13169211421955859</v>
      </c>
    </row>
    <row r="1467" spans="1:44" hidden="1" x14ac:dyDescent="0.5">
      <c r="A1467" s="31">
        <v>1466</v>
      </c>
      <c r="B1467" s="31">
        <v>108</v>
      </c>
      <c r="C1467" s="225" t="s">
        <v>19</v>
      </c>
      <c r="D1467" s="41">
        <v>29.548815999999999</v>
      </c>
      <c r="E1467" s="43">
        <v>121.711078</v>
      </c>
      <c r="F1467">
        <v>0</v>
      </c>
      <c r="G1467">
        <f t="shared" si="18"/>
        <v>0</v>
      </c>
      <c r="H1467" s="32" t="s">
        <v>614</v>
      </c>
      <c r="I1467">
        <v>13</v>
      </c>
      <c r="J1467">
        <v>792.24786342158302</v>
      </c>
      <c r="K1467" s="26">
        <v>2017</v>
      </c>
      <c r="L1467" t="s">
        <v>40</v>
      </c>
      <c r="M1467" s="32">
        <v>345</v>
      </c>
      <c r="N1467">
        <v>42.36552588</v>
      </c>
      <c r="O1467">
        <v>4.9980000000000002</v>
      </c>
      <c r="P1467" t="s">
        <v>12</v>
      </c>
      <c r="Q1467">
        <v>95.3</v>
      </c>
      <c r="R1467" t="s">
        <v>13</v>
      </c>
      <c r="S1467" t="s">
        <v>14</v>
      </c>
      <c r="T1467" t="s">
        <v>14</v>
      </c>
      <c r="U1467" s="34">
        <v>0</v>
      </c>
      <c r="V1467" s="34">
        <v>5</v>
      </c>
      <c r="W1467" s="25">
        <v>2.5</v>
      </c>
      <c r="X1467" s="25">
        <v>5</v>
      </c>
      <c r="Y1467">
        <v>0.61037440899999995</v>
      </c>
      <c r="AA1467" t="s">
        <v>619</v>
      </c>
      <c r="AB1467">
        <v>6</v>
      </c>
      <c r="AC1467">
        <v>73.7</v>
      </c>
      <c r="AD1467">
        <v>3.2999999999999972</v>
      </c>
      <c r="AE1467" t="s">
        <v>525</v>
      </c>
      <c r="AF1467" t="s">
        <v>532</v>
      </c>
      <c r="AG1467" s="32" t="s">
        <v>2533</v>
      </c>
      <c r="AH1467" s="32" t="s">
        <v>2531</v>
      </c>
      <c r="AI1467" s="32" t="s">
        <v>2534</v>
      </c>
      <c r="AJ1467" s="31" t="s">
        <v>3365</v>
      </c>
      <c r="AK1467" s="31">
        <v>0.9466</v>
      </c>
      <c r="AL1467" s="31">
        <v>69.764420000000001</v>
      </c>
      <c r="AM1467" s="31">
        <v>3.9355800000000016</v>
      </c>
      <c r="AN1467" s="31">
        <v>3101.370767065257</v>
      </c>
      <c r="AO1467" s="31">
        <v>174.95584086338977</v>
      </c>
      <c r="AP1467" s="31">
        <v>1.8929973490373326</v>
      </c>
      <c r="AQ1467" s="31">
        <v>0.10678856796808958</v>
      </c>
      <c r="AR1467" s="31">
        <v>0.13169211421955859</v>
      </c>
    </row>
    <row r="1468" spans="1:44" hidden="1" x14ac:dyDescent="0.5">
      <c r="A1468" s="31">
        <v>1467</v>
      </c>
      <c r="B1468" s="31">
        <v>108</v>
      </c>
      <c r="C1468" s="225" t="s">
        <v>19</v>
      </c>
      <c r="D1468" s="41">
        <v>29.548815999999999</v>
      </c>
      <c r="E1468" s="43">
        <v>121.711078</v>
      </c>
      <c r="F1468">
        <v>0</v>
      </c>
      <c r="G1468">
        <f t="shared" si="18"/>
        <v>0</v>
      </c>
      <c r="H1468" s="32" t="s">
        <v>614</v>
      </c>
      <c r="I1468">
        <v>13</v>
      </c>
      <c r="J1468">
        <v>792.24786342158302</v>
      </c>
      <c r="K1468" s="26">
        <v>2017</v>
      </c>
      <c r="L1468" t="s">
        <v>40</v>
      </c>
      <c r="M1468" s="32">
        <v>345</v>
      </c>
      <c r="N1468">
        <v>42.36552588</v>
      </c>
      <c r="O1468">
        <v>4.9980000000000002</v>
      </c>
      <c r="P1468" t="s">
        <v>12</v>
      </c>
      <c r="Q1468">
        <v>95.3</v>
      </c>
      <c r="R1468" t="s">
        <v>13</v>
      </c>
      <c r="S1468" t="s">
        <v>14</v>
      </c>
      <c r="T1468" t="s">
        <v>14</v>
      </c>
      <c r="U1468" s="34">
        <v>0</v>
      </c>
      <c r="V1468" s="34">
        <v>5</v>
      </c>
      <c r="W1468" s="25">
        <v>2.5</v>
      </c>
      <c r="X1468" s="25">
        <v>5</v>
      </c>
      <c r="Y1468">
        <v>0.61037440899999995</v>
      </c>
      <c r="AA1468" t="s">
        <v>619</v>
      </c>
      <c r="AB1468">
        <v>9</v>
      </c>
      <c r="AC1468">
        <v>77.599999999999994</v>
      </c>
      <c r="AD1468">
        <v>12.700000000000003</v>
      </c>
      <c r="AE1468" t="s">
        <v>525</v>
      </c>
      <c r="AF1468" t="s">
        <v>532</v>
      </c>
      <c r="AG1468" s="32" t="s">
        <v>2535</v>
      </c>
      <c r="AH1468" s="32" t="s">
        <v>2531</v>
      </c>
      <c r="AI1468" s="32" t="s">
        <v>2536</v>
      </c>
      <c r="AJ1468" s="31" t="s">
        <v>3366</v>
      </c>
      <c r="AK1468" s="31">
        <v>0.9466</v>
      </c>
      <c r="AL1468" s="31">
        <v>73.456159999999997</v>
      </c>
      <c r="AM1468" s="31">
        <v>4.1438399999999973</v>
      </c>
      <c r="AN1468" s="31">
        <v>3265.4867235313964</v>
      </c>
      <c r="AO1468" s="31">
        <v>184.21401968791088</v>
      </c>
      <c r="AP1468" s="31">
        <v>1.9931695289728222</v>
      </c>
      <c r="AQ1468" s="31">
        <v>0.11243952339652295</v>
      </c>
      <c r="AR1468" s="31">
        <v>0.13169211421955859</v>
      </c>
    </row>
    <row r="1469" spans="1:44" hidden="1" x14ac:dyDescent="0.5">
      <c r="A1469" s="31">
        <v>1468</v>
      </c>
      <c r="B1469" s="31">
        <v>108</v>
      </c>
      <c r="C1469" s="225" t="s">
        <v>19</v>
      </c>
      <c r="D1469" s="41">
        <v>29.548815999999999</v>
      </c>
      <c r="E1469" s="43">
        <v>121.711078</v>
      </c>
      <c r="F1469">
        <v>0</v>
      </c>
      <c r="G1469">
        <f t="shared" si="18"/>
        <v>0</v>
      </c>
      <c r="H1469" s="32" t="s">
        <v>614</v>
      </c>
      <c r="I1469">
        <v>13</v>
      </c>
      <c r="J1469">
        <v>792.24786342158302</v>
      </c>
      <c r="K1469" s="26">
        <v>2017</v>
      </c>
      <c r="L1469" t="s">
        <v>40</v>
      </c>
      <c r="M1469" s="32">
        <v>345</v>
      </c>
      <c r="N1469">
        <v>42.36552588</v>
      </c>
      <c r="O1469">
        <v>4.9980000000000002</v>
      </c>
      <c r="P1469" t="s">
        <v>12</v>
      </c>
      <c r="Q1469">
        <v>95.3</v>
      </c>
      <c r="R1469" t="s">
        <v>13</v>
      </c>
      <c r="S1469" t="s">
        <v>14</v>
      </c>
      <c r="T1469" t="s">
        <v>14</v>
      </c>
      <c r="U1469" s="34">
        <v>0</v>
      </c>
      <c r="V1469" s="34">
        <v>5</v>
      </c>
      <c r="W1469" s="25">
        <v>2.5</v>
      </c>
      <c r="X1469" s="25">
        <v>5</v>
      </c>
      <c r="Y1469">
        <v>0.61037440899999995</v>
      </c>
      <c r="AA1469" t="s">
        <v>619</v>
      </c>
      <c r="AB1469">
        <v>12</v>
      </c>
      <c r="AC1469">
        <v>88.2</v>
      </c>
      <c r="AD1469">
        <v>8.5999999999999943</v>
      </c>
      <c r="AE1469" t="s">
        <v>525</v>
      </c>
      <c r="AF1469" t="s">
        <v>532</v>
      </c>
      <c r="AG1469" s="32" t="s">
        <v>2537</v>
      </c>
      <c r="AH1469" s="32" t="s">
        <v>2531</v>
      </c>
      <c r="AI1469" s="32" t="s">
        <v>2538</v>
      </c>
      <c r="AJ1469" s="31" t="s">
        <v>3367</v>
      </c>
      <c r="AK1469" s="31">
        <v>0.9466</v>
      </c>
      <c r="AL1469" s="31">
        <v>83.490120000000005</v>
      </c>
      <c r="AM1469" s="31">
        <v>4.7098799999999983</v>
      </c>
      <c r="AN1469" s="31">
        <v>3711.5454770034689</v>
      </c>
      <c r="AO1469" s="31">
        <v>209.3772749545586</v>
      </c>
      <c r="AP1469" s="31">
        <v>2.265432377002615</v>
      </c>
      <c r="AQ1469" s="31">
        <v>0.12779853045841919</v>
      </c>
      <c r="AR1469" s="31">
        <v>0.13169211421955859</v>
      </c>
    </row>
    <row r="1470" spans="1:44" hidden="1" x14ac:dyDescent="0.5">
      <c r="A1470" s="31">
        <v>1469</v>
      </c>
      <c r="B1470" s="31">
        <v>109</v>
      </c>
      <c r="C1470" s="225" t="s">
        <v>19</v>
      </c>
      <c r="D1470" s="41">
        <v>21.828664</v>
      </c>
      <c r="E1470" s="43">
        <v>108.583484</v>
      </c>
      <c r="F1470">
        <v>0.79</v>
      </c>
      <c r="G1470">
        <f t="shared" si="18"/>
        <v>1271.38176</v>
      </c>
      <c r="H1470" s="32" t="s">
        <v>614</v>
      </c>
      <c r="I1470" s="7">
        <v>11</v>
      </c>
      <c r="J1470">
        <v>265.43345218913203</v>
      </c>
      <c r="K1470" s="26">
        <v>2018</v>
      </c>
      <c r="L1470" t="s">
        <v>40</v>
      </c>
      <c r="M1470" s="32">
        <v>300</v>
      </c>
      <c r="N1470">
        <v>36.542166029999997</v>
      </c>
      <c r="O1470">
        <v>5</v>
      </c>
      <c r="P1470" t="s">
        <v>12</v>
      </c>
      <c r="Q1470">
        <v>89</v>
      </c>
      <c r="R1470" t="s">
        <v>13</v>
      </c>
      <c r="S1470" t="s">
        <v>14</v>
      </c>
      <c r="T1470" t="s">
        <v>14</v>
      </c>
      <c r="U1470" s="34">
        <v>0</v>
      </c>
      <c r="V1470" s="34">
        <v>5</v>
      </c>
      <c r="W1470" s="25">
        <v>2.5</v>
      </c>
      <c r="X1470" s="25">
        <v>5</v>
      </c>
      <c r="Y1470">
        <v>0.64629065622222204</v>
      </c>
      <c r="Z1470" t="s">
        <v>735</v>
      </c>
      <c r="AA1470" t="s">
        <v>620</v>
      </c>
      <c r="AB1470">
        <v>3</v>
      </c>
      <c r="AC1470">
        <v>26.5</v>
      </c>
      <c r="AD1470">
        <v>4.6999999999999993</v>
      </c>
      <c r="AF1470" t="s">
        <v>532</v>
      </c>
      <c r="AG1470" s="32" t="s">
        <v>2127</v>
      </c>
      <c r="AH1470" s="32" t="s">
        <v>2539</v>
      </c>
      <c r="AI1470" s="32" t="s">
        <v>2540</v>
      </c>
      <c r="AJ1470" s="31" t="s">
        <v>3368</v>
      </c>
      <c r="AK1470" s="31">
        <v>0.25</v>
      </c>
      <c r="AL1470" s="31">
        <v>6.625</v>
      </c>
      <c r="AM1470" s="31">
        <v>19.875</v>
      </c>
      <c r="AN1470" s="31">
        <v>272.01331454915726</v>
      </c>
      <c r="AO1470" s="31">
        <v>816.039943647472</v>
      </c>
      <c r="AP1470" s="31">
        <v>0.17579966356115656</v>
      </c>
      <c r="AQ1470" s="31">
        <v>0.52739899068346974</v>
      </c>
      <c r="AR1470" s="31">
        <v>0.13195626365865479</v>
      </c>
    </row>
    <row r="1471" spans="1:44" hidden="1" x14ac:dyDescent="0.5">
      <c r="A1471" s="31">
        <v>1470</v>
      </c>
      <c r="B1471" s="31">
        <v>109</v>
      </c>
      <c r="C1471" s="225" t="s">
        <v>19</v>
      </c>
      <c r="D1471" s="41">
        <v>21.876462</v>
      </c>
      <c r="E1471" s="43">
        <v>108.56769199999999</v>
      </c>
      <c r="F1471">
        <v>0.66</v>
      </c>
      <c r="G1471">
        <f t="shared" si="18"/>
        <v>1062.16704</v>
      </c>
      <c r="H1471" s="32" t="s">
        <v>614</v>
      </c>
      <c r="I1471" s="7">
        <v>10</v>
      </c>
      <c r="J1471">
        <v>317.51486342728202</v>
      </c>
      <c r="K1471" s="26">
        <v>2018</v>
      </c>
      <c r="L1471" t="s">
        <v>40</v>
      </c>
      <c r="M1471" s="32">
        <v>300</v>
      </c>
      <c r="N1471">
        <v>36.542166029999997</v>
      </c>
      <c r="O1471">
        <v>5</v>
      </c>
      <c r="P1471" t="s">
        <v>12</v>
      </c>
      <c r="Q1471">
        <v>89</v>
      </c>
      <c r="R1471" t="s">
        <v>13</v>
      </c>
      <c r="S1471" t="s">
        <v>14</v>
      </c>
      <c r="T1471" t="s">
        <v>14</v>
      </c>
      <c r="U1471" s="34">
        <v>0</v>
      </c>
      <c r="V1471" s="34">
        <v>5</v>
      </c>
      <c r="W1471" s="25">
        <v>2.5</v>
      </c>
      <c r="X1471" s="25">
        <v>5</v>
      </c>
      <c r="Y1471">
        <v>0.64629065622222204</v>
      </c>
      <c r="Z1471" t="s">
        <v>735</v>
      </c>
      <c r="AA1471" t="s">
        <v>620</v>
      </c>
      <c r="AB1471">
        <v>3</v>
      </c>
      <c r="AC1471">
        <v>66.400000000000006</v>
      </c>
      <c r="AD1471">
        <v>9.8999999999999915</v>
      </c>
      <c r="AF1471" t="s">
        <v>532</v>
      </c>
      <c r="AG1471" s="32" t="s">
        <v>2541</v>
      </c>
      <c r="AH1471" s="32" t="s">
        <v>2542</v>
      </c>
      <c r="AI1471" s="32" t="s">
        <v>2543</v>
      </c>
      <c r="AJ1471" s="31" t="s">
        <v>3369</v>
      </c>
      <c r="AK1471" s="31">
        <v>2.8000000000000001E-2</v>
      </c>
      <c r="AL1471" s="31">
        <v>1.8592000000000002</v>
      </c>
      <c r="AM1471" s="31">
        <v>64.540800000000004</v>
      </c>
      <c r="AN1471" s="31">
        <v>76.336174250534825</v>
      </c>
      <c r="AO1471" s="31">
        <v>2649.9557632685664</v>
      </c>
      <c r="AP1471" s="31">
        <v>4.9335356149872035E-2</v>
      </c>
      <c r="AQ1471" s="31">
        <v>1.712641649202701</v>
      </c>
      <c r="AR1471" s="31">
        <v>0.13208853699948581</v>
      </c>
    </row>
    <row r="1472" spans="1:44" hidden="1" x14ac:dyDescent="0.5">
      <c r="A1472" s="31">
        <v>1471</v>
      </c>
      <c r="B1472" s="31">
        <v>109</v>
      </c>
      <c r="C1472" s="225" t="s">
        <v>19</v>
      </c>
      <c r="D1472" s="41">
        <v>21.881240999999999</v>
      </c>
      <c r="E1472" s="43">
        <v>108.544517</v>
      </c>
      <c r="F1472">
        <v>0.8</v>
      </c>
      <c r="G1472">
        <f t="shared" si="18"/>
        <v>1287.4752000000001</v>
      </c>
      <c r="H1472" s="32" t="s">
        <v>614</v>
      </c>
      <c r="I1472" s="7">
        <v>25</v>
      </c>
      <c r="J1472">
        <v>323.89274263775798</v>
      </c>
      <c r="K1472" s="26">
        <v>2018</v>
      </c>
      <c r="L1472" t="s">
        <v>40</v>
      </c>
      <c r="M1472" s="32">
        <v>300</v>
      </c>
      <c r="N1472">
        <v>36.542166029999997</v>
      </c>
      <c r="O1472">
        <v>5</v>
      </c>
      <c r="P1472" t="s">
        <v>12</v>
      </c>
      <c r="Q1472">
        <v>89</v>
      </c>
      <c r="R1472" t="s">
        <v>13</v>
      </c>
      <c r="S1472" t="s">
        <v>14</v>
      </c>
      <c r="T1472" t="s">
        <v>14</v>
      </c>
      <c r="U1472" s="34">
        <v>0</v>
      </c>
      <c r="V1472" s="34">
        <v>5</v>
      </c>
      <c r="W1472" s="25">
        <v>2.5</v>
      </c>
      <c r="X1472" s="25">
        <v>5</v>
      </c>
      <c r="Y1472">
        <v>0.64629065622222204</v>
      </c>
      <c r="Z1472" t="s">
        <v>735</v>
      </c>
      <c r="AA1472" t="s">
        <v>620</v>
      </c>
      <c r="AB1472">
        <v>3</v>
      </c>
      <c r="AC1472">
        <v>96.9</v>
      </c>
      <c r="AD1472">
        <v>16.799999999999997</v>
      </c>
      <c r="AF1472" t="s">
        <v>532</v>
      </c>
      <c r="AG1472" s="32" t="s">
        <v>2544</v>
      </c>
      <c r="AH1472" s="32" t="s">
        <v>2545</v>
      </c>
      <c r="AI1472" s="32" t="s">
        <v>2546</v>
      </c>
      <c r="AJ1472" s="31" t="s">
        <v>3370</v>
      </c>
      <c r="AK1472" s="31">
        <v>0.13700000000000001</v>
      </c>
      <c r="AL1472" s="31">
        <v>13.275300000000001</v>
      </c>
      <c r="AM1472" s="31">
        <v>83.624700000000004</v>
      </c>
      <c r="AN1472" s="31">
        <v>545.06541202029109</v>
      </c>
      <c r="AO1472" s="31">
        <v>3433.5142377628549</v>
      </c>
      <c r="AP1472" s="31">
        <v>0.35227068281862978</v>
      </c>
      <c r="AQ1472" s="31">
        <v>2.2190481698720981</v>
      </c>
      <c r="AR1472" s="31">
        <v>0.13011828484737659</v>
      </c>
    </row>
    <row r="1473" spans="1:44" hidden="1" x14ac:dyDescent="0.5">
      <c r="A1473" s="31">
        <v>616</v>
      </c>
      <c r="B1473" s="31">
        <v>46</v>
      </c>
      <c r="C1473" s="225" t="s">
        <v>29</v>
      </c>
      <c r="D1473" s="35">
        <v>-43.621845</v>
      </c>
      <c r="E1473" s="33">
        <v>172.65235100000001</v>
      </c>
      <c r="F1473">
        <v>0</v>
      </c>
      <c r="G1473">
        <f t="shared" si="18"/>
        <v>0</v>
      </c>
      <c r="H1473" s="32" t="s">
        <v>47</v>
      </c>
      <c r="I1473">
        <v>0</v>
      </c>
      <c r="J1473">
        <v>39.148693377916203</v>
      </c>
      <c r="K1473" s="26">
        <v>2013</v>
      </c>
      <c r="L1473" t="s">
        <v>11</v>
      </c>
      <c r="M1473" s="32">
        <v>32</v>
      </c>
      <c r="N1473">
        <v>3.4233292909999999</v>
      </c>
      <c r="O1473">
        <v>5.6</v>
      </c>
      <c r="P1473" t="s">
        <v>12</v>
      </c>
      <c r="Q1473">
        <v>97</v>
      </c>
      <c r="R1473" t="s">
        <v>13</v>
      </c>
      <c r="S1473" t="s">
        <v>21</v>
      </c>
      <c r="T1473" t="s">
        <v>28</v>
      </c>
      <c r="U1473" s="34">
        <v>0</v>
      </c>
      <c r="V1473" s="34">
        <v>2</v>
      </c>
      <c r="W1473" s="25">
        <v>1</v>
      </c>
      <c r="X1473" s="25">
        <v>2</v>
      </c>
      <c r="Y1473">
        <v>0.89401670899999997</v>
      </c>
      <c r="Z1473" t="s">
        <v>775</v>
      </c>
      <c r="AA1473" t="s">
        <v>638</v>
      </c>
      <c r="AB1473">
        <v>3</v>
      </c>
      <c r="AC1473">
        <v>0</v>
      </c>
      <c r="AD1473">
        <v>0</v>
      </c>
      <c r="AF1473" t="s">
        <v>532</v>
      </c>
      <c r="AG1473" s="32">
        <v>0</v>
      </c>
      <c r="AH1473" s="32" t="s">
        <v>671</v>
      </c>
      <c r="AI1473" s="32" t="s">
        <v>1129</v>
      </c>
      <c r="AJ1473" s="31" t="s">
        <v>1130</v>
      </c>
      <c r="AK1473" s="31">
        <v>0.59524549999999998</v>
      </c>
      <c r="AL1473" s="31">
        <v>0</v>
      </c>
      <c r="AM1473" s="31">
        <v>0</v>
      </c>
      <c r="AN1473" s="31">
        <v>0</v>
      </c>
      <c r="AO1473" s="31">
        <v>0</v>
      </c>
      <c r="AP1473" s="31">
        <v>0</v>
      </c>
      <c r="AQ1473" s="31">
        <v>0</v>
      </c>
      <c r="AR1473" s="31">
        <v>0.13341858489683281</v>
      </c>
    </row>
    <row r="1474" spans="1:44" hidden="1" x14ac:dyDescent="0.5">
      <c r="A1474" s="31">
        <v>617</v>
      </c>
      <c r="B1474" s="31">
        <v>46</v>
      </c>
      <c r="C1474" s="225" t="s">
        <v>29</v>
      </c>
      <c r="D1474" s="35">
        <v>-43.607776999999999</v>
      </c>
      <c r="E1474" s="33">
        <v>172.69971699999999</v>
      </c>
      <c r="F1474">
        <v>0</v>
      </c>
      <c r="G1474">
        <f t="shared" si="18"/>
        <v>0</v>
      </c>
      <c r="H1474" s="32" t="s">
        <v>47</v>
      </c>
      <c r="I1474">
        <v>0</v>
      </c>
      <c r="J1474">
        <v>39.451574159506499</v>
      </c>
      <c r="K1474" s="26">
        <v>2013</v>
      </c>
      <c r="L1474" t="s">
        <v>11</v>
      </c>
      <c r="M1474" s="32">
        <v>32</v>
      </c>
      <c r="N1474">
        <v>3.4233292909999999</v>
      </c>
      <c r="O1474">
        <v>5.6</v>
      </c>
      <c r="P1474" t="s">
        <v>12</v>
      </c>
      <c r="Q1474">
        <v>97</v>
      </c>
      <c r="R1474" t="s">
        <v>13</v>
      </c>
      <c r="S1474" t="s">
        <v>21</v>
      </c>
      <c r="T1474" t="s">
        <v>28</v>
      </c>
      <c r="U1474" s="34">
        <v>0</v>
      </c>
      <c r="V1474" s="34">
        <v>2</v>
      </c>
      <c r="W1474" s="25">
        <v>1</v>
      </c>
      <c r="X1474" s="25">
        <v>2</v>
      </c>
      <c r="Y1474">
        <v>0.97899434900000004</v>
      </c>
      <c r="Z1474" t="s">
        <v>775</v>
      </c>
      <c r="AA1474" t="s">
        <v>637</v>
      </c>
      <c r="AB1474">
        <v>3</v>
      </c>
      <c r="AC1474">
        <v>5</v>
      </c>
      <c r="AD1474">
        <v>0</v>
      </c>
      <c r="AF1474" t="s">
        <v>532</v>
      </c>
      <c r="AG1474" s="32">
        <v>5</v>
      </c>
      <c r="AH1474" s="32" t="s">
        <v>671</v>
      </c>
      <c r="AI1474" s="32" t="s">
        <v>1129</v>
      </c>
      <c r="AJ1474" s="31" t="s">
        <v>1130</v>
      </c>
      <c r="AK1474" s="31">
        <v>0.59524549999999998</v>
      </c>
      <c r="AL1474" s="31">
        <v>7.3531671667640506</v>
      </c>
      <c r="AM1474" s="31">
        <v>5</v>
      </c>
      <c r="AN1474" s="31">
        <v>25.950837673817379</v>
      </c>
      <c r="AO1474" s="31">
        <v>17.646027273195877</v>
      </c>
      <c r="AP1474" s="31">
        <v>2.540572343448352E-2</v>
      </c>
      <c r="AQ1474" s="31">
        <v>1.7275360982758645E-2</v>
      </c>
      <c r="AR1474" s="31">
        <v>0.13341858489683281</v>
      </c>
    </row>
    <row r="1475" spans="1:44" hidden="1" x14ac:dyDescent="0.5">
      <c r="A1475" s="31">
        <v>1553</v>
      </c>
      <c r="B1475" s="52">
        <v>115</v>
      </c>
      <c r="C1475" s="225" t="s">
        <v>20</v>
      </c>
      <c r="D1475" s="41">
        <v>36.937683</v>
      </c>
      <c r="E1475" s="43">
        <v>-1.9334499999999999</v>
      </c>
      <c r="F1475">
        <v>0.09</v>
      </c>
      <c r="G1475">
        <f t="shared" si="18"/>
        <v>144.84096</v>
      </c>
      <c r="H1475" s="32" t="s">
        <v>57</v>
      </c>
      <c r="I1475">
        <v>4.8</v>
      </c>
      <c r="J1475">
        <v>80.801168086256496</v>
      </c>
      <c r="K1475" s="26">
        <v>2017</v>
      </c>
      <c r="L1475" t="s">
        <v>30</v>
      </c>
      <c r="M1475" s="32">
        <v>100</v>
      </c>
      <c r="N1475">
        <v>11.428783320000001</v>
      </c>
      <c r="O1475">
        <v>5</v>
      </c>
      <c r="P1475" t="s">
        <v>15</v>
      </c>
      <c r="Q1475">
        <v>97</v>
      </c>
      <c r="R1475" t="s">
        <v>13</v>
      </c>
      <c r="S1475" t="s">
        <v>14</v>
      </c>
      <c r="T1475" t="s">
        <v>14</v>
      </c>
      <c r="U1475" s="34">
        <v>0</v>
      </c>
      <c r="V1475" s="34">
        <v>1</v>
      </c>
      <c r="W1475" s="25">
        <v>0.5</v>
      </c>
      <c r="X1475" s="25">
        <v>1</v>
      </c>
      <c r="Y1475" s="244">
        <v>0.627337917333333</v>
      </c>
      <c r="Z1475" t="s">
        <v>716</v>
      </c>
      <c r="AA1475" t="s">
        <v>655</v>
      </c>
      <c r="AB1475">
        <v>1</v>
      </c>
      <c r="AC1475">
        <v>3819</v>
      </c>
      <c r="AF1475" t="s">
        <v>532</v>
      </c>
      <c r="AG1475" s="32">
        <v>3819</v>
      </c>
      <c r="AH1475" s="32" t="s">
        <v>1201</v>
      </c>
      <c r="AI1475" s="32" t="s">
        <v>2655</v>
      </c>
      <c r="AJ1475" s="31" t="s">
        <v>3427</v>
      </c>
      <c r="AK1475" s="31">
        <v>0.1</v>
      </c>
      <c r="AL1475" s="31">
        <v>381.90000000000003</v>
      </c>
      <c r="AM1475" s="31">
        <v>3437.1</v>
      </c>
      <c r="AN1475" s="31">
        <v>4499.6415978432997</v>
      </c>
      <c r="AO1475" s="31">
        <v>40496.77438058969</v>
      </c>
      <c r="AP1475" s="31">
        <v>2.8227957887374462</v>
      </c>
      <c r="AQ1475" s="31">
        <v>25.405162098637014</v>
      </c>
      <c r="AR1475" s="31">
        <v>0.20269999999999999</v>
      </c>
    </row>
    <row r="1476" spans="1:44" hidden="1" x14ac:dyDescent="0.5">
      <c r="A1476" s="31">
        <v>1554</v>
      </c>
      <c r="B1476" s="52">
        <v>115</v>
      </c>
      <c r="C1476" s="225" t="s">
        <v>20</v>
      </c>
      <c r="D1476" s="41">
        <v>36.937683</v>
      </c>
      <c r="E1476" s="43">
        <v>-1.9334499999999999</v>
      </c>
      <c r="F1476">
        <v>0.09</v>
      </c>
      <c r="G1476">
        <f t="shared" si="18"/>
        <v>144.84096</v>
      </c>
      <c r="H1476" s="32" t="s">
        <v>57</v>
      </c>
      <c r="I1476">
        <v>4.8</v>
      </c>
      <c r="J1476">
        <v>80.801168086256496</v>
      </c>
      <c r="K1476" s="26">
        <v>2017</v>
      </c>
      <c r="L1476" t="s">
        <v>30</v>
      </c>
      <c r="M1476" s="32">
        <v>100</v>
      </c>
      <c r="N1476">
        <v>11.428783320000001</v>
      </c>
      <c r="O1476">
        <v>5</v>
      </c>
      <c r="P1476" t="s">
        <v>15</v>
      </c>
      <c r="Q1476">
        <v>97</v>
      </c>
      <c r="R1476" t="s">
        <v>13</v>
      </c>
      <c r="S1476" t="s">
        <v>14</v>
      </c>
      <c r="T1476" t="s">
        <v>14</v>
      </c>
      <c r="U1476" s="34">
        <v>1</v>
      </c>
      <c r="V1476" s="34">
        <v>2</v>
      </c>
      <c r="W1476" s="25">
        <v>1.5</v>
      </c>
      <c r="X1476" s="25">
        <v>1</v>
      </c>
      <c r="Y1476" s="244">
        <v>0.627337917333333</v>
      </c>
      <c r="Z1476" t="s">
        <v>716</v>
      </c>
      <c r="AA1476" t="s">
        <v>655</v>
      </c>
      <c r="AB1476">
        <v>1</v>
      </c>
      <c r="AC1476">
        <v>3398</v>
      </c>
      <c r="AF1476" t="s">
        <v>532</v>
      </c>
      <c r="AG1476" s="32">
        <v>3398</v>
      </c>
      <c r="AH1476" s="32" t="s">
        <v>1201</v>
      </c>
      <c r="AI1476" s="32" t="s">
        <v>2656</v>
      </c>
      <c r="AJ1476" s="31" t="s">
        <v>3428</v>
      </c>
      <c r="AK1476" s="31">
        <v>0.1</v>
      </c>
      <c r="AL1476" s="31">
        <v>339.8</v>
      </c>
      <c r="AM1476" s="31">
        <v>3058.2</v>
      </c>
      <c r="AN1476" s="31">
        <v>4003.6088372536087</v>
      </c>
      <c r="AO1476" s="31">
        <v>36032.479535282473</v>
      </c>
      <c r="AP1476" s="31">
        <v>2.5116156297800059</v>
      </c>
      <c r="AQ1476" s="31">
        <v>22.60454066802005</v>
      </c>
      <c r="AR1476" s="31">
        <v>0.20269999999999999</v>
      </c>
    </row>
    <row r="1477" spans="1:44" hidden="1" x14ac:dyDescent="0.5">
      <c r="A1477" s="31">
        <v>1555</v>
      </c>
      <c r="B1477" s="52">
        <v>115</v>
      </c>
      <c r="C1477" s="225" t="s">
        <v>20</v>
      </c>
      <c r="D1477" s="41">
        <v>36.937683</v>
      </c>
      <c r="E1477" s="43">
        <v>-1.9334499999999999</v>
      </c>
      <c r="F1477">
        <v>0.09</v>
      </c>
      <c r="G1477">
        <f t="shared" si="18"/>
        <v>144.84096</v>
      </c>
      <c r="H1477" s="32" t="s">
        <v>57</v>
      </c>
      <c r="I1477">
        <v>4.8</v>
      </c>
      <c r="J1477">
        <v>80.801168086256496</v>
      </c>
      <c r="K1477" s="26">
        <v>2017</v>
      </c>
      <c r="L1477" t="s">
        <v>30</v>
      </c>
      <c r="M1477" s="32">
        <v>100</v>
      </c>
      <c r="N1477">
        <v>11.428783320000001</v>
      </c>
      <c r="O1477">
        <v>5</v>
      </c>
      <c r="P1477" t="s">
        <v>15</v>
      </c>
      <c r="Q1477">
        <v>97</v>
      </c>
      <c r="R1477" t="s">
        <v>13</v>
      </c>
      <c r="S1477" t="s">
        <v>14</v>
      </c>
      <c r="T1477" t="s">
        <v>14</v>
      </c>
      <c r="U1477" s="34">
        <v>2</v>
      </c>
      <c r="V1477" s="34">
        <v>3</v>
      </c>
      <c r="W1477" s="25">
        <v>2.5</v>
      </c>
      <c r="X1477" s="25">
        <v>1</v>
      </c>
      <c r="Y1477" s="244">
        <v>0.627337917333333</v>
      </c>
      <c r="Z1477" t="s">
        <v>716</v>
      </c>
      <c r="AA1477" t="s">
        <v>655</v>
      </c>
      <c r="AB1477">
        <v>1</v>
      </c>
      <c r="AC1477">
        <v>419</v>
      </c>
      <c r="AF1477" t="s">
        <v>532</v>
      </c>
      <c r="AG1477" s="32">
        <v>419</v>
      </c>
      <c r="AH1477" s="32" t="s">
        <v>1201</v>
      </c>
      <c r="AI1477" s="32" t="s">
        <v>2657</v>
      </c>
      <c r="AJ1477" s="31" t="s">
        <v>3429</v>
      </c>
      <c r="AK1477" s="31">
        <v>0.1</v>
      </c>
      <c r="AL1477" s="31">
        <v>41.900000000000006</v>
      </c>
      <c r="AM1477" s="31">
        <v>377.1</v>
      </c>
      <c r="AN1477" s="31">
        <v>493.67631042061868</v>
      </c>
      <c r="AO1477" s="31">
        <v>4443.0867937855683</v>
      </c>
      <c r="AP1477" s="31">
        <v>0.30970186841607489</v>
      </c>
      <c r="AQ1477" s="31">
        <v>2.7873168157446742</v>
      </c>
      <c r="AR1477" s="31">
        <v>0.20269999999999999</v>
      </c>
    </row>
    <row r="1478" spans="1:44" hidden="1" x14ac:dyDescent="0.5">
      <c r="A1478" s="31">
        <v>1556</v>
      </c>
      <c r="B1478" s="52">
        <v>115</v>
      </c>
      <c r="C1478" s="225" t="s">
        <v>20</v>
      </c>
      <c r="D1478" s="41">
        <v>36.937683</v>
      </c>
      <c r="E1478" s="43">
        <v>-1.9334499999999999</v>
      </c>
      <c r="F1478">
        <v>0.09</v>
      </c>
      <c r="G1478">
        <f t="shared" si="18"/>
        <v>144.84096</v>
      </c>
      <c r="H1478" s="32" t="s">
        <v>57</v>
      </c>
      <c r="I1478">
        <v>4.8</v>
      </c>
      <c r="J1478">
        <v>80.801168086256496</v>
      </c>
      <c r="K1478" s="26">
        <v>2017</v>
      </c>
      <c r="L1478" t="s">
        <v>30</v>
      </c>
      <c r="M1478" s="32">
        <v>100</v>
      </c>
      <c r="N1478">
        <v>11.428783320000001</v>
      </c>
      <c r="O1478">
        <v>5</v>
      </c>
      <c r="P1478" t="s">
        <v>15</v>
      </c>
      <c r="Q1478">
        <v>97</v>
      </c>
      <c r="R1478" t="s">
        <v>13</v>
      </c>
      <c r="S1478" t="s">
        <v>14</v>
      </c>
      <c r="T1478" t="s">
        <v>14</v>
      </c>
      <c r="U1478" s="34">
        <v>3</v>
      </c>
      <c r="V1478" s="34">
        <v>4</v>
      </c>
      <c r="W1478" s="25">
        <v>3.5</v>
      </c>
      <c r="X1478" s="25">
        <v>1</v>
      </c>
      <c r="Y1478" s="244">
        <v>0.627337917333333</v>
      </c>
      <c r="Z1478" t="s">
        <v>716</v>
      </c>
      <c r="AA1478" t="s">
        <v>655</v>
      </c>
      <c r="AB1478">
        <v>1</v>
      </c>
      <c r="AC1478">
        <v>341</v>
      </c>
      <c r="AF1478" t="s">
        <v>532</v>
      </c>
      <c r="AG1478" s="32">
        <v>341</v>
      </c>
      <c r="AH1478" s="32" t="s">
        <v>1201</v>
      </c>
      <c r="AI1478" s="32" t="s">
        <v>2658</v>
      </c>
      <c r="AJ1478" s="31" t="s">
        <v>3430</v>
      </c>
      <c r="AK1478" s="31">
        <v>0.1</v>
      </c>
      <c r="AL1478" s="31">
        <v>34.1</v>
      </c>
      <c r="AM1478" s="31">
        <v>306.89999999999998</v>
      </c>
      <c r="AN1478" s="31">
        <v>401.77475382680416</v>
      </c>
      <c r="AO1478" s="31">
        <v>3615.9727844412373</v>
      </c>
      <c r="AP1478" s="31">
        <v>0.2520485373028199</v>
      </c>
      <c r="AQ1478" s="31">
        <v>2.268436835725379</v>
      </c>
      <c r="AR1478" s="31">
        <v>0.20269999999999999</v>
      </c>
    </row>
    <row r="1479" spans="1:44" hidden="1" x14ac:dyDescent="0.5">
      <c r="A1479" s="31">
        <v>1557</v>
      </c>
      <c r="B1479" s="52">
        <v>115</v>
      </c>
      <c r="C1479" s="225" t="s">
        <v>20</v>
      </c>
      <c r="D1479" s="41">
        <v>36.937683</v>
      </c>
      <c r="E1479" s="43">
        <v>-1.9334499999999999</v>
      </c>
      <c r="F1479">
        <v>0.09</v>
      </c>
      <c r="G1479">
        <f t="shared" si="18"/>
        <v>144.84096</v>
      </c>
      <c r="H1479" s="32" t="s">
        <v>57</v>
      </c>
      <c r="I1479">
        <v>4.8</v>
      </c>
      <c r="J1479">
        <v>80.801168086256496</v>
      </c>
      <c r="K1479" s="26">
        <v>2017</v>
      </c>
      <c r="L1479" t="s">
        <v>30</v>
      </c>
      <c r="M1479" s="32">
        <v>100</v>
      </c>
      <c r="N1479">
        <v>11.428783320000001</v>
      </c>
      <c r="O1479">
        <v>5</v>
      </c>
      <c r="P1479" t="s">
        <v>15</v>
      </c>
      <c r="Q1479">
        <v>97</v>
      </c>
      <c r="R1479" t="s">
        <v>13</v>
      </c>
      <c r="S1479" t="s">
        <v>14</v>
      </c>
      <c r="T1479" t="s">
        <v>14</v>
      </c>
      <c r="U1479" s="34">
        <v>7</v>
      </c>
      <c r="V1479" s="34">
        <v>8</v>
      </c>
      <c r="W1479" s="25">
        <v>7.5</v>
      </c>
      <c r="X1479" s="25">
        <v>1</v>
      </c>
      <c r="Y1479" s="244">
        <v>0.627337917333333</v>
      </c>
      <c r="Z1479" t="s">
        <v>716</v>
      </c>
      <c r="AA1479" t="s">
        <v>655</v>
      </c>
      <c r="AB1479">
        <v>1</v>
      </c>
      <c r="AC1479">
        <v>370</v>
      </c>
      <c r="AF1479" t="s">
        <v>532</v>
      </c>
      <c r="AG1479" s="32">
        <v>370</v>
      </c>
      <c r="AH1479" s="32" t="s">
        <v>1201</v>
      </c>
      <c r="AI1479" s="32">
        <v>37</v>
      </c>
      <c r="AJ1479" s="31">
        <v>333</v>
      </c>
      <c r="AK1479" s="31">
        <v>0.1</v>
      </c>
      <c r="AL1479" s="31">
        <v>37</v>
      </c>
      <c r="AM1479" s="31">
        <v>333</v>
      </c>
      <c r="AN1479" s="31">
        <v>435.94328127835053</v>
      </c>
      <c r="AO1479" s="31">
        <v>3923.4895315051544</v>
      </c>
      <c r="AP1479" s="31">
        <v>0.27348375015261978</v>
      </c>
      <c r="AQ1479" s="31">
        <v>2.4613537513735779</v>
      </c>
      <c r="AR1479" s="31">
        <v>0.20269999999999999</v>
      </c>
    </row>
    <row r="1480" spans="1:44" hidden="1" x14ac:dyDescent="0.5">
      <c r="A1480" s="31">
        <v>1558</v>
      </c>
      <c r="B1480" s="52">
        <v>115</v>
      </c>
      <c r="C1480" s="225" t="s">
        <v>20</v>
      </c>
      <c r="D1480" s="41">
        <v>36.937683</v>
      </c>
      <c r="E1480" s="43">
        <v>-1.9334499999999999</v>
      </c>
      <c r="F1480">
        <v>0.09</v>
      </c>
      <c r="G1480">
        <f t="shared" si="18"/>
        <v>144.84096</v>
      </c>
      <c r="H1480" s="32" t="s">
        <v>57</v>
      </c>
      <c r="I1480">
        <v>4.8</v>
      </c>
      <c r="J1480">
        <v>80.801168086256496</v>
      </c>
      <c r="K1480" s="26">
        <v>2017</v>
      </c>
      <c r="L1480" t="s">
        <v>30</v>
      </c>
      <c r="M1480" s="32">
        <v>100</v>
      </c>
      <c r="N1480">
        <v>11.428783320000001</v>
      </c>
      <c r="O1480">
        <v>5</v>
      </c>
      <c r="P1480" t="s">
        <v>15</v>
      </c>
      <c r="Q1480">
        <v>97</v>
      </c>
      <c r="R1480" t="s">
        <v>13</v>
      </c>
      <c r="S1480" t="s">
        <v>14</v>
      </c>
      <c r="T1480" t="s">
        <v>14</v>
      </c>
      <c r="U1480" s="34">
        <v>11</v>
      </c>
      <c r="V1480" s="34">
        <v>12</v>
      </c>
      <c r="W1480" s="25">
        <v>11.5</v>
      </c>
      <c r="X1480" s="25">
        <v>1</v>
      </c>
      <c r="Y1480" s="244">
        <v>0.627337917333333</v>
      </c>
      <c r="Z1480" t="s">
        <v>716</v>
      </c>
      <c r="AA1480" t="s">
        <v>655</v>
      </c>
      <c r="AB1480">
        <v>1</v>
      </c>
      <c r="AC1480">
        <v>451</v>
      </c>
      <c r="AF1480" t="s">
        <v>532</v>
      </c>
      <c r="AG1480" s="32">
        <v>451</v>
      </c>
      <c r="AH1480" s="32" t="s">
        <v>1201</v>
      </c>
      <c r="AI1480" s="32" t="s">
        <v>2659</v>
      </c>
      <c r="AJ1480" s="31" t="s">
        <v>3431</v>
      </c>
      <c r="AK1480" s="31">
        <v>0.1</v>
      </c>
      <c r="AL1480" s="31">
        <v>45.1</v>
      </c>
      <c r="AM1480" s="31">
        <v>405.9</v>
      </c>
      <c r="AN1480" s="31">
        <v>531.3795131257732</v>
      </c>
      <c r="AO1480" s="31">
        <v>4782.4156181319586</v>
      </c>
      <c r="AP1480" s="31">
        <v>0.33335451707792307</v>
      </c>
      <c r="AQ1480" s="31">
        <v>3.0001906537013072</v>
      </c>
      <c r="AR1480" s="31">
        <v>0.20269999999999999</v>
      </c>
    </row>
    <row r="1481" spans="1:44" hidden="1" x14ac:dyDescent="0.5">
      <c r="A1481" s="31">
        <v>387</v>
      </c>
      <c r="B1481" s="31">
        <v>27</v>
      </c>
      <c r="C1481" s="225" t="s">
        <v>20</v>
      </c>
      <c r="D1481" s="35">
        <v>36.9</v>
      </c>
      <c r="E1481" s="33">
        <v>-8.9</v>
      </c>
      <c r="F1481">
        <v>7</v>
      </c>
      <c r="G1481">
        <f t="shared" si="18"/>
        <v>11265.407999999999</v>
      </c>
      <c r="H1481" s="32" t="s">
        <v>614</v>
      </c>
      <c r="I1481">
        <v>18.7</v>
      </c>
      <c r="J1481">
        <v>71.4516756144168</v>
      </c>
      <c r="K1481" s="26">
        <v>2013</v>
      </c>
      <c r="M1481" s="32">
        <v>1</v>
      </c>
      <c r="N1481">
        <v>8.7498377000000002E-2</v>
      </c>
      <c r="P1481" t="s">
        <v>12</v>
      </c>
      <c r="Q1481">
        <v>89</v>
      </c>
      <c r="R1481" t="s">
        <v>13</v>
      </c>
      <c r="S1481" t="s">
        <v>14</v>
      </c>
      <c r="T1481" t="s">
        <v>14</v>
      </c>
      <c r="U1481" s="34">
        <v>0</v>
      </c>
      <c r="V1481" s="34">
        <v>10</v>
      </c>
      <c r="W1481" s="25">
        <v>5</v>
      </c>
      <c r="X1481" s="25">
        <v>10</v>
      </c>
      <c r="Y1481" s="244">
        <v>1.1009764799999999</v>
      </c>
      <c r="Z1481" t="s">
        <v>714</v>
      </c>
      <c r="AA1481" t="s">
        <v>629</v>
      </c>
      <c r="AB1481">
        <v>1</v>
      </c>
      <c r="AC1481">
        <v>0</v>
      </c>
      <c r="AF1481" t="s">
        <v>524</v>
      </c>
      <c r="AG1481" s="32">
        <v>0</v>
      </c>
      <c r="AH1481" s="32" t="s">
        <v>671</v>
      </c>
      <c r="AI1481" s="32" t="s">
        <v>1129</v>
      </c>
      <c r="AJ1481" s="31" t="s">
        <v>1130</v>
      </c>
      <c r="AK1481" s="31">
        <v>0.59524549999999998</v>
      </c>
      <c r="AL1481" s="31">
        <v>0</v>
      </c>
      <c r="AM1481" s="31">
        <v>0</v>
      </c>
      <c r="AN1481" s="31">
        <v>0</v>
      </c>
      <c r="AO1481" s="31">
        <v>0</v>
      </c>
      <c r="AP1481" s="31">
        <v>0</v>
      </c>
      <c r="AQ1481" s="31">
        <v>0</v>
      </c>
      <c r="AR1481" s="31">
        <v>0.13094218572013733</v>
      </c>
    </row>
    <row r="1482" spans="1:44" hidden="1" x14ac:dyDescent="0.5">
      <c r="A1482" s="31">
        <v>388</v>
      </c>
      <c r="B1482" s="31">
        <v>27</v>
      </c>
      <c r="C1482" s="225" t="s">
        <v>20</v>
      </c>
      <c r="D1482" s="35">
        <v>36.9</v>
      </c>
      <c r="E1482" s="33">
        <v>-8.9</v>
      </c>
      <c r="F1482">
        <v>7</v>
      </c>
      <c r="G1482">
        <f t="shared" si="18"/>
        <v>11265.407999999999</v>
      </c>
      <c r="H1482" s="32" t="s">
        <v>614</v>
      </c>
      <c r="I1482">
        <v>18.7</v>
      </c>
      <c r="J1482">
        <v>71.4516756144168</v>
      </c>
      <c r="K1482" s="26">
        <v>2013</v>
      </c>
      <c r="M1482" s="32">
        <v>1</v>
      </c>
      <c r="N1482">
        <v>8.7498377000000002E-2</v>
      </c>
      <c r="P1482" t="s">
        <v>12</v>
      </c>
      <c r="Q1482">
        <v>89</v>
      </c>
      <c r="R1482" t="s">
        <v>13</v>
      </c>
      <c r="S1482" t="s">
        <v>14</v>
      </c>
      <c r="T1482" t="s">
        <v>14</v>
      </c>
      <c r="U1482" s="34">
        <v>0</v>
      </c>
      <c r="V1482" s="34">
        <v>10</v>
      </c>
      <c r="W1482" s="25">
        <v>5</v>
      </c>
      <c r="X1482" s="25">
        <v>10</v>
      </c>
      <c r="Y1482" s="244">
        <v>1.1009764799999999</v>
      </c>
      <c r="Z1482" t="s">
        <v>714</v>
      </c>
      <c r="AA1482" t="s">
        <v>629</v>
      </c>
      <c r="AB1482">
        <v>1</v>
      </c>
      <c r="AC1482">
        <v>1.52E-2</v>
      </c>
      <c r="AF1482" t="s">
        <v>524</v>
      </c>
      <c r="AG1482" s="32" t="s">
        <v>1367</v>
      </c>
      <c r="AH1482" s="32" t="s">
        <v>1136</v>
      </c>
      <c r="AI1482" s="32" t="s">
        <v>1368</v>
      </c>
      <c r="AJ1482" s="31" t="s">
        <v>2823</v>
      </c>
      <c r="AK1482" s="31">
        <v>0.81</v>
      </c>
      <c r="AL1482" s="31">
        <v>12.311999999999999</v>
      </c>
      <c r="AM1482" s="31">
        <v>2.8879999999999999</v>
      </c>
      <c r="AN1482" s="31">
        <v>1.2104269860943822</v>
      </c>
      <c r="AO1482" s="31">
        <v>0.28392731772584268</v>
      </c>
      <c r="AP1482" s="31">
        <v>1.3326516424472016E-3</v>
      </c>
      <c r="AQ1482" s="31">
        <v>3.1259729884563982E-4</v>
      </c>
      <c r="AR1482" s="31">
        <v>0.13094218572013733</v>
      </c>
    </row>
    <row r="1483" spans="1:44" customFormat="1" hidden="1" x14ac:dyDescent="0.5">
      <c r="A1483">
        <v>1482</v>
      </c>
      <c r="B1483">
        <v>111</v>
      </c>
      <c r="C1483" s="226" t="s">
        <v>55</v>
      </c>
      <c r="D1483" s="229">
        <v>15.945389</v>
      </c>
      <c r="E1483" s="239">
        <v>-61.709153999999998</v>
      </c>
      <c r="F1483">
        <v>0.3</v>
      </c>
      <c r="G1483">
        <f t="shared" si="18"/>
        <v>482.8032</v>
      </c>
      <c r="H1483" t="s">
        <v>54</v>
      </c>
      <c r="I1483">
        <v>4</v>
      </c>
      <c r="J1483">
        <v>197.63771167659101</v>
      </c>
      <c r="K1483" s="27">
        <v>2017</v>
      </c>
      <c r="L1483" t="s">
        <v>11</v>
      </c>
      <c r="M1483" s="30"/>
      <c r="N1483">
        <v>1</v>
      </c>
      <c r="P1483" t="s">
        <v>17</v>
      </c>
      <c r="Q1483">
        <v>100</v>
      </c>
      <c r="R1483" t="s">
        <v>13</v>
      </c>
      <c r="S1483" t="s">
        <v>14</v>
      </c>
      <c r="T1483" t="s">
        <v>14</v>
      </c>
      <c r="U1483" s="25"/>
      <c r="V1483" s="25"/>
      <c r="W1483" s="25"/>
      <c r="X1483" s="25"/>
      <c r="Y1483">
        <v>1.1947183480000001</v>
      </c>
      <c r="Z1483" t="s">
        <v>1112</v>
      </c>
      <c r="AA1483" t="s">
        <v>622</v>
      </c>
      <c r="AB1483">
        <v>3</v>
      </c>
      <c r="AC1483">
        <v>17.7</v>
      </c>
      <c r="AD1483" t="s">
        <v>567</v>
      </c>
      <c r="AE1483" t="s">
        <v>556</v>
      </c>
      <c r="AF1483" t="s">
        <v>569</v>
      </c>
      <c r="AG1483" s="30">
        <v>3540</v>
      </c>
      <c r="AH1483" s="30">
        <v>0.99199999999999999</v>
      </c>
      <c r="AI1483" s="30">
        <v>3511.68</v>
      </c>
      <c r="AJ1483">
        <v>28.320000000000164</v>
      </c>
      <c r="AK1483">
        <v>0.99199999999999999</v>
      </c>
      <c r="AL1483">
        <v>3511.68</v>
      </c>
      <c r="AM1483">
        <v>28.320000000000164</v>
      </c>
      <c r="AN1483">
        <v>3511.68</v>
      </c>
      <c r="AO1483">
        <v>28.32000000000016</v>
      </c>
      <c r="AP1483">
        <v>4.19546852830464</v>
      </c>
      <c r="AQ1483">
        <v>3.3834423615360196E-2</v>
      </c>
      <c r="AR1483">
        <v>0.13288496611575845</v>
      </c>
    </row>
    <row r="1484" spans="1:44" customFormat="1" hidden="1" x14ac:dyDescent="0.5">
      <c r="A1484">
        <v>1483</v>
      </c>
      <c r="B1484">
        <v>111</v>
      </c>
      <c r="C1484" s="226" t="s">
        <v>55</v>
      </c>
      <c r="D1484" s="229">
        <v>16.133794999999999</v>
      </c>
      <c r="E1484" s="239">
        <v>-61.552256</v>
      </c>
      <c r="F1484">
        <v>0.63</v>
      </c>
      <c r="G1484">
        <f t="shared" si="18"/>
        <v>1013.8867200000001</v>
      </c>
      <c r="H1484" t="s">
        <v>54</v>
      </c>
      <c r="I1484">
        <v>4</v>
      </c>
      <c r="J1484">
        <v>194.39434076607199</v>
      </c>
      <c r="K1484" s="27">
        <v>2017</v>
      </c>
      <c r="L1484" t="s">
        <v>11</v>
      </c>
      <c r="M1484" s="30"/>
      <c r="N1484">
        <v>1</v>
      </c>
      <c r="P1484" t="s">
        <v>17</v>
      </c>
      <c r="Q1484">
        <v>100</v>
      </c>
      <c r="R1484" t="s">
        <v>13</v>
      </c>
      <c r="S1484" t="s">
        <v>14</v>
      </c>
      <c r="T1484" t="s">
        <v>14</v>
      </c>
      <c r="U1484" s="25"/>
      <c r="V1484" s="25"/>
      <c r="W1484" s="25"/>
      <c r="X1484" s="25"/>
      <c r="Y1484">
        <v>1.1947183480000001</v>
      </c>
      <c r="Z1484" t="s">
        <v>1112</v>
      </c>
      <c r="AA1484" t="s">
        <v>622</v>
      </c>
      <c r="AB1484">
        <v>3</v>
      </c>
      <c r="AC1484">
        <v>4.0999999999999996</v>
      </c>
      <c r="AD1484" t="s">
        <v>557</v>
      </c>
      <c r="AE1484" t="s">
        <v>556</v>
      </c>
      <c r="AF1484" t="s">
        <v>569</v>
      </c>
      <c r="AG1484" s="30">
        <v>820</v>
      </c>
      <c r="AH1484" s="30">
        <v>0.83299999999999996</v>
      </c>
      <c r="AI1484" s="30">
        <v>683.06</v>
      </c>
      <c r="AJ1484">
        <v>136.94000000000005</v>
      </c>
      <c r="AK1484">
        <v>0.83299999999999996</v>
      </c>
      <c r="AL1484">
        <v>683.06</v>
      </c>
      <c r="AM1484">
        <v>136.94000000000005</v>
      </c>
      <c r="AN1484">
        <v>683.06</v>
      </c>
      <c r="AO1484">
        <v>136.94000000000005</v>
      </c>
      <c r="AP1484">
        <v>0.81606431478488006</v>
      </c>
      <c r="AQ1484">
        <v>0.16360473057512009</v>
      </c>
      <c r="AR1484">
        <v>0.13288496611575845</v>
      </c>
    </row>
    <row r="1485" spans="1:44" customFormat="1" hidden="1" x14ac:dyDescent="0.5">
      <c r="A1485">
        <v>1484</v>
      </c>
      <c r="B1485">
        <v>111</v>
      </c>
      <c r="C1485" s="226" t="s">
        <v>55</v>
      </c>
      <c r="D1485" s="229">
        <v>16.140720999999999</v>
      </c>
      <c r="E1485" s="239">
        <v>-61.540239</v>
      </c>
      <c r="F1485">
        <v>1.51</v>
      </c>
      <c r="G1485">
        <f t="shared" si="18"/>
        <v>2430.1094400000002</v>
      </c>
      <c r="H1485" t="s">
        <v>54</v>
      </c>
      <c r="I1485">
        <v>4</v>
      </c>
      <c r="J1485">
        <v>194.555723590643</v>
      </c>
      <c r="K1485" s="27">
        <v>2017</v>
      </c>
      <c r="L1485" t="s">
        <v>11</v>
      </c>
      <c r="M1485" s="30"/>
      <c r="N1485">
        <v>1</v>
      </c>
      <c r="P1485" t="s">
        <v>17</v>
      </c>
      <c r="Q1485">
        <v>100</v>
      </c>
      <c r="R1485" t="s">
        <v>13</v>
      </c>
      <c r="S1485" t="s">
        <v>14</v>
      </c>
      <c r="T1485" t="s">
        <v>14</v>
      </c>
      <c r="U1485" s="25"/>
      <c r="V1485" s="25"/>
      <c r="W1485" s="25"/>
      <c r="X1485" s="25"/>
      <c r="Y1485">
        <v>1.1947183480000001</v>
      </c>
      <c r="Z1485" t="s">
        <v>1112</v>
      </c>
      <c r="AA1485" t="s">
        <v>622</v>
      </c>
      <c r="AB1485">
        <v>3</v>
      </c>
      <c r="AC1485">
        <v>6.7</v>
      </c>
      <c r="AD1485" t="s">
        <v>558</v>
      </c>
      <c r="AE1485" t="s">
        <v>556</v>
      </c>
      <c r="AF1485" t="s">
        <v>569</v>
      </c>
      <c r="AG1485" s="30">
        <v>1340</v>
      </c>
      <c r="AH1485" s="30">
        <v>0.66700000000000004</v>
      </c>
      <c r="AI1485" s="30">
        <v>893.78000000000009</v>
      </c>
      <c r="AJ1485">
        <v>446.21999999999991</v>
      </c>
      <c r="AK1485">
        <v>0.66700000000000004</v>
      </c>
      <c r="AL1485">
        <v>893.78000000000009</v>
      </c>
      <c r="AM1485">
        <v>446.21999999999991</v>
      </c>
      <c r="AN1485">
        <v>893.78000000000009</v>
      </c>
      <c r="AO1485">
        <v>446.21999999999991</v>
      </c>
      <c r="AP1485">
        <v>1.0678153650754403</v>
      </c>
      <c r="AQ1485">
        <v>0.53310722124455989</v>
      </c>
      <c r="AR1485">
        <v>0.13288496611575845</v>
      </c>
    </row>
    <row r="1486" spans="1:44" customFormat="1" hidden="1" x14ac:dyDescent="0.5">
      <c r="A1486">
        <v>1485</v>
      </c>
      <c r="B1486">
        <v>111</v>
      </c>
      <c r="C1486" s="226" t="s">
        <v>55</v>
      </c>
      <c r="D1486" s="229">
        <v>16.142040000000001</v>
      </c>
      <c r="E1486" s="239">
        <v>-61.517580000000002</v>
      </c>
      <c r="F1486">
        <v>2.97</v>
      </c>
      <c r="G1486">
        <f t="shared" si="18"/>
        <v>4779.7516800000003</v>
      </c>
      <c r="H1486" t="s">
        <v>54</v>
      </c>
      <c r="I1486">
        <v>4</v>
      </c>
      <c r="J1486">
        <v>194.631361837014</v>
      </c>
      <c r="K1486" s="27">
        <v>2017</v>
      </c>
      <c r="L1486" t="s">
        <v>11</v>
      </c>
      <c r="M1486" s="30"/>
      <c r="N1486">
        <v>1</v>
      </c>
      <c r="P1486" t="s">
        <v>17</v>
      </c>
      <c r="Q1486">
        <v>100</v>
      </c>
      <c r="R1486" t="s">
        <v>13</v>
      </c>
      <c r="S1486" t="s">
        <v>14</v>
      </c>
      <c r="T1486" t="s">
        <v>14</v>
      </c>
      <c r="U1486" s="25"/>
      <c r="V1486" s="25"/>
      <c r="W1486" s="25"/>
      <c r="X1486" s="25"/>
      <c r="Y1486">
        <v>1.1947183480000001</v>
      </c>
      <c r="Z1486" t="s">
        <v>1112</v>
      </c>
      <c r="AA1486" t="s">
        <v>622</v>
      </c>
      <c r="AB1486">
        <v>3</v>
      </c>
      <c r="AC1486">
        <v>4.0999999999999996</v>
      </c>
      <c r="AD1486" t="s">
        <v>555</v>
      </c>
      <c r="AE1486" t="s">
        <v>556</v>
      </c>
      <c r="AF1486" t="s">
        <v>569</v>
      </c>
      <c r="AG1486" s="30">
        <v>820</v>
      </c>
      <c r="AH1486" s="30">
        <v>1</v>
      </c>
      <c r="AI1486" s="30">
        <v>820</v>
      </c>
      <c r="AJ1486">
        <v>0</v>
      </c>
      <c r="AK1486">
        <v>1</v>
      </c>
      <c r="AL1486">
        <v>820</v>
      </c>
      <c r="AM1486">
        <v>0</v>
      </c>
      <c r="AN1486">
        <v>819.99999999999989</v>
      </c>
      <c r="AO1486">
        <v>0</v>
      </c>
      <c r="AP1486">
        <v>0.97966904535999988</v>
      </c>
      <c r="AQ1486">
        <v>0</v>
      </c>
      <c r="AR1486">
        <v>0.13288496611575845</v>
      </c>
    </row>
    <row r="1487" spans="1:44" customFormat="1" hidden="1" x14ac:dyDescent="0.5">
      <c r="A1487">
        <v>1486</v>
      </c>
      <c r="B1487">
        <v>111</v>
      </c>
      <c r="C1487" s="226" t="s">
        <v>55</v>
      </c>
      <c r="D1487" s="229">
        <v>16.209305000000001</v>
      </c>
      <c r="E1487" s="239">
        <v>-61.516207000000001</v>
      </c>
      <c r="F1487">
        <v>0.43</v>
      </c>
      <c r="G1487">
        <f t="shared" si="18"/>
        <v>692.01792</v>
      </c>
      <c r="H1487" t="s">
        <v>54</v>
      </c>
      <c r="I1487">
        <v>4</v>
      </c>
      <c r="J1487">
        <v>207.701350725705</v>
      </c>
      <c r="K1487" s="27">
        <v>2017</v>
      </c>
      <c r="L1487" t="s">
        <v>11</v>
      </c>
      <c r="M1487" s="30"/>
      <c r="N1487">
        <v>1</v>
      </c>
      <c r="P1487" t="s">
        <v>17</v>
      </c>
      <c r="Q1487">
        <v>100</v>
      </c>
      <c r="R1487" t="s">
        <v>13</v>
      </c>
      <c r="S1487" t="s">
        <v>14</v>
      </c>
      <c r="T1487" t="s">
        <v>14</v>
      </c>
      <c r="U1487" s="25"/>
      <c r="V1487" s="25"/>
      <c r="W1487" s="25"/>
      <c r="X1487" s="25"/>
      <c r="Y1487">
        <v>1.1947183480000001</v>
      </c>
      <c r="Z1487" t="s">
        <v>1112</v>
      </c>
      <c r="AA1487" t="s">
        <v>622</v>
      </c>
      <c r="AB1487">
        <v>3</v>
      </c>
      <c r="AC1487">
        <v>16</v>
      </c>
      <c r="AD1487" t="s">
        <v>565</v>
      </c>
      <c r="AE1487" t="s">
        <v>556</v>
      </c>
      <c r="AF1487" t="s">
        <v>569</v>
      </c>
      <c r="AG1487" s="30">
        <v>3200</v>
      </c>
      <c r="AH1487" s="30">
        <v>0.92900000000000005</v>
      </c>
      <c r="AI1487" s="30">
        <v>2972.8</v>
      </c>
      <c r="AJ1487">
        <v>227.19999999999982</v>
      </c>
      <c r="AK1487">
        <v>0.92900000000000005</v>
      </c>
      <c r="AL1487">
        <v>2972.8</v>
      </c>
      <c r="AM1487">
        <v>227.19999999999982</v>
      </c>
      <c r="AN1487">
        <v>2972.8</v>
      </c>
      <c r="AO1487">
        <v>227.19999999999979</v>
      </c>
      <c r="AP1487">
        <v>3.5516587049344008</v>
      </c>
      <c r="AQ1487">
        <v>0.27144000866559975</v>
      </c>
      <c r="AR1487">
        <v>0.13288496611575845</v>
      </c>
    </row>
    <row r="1488" spans="1:44" customFormat="1" hidden="1" x14ac:dyDescent="0.5">
      <c r="A1488">
        <v>1487</v>
      </c>
      <c r="B1488">
        <v>111</v>
      </c>
      <c r="C1488" s="226" t="s">
        <v>55</v>
      </c>
      <c r="D1488" s="229">
        <v>16.229579000000001</v>
      </c>
      <c r="E1488" s="239">
        <v>-61.793097000000003</v>
      </c>
      <c r="F1488">
        <v>0.37</v>
      </c>
      <c r="G1488">
        <f t="shared" ref="G1488:G1551" si="19">F1488*1609.344</f>
        <v>595.45727999999997</v>
      </c>
      <c r="H1488" t="s">
        <v>54</v>
      </c>
      <c r="I1488">
        <v>4</v>
      </c>
      <c r="J1488">
        <v>211.49100592644299</v>
      </c>
      <c r="K1488" s="27">
        <v>2017</v>
      </c>
      <c r="L1488" t="s">
        <v>11</v>
      </c>
      <c r="M1488" s="30"/>
      <c r="N1488">
        <v>1</v>
      </c>
      <c r="P1488" t="s">
        <v>17</v>
      </c>
      <c r="Q1488">
        <v>100</v>
      </c>
      <c r="R1488" t="s">
        <v>13</v>
      </c>
      <c r="S1488" t="s">
        <v>14</v>
      </c>
      <c r="T1488" t="s">
        <v>14</v>
      </c>
      <c r="U1488" s="25"/>
      <c r="V1488" s="25"/>
      <c r="W1488" s="25"/>
      <c r="X1488" s="25"/>
      <c r="Y1488">
        <v>1.1947183480000001</v>
      </c>
      <c r="Z1488" t="s">
        <v>1112</v>
      </c>
      <c r="AA1488" t="s">
        <v>622</v>
      </c>
      <c r="AB1488">
        <v>3</v>
      </c>
      <c r="AC1488">
        <v>11.2</v>
      </c>
      <c r="AD1488" t="s">
        <v>562</v>
      </c>
      <c r="AE1488" t="s">
        <v>556</v>
      </c>
      <c r="AF1488" t="s">
        <v>569</v>
      </c>
      <c r="AG1488" s="30">
        <v>2240</v>
      </c>
      <c r="AH1488" s="30">
        <v>0.97099999999999997</v>
      </c>
      <c r="AI1488" s="30">
        <v>2175.04</v>
      </c>
      <c r="AJ1488">
        <v>64.960000000000036</v>
      </c>
      <c r="AK1488">
        <v>0.97099999999999997</v>
      </c>
      <c r="AL1488">
        <v>2175.04</v>
      </c>
      <c r="AM1488">
        <v>64.960000000000036</v>
      </c>
      <c r="AN1488">
        <v>2175.04</v>
      </c>
      <c r="AO1488">
        <v>64.960000000000036</v>
      </c>
      <c r="AP1488">
        <v>2.5985601956339202</v>
      </c>
      <c r="AQ1488">
        <v>7.760890388608005E-2</v>
      </c>
      <c r="AR1488">
        <v>0.13288496611575845</v>
      </c>
    </row>
    <row r="1489" spans="1:44" customFormat="1" hidden="1" x14ac:dyDescent="0.5">
      <c r="A1489">
        <v>1488</v>
      </c>
      <c r="B1489">
        <v>111</v>
      </c>
      <c r="C1489" s="226" t="s">
        <v>55</v>
      </c>
      <c r="D1489" s="229">
        <v>16.252158000000001</v>
      </c>
      <c r="E1489" s="239">
        <v>-61.174944000000004</v>
      </c>
      <c r="F1489">
        <v>0.3</v>
      </c>
      <c r="G1489">
        <f t="shared" si="19"/>
        <v>482.8032</v>
      </c>
      <c r="H1489" t="s">
        <v>54</v>
      </c>
      <c r="I1489">
        <v>4</v>
      </c>
      <c r="J1489">
        <v>202.79421008205301</v>
      </c>
      <c r="K1489" s="27">
        <v>2017</v>
      </c>
      <c r="L1489" t="s">
        <v>11</v>
      </c>
      <c r="M1489" s="30"/>
      <c r="N1489">
        <v>1</v>
      </c>
      <c r="P1489" t="s">
        <v>17</v>
      </c>
      <c r="Q1489">
        <v>100</v>
      </c>
      <c r="R1489" t="s">
        <v>13</v>
      </c>
      <c r="S1489" t="s">
        <v>14</v>
      </c>
      <c r="T1489" t="s">
        <v>14</v>
      </c>
      <c r="U1489" s="25"/>
      <c r="V1489" s="25"/>
      <c r="W1489" s="25"/>
      <c r="X1489" s="25"/>
      <c r="Y1489">
        <v>0.92745104</v>
      </c>
      <c r="Z1489" t="s">
        <v>1112</v>
      </c>
      <c r="AA1489" t="s">
        <v>622</v>
      </c>
      <c r="AB1489">
        <v>3</v>
      </c>
      <c r="AC1489">
        <v>12.6</v>
      </c>
      <c r="AD1489" t="s">
        <v>563</v>
      </c>
      <c r="AE1489" t="s">
        <v>556</v>
      </c>
      <c r="AF1489" t="s">
        <v>569</v>
      </c>
      <c r="AG1489" s="30">
        <v>2520</v>
      </c>
      <c r="AH1489" s="30">
        <v>0.98099999999999998</v>
      </c>
      <c r="AI1489" s="30">
        <v>2472.12</v>
      </c>
      <c r="AJ1489">
        <v>47.880000000000109</v>
      </c>
      <c r="AK1489">
        <v>0.98099999999999998</v>
      </c>
      <c r="AL1489">
        <v>2472.12</v>
      </c>
      <c r="AM1489">
        <v>47.880000000000109</v>
      </c>
      <c r="AN1489">
        <v>2472.12</v>
      </c>
      <c r="AO1489">
        <v>47.880000000000109</v>
      </c>
      <c r="AP1489">
        <v>2.2927702650047999</v>
      </c>
      <c r="AQ1489">
        <v>4.4406355795200102E-2</v>
      </c>
      <c r="AR1489">
        <v>0.13288496611575845</v>
      </c>
    </row>
    <row r="1490" spans="1:44" customFormat="1" hidden="1" x14ac:dyDescent="0.5">
      <c r="A1490">
        <v>1489</v>
      </c>
      <c r="B1490">
        <v>111</v>
      </c>
      <c r="C1490" s="226" t="s">
        <v>55</v>
      </c>
      <c r="D1490" s="229">
        <v>16.303569</v>
      </c>
      <c r="E1490" s="239">
        <v>-61.805284999999998</v>
      </c>
      <c r="F1490">
        <v>0.37</v>
      </c>
      <c r="G1490">
        <f t="shared" si="19"/>
        <v>595.45727999999997</v>
      </c>
      <c r="H1490" t="s">
        <v>54</v>
      </c>
      <c r="I1490">
        <v>4</v>
      </c>
      <c r="J1490">
        <v>218.59798721076601</v>
      </c>
      <c r="K1490" s="27">
        <v>2017</v>
      </c>
      <c r="L1490" t="s">
        <v>11</v>
      </c>
      <c r="M1490" s="30"/>
      <c r="N1490">
        <v>1</v>
      </c>
      <c r="P1490" t="s">
        <v>17</v>
      </c>
      <c r="Q1490">
        <v>100</v>
      </c>
      <c r="R1490" t="s">
        <v>13</v>
      </c>
      <c r="S1490" t="s">
        <v>14</v>
      </c>
      <c r="T1490" t="s">
        <v>14</v>
      </c>
      <c r="U1490" s="25"/>
      <c r="V1490" s="25"/>
      <c r="W1490" s="25"/>
      <c r="X1490" s="25"/>
      <c r="Y1490">
        <v>1.1947183480000001</v>
      </c>
      <c r="Z1490" t="s">
        <v>1112</v>
      </c>
      <c r="AA1490" t="s">
        <v>622</v>
      </c>
      <c r="AB1490">
        <v>3</v>
      </c>
      <c r="AC1490">
        <v>7.2</v>
      </c>
      <c r="AD1490" t="s">
        <v>560</v>
      </c>
      <c r="AE1490" t="s">
        <v>556</v>
      </c>
      <c r="AF1490" t="s">
        <v>569</v>
      </c>
      <c r="AG1490" s="30">
        <v>1440</v>
      </c>
      <c r="AH1490" s="30">
        <v>1</v>
      </c>
      <c r="AI1490" s="30">
        <v>1440</v>
      </c>
      <c r="AJ1490">
        <v>0</v>
      </c>
      <c r="AK1490">
        <v>1</v>
      </c>
      <c r="AL1490">
        <v>1440</v>
      </c>
      <c r="AM1490">
        <v>0</v>
      </c>
      <c r="AN1490">
        <v>1440</v>
      </c>
      <c r="AO1490">
        <v>0</v>
      </c>
      <c r="AP1490">
        <v>1.7203944211200002</v>
      </c>
      <c r="AQ1490">
        <v>0</v>
      </c>
      <c r="AR1490">
        <v>0.13288496611575845</v>
      </c>
    </row>
    <row r="1491" spans="1:44" customFormat="1" hidden="1" x14ac:dyDescent="0.5">
      <c r="A1491">
        <v>1490</v>
      </c>
      <c r="B1491">
        <v>111</v>
      </c>
      <c r="C1491" s="226" t="s">
        <v>55</v>
      </c>
      <c r="D1491" s="229">
        <v>16.314608</v>
      </c>
      <c r="E1491" s="239">
        <v>-61.570967000000003</v>
      </c>
      <c r="F1491">
        <v>1.75</v>
      </c>
      <c r="G1491">
        <f t="shared" si="19"/>
        <v>2816.3519999999999</v>
      </c>
      <c r="H1491" t="s">
        <v>54</v>
      </c>
      <c r="I1491">
        <v>4</v>
      </c>
      <c r="J1491">
        <v>210.79318252779399</v>
      </c>
      <c r="K1491" s="27">
        <v>2017</v>
      </c>
      <c r="L1491" t="s">
        <v>11</v>
      </c>
      <c r="M1491" s="30"/>
      <c r="N1491">
        <v>1</v>
      </c>
      <c r="P1491" t="s">
        <v>17</v>
      </c>
      <c r="Q1491">
        <v>100</v>
      </c>
      <c r="R1491" t="s">
        <v>13</v>
      </c>
      <c r="S1491" t="s">
        <v>14</v>
      </c>
      <c r="T1491" t="s">
        <v>14</v>
      </c>
      <c r="U1491" s="25"/>
      <c r="V1491" s="25"/>
      <c r="W1491" s="25"/>
      <c r="X1491" s="25"/>
      <c r="Y1491">
        <v>1.1947183480000001</v>
      </c>
      <c r="Z1491" t="s">
        <v>1112</v>
      </c>
      <c r="AA1491" t="s">
        <v>622</v>
      </c>
      <c r="AB1491">
        <v>3</v>
      </c>
      <c r="AC1491">
        <v>14.6</v>
      </c>
      <c r="AD1491" t="s">
        <v>564</v>
      </c>
      <c r="AE1491" t="s">
        <v>556</v>
      </c>
      <c r="AF1491" t="s">
        <v>569</v>
      </c>
      <c r="AG1491" s="30">
        <v>2920</v>
      </c>
      <c r="AH1491" s="30">
        <v>1</v>
      </c>
      <c r="AI1491" s="30">
        <v>2920</v>
      </c>
      <c r="AJ1491">
        <v>0</v>
      </c>
      <c r="AK1491">
        <v>1</v>
      </c>
      <c r="AL1491">
        <v>2920</v>
      </c>
      <c r="AM1491">
        <v>0</v>
      </c>
      <c r="AN1491">
        <v>2920</v>
      </c>
      <c r="AO1491">
        <v>0</v>
      </c>
      <c r="AP1491">
        <v>3.4885775761600004</v>
      </c>
      <c r="AQ1491">
        <v>0</v>
      </c>
      <c r="AR1491">
        <v>0.13288496611575845</v>
      </c>
    </row>
    <row r="1492" spans="1:44" customFormat="1" hidden="1" x14ac:dyDescent="0.5">
      <c r="A1492">
        <v>1491</v>
      </c>
      <c r="B1492">
        <v>111</v>
      </c>
      <c r="C1492" s="226" t="s">
        <v>55</v>
      </c>
      <c r="D1492" s="229">
        <v>16.346896000000001</v>
      </c>
      <c r="E1492" s="239">
        <v>-61.572339999999997</v>
      </c>
      <c r="F1492">
        <v>0.53</v>
      </c>
      <c r="G1492">
        <f t="shared" si="19"/>
        <v>852.9523200000001</v>
      </c>
      <c r="H1492" t="s">
        <v>54</v>
      </c>
      <c r="I1492">
        <v>4</v>
      </c>
      <c r="J1492">
        <v>213.11518003759301</v>
      </c>
      <c r="K1492" s="27">
        <v>2017</v>
      </c>
      <c r="L1492" t="s">
        <v>11</v>
      </c>
      <c r="M1492" s="30"/>
      <c r="N1492">
        <v>1</v>
      </c>
      <c r="P1492" t="s">
        <v>17</v>
      </c>
      <c r="Q1492">
        <v>100</v>
      </c>
      <c r="R1492" t="s">
        <v>13</v>
      </c>
      <c r="S1492" t="s">
        <v>14</v>
      </c>
      <c r="T1492" t="s">
        <v>14</v>
      </c>
      <c r="U1492" s="25"/>
      <c r="V1492" s="25"/>
      <c r="W1492" s="25"/>
      <c r="X1492" s="25"/>
      <c r="Y1492">
        <v>1.1947183480000001</v>
      </c>
      <c r="Z1492" t="s">
        <v>1112</v>
      </c>
      <c r="AA1492" t="s">
        <v>622</v>
      </c>
      <c r="AB1492">
        <v>3</v>
      </c>
      <c r="AC1492">
        <v>17.600000000000001</v>
      </c>
      <c r="AD1492" t="s">
        <v>566</v>
      </c>
      <c r="AE1492" t="s">
        <v>556</v>
      </c>
      <c r="AF1492" t="s">
        <v>569</v>
      </c>
      <c r="AG1492" s="30">
        <v>3520</v>
      </c>
      <c r="AH1492" s="30">
        <v>0.95</v>
      </c>
      <c r="AI1492" s="30">
        <v>3344</v>
      </c>
      <c r="AJ1492">
        <v>176</v>
      </c>
      <c r="AK1492">
        <v>0.95</v>
      </c>
      <c r="AL1492">
        <v>3344</v>
      </c>
      <c r="AM1492">
        <v>176</v>
      </c>
      <c r="AN1492">
        <v>3344</v>
      </c>
      <c r="AO1492">
        <v>176</v>
      </c>
      <c r="AP1492">
        <v>3.995138155712</v>
      </c>
      <c r="AQ1492">
        <v>0.21027042924800002</v>
      </c>
      <c r="AR1492">
        <v>0.13288496611575845</v>
      </c>
    </row>
    <row r="1493" spans="1:44" customFormat="1" hidden="1" x14ac:dyDescent="0.5">
      <c r="A1493">
        <v>1492</v>
      </c>
      <c r="B1493">
        <v>111</v>
      </c>
      <c r="C1493" s="226" t="s">
        <v>55</v>
      </c>
      <c r="D1493" s="229">
        <v>16.372920000000001</v>
      </c>
      <c r="E1493" s="239">
        <v>-61.543157999999998</v>
      </c>
      <c r="F1493">
        <v>1.93</v>
      </c>
      <c r="G1493">
        <f t="shared" si="19"/>
        <v>3106.0339199999999</v>
      </c>
      <c r="H1493" t="s">
        <v>54</v>
      </c>
      <c r="I1493">
        <v>4</v>
      </c>
      <c r="J1493">
        <v>214.75133679889299</v>
      </c>
      <c r="K1493" s="27">
        <v>2017</v>
      </c>
      <c r="L1493" t="s">
        <v>11</v>
      </c>
      <c r="M1493" s="30"/>
      <c r="N1493">
        <v>1</v>
      </c>
      <c r="P1493" t="s">
        <v>17</v>
      </c>
      <c r="Q1493">
        <v>100</v>
      </c>
      <c r="R1493" t="s">
        <v>13</v>
      </c>
      <c r="S1493" t="s">
        <v>14</v>
      </c>
      <c r="T1493" t="s">
        <v>14</v>
      </c>
      <c r="U1493" s="25"/>
      <c r="V1493" s="25"/>
      <c r="W1493" s="25"/>
      <c r="X1493" s="25"/>
      <c r="Y1493">
        <v>1.1947183480000001</v>
      </c>
      <c r="Z1493" t="s">
        <v>1112</v>
      </c>
      <c r="AA1493" t="s">
        <v>622</v>
      </c>
      <c r="AB1493">
        <v>3</v>
      </c>
      <c r="AC1493">
        <v>7.2</v>
      </c>
      <c r="AD1493" t="s">
        <v>559</v>
      </c>
      <c r="AE1493" t="s">
        <v>556</v>
      </c>
      <c r="AF1493" t="s">
        <v>569</v>
      </c>
      <c r="AG1493" s="30">
        <v>1440</v>
      </c>
      <c r="AH1493" s="30">
        <v>1</v>
      </c>
      <c r="AI1493" s="30">
        <v>1440</v>
      </c>
      <c r="AJ1493">
        <v>0</v>
      </c>
      <c r="AK1493">
        <v>1</v>
      </c>
      <c r="AL1493">
        <v>1440</v>
      </c>
      <c r="AM1493">
        <v>0</v>
      </c>
      <c r="AN1493">
        <v>1440</v>
      </c>
      <c r="AO1493">
        <v>0</v>
      </c>
      <c r="AP1493">
        <v>1.7203944211200002</v>
      </c>
      <c r="AQ1493">
        <v>0</v>
      </c>
      <c r="AR1493">
        <v>0.13288496611575845</v>
      </c>
    </row>
    <row r="1494" spans="1:44" customFormat="1" hidden="1" x14ac:dyDescent="0.5">
      <c r="A1494">
        <v>1493</v>
      </c>
      <c r="B1494">
        <v>111</v>
      </c>
      <c r="C1494" s="226" t="s">
        <v>55</v>
      </c>
      <c r="D1494" s="229">
        <v>16.379344</v>
      </c>
      <c r="E1494" s="239">
        <v>-61.397074000000003</v>
      </c>
      <c r="F1494">
        <v>0.31</v>
      </c>
      <c r="G1494">
        <f t="shared" si="19"/>
        <v>498.89663999999999</v>
      </c>
      <c r="H1494" t="s">
        <v>54</v>
      </c>
      <c r="I1494">
        <v>4</v>
      </c>
      <c r="J1494">
        <v>213.62515826194601</v>
      </c>
      <c r="K1494" s="27">
        <v>2017</v>
      </c>
      <c r="L1494" t="s">
        <v>11</v>
      </c>
      <c r="M1494" s="30"/>
      <c r="N1494">
        <v>1</v>
      </c>
      <c r="P1494" t="s">
        <v>17</v>
      </c>
      <c r="Q1494">
        <v>100</v>
      </c>
      <c r="R1494" t="s">
        <v>13</v>
      </c>
      <c r="S1494" t="s">
        <v>14</v>
      </c>
      <c r="T1494" t="s">
        <v>14</v>
      </c>
      <c r="U1494" s="25"/>
      <c r="V1494" s="25"/>
      <c r="W1494" s="25"/>
      <c r="X1494" s="25"/>
      <c r="Y1494">
        <v>1.1947183480000001</v>
      </c>
      <c r="Z1494" t="s">
        <v>1112</v>
      </c>
      <c r="AA1494" t="s">
        <v>622</v>
      </c>
      <c r="AB1494">
        <v>3</v>
      </c>
      <c r="AC1494">
        <v>7.6</v>
      </c>
      <c r="AD1494" t="s">
        <v>561</v>
      </c>
      <c r="AE1494" t="s">
        <v>556</v>
      </c>
      <c r="AF1494" t="s">
        <v>569</v>
      </c>
      <c r="AG1494" s="30">
        <v>1520</v>
      </c>
      <c r="AH1494" s="30">
        <v>0.96599999999999997</v>
      </c>
      <c r="AI1494" s="30">
        <v>1468.32</v>
      </c>
      <c r="AJ1494">
        <v>51.680000000000064</v>
      </c>
      <c r="AK1494">
        <v>0.96599999999999997</v>
      </c>
      <c r="AL1494">
        <v>1468.32</v>
      </c>
      <c r="AM1494">
        <v>51.680000000000064</v>
      </c>
      <c r="AN1494">
        <v>1468.32</v>
      </c>
      <c r="AO1494">
        <v>51.680000000000057</v>
      </c>
      <c r="AP1494">
        <v>1.75422884473536</v>
      </c>
      <c r="AQ1494">
        <v>6.1743044224640074E-2</v>
      </c>
      <c r="AR1494">
        <v>0.13288496611575845</v>
      </c>
    </row>
    <row r="1495" spans="1:44" hidden="1" x14ac:dyDescent="0.5">
      <c r="A1495" s="31">
        <v>389</v>
      </c>
      <c r="B1495" s="31">
        <v>27</v>
      </c>
      <c r="C1495" s="225" t="s">
        <v>20</v>
      </c>
      <c r="D1495" s="35">
        <v>36.9</v>
      </c>
      <c r="E1495" s="33">
        <v>-8.9</v>
      </c>
      <c r="F1495">
        <v>7</v>
      </c>
      <c r="G1495">
        <f t="shared" si="19"/>
        <v>11265.407999999999</v>
      </c>
      <c r="H1495" s="32" t="s">
        <v>614</v>
      </c>
      <c r="I1495">
        <v>18.7</v>
      </c>
      <c r="J1495">
        <v>71.4516756144168</v>
      </c>
      <c r="K1495" s="26">
        <v>2013</v>
      </c>
      <c r="M1495" s="32">
        <v>1</v>
      </c>
      <c r="N1495">
        <v>8.7498377000000002E-2</v>
      </c>
      <c r="P1495" t="s">
        <v>12</v>
      </c>
      <c r="Q1495">
        <v>89</v>
      </c>
      <c r="R1495" t="s">
        <v>13</v>
      </c>
      <c r="S1495" t="s">
        <v>14</v>
      </c>
      <c r="T1495" t="s">
        <v>14</v>
      </c>
      <c r="U1495" s="34">
        <v>0</v>
      </c>
      <c r="V1495" s="34">
        <v>10</v>
      </c>
      <c r="W1495" s="25">
        <v>5</v>
      </c>
      <c r="X1495" s="25">
        <v>10</v>
      </c>
      <c r="Y1495" s="244">
        <v>1.1009764799999999</v>
      </c>
      <c r="Z1495" t="s">
        <v>714</v>
      </c>
      <c r="AA1495" t="s">
        <v>629</v>
      </c>
      <c r="AB1495">
        <v>1</v>
      </c>
      <c r="AC1495">
        <v>2.0500000000000001E-2</v>
      </c>
      <c r="AF1495" t="s">
        <v>524</v>
      </c>
      <c r="AG1495" s="32" t="s">
        <v>1369</v>
      </c>
      <c r="AH1495" s="32" t="s">
        <v>1136</v>
      </c>
      <c r="AI1495" s="32" t="s">
        <v>1370</v>
      </c>
      <c r="AJ1495" s="31" t="s">
        <v>2824</v>
      </c>
      <c r="AK1495" s="31">
        <v>0.81</v>
      </c>
      <c r="AL1495" s="31">
        <v>16.605</v>
      </c>
      <c r="AM1495" s="31">
        <v>3.8949999999999996</v>
      </c>
      <c r="AN1495" s="31">
        <v>1.6324837641404497</v>
      </c>
      <c r="AO1495" s="31">
        <v>0.38292829035393255</v>
      </c>
      <c r="AP1495" s="31">
        <v>1.7973262283005025E-3</v>
      </c>
      <c r="AQ1495" s="31">
        <v>4.2159504120629058E-4</v>
      </c>
      <c r="AR1495" s="31">
        <v>0.13094218572013733</v>
      </c>
    </row>
    <row r="1496" spans="1:44" hidden="1" x14ac:dyDescent="0.5">
      <c r="A1496" s="31">
        <v>700</v>
      </c>
      <c r="B1496" s="31">
        <v>53</v>
      </c>
      <c r="C1496" s="225" t="s">
        <v>44</v>
      </c>
      <c r="D1496" s="35">
        <v>-37.763312999999997</v>
      </c>
      <c r="E1496" s="33">
        <v>38.489111999999999</v>
      </c>
      <c r="F1496">
        <v>693.55</v>
      </c>
      <c r="G1496">
        <f t="shared" si="19"/>
        <v>1116160.5311999999</v>
      </c>
      <c r="H1496" s="32" t="s">
        <v>611</v>
      </c>
      <c r="I1496">
        <v>900</v>
      </c>
      <c r="J1496">
        <v>0</v>
      </c>
      <c r="K1496" s="27">
        <v>2012</v>
      </c>
      <c r="L1496" t="s">
        <v>30</v>
      </c>
      <c r="M1496" s="32">
        <v>32</v>
      </c>
      <c r="N1496">
        <v>3.4233292909999999</v>
      </c>
      <c r="P1496" t="s">
        <v>53</v>
      </c>
      <c r="Q1496">
        <v>89</v>
      </c>
      <c r="R1496" t="s">
        <v>13</v>
      </c>
      <c r="S1496" t="s">
        <v>14</v>
      </c>
      <c r="T1496" t="s">
        <v>14</v>
      </c>
      <c r="U1496" s="34">
        <v>2</v>
      </c>
      <c r="V1496" s="34">
        <v>5</v>
      </c>
      <c r="W1496" s="25">
        <v>3.5</v>
      </c>
      <c r="X1496" s="25">
        <v>3</v>
      </c>
      <c r="Y1496">
        <v>1.5215942769999999</v>
      </c>
      <c r="Z1496" t="s">
        <v>1111</v>
      </c>
      <c r="AA1496" t="s">
        <v>622</v>
      </c>
      <c r="AB1496">
        <v>1</v>
      </c>
      <c r="AC1496">
        <v>1.4</v>
      </c>
      <c r="AF1496" t="s">
        <v>528</v>
      </c>
      <c r="AG1496" s="32" t="s">
        <v>1802</v>
      </c>
      <c r="AH1496" s="32" t="s">
        <v>671</v>
      </c>
      <c r="AI1496" s="32" t="s">
        <v>1129</v>
      </c>
      <c r="AJ1496" s="31" t="s">
        <v>1130</v>
      </c>
      <c r="AK1496" s="31">
        <v>0.59524549999999998</v>
      </c>
      <c r="AL1496" s="31">
        <v>10.953559862791201</v>
      </c>
      <c r="AM1496" s="31">
        <v>7.4481917889074705</v>
      </c>
      <c r="AN1496" s="31">
        <v>42.132182380915793</v>
      </c>
      <c r="AO1496" s="31">
        <v>28.649003501070375</v>
      </c>
      <c r="AP1496" s="31">
        <v>6.4108087588321705E-2</v>
      </c>
      <c r="AQ1496" s="31">
        <v>4.3592159768981648E-2</v>
      </c>
      <c r="AR1496" s="31">
        <v>5.4151230534896996E-2</v>
      </c>
    </row>
    <row r="1497" spans="1:44" hidden="1" x14ac:dyDescent="0.5">
      <c r="A1497" s="31">
        <v>701</v>
      </c>
      <c r="B1497" s="31">
        <v>53</v>
      </c>
      <c r="C1497" s="225" t="s">
        <v>44</v>
      </c>
      <c r="D1497" s="35">
        <v>-32.242572000000003</v>
      </c>
      <c r="E1497" s="33">
        <v>55.995015000000002</v>
      </c>
      <c r="F1497">
        <v>694.46</v>
      </c>
      <c r="G1497">
        <f t="shared" si="19"/>
        <v>1117625.0342400002</v>
      </c>
      <c r="H1497" s="32" t="s">
        <v>611</v>
      </c>
      <c r="I1497">
        <v>900</v>
      </c>
      <c r="J1497">
        <v>0</v>
      </c>
      <c r="K1497" s="27">
        <v>2012</v>
      </c>
      <c r="L1497" t="s">
        <v>30</v>
      </c>
      <c r="M1497" s="32">
        <v>32</v>
      </c>
      <c r="N1497">
        <v>3.4233292909999999</v>
      </c>
      <c r="P1497" t="s">
        <v>53</v>
      </c>
      <c r="Q1497">
        <v>89</v>
      </c>
      <c r="R1497" t="s">
        <v>13</v>
      </c>
      <c r="S1497" t="s">
        <v>14</v>
      </c>
      <c r="T1497" t="s">
        <v>14</v>
      </c>
      <c r="U1497" s="34">
        <v>2</v>
      </c>
      <c r="V1497" s="34">
        <v>5</v>
      </c>
      <c r="W1497" s="25">
        <v>3.5</v>
      </c>
      <c r="X1497" s="25">
        <v>3</v>
      </c>
      <c r="Y1497">
        <v>0.85758844999999995</v>
      </c>
      <c r="Z1497" t="s">
        <v>1111</v>
      </c>
      <c r="AA1497" t="s">
        <v>622</v>
      </c>
      <c r="AB1497">
        <v>1</v>
      </c>
      <c r="AC1497">
        <v>3.5</v>
      </c>
      <c r="AF1497" t="s">
        <v>528</v>
      </c>
      <c r="AG1497" s="32" t="s">
        <v>1803</v>
      </c>
      <c r="AH1497" s="32" t="s">
        <v>671</v>
      </c>
      <c r="AI1497" s="32" t="s">
        <v>1129</v>
      </c>
      <c r="AJ1497" s="31" t="s">
        <v>1130</v>
      </c>
      <c r="AK1497" s="31">
        <v>0.59524549999999998</v>
      </c>
      <c r="AL1497" s="31">
        <v>48.586457758380497</v>
      </c>
      <c r="AM1497" s="31">
        <v>33.037775870232402</v>
      </c>
      <c r="AN1497" s="31">
        <v>186.88476852831255</v>
      </c>
      <c r="AO1497" s="31">
        <v>127.07773690568493</v>
      </c>
      <c r="AP1497" s="31">
        <v>0.16027021897080432</v>
      </c>
      <c r="AQ1497" s="31">
        <v>0.10898039942245413</v>
      </c>
      <c r="AR1497" s="31">
        <v>5.4151230534896996E-2</v>
      </c>
    </row>
    <row r="1498" spans="1:44" hidden="1" x14ac:dyDescent="0.5">
      <c r="A1498" s="31">
        <v>702</v>
      </c>
      <c r="B1498" s="31">
        <v>53</v>
      </c>
      <c r="C1498" s="225" t="s">
        <v>44</v>
      </c>
      <c r="D1498" s="35">
        <v>-37.112099000000001</v>
      </c>
      <c r="E1498" s="33">
        <v>41.780970000000003</v>
      </c>
      <c r="F1498">
        <v>798.45</v>
      </c>
      <c r="G1498">
        <f t="shared" si="19"/>
        <v>1284980.7168000001</v>
      </c>
      <c r="H1498" s="32" t="s">
        <v>611</v>
      </c>
      <c r="I1498">
        <v>1000</v>
      </c>
      <c r="J1498">
        <v>0</v>
      </c>
      <c r="K1498" s="27">
        <v>2012</v>
      </c>
      <c r="L1498" t="s">
        <v>30</v>
      </c>
      <c r="M1498" s="32">
        <v>32</v>
      </c>
      <c r="N1498">
        <v>3.4233292909999999</v>
      </c>
      <c r="P1498" t="s">
        <v>53</v>
      </c>
      <c r="Q1498">
        <v>89</v>
      </c>
      <c r="R1498" t="s">
        <v>13</v>
      </c>
      <c r="S1498" t="s">
        <v>14</v>
      </c>
      <c r="T1498" t="s">
        <v>14</v>
      </c>
      <c r="U1498" s="34">
        <v>0</v>
      </c>
      <c r="V1498" s="34">
        <v>1</v>
      </c>
      <c r="W1498" s="25">
        <v>0.5</v>
      </c>
      <c r="X1498" s="25">
        <v>1</v>
      </c>
      <c r="Y1498">
        <v>1.5215942769999999</v>
      </c>
      <c r="Z1498" t="s">
        <v>1111</v>
      </c>
      <c r="AA1498" t="s">
        <v>622</v>
      </c>
      <c r="AB1498">
        <v>1</v>
      </c>
      <c r="AC1498">
        <v>4</v>
      </c>
      <c r="AF1498" t="s">
        <v>528</v>
      </c>
      <c r="AG1498" s="32" t="s">
        <v>1804</v>
      </c>
      <c r="AH1498" s="32" t="s">
        <v>671</v>
      </c>
      <c r="AI1498" s="32" t="s">
        <v>1129</v>
      </c>
      <c r="AJ1498" s="31" t="s">
        <v>1130</v>
      </c>
      <c r="AK1498" s="31">
        <v>0.59524549999999998</v>
      </c>
      <c r="AL1498" s="31">
        <v>31.295885322260581</v>
      </c>
      <c r="AM1498" s="31">
        <v>21.280547968307062</v>
      </c>
      <c r="AN1498" s="31">
        <v>120.37766394547373</v>
      </c>
      <c r="AO1498" s="31">
        <v>81.854295717343945</v>
      </c>
      <c r="AP1498" s="31">
        <v>0.18316596453806205</v>
      </c>
      <c r="AQ1498" s="31">
        <v>0.12454902791137615</v>
      </c>
      <c r="AR1498" s="31">
        <v>4.8988746828874725E-2</v>
      </c>
    </row>
    <row r="1499" spans="1:44" hidden="1" x14ac:dyDescent="0.5">
      <c r="A1499" s="31">
        <v>381</v>
      </c>
      <c r="B1499" s="31">
        <v>27</v>
      </c>
      <c r="C1499" s="225" t="s">
        <v>20</v>
      </c>
      <c r="D1499" s="35">
        <v>36.9</v>
      </c>
      <c r="E1499" s="33">
        <v>-7.8</v>
      </c>
      <c r="F1499">
        <v>5.96</v>
      </c>
      <c r="G1499">
        <f t="shared" si="19"/>
        <v>9591.6902399999999</v>
      </c>
      <c r="H1499" s="32" t="s">
        <v>614</v>
      </c>
      <c r="I1499">
        <v>16.899999999999999</v>
      </c>
      <c r="J1499">
        <v>75.771379981248003</v>
      </c>
      <c r="K1499" s="26">
        <v>2013</v>
      </c>
      <c r="M1499" s="32">
        <v>1</v>
      </c>
      <c r="N1499">
        <v>8.7498377000000002E-2</v>
      </c>
      <c r="P1499" t="s">
        <v>12</v>
      </c>
      <c r="Q1499">
        <v>89</v>
      </c>
      <c r="R1499" t="s">
        <v>13</v>
      </c>
      <c r="S1499" t="s">
        <v>14</v>
      </c>
      <c r="T1499" t="s">
        <v>14</v>
      </c>
      <c r="U1499" s="34">
        <v>0</v>
      </c>
      <c r="V1499" s="34">
        <v>5</v>
      </c>
      <c r="W1499" s="25">
        <v>2.5</v>
      </c>
      <c r="X1499" s="25">
        <v>5</v>
      </c>
      <c r="Y1499" s="244">
        <v>1.1009764799999999</v>
      </c>
      <c r="Z1499" t="s">
        <v>714</v>
      </c>
      <c r="AA1499" t="s">
        <v>629</v>
      </c>
      <c r="AB1499">
        <v>1</v>
      </c>
      <c r="AC1499">
        <v>0</v>
      </c>
      <c r="AF1499" t="s">
        <v>524</v>
      </c>
      <c r="AG1499" s="32">
        <v>0</v>
      </c>
      <c r="AH1499" s="32" t="s">
        <v>671</v>
      </c>
      <c r="AI1499" s="32" t="s">
        <v>1129</v>
      </c>
      <c r="AJ1499" s="31" t="s">
        <v>1130</v>
      </c>
      <c r="AK1499" s="31">
        <v>0.59524549999999998</v>
      </c>
      <c r="AL1499" s="31">
        <v>0</v>
      </c>
      <c r="AM1499" s="31">
        <v>0</v>
      </c>
      <c r="AN1499" s="31">
        <v>0</v>
      </c>
      <c r="AO1499" s="31">
        <v>0</v>
      </c>
      <c r="AP1499" s="31">
        <v>0</v>
      </c>
      <c r="AQ1499" s="31">
        <v>0</v>
      </c>
      <c r="AR1499" s="31">
        <v>0.13117854273291268</v>
      </c>
    </row>
    <row r="1500" spans="1:44" hidden="1" x14ac:dyDescent="0.5">
      <c r="A1500" s="31">
        <v>382</v>
      </c>
      <c r="B1500" s="31">
        <v>27</v>
      </c>
      <c r="C1500" s="225" t="s">
        <v>20</v>
      </c>
      <c r="D1500" s="35">
        <v>36.9</v>
      </c>
      <c r="E1500" s="33">
        <v>-7.8</v>
      </c>
      <c r="F1500">
        <v>5.96</v>
      </c>
      <c r="G1500">
        <f t="shared" si="19"/>
        <v>9591.6902399999999</v>
      </c>
      <c r="H1500" s="32" t="s">
        <v>614</v>
      </c>
      <c r="I1500">
        <v>16.899999999999999</v>
      </c>
      <c r="J1500">
        <v>75.771379981248003</v>
      </c>
      <c r="K1500" s="26">
        <v>2013</v>
      </c>
      <c r="M1500" s="32">
        <v>1</v>
      </c>
      <c r="N1500">
        <v>8.7498377000000002E-2</v>
      </c>
      <c r="P1500" t="s">
        <v>12</v>
      </c>
      <c r="Q1500">
        <v>89</v>
      </c>
      <c r="R1500" t="s">
        <v>13</v>
      </c>
      <c r="S1500" t="s">
        <v>14</v>
      </c>
      <c r="T1500" t="s">
        <v>14</v>
      </c>
      <c r="U1500" s="34">
        <v>0</v>
      </c>
      <c r="V1500" s="34">
        <v>5</v>
      </c>
      <c r="W1500" s="25">
        <v>2.5</v>
      </c>
      <c r="X1500" s="25">
        <v>5</v>
      </c>
      <c r="Y1500" s="244">
        <v>1.1009764799999999</v>
      </c>
      <c r="Z1500" t="s">
        <v>714</v>
      </c>
      <c r="AA1500" t="s">
        <v>629</v>
      </c>
      <c r="AB1500">
        <v>1</v>
      </c>
      <c r="AC1500">
        <v>0</v>
      </c>
      <c r="AF1500" t="s">
        <v>524</v>
      </c>
      <c r="AG1500" s="32">
        <v>0</v>
      </c>
      <c r="AH1500" s="32" t="s">
        <v>671</v>
      </c>
      <c r="AI1500" s="32" t="s">
        <v>1129</v>
      </c>
      <c r="AJ1500" s="31" t="s">
        <v>1130</v>
      </c>
      <c r="AK1500" s="31">
        <v>0.59524549999999998</v>
      </c>
      <c r="AL1500" s="31">
        <v>0</v>
      </c>
      <c r="AM1500" s="31">
        <v>0</v>
      </c>
      <c r="AN1500" s="31">
        <v>0</v>
      </c>
      <c r="AO1500" s="31">
        <v>0</v>
      </c>
      <c r="AP1500" s="31">
        <v>0</v>
      </c>
      <c r="AQ1500" s="31">
        <v>0</v>
      </c>
      <c r="AR1500" s="31">
        <v>0.13117854273291268</v>
      </c>
    </row>
    <row r="1501" spans="1:44" hidden="1" x14ac:dyDescent="0.5">
      <c r="A1501" s="31">
        <v>383</v>
      </c>
      <c r="B1501" s="31">
        <v>27</v>
      </c>
      <c r="C1501" s="225" t="s">
        <v>20</v>
      </c>
      <c r="D1501" s="35">
        <v>36.9</v>
      </c>
      <c r="E1501" s="33">
        <v>-7.8</v>
      </c>
      <c r="F1501">
        <v>5.96</v>
      </c>
      <c r="G1501">
        <f t="shared" si="19"/>
        <v>9591.6902399999999</v>
      </c>
      <c r="H1501" s="32" t="s">
        <v>614</v>
      </c>
      <c r="I1501">
        <v>16.899999999999999</v>
      </c>
      <c r="J1501">
        <v>75.771379981248003</v>
      </c>
      <c r="K1501" s="26">
        <v>2013</v>
      </c>
      <c r="M1501" s="32">
        <v>1</v>
      </c>
      <c r="N1501">
        <v>8.7498377000000002E-2</v>
      </c>
      <c r="P1501" t="s">
        <v>12</v>
      </c>
      <c r="Q1501">
        <v>89</v>
      </c>
      <c r="R1501" t="s">
        <v>13</v>
      </c>
      <c r="S1501" t="s">
        <v>14</v>
      </c>
      <c r="T1501" t="s">
        <v>14</v>
      </c>
      <c r="U1501" s="34">
        <v>0</v>
      </c>
      <c r="V1501" s="34">
        <v>5</v>
      </c>
      <c r="W1501" s="25">
        <v>2.5</v>
      </c>
      <c r="X1501" s="25">
        <v>5</v>
      </c>
      <c r="Y1501" s="244">
        <v>1.1009764799999999</v>
      </c>
      <c r="Z1501" t="s">
        <v>714</v>
      </c>
      <c r="AA1501" t="s">
        <v>629</v>
      </c>
      <c r="AB1501">
        <v>1</v>
      </c>
      <c r="AC1501">
        <v>0</v>
      </c>
      <c r="AF1501" t="s">
        <v>524</v>
      </c>
      <c r="AG1501" s="32">
        <v>0</v>
      </c>
      <c r="AH1501" s="32" t="s">
        <v>671</v>
      </c>
      <c r="AI1501" s="32" t="s">
        <v>1129</v>
      </c>
      <c r="AJ1501" s="31" t="s">
        <v>1130</v>
      </c>
      <c r="AK1501" s="31">
        <v>0.59524549999999998</v>
      </c>
      <c r="AL1501" s="31">
        <v>0</v>
      </c>
      <c r="AM1501" s="31">
        <v>0</v>
      </c>
      <c r="AN1501" s="31">
        <v>0</v>
      </c>
      <c r="AO1501" s="31">
        <v>0</v>
      </c>
      <c r="AP1501" s="31">
        <v>0</v>
      </c>
      <c r="AQ1501" s="31">
        <v>0</v>
      </c>
      <c r="AR1501" s="31">
        <v>0.13117854273291268</v>
      </c>
    </row>
    <row r="1502" spans="1:44" hidden="1" x14ac:dyDescent="0.5">
      <c r="A1502" s="31">
        <v>712</v>
      </c>
      <c r="B1502" s="31">
        <v>54</v>
      </c>
      <c r="C1502" s="225" t="s">
        <v>44</v>
      </c>
      <c r="D1502" s="41">
        <v>46.233888899999997</v>
      </c>
      <c r="E1502" s="43">
        <v>155.55166700000001</v>
      </c>
      <c r="F1502">
        <v>157.72</v>
      </c>
      <c r="G1502">
        <f t="shared" si="19"/>
        <v>253825.73568000001</v>
      </c>
      <c r="H1502" s="32" t="s">
        <v>613</v>
      </c>
      <c r="I1502">
        <v>4869</v>
      </c>
      <c r="J1502">
        <v>0</v>
      </c>
      <c r="K1502" s="26">
        <v>2012</v>
      </c>
      <c r="L1502" t="s">
        <v>30</v>
      </c>
      <c r="M1502" s="32">
        <v>300</v>
      </c>
      <c r="N1502">
        <v>36.542166029999997</v>
      </c>
      <c r="P1502" t="s">
        <v>17</v>
      </c>
      <c r="Q1502">
        <v>100</v>
      </c>
      <c r="R1502" t="s">
        <v>13</v>
      </c>
      <c r="S1502" t="s">
        <v>16</v>
      </c>
      <c r="T1502" t="s">
        <v>16</v>
      </c>
      <c r="U1502" s="34">
        <v>2</v>
      </c>
      <c r="V1502" s="34">
        <v>20</v>
      </c>
      <c r="W1502" s="25">
        <v>11</v>
      </c>
      <c r="X1502" s="25">
        <v>18</v>
      </c>
      <c r="Y1502">
        <v>1.356589059</v>
      </c>
      <c r="Z1502" t="s">
        <v>823</v>
      </c>
      <c r="AA1502" t="s">
        <v>642</v>
      </c>
      <c r="AB1502">
        <v>1</v>
      </c>
      <c r="AC1502">
        <v>160</v>
      </c>
      <c r="AF1502" t="s">
        <v>529</v>
      </c>
      <c r="AG1502" s="32" t="s">
        <v>1814</v>
      </c>
      <c r="AH1502" s="32" t="s">
        <v>1342</v>
      </c>
      <c r="AI1502" s="32" t="s">
        <v>1815</v>
      </c>
      <c r="AJ1502" s="31" t="s">
        <v>3039</v>
      </c>
      <c r="AK1502" s="31">
        <v>0.75</v>
      </c>
      <c r="AL1502" s="31">
        <v>1.9657144136429796</v>
      </c>
      <c r="AM1502" s="31">
        <v>0.65523813788099305</v>
      </c>
      <c r="AN1502" s="31">
        <v>71.831462470905848</v>
      </c>
      <c r="AO1502" s="31">
        <v>23.943820823635278</v>
      </c>
      <c r="AP1502" s="31">
        <v>9.7445776079999991E-2</v>
      </c>
      <c r="AQ1502" s="31">
        <v>3.248192535999999E-2</v>
      </c>
      <c r="AR1502" s="31">
        <v>1.015352985183147E-3</v>
      </c>
    </row>
    <row r="1503" spans="1:44" hidden="1" x14ac:dyDescent="0.5">
      <c r="A1503" s="31">
        <v>713</v>
      </c>
      <c r="B1503" s="31">
        <v>54</v>
      </c>
      <c r="C1503" s="225" t="s">
        <v>44</v>
      </c>
      <c r="D1503" s="41">
        <v>46.233888899999997</v>
      </c>
      <c r="E1503" s="43">
        <v>155.55166700000001</v>
      </c>
      <c r="F1503">
        <v>157.72</v>
      </c>
      <c r="G1503">
        <f t="shared" si="19"/>
        <v>253825.73568000001</v>
      </c>
      <c r="H1503" s="32" t="s">
        <v>613</v>
      </c>
      <c r="I1503">
        <v>4869</v>
      </c>
      <c r="J1503">
        <v>0</v>
      </c>
      <c r="K1503" s="26">
        <v>2012</v>
      </c>
      <c r="L1503" t="s">
        <v>30</v>
      </c>
      <c r="M1503" s="32">
        <v>300</v>
      </c>
      <c r="N1503">
        <v>36.542166029999997</v>
      </c>
      <c r="P1503" t="s">
        <v>17</v>
      </c>
      <c r="Q1503">
        <v>100</v>
      </c>
      <c r="R1503" t="s">
        <v>13</v>
      </c>
      <c r="S1503" t="s">
        <v>16</v>
      </c>
      <c r="T1503" t="s">
        <v>16</v>
      </c>
      <c r="U1503" s="34">
        <v>0</v>
      </c>
      <c r="V1503" s="34">
        <v>2</v>
      </c>
      <c r="W1503" s="25">
        <v>1</v>
      </c>
      <c r="X1503" s="25">
        <v>2</v>
      </c>
      <c r="Y1503">
        <v>1.356589059</v>
      </c>
      <c r="Z1503" t="s">
        <v>823</v>
      </c>
      <c r="AA1503" t="s">
        <v>642</v>
      </c>
      <c r="AB1503">
        <v>1</v>
      </c>
      <c r="AC1503">
        <v>97</v>
      </c>
      <c r="AF1503" t="s">
        <v>529</v>
      </c>
      <c r="AG1503" s="32" t="s">
        <v>1816</v>
      </c>
      <c r="AH1503" s="32" t="s">
        <v>1342</v>
      </c>
      <c r="AI1503" s="32" t="s">
        <v>1817</v>
      </c>
      <c r="AJ1503" s="31" t="s">
        <v>3040</v>
      </c>
      <c r="AK1503" s="31">
        <v>0.75</v>
      </c>
      <c r="AL1503" s="31">
        <v>10.725429269439507</v>
      </c>
      <c r="AM1503" s="31">
        <v>3.5751430898131691</v>
      </c>
      <c r="AN1503" s="31">
        <v>391.93041710688004</v>
      </c>
      <c r="AO1503" s="31">
        <v>130.64347236896</v>
      </c>
      <c r="AP1503" s="31">
        <v>0.53168851573649989</v>
      </c>
      <c r="AQ1503" s="31">
        <v>0.17722950524549996</v>
      </c>
      <c r="AR1503" s="31">
        <v>1.015352985183147E-3</v>
      </c>
    </row>
    <row r="1504" spans="1:44" hidden="1" x14ac:dyDescent="0.5">
      <c r="A1504" s="31">
        <v>714</v>
      </c>
      <c r="B1504" s="31">
        <v>54</v>
      </c>
      <c r="C1504" s="225" t="s">
        <v>44</v>
      </c>
      <c r="D1504" s="41">
        <v>46.233611099999997</v>
      </c>
      <c r="E1504" s="43">
        <v>155.552222</v>
      </c>
      <c r="F1504">
        <v>157.19</v>
      </c>
      <c r="G1504">
        <f t="shared" si="19"/>
        <v>252972.78336</v>
      </c>
      <c r="H1504" s="32" t="s">
        <v>613</v>
      </c>
      <c r="I1504">
        <v>4870</v>
      </c>
      <c r="J1504">
        <v>0</v>
      </c>
      <c r="K1504" s="26">
        <v>2012</v>
      </c>
      <c r="L1504" t="s">
        <v>30</v>
      </c>
      <c r="M1504" s="32">
        <v>300</v>
      </c>
      <c r="N1504">
        <v>36.542166029999997</v>
      </c>
      <c r="P1504" t="s">
        <v>17</v>
      </c>
      <c r="Q1504">
        <v>100</v>
      </c>
      <c r="R1504" t="s">
        <v>13</v>
      </c>
      <c r="S1504" t="s">
        <v>16</v>
      </c>
      <c r="T1504" t="s">
        <v>16</v>
      </c>
      <c r="U1504" s="34">
        <v>0</v>
      </c>
      <c r="V1504" s="34">
        <v>2</v>
      </c>
      <c r="W1504" s="25">
        <v>1</v>
      </c>
      <c r="X1504" s="25">
        <v>2</v>
      </c>
      <c r="Y1504">
        <v>1.356589059</v>
      </c>
      <c r="Z1504" t="s">
        <v>823</v>
      </c>
      <c r="AA1504" t="s">
        <v>642</v>
      </c>
      <c r="AB1504">
        <v>1</v>
      </c>
      <c r="AC1504">
        <v>0</v>
      </c>
      <c r="AF1504" t="s">
        <v>529</v>
      </c>
      <c r="AG1504" s="32">
        <v>0</v>
      </c>
      <c r="AH1504" s="32" t="s">
        <v>671</v>
      </c>
      <c r="AI1504" s="32" t="s">
        <v>1129</v>
      </c>
      <c r="AJ1504" s="31" t="s">
        <v>1130</v>
      </c>
      <c r="AK1504" s="31">
        <v>0.59524549999999998</v>
      </c>
      <c r="AL1504" s="31">
        <v>0</v>
      </c>
      <c r="AM1504" s="31">
        <v>0</v>
      </c>
      <c r="AN1504" s="31">
        <v>0</v>
      </c>
      <c r="AO1504" s="31">
        <v>0</v>
      </c>
      <c r="AP1504" s="31">
        <v>0</v>
      </c>
      <c r="AQ1504" s="31">
        <v>0</v>
      </c>
      <c r="AR1504" s="31">
        <v>1.0143362116271384E-3</v>
      </c>
    </row>
    <row r="1505" spans="1:44" hidden="1" x14ac:dyDescent="0.5">
      <c r="A1505" s="31">
        <v>715</v>
      </c>
      <c r="B1505" s="31">
        <v>54</v>
      </c>
      <c r="C1505" s="225" t="s">
        <v>44</v>
      </c>
      <c r="D1505" s="41">
        <v>46.233611099999997</v>
      </c>
      <c r="E1505" s="43">
        <v>155.552222</v>
      </c>
      <c r="F1505">
        <v>157.19</v>
      </c>
      <c r="G1505">
        <f t="shared" si="19"/>
        <v>252972.78336</v>
      </c>
      <c r="H1505" s="32" t="s">
        <v>613</v>
      </c>
      <c r="I1505">
        <v>4870</v>
      </c>
      <c r="J1505">
        <v>0</v>
      </c>
      <c r="K1505" s="26">
        <v>2012</v>
      </c>
      <c r="L1505" t="s">
        <v>30</v>
      </c>
      <c r="M1505" s="32">
        <v>300</v>
      </c>
      <c r="N1505">
        <v>36.542166029999997</v>
      </c>
      <c r="P1505" t="s">
        <v>17</v>
      </c>
      <c r="Q1505">
        <v>100</v>
      </c>
      <c r="R1505" t="s">
        <v>13</v>
      </c>
      <c r="S1505" t="s">
        <v>16</v>
      </c>
      <c r="T1505" t="s">
        <v>16</v>
      </c>
      <c r="U1505" s="34">
        <v>2</v>
      </c>
      <c r="V1505" s="34">
        <v>20</v>
      </c>
      <c r="W1505" s="25">
        <v>11</v>
      </c>
      <c r="X1505" s="25">
        <v>18</v>
      </c>
      <c r="Y1505">
        <v>1.356589059</v>
      </c>
      <c r="Z1505" t="s">
        <v>823</v>
      </c>
      <c r="AA1505" t="s">
        <v>642</v>
      </c>
      <c r="AB1505">
        <v>1</v>
      </c>
      <c r="AC1505">
        <v>114</v>
      </c>
      <c r="AF1505" t="s">
        <v>529</v>
      </c>
      <c r="AG1505" s="32" t="s">
        <v>1818</v>
      </c>
      <c r="AH1505" s="32" t="s">
        <v>1342</v>
      </c>
      <c r="AI1505" s="32" t="s">
        <v>1819</v>
      </c>
      <c r="AJ1505" s="31" t="s">
        <v>3041</v>
      </c>
      <c r="AK1505" s="31">
        <v>0.75</v>
      </c>
      <c r="AL1505" s="31">
        <v>1.400571519720623</v>
      </c>
      <c r="AM1505" s="31">
        <v>0.46685717324020759</v>
      </c>
      <c r="AN1505" s="31">
        <v>51.179917010520413</v>
      </c>
      <c r="AO1505" s="31">
        <v>17.059972336840136</v>
      </c>
      <c r="AP1505" s="31">
        <v>6.943011545699998E-2</v>
      </c>
      <c r="AQ1505" s="31">
        <v>2.3143371818999992E-2</v>
      </c>
      <c r="AR1505" s="31">
        <v>1.0143362116271384E-3</v>
      </c>
    </row>
    <row r="1506" spans="1:44" hidden="1" x14ac:dyDescent="0.5">
      <c r="A1506" s="31">
        <v>720</v>
      </c>
      <c r="B1506" s="31">
        <v>54</v>
      </c>
      <c r="C1506" s="225" t="s">
        <v>44</v>
      </c>
      <c r="D1506" s="41">
        <v>42.250555599999998</v>
      </c>
      <c r="E1506" s="43">
        <v>151.733889</v>
      </c>
      <c r="F1506">
        <v>254.85</v>
      </c>
      <c r="G1506">
        <f t="shared" si="19"/>
        <v>410141.31839999999</v>
      </c>
      <c r="H1506" s="32" t="s">
        <v>613</v>
      </c>
      <c r="I1506">
        <v>5129</v>
      </c>
      <c r="J1506">
        <v>0</v>
      </c>
      <c r="K1506" s="26">
        <v>2012</v>
      </c>
      <c r="L1506" t="s">
        <v>30</v>
      </c>
      <c r="M1506" s="32">
        <v>300</v>
      </c>
      <c r="N1506">
        <v>36.542166029999997</v>
      </c>
      <c r="P1506" t="s">
        <v>17</v>
      </c>
      <c r="Q1506">
        <v>100</v>
      </c>
      <c r="R1506" t="s">
        <v>13</v>
      </c>
      <c r="S1506" t="s">
        <v>16</v>
      </c>
      <c r="T1506" t="s">
        <v>16</v>
      </c>
      <c r="U1506" s="34">
        <v>2</v>
      </c>
      <c r="V1506" s="34">
        <v>20</v>
      </c>
      <c r="W1506" s="25">
        <v>11</v>
      </c>
      <c r="X1506" s="25">
        <v>18</v>
      </c>
      <c r="Y1506">
        <v>0.97091161199999998</v>
      </c>
      <c r="Z1506" t="s">
        <v>1110</v>
      </c>
      <c r="AA1506" t="s">
        <v>622</v>
      </c>
      <c r="AB1506">
        <v>1</v>
      </c>
      <c r="AC1506">
        <v>21</v>
      </c>
      <c r="AF1506" t="s">
        <v>529</v>
      </c>
      <c r="AG1506" s="32" t="s">
        <v>1826</v>
      </c>
      <c r="AH1506" s="32" t="s">
        <v>1342</v>
      </c>
      <c r="AI1506" s="32" t="s">
        <v>1827</v>
      </c>
      <c r="AJ1506" s="31" t="s">
        <v>3045</v>
      </c>
      <c r="AK1506" s="31">
        <v>0.75</v>
      </c>
      <c r="AL1506" s="31">
        <v>0.36048595533740513</v>
      </c>
      <c r="AM1506" s="31">
        <v>0.12016198511246839</v>
      </c>
      <c r="AN1506" s="31">
        <v>13.17293763142262</v>
      </c>
      <c r="AO1506" s="31">
        <v>4.3909792104742076</v>
      </c>
      <c r="AP1506" s="31">
        <v>1.2789758110499998E-2</v>
      </c>
      <c r="AQ1506" s="31">
        <v>4.2632527034999999E-3</v>
      </c>
      <c r="AR1506" s="31">
        <v>7.8250270947737303E-4</v>
      </c>
    </row>
    <row r="1507" spans="1:44" hidden="1" x14ac:dyDescent="0.5">
      <c r="A1507" s="31">
        <v>721</v>
      </c>
      <c r="B1507" s="31">
        <v>54</v>
      </c>
      <c r="C1507" s="225" t="s">
        <v>44</v>
      </c>
      <c r="D1507" s="41">
        <v>42.250555599999998</v>
      </c>
      <c r="E1507" s="43">
        <v>151.733889</v>
      </c>
      <c r="F1507">
        <v>254.85</v>
      </c>
      <c r="G1507">
        <f t="shared" si="19"/>
        <v>410141.31839999999</v>
      </c>
      <c r="H1507" s="32" t="s">
        <v>613</v>
      </c>
      <c r="I1507">
        <v>5129</v>
      </c>
      <c r="J1507">
        <v>0</v>
      </c>
      <c r="K1507" s="26">
        <v>2012</v>
      </c>
      <c r="L1507" t="s">
        <v>30</v>
      </c>
      <c r="M1507" s="32">
        <v>300</v>
      </c>
      <c r="N1507">
        <v>36.542166029999997</v>
      </c>
      <c r="P1507" t="s">
        <v>17</v>
      </c>
      <c r="Q1507">
        <v>100</v>
      </c>
      <c r="R1507" t="s">
        <v>13</v>
      </c>
      <c r="S1507" t="s">
        <v>16</v>
      </c>
      <c r="T1507" t="s">
        <v>16</v>
      </c>
      <c r="U1507" s="34">
        <v>0</v>
      </c>
      <c r="V1507" s="34">
        <v>2</v>
      </c>
      <c r="W1507" s="25">
        <v>1</v>
      </c>
      <c r="X1507" s="25">
        <v>2</v>
      </c>
      <c r="Y1507">
        <v>0.97091161199999998</v>
      </c>
      <c r="Z1507" t="s">
        <v>1110</v>
      </c>
      <c r="AA1507" t="s">
        <v>622</v>
      </c>
      <c r="AB1507">
        <v>1</v>
      </c>
      <c r="AC1507">
        <v>93</v>
      </c>
      <c r="AF1507" t="s">
        <v>529</v>
      </c>
      <c r="AG1507" s="32" t="s">
        <v>1828</v>
      </c>
      <c r="AH1507" s="32" t="s">
        <v>1342</v>
      </c>
      <c r="AI1507" s="32" t="s">
        <v>1829</v>
      </c>
      <c r="AJ1507" s="31" t="s">
        <v>3046</v>
      </c>
      <c r="AK1507" s="31">
        <v>0.75</v>
      </c>
      <c r="AL1507" s="31">
        <v>14.367940219876576</v>
      </c>
      <c r="AM1507" s="31">
        <v>4.7893134066255243</v>
      </c>
      <c r="AN1507" s="31">
        <v>525.03565702384446</v>
      </c>
      <c r="AO1507" s="31">
        <v>175.0118856746148</v>
      </c>
      <c r="AP1507" s="31">
        <v>0.50976321611849995</v>
      </c>
      <c r="AQ1507" s="31">
        <v>0.16992107203949997</v>
      </c>
      <c r="AR1507" s="31">
        <v>7.8250270947737303E-4</v>
      </c>
    </row>
    <row r="1508" spans="1:44" hidden="1" x14ac:dyDescent="0.5">
      <c r="A1508" s="31">
        <v>722</v>
      </c>
      <c r="B1508" s="31">
        <v>54</v>
      </c>
      <c r="C1508" s="225" t="s">
        <v>44</v>
      </c>
      <c r="D1508" s="41">
        <v>43.042222199999998</v>
      </c>
      <c r="E1508" s="43">
        <v>152.98611099999999</v>
      </c>
      <c r="F1508">
        <v>244</v>
      </c>
      <c r="G1508">
        <f t="shared" si="19"/>
        <v>392679.93599999999</v>
      </c>
      <c r="H1508" s="32" t="s">
        <v>613</v>
      </c>
      <c r="I1508">
        <v>5222</v>
      </c>
      <c r="J1508">
        <v>0</v>
      </c>
      <c r="K1508" s="26">
        <v>2012</v>
      </c>
      <c r="L1508" t="s">
        <v>30</v>
      </c>
      <c r="M1508" s="32">
        <v>300</v>
      </c>
      <c r="N1508">
        <v>36.542166029999997</v>
      </c>
      <c r="P1508" t="s">
        <v>17</v>
      </c>
      <c r="Q1508">
        <v>100</v>
      </c>
      <c r="R1508" t="s">
        <v>13</v>
      </c>
      <c r="S1508" t="s">
        <v>16</v>
      </c>
      <c r="T1508" t="s">
        <v>16</v>
      </c>
      <c r="U1508" s="34">
        <v>2</v>
      </c>
      <c r="V1508" s="34">
        <v>20</v>
      </c>
      <c r="W1508" s="25">
        <v>11</v>
      </c>
      <c r="X1508" s="25">
        <v>18</v>
      </c>
      <c r="Y1508">
        <v>0.31036865699999999</v>
      </c>
      <c r="Z1508" t="s">
        <v>823</v>
      </c>
      <c r="AA1508" t="s">
        <v>643</v>
      </c>
      <c r="AB1508">
        <v>1</v>
      </c>
      <c r="AC1508">
        <v>0</v>
      </c>
      <c r="AF1508" t="s">
        <v>529</v>
      </c>
      <c r="AG1508" s="32">
        <v>0</v>
      </c>
      <c r="AH1508" s="32" t="s">
        <v>671</v>
      </c>
      <c r="AI1508" s="32" t="s">
        <v>1129</v>
      </c>
      <c r="AJ1508" s="31" t="s">
        <v>1130</v>
      </c>
      <c r="AK1508" s="31">
        <v>0.59524549999999998</v>
      </c>
      <c r="AL1508" s="31">
        <v>0</v>
      </c>
      <c r="AM1508" s="31">
        <v>0</v>
      </c>
      <c r="AN1508" s="31">
        <v>0</v>
      </c>
      <c r="AO1508" s="31">
        <v>0</v>
      </c>
      <c r="AP1508" s="31">
        <v>0</v>
      </c>
      <c r="AQ1508" s="31">
        <v>0</v>
      </c>
      <c r="AR1508" s="31">
        <v>7.1288535011891131E-4</v>
      </c>
    </row>
    <row r="1509" spans="1:44" hidden="1" x14ac:dyDescent="0.5">
      <c r="A1509" s="31">
        <v>723</v>
      </c>
      <c r="B1509" s="31">
        <v>54</v>
      </c>
      <c r="C1509" s="225" t="s">
        <v>44</v>
      </c>
      <c r="D1509" s="41">
        <v>43.042222199999998</v>
      </c>
      <c r="E1509" s="43">
        <v>152.98611099999999</v>
      </c>
      <c r="F1509">
        <v>244</v>
      </c>
      <c r="G1509">
        <f t="shared" si="19"/>
        <v>392679.93599999999</v>
      </c>
      <c r="H1509" s="32" t="s">
        <v>613</v>
      </c>
      <c r="I1509">
        <v>5222</v>
      </c>
      <c r="J1509">
        <v>0</v>
      </c>
      <c r="K1509" s="26">
        <v>2012</v>
      </c>
      <c r="L1509" t="s">
        <v>30</v>
      </c>
      <c r="M1509" s="32">
        <v>300</v>
      </c>
      <c r="N1509">
        <v>36.542166029999997</v>
      </c>
      <c r="P1509" t="s">
        <v>17</v>
      </c>
      <c r="Q1509">
        <v>100</v>
      </c>
      <c r="R1509" t="s">
        <v>13</v>
      </c>
      <c r="S1509" t="s">
        <v>16</v>
      </c>
      <c r="T1509" t="s">
        <v>16</v>
      </c>
      <c r="U1509" s="34">
        <v>0</v>
      </c>
      <c r="V1509" s="34">
        <v>2</v>
      </c>
      <c r="W1509" s="25">
        <v>1</v>
      </c>
      <c r="X1509" s="25">
        <v>2</v>
      </c>
      <c r="Y1509">
        <v>0.31036865699999999</v>
      </c>
      <c r="Z1509" t="s">
        <v>823</v>
      </c>
      <c r="AA1509" t="s">
        <v>643</v>
      </c>
      <c r="AB1509">
        <v>1</v>
      </c>
      <c r="AC1509">
        <v>76</v>
      </c>
      <c r="AF1509" t="s">
        <v>529</v>
      </c>
      <c r="AG1509" s="32" t="s">
        <v>1830</v>
      </c>
      <c r="AH1509" s="32" t="s">
        <v>1342</v>
      </c>
      <c r="AI1509" s="32" t="s">
        <v>1831</v>
      </c>
      <c r="AJ1509" s="31" t="s">
        <v>3047</v>
      </c>
      <c r="AK1509" s="31">
        <v>0.75</v>
      </c>
      <c r="AL1509" s="31">
        <v>36.730513029864355</v>
      </c>
      <c r="AM1509" s="31">
        <v>12.243504343288116</v>
      </c>
      <c r="AN1509" s="31">
        <v>1342.2125055043814</v>
      </c>
      <c r="AO1509" s="31">
        <v>447.40416850146039</v>
      </c>
      <c r="AP1509" s="31">
        <v>0.41658069274199994</v>
      </c>
      <c r="AQ1509" s="31">
        <v>0.13886023091399996</v>
      </c>
      <c r="AR1509" s="31">
        <v>7.1288535011891131E-4</v>
      </c>
    </row>
    <row r="1510" spans="1:44" hidden="1" x14ac:dyDescent="0.5">
      <c r="A1510" s="31">
        <v>724</v>
      </c>
      <c r="B1510" s="31">
        <v>54</v>
      </c>
      <c r="C1510" s="225" t="s">
        <v>44</v>
      </c>
      <c r="D1510" s="41">
        <v>43.034722199999997</v>
      </c>
      <c r="E1510" s="43">
        <v>152.986389</v>
      </c>
      <c r="F1510">
        <v>244.48</v>
      </c>
      <c r="G1510">
        <f t="shared" si="19"/>
        <v>393452.42112000001</v>
      </c>
      <c r="H1510" s="32" t="s">
        <v>613</v>
      </c>
      <c r="I1510">
        <v>5225</v>
      </c>
      <c r="J1510">
        <v>0</v>
      </c>
      <c r="K1510" s="26">
        <v>2012</v>
      </c>
      <c r="L1510" t="s">
        <v>30</v>
      </c>
      <c r="M1510" s="32">
        <v>300</v>
      </c>
      <c r="N1510">
        <v>36.542166029999997</v>
      </c>
      <c r="P1510" t="s">
        <v>17</v>
      </c>
      <c r="Q1510">
        <v>100</v>
      </c>
      <c r="R1510" t="s">
        <v>13</v>
      </c>
      <c r="S1510" t="s">
        <v>16</v>
      </c>
      <c r="T1510" t="s">
        <v>16</v>
      </c>
      <c r="U1510" s="34">
        <v>2</v>
      </c>
      <c r="V1510" s="34">
        <v>20</v>
      </c>
      <c r="W1510" s="25">
        <v>11</v>
      </c>
      <c r="X1510" s="25">
        <v>18</v>
      </c>
      <c r="Y1510">
        <v>0.31036865699999999</v>
      </c>
      <c r="Z1510" t="s">
        <v>823</v>
      </c>
      <c r="AA1510" t="s">
        <v>643</v>
      </c>
      <c r="AB1510">
        <v>1</v>
      </c>
      <c r="AC1510">
        <v>0</v>
      </c>
      <c r="AF1510" t="s">
        <v>529</v>
      </c>
      <c r="AG1510" s="32">
        <v>0</v>
      </c>
      <c r="AH1510" s="32" t="s">
        <v>671</v>
      </c>
      <c r="AI1510" s="32" t="s">
        <v>1129</v>
      </c>
      <c r="AJ1510" s="31" t="s">
        <v>1130</v>
      </c>
      <c r="AK1510" s="31">
        <v>0.59524549999999998</v>
      </c>
      <c r="AL1510" s="31">
        <v>0</v>
      </c>
      <c r="AM1510" s="31">
        <v>0</v>
      </c>
      <c r="AN1510" s="31">
        <v>0</v>
      </c>
      <c r="AO1510" s="31">
        <v>0</v>
      </c>
      <c r="AP1510" s="31">
        <v>0</v>
      </c>
      <c r="AQ1510" s="31">
        <v>0</v>
      </c>
      <c r="AR1510" s="31">
        <v>7.1074584582366267E-4</v>
      </c>
    </row>
    <row r="1511" spans="1:44" hidden="1" x14ac:dyDescent="0.5">
      <c r="A1511" s="31">
        <v>725</v>
      </c>
      <c r="B1511" s="31">
        <v>54</v>
      </c>
      <c r="C1511" s="225" t="s">
        <v>44</v>
      </c>
      <c r="D1511" s="41">
        <v>43.034722199999997</v>
      </c>
      <c r="E1511" s="43">
        <v>152.986389</v>
      </c>
      <c r="F1511">
        <v>244.48</v>
      </c>
      <c r="G1511">
        <f t="shared" si="19"/>
        <v>393452.42112000001</v>
      </c>
      <c r="H1511" s="32" t="s">
        <v>613</v>
      </c>
      <c r="I1511">
        <v>5225</v>
      </c>
      <c r="J1511">
        <v>0</v>
      </c>
      <c r="K1511" s="26">
        <v>2012</v>
      </c>
      <c r="L1511" t="s">
        <v>30</v>
      </c>
      <c r="M1511" s="32">
        <v>300</v>
      </c>
      <c r="N1511">
        <v>36.542166029999997</v>
      </c>
      <c r="P1511" t="s">
        <v>17</v>
      </c>
      <c r="Q1511">
        <v>100</v>
      </c>
      <c r="R1511" t="s">
        <v>13</v>
      </c>
      <c r="S1511" t="s">
        <v>16</v>
      </c>
      <c r="T1511" t="s">
        <v>16</v>
      </c>
      <c r="U1511" s="34">
        <v>0</v>
      </c>
      <c r="V1511" s="34">
        <v>2</v>
      </c>
      <c r="W1511" s="25">
        <v>1</v>
      </c>
      <c r="X1511" s="25">
        <v>2</v>
      </c>
      <c r="Y1511">
        <v>0.31036865699999999</v>
      </c>
      <c r="Z1511" t="s">
        <v>823</v>
      </c>
      <c r="AA1511" t="s">
        <v>643</v>
      </c>
      <c r="AB1511">
        <v>1</v>
      </c>
      <c r="AC1511">
        <v>34</v>
      </c>
      <c r="AF1511" t="s">
        <v>529</v>
      </c>
      <c r="AG1511" s="32" t="s">
        <v>1832</v>
      </c>
      <c r="AH1511" s="32" t="s">
        <v>1342</v>
      </c>
      <c r="AI1511" s="32" t="s">
        <v>1833</v>
      </c>
      <c r="AJ1511" s="31" t="s">
        <v>3048</v>
      </c>
      <c r="AK1511" s="31">
        <v>0.75</v>
      </c>
      <c r="AL1511" s="31">
        <v>16.432071618623528</v>
      </c>
      <c r="AM1511" s="31">
        <v>5.4773572062078415</v>
      </c>
      <c r="AN1511" s="31">
        <v>600.4634893045918</v>
      </c>
      <c r="AO1511" s="31">
        <v>200.15449643486386</v>
      </c>
      <c r="AP1511" s="31">
        <v>0.18636504675300003</v>
      </c>
      <c r="AQ1511" s="31">
        <v>6.2121682250999982E-2</v>
      </c>
      <c r="AR1511" s="31">
        <v>7.1074584582366267E-4</v>
      </c>
    </row>
    <row r="1512" spans="1:44" hidden="1" x14ac:dyDescent="0.5">
      <c r="A1512" s="31">
        <v>726</v>
      </c>
      <c r="B1512" s="31">
        <v>54</v>
      </c>
      <c r="C1512" s="225" t="s">
        <v>44</v>
      </c>
      <c r="D1512" s="41">
        <v>39.726666700000003</v>
      </c>
      <c r="E1512" s="43">
        <v>147.17750000000001</v>
      </c>
      <c r="F1512">
        <v>261.27</v>
      </c>
      <c r="G1512">
        <f t="shared" si="19"/>
        <v>420473.30687999999</v>
      </c>
      <c r="H1512" s="32" t="s">
        <v>613</v>
      </c>
      <c r="I1512">
        <v>5229</v>
      </c>
      <c r="J1512">
        <v>0</v>
      </c>
      <c r="K1512" s="26">
        <v>2012</v>
      </c>
      <c r="L1512" t="s">
        <v>30</v>
      </c>
      <c r="M1512" s="32">
        <v>300</v>
      </c>
      <c r="N1512">
        <v>36.542166029999997</v>
      </c>
      <c r="P1512" t="s">
        <v>17</v>
      </c>
      <c r="Q1512">
        <v>100</v>
      </c>
      <c r="R1512" t="s">
        <v>13</v>
      </c>
      <c r="S1512" t="s">
        <v>16</v>
      </c>
      <c r="T1512" t="s">
        <v>16</v>
      </c>
      <c r="U1512" s="34">
        <v>2</v>
      </c>
      <c r="V1512" s="34">
        <v>20</v>
      </c>
      <c r="W1512" s="25">
        <v>11</v>
      </c>
      <c r="X1512" s="25">
        <v>18</v>
      </c>
      <c r="Y1512">
        <v>0.85288542599999995</v>
      </c>
      <c r="Z1512" t="s">
        <v>712</v>
      </c>
      <c r="AA1512" t="s">
        <v>626</v>
      </c>
      <c r="AB1512">
        <v>1</v>
      </c>
      <c r="AC1512">
        <v>0</v>
      </c>
      <c r="AF1512" t="s">
        <v>529</v>
      </c>
      <c r="AG1512" s="32">
        <v>0</v>
      </c>
      <c r="AH1512" s="32" t="s">
        <v>671</v>
      </c>
      <c r="AI1512" s="32" t="s">
        <v>1129</v>
      </c>
      <c r="AJ1512" s="31" t="s">
        <v>1130</v>
      </c>
      <c r="AK1512" s="31">
        <v>0.59524549999999998</v>
      </c>
      <c r="AL1512" s="31">
        <v>0</v>
      </c>
      <c r="AM1512" s="31">
        <v>0</v>
      </c>
      <c r="AN1512" s="31">
        <v>0</v>
      </c>
      <c r="AO1512" s="31">
        <v>0</v>
      </c>
      <c r="AP1512" s="31">
        <v>0</v>
      </c>
      <c r="AQ1512" s="31">
        <v>0</v>
      </c>
      <c r="AR1512" s="31">
        <v>7.0790315841099446E-4</v>
      </c>
    </row>
    <row r="1513" spans="1:44" hidden="1" x14ac:dyDescent="0.5">
      <c r="A1513" s="31">
        <v>727</v>
      </c>
      <c r="B1513" s="31">
        <v>54</v>
      </c>
      <c r="C1513" s="225" t="s">
        <v>44</v>
      </c>
      <c r="D1513" s="41">
        <v>39.726666700000003</v>
      </c>
      <c r="E1513" s="43">
        <v>147.17750000000001</v>
      </c>
      <c r="F1513">
        <v>261.27</v>
      </c>
      <c r="G1513">
        <f t="shared" si="19"/>
        <v>420473.30687999999</v>
      </c>
      <c r="H1513" s="32" t="s">
        <v>613</v>
      </c>
      <c r="I1513">
        <v>5229</v>
      </c>
      <c r="J1513">
        <v>0</v>
      </c>
      <c r="K1513" s="26">
        <v>2012</v>
      </c>
      <c r="L1513" t="s">
        <v>30</v>
      </c>
      <c r="M1513" s="32">
        <v>300</v>
      </c>
      <c r="N1513">
        <v>36.542166029999997</v>
      </c>
      <c r="P1513" t="s">
        <v>17</v>
      </c>
      <c r="Q1513">
        <v>100</v>
      </c>
      <c r="R1513" t="s">
        <v>13</v>
      </c>
      <c r="S1513" t="s">
        <v>16</v>
      </c>
      <c r="T1513" t="s">
        <v>16</v>
      </c>
      <c r="U1513" s="34">
        <v>0</v>
      </c>
      <c r="V1513" s="34">
        <v>2</v>
      </c>
      <c r="W1513" s="25">
        <v>1</v>
      </c>
      <c r="X1513" s="25">
        <v>2</v>
      </c>
      <c r="Y1513">
        <v>0.85288542599999995</v>
      </c>
      <c r="Z1513" t="s">
        <v>712</v>
      </c>
      <c r="AA1513" t="s">
        <v>626</v>
      </c>
      <c r="AB1513">
        <v>1</v>
      </c>
      <c r="AC1513">
        <v>505</v>
      </c>
      <c r="AF1513" t="s">
        <v>529</v>
      </c>
      <c r="AG1513" s="32" t="s">
        <v>1834</v>
      </c>
      <c r="AH1513" s="32" t="s">
        <v>1342</v>
      </c>
      <c r="AI1513" s="32" t="s">
        <v>1835</v>
      </c>
      <c r="AJ1513" s="31" t="s">
        <v>3049</v>
      </c>
      <c r="AK1513" s="31">
        <v>0.75</v>
      </c>
      <c r="AL1513" s="31">
        <v>88.816150083915261</v>
      </c>
      <c r="AM1513" s="31">
        <v>29.605383361305087</v>
      </c>
      <c r="AN1513" s="31">
        <v>3245.5345025118299</v>
      </c>
      <c r="AO1513" s="31">
        <v>1081.8448341706098</v>
      </c>
      <c r="AP1513" s="31">
        <v>2.7680690767725</v>
      </c>
      <c r="AQ1513" s="31">
        <v>0.92268969225749975</v>
      </c>
      <c r="AR1513" s="31">
        <v>7.0790315841099446E-4</v>
      </c>
    </row>
    <row r="1514" spans="1:44" hidden="1" x14ac:dyDescent="0.5">
      <c r="A1514" s="31">
        <v>728</v>
      </c>
      <c r="B1514" s="31">
        <v>54</v>
      </c>
      <c r="C1514" s="225" t="s">
        <v>44</v>
      </c>
      <c r="D1514" s="41">
        <v>41.200555600000001</v>
      </c>
      <c r="E1514" s="43">
        <v>150.102778</v>
      </c>
      <c r="F1514">
        <v>244.47</v>
      </c>
      <c r="G1514">
        <f t="shared" si="19"/>
        <v>393436.32767999999</v>
      </c>
      <c r="H1514" s="32" t="s">
        <v>613</v>
      </c>
      <c r="I1514">
        <v>5249</v>
      </c>
      <c r="J1514">
        <v>0</v>
      </c>
      <c r="K1514" s="26">
        <v>2012</v>
      </c>
      <c r="L1514" t="s">
        <v>30</v>
      </c>
      <c r="M1514" s="32">
        <v>300</v>
      </c>
      <c r="N1514">
        <v>36.542166029999997</v>
      </c>
      <c r="P1514" t="s">
        <v>17</v>
      </c>
      <c r="Q1514">
        <v>100</v>
      </c>
      <c r="R1514" t="s">
        <v>13</v>
      </c>
      <c r="S1514" t="s">
        <v>16</v>
      </c>
      <c r="T1514" t="s">
        <v>16</v>
      </c>
      <c r="U1514" s="34">
        <v>2</v>
      </c>
      <c r="V1514" s="34">
        <v>20</v>
      </c>
      <c r="W1514" s="25">
        <v>11</v>
      </c>
      <c r="X1514" s="25">
        <v>18</v>
      </c>
      <c r="Y1514">
        <v>0.97091161199999998</v>
      </c>
      <c r="Z1514" t="s">
        <v>1110</v>
      </c>
      <c r="AA1514" t="s">
        <v>622</v>
      </c>
      <c r="AB1514">
        <v>1</v>
      </c>
      <c r="AC1514">
        <v>206</v>
      </c>
      <c r="AF1514" t="s">
        <v>529</v>
      </c>
      <c r="AG1514" s="32" t="s">
        <v>1836</v>
      </c>
      <c r="AH1514" s="32" t="s">
        <v>1342</v>
      </c>
      <c r="AI1514" s="32" t="s">
        <v>1837</v>
      </c>
      <c r="AJ1514" s="31" t="s">
        <v>3050</v>
      </c>
      <c r="AK1514" s="31">
        <v>0.75</v>
      </c>
      <c r="AL1514" s="31">
        <v>3.5361955618812124</v>
      </c>
      <c r="AM1514" s="31">
        <v>1.1787318539604041</v>
      </c>
      <c r="AN1514" s="31">
        <v>129.22024533681238</v>
      </c>
      <c r="AO1514" s="31">
        <v>43.073415112270794</v>
      </c>
      <c r="AP1514" s="31">
        <v>0.125461436703</v>
      </c>
      <c r="AQ1514" s="31">
        <v>4.1820478900999998E-2</v>
      </c>
      <c r="AR1514" s="31">
        <v>6.938593580892153E-4</v>
      </c>
    </row>
    <row r="1515" spans="1:44" hidden="1" x14ac:dyDescent="0.5">
      <c r="A1515" s="31">
        <v>729</v>
      </c>
      <c r="B1515" s="31">
        <v>54</v>
      </c>
      <c r="C1515" s="225" t="s">
        <v>44</v>
      </c>
      <c r="D1515" s="41">
        <v>41.200555600000001</v>
      </c>
      <c r="E1515" s="43">
        <v>150.102778</v>
      </c>
      <c r="F1515">
        <v>244.47</v>
      </c>
      <c r="G1515">
        <f t="shared" si="19"/>
        <v>393436.32767999999</v>
      </c>
      <c r="H1515" s="32" t="s">
        <v>613</v>
      </c>
      <c r="I1515">
        <v>5249</v>
      </c>
      <c r="J1515">
        <v>0</v>
      </c>
      <c r="K1515" s="26">
        <v>2012</v>
      </c>
      <c r="L1515" t="s">
        <v>30</v>
      </c>
      <c r="M1515" s="32">
        <v>300</v>
      </c>
      <c r="N1515">
        <v>36.542166029999997</v>
      </c>
      <c r="P1515" t="s">
        <v>17</v>
      </c>
      <c r="Q1515">
        <v>100</v>
      </c>
      <c r="R1515" t="s">
        <v>13</v>
      </c>
      <c r="S1515" t="s">
        <v>16</v>
      </c>
      <c r="T1515" t="s">
        <v>16</v>
      </c>
      <c r="U1515" s="34">
        <v>0</v>
      </c>
      <c r="V1515" s="34">
        <v>2</v>
      </c>
      <c r="W1515" s="25">
        <v>1</v>
      </c>
      <c r="X1515" s="25">
        <v>2</v>
      </c>
      <c r="Y1515">
        <v>0.97091161199999998</v>
      </c>
      <c r="Z1515" t="s">
        <v>1110</v>
      </c>
      <c r="AA1515" t="s">
        <v>622</v>
      </c>
      <c r="AB1515">
        <v>1</v>
      </c>
      <c r="AC1515">
        <v>81</v>
      </c>
      <c r="AF1515" t="s">
        <v>529</v>
      </c>
      <c r="AG1515" s="32" t="s">
        <v>1838</v>
      </c>
      <c r="AH1515" s="32" t="s">
        <v>1342</v>
      </c>
      <c r="AI1515" s="32" t="s">
        <v>1839</v>
      </c>
      <c r="AJ1515" s="31" t="s">
        <v>3051</v>
      </c>
      <c r="AK1515" s="31">
        <v>0.75</v>
      </c>
      <c r="AL1515" s="31">
        <v>12.514012449569922</v>
      </c>
      <c r="AM1515" s="31">
        <v>4.1713374831899728</v>
      </c>
      <c r="AN1515" s="31">
        <v>457.28912063367108</v>
      </c>
      <c r="AO1515" s="31">
        <v>152.42970687789031</v>
      </c>
      <c r="AP1515" s="31">
        <v>0.44398731726450003</v>
      </c>
      <c r="AQ1515" s="31">
        <v>0.14799577242149997</v>
      </c>
      <c r="AR1515" s="31">
        <v>6.938593580892153E-4</v>
      </c>
    </row>
    <row r="1516" spans="1:44" hidden="1" x14ac:dyDescent="0.5">
      <c r="A1516" s="31">
        <v>730</v>
      </c>
      <c r="B1516" s="31">
        <v>54</v>
      </c>
      <c r="C1516" s="225" t="s">
        <v>44</v>
      </c>
      <c r="D1516" s="41">
        <v>41.200277800000002</v>
      </c>
      <c r="E1516" s="43">
        <v>150.10305600000001</v>
      </c>
      <c r="F1516">
        <v>244.62</v>
      </c>
      <c r="G1516">
        <f t="shared" si="19"/>
        <v>393677.72928000003</v>
      </c>
      <c r="H1516" s="32" t="s">
        <v>613</v>
      </c>
      <c r="I1516">
        <v>5250</v>
      </c>
      <c r="J1516">
        <v>0</v>
      </c>
      <c r="K1516" s="26">
        <v>2012</v>
      </c>
      <c r="L1516" t="s">
        <v>30</v>
      </c>
      <c r="M1516" s="32">
        <v>300</v>
      </c>
      <c r="N1516">
        <v>36.542166029999997</v>
      </c>
      <c r="P1516" t="s">
        <v>17</v>
      </c>
      <c r="Q1516">
        <v>100</v>
      </c>
      <c r="R1516" t="s">
        <v>13</v>
      </c>
      <c r="S1516" t="s">
        <v>16</v>
      </c>
      <c r="T1516" t="s">
        <v>16</v>
      </c>
      <c r="U1516" s="34">
        <v>2</v>
      </c>
      <c r="V1516" s="34">
        <v>20</v>
      </c>
      <c r="W1516" s="25">
        <v>11</v>
      </c>
      <c r="X1516" s="25">
        <v>18</v>
      </c>
      <c r="Y1516">
        <v>0.97091161199999998</v>
      </c>
      <c r="Z1516" t="s">
        <v>1110</v>
      </c>
      <c r="AA1516" t="s">
        <v>622</v>
      </c>
      <c r="AB1516">
        <v>1</v>
      </c>
      <c r="AC1516">
        <v>60</v>
      </c>
      <c r="AF1516" t="s">
        <v>529</v>
      </c>
      <c r="AG1516" s="32" t="s">
        <v>1840</v>
      </c>
      <c r="AH1516" s="32" t="s">
        <v>1342</v>
      </c>
      <c r="AI1516" s="32" t="s">
        <v>1841</v>
      </c>
      <c r="AJ1516" s="31" t="s">
        <v>3052</v>
      </c>
      <c r="AK1516" s="31">
        <v>0.75</v>
      </c>
      <c r="AL1516" s="31">
        <v>1.029959872392586</v>
      </c>
      <c r="AM1516" s="31">
        <v>0.34331995746419541</v>
      </c>
      <c r="AN1516" s="31">
        <v>37.636964661207486</v>
      </c>
      <c r="AO1516" s="31">
        <v>12.545654887069166</v>
      </c>
      <c r="AP1516" s="31">
        <v>3.6542166029999996E-2</v>
      </c>
      <c r="AQ1516" s="31">
        <v>1.2180722010000002E-2</v>
      </c>
      <c r="AR1516" s="31">
        <v>6.931645279590155E-4</v>
      </c>
    </row>
    <row r="1517" spans="1:44" hidden="1" x14ac:dyDescent="0.5">
      <c r="A1517" s="31">
        <v>731</v>
      </c>
      <c r="B1517" s="31">
        <v>54</v>
      </c>
      <c r="C1517" s="225" t="s">
        <v>44</v>
      </c>
      <c r="D1517" s="41">
        <v>41.200277800000002</v>
      </c>
      <c r="E1517" s="43">
        <v>150.10305600000001</v>
      </c>
      <c r="F1517">
        <v>244.62</v>
      </c>
      <c r="G1517">
        <f t="shared" si="19"/>
        <v>393677.72928000003</v>
      </c>
      <c r="H1517" s="32" t="s">
        <v>613</v>
      </c>
      <c r="I1517">
        <v>5250</v>
      </c>
      <c r="J1517">
        <v>0</v>
      </c>
      <c r="K1517" s="26">
        <v>2012</v>
      </c>
      <c r="L1517" t="s">
        <v>30</v>
      </c>
      <c r="M1517" s="32">
        <v>300</v>
      </c>
      <c r="N1517">
        <v>36.542166029999997</v>
      </c>
      <c r="P1517" t="s">
        <v>17</v>
      </c>
      <c r="Q1517">
        <v>100</v>
      </c>
      <c r="R1517" t="s">
        <v>13</v>
      </c>
      <c r="S1517" t="s">
        <v>16</v>
      </c>
      <c r="T1517" t="s">
        <v>16</v>
      </c>
      <c r="U1517" s="34">
        <v>0</v>
      </c>
      <c r="V1517" s="34">
        <v>2</v>
      </c>
      <c r="W1517" s="25">
        <v>1</v>
      </c>
      <c r="X1517" s="25">
        <v>2</v>
      </c>
      <c r="Y1517">
        <v>0.97091161199999998</v>
      </c>
      <c r="Z1517" t="s">
        <v>1110</v>
      </c>
      <c r="AA1517" t="s">
        <v>622</v>
      </c>
      <c r="AB1517">
        <v>1</v>
      </c>
      <c r="AC1517">
        <v>51</v>
      </c>
      <c r="AF1517" t="s">
        <v>529</v>
      </c>
      <c r="AG1517" s="32" t="s">
        <v>1842</v>
      </c>
      <c r="AH1517" s="32" t="s">
        <v>1342</v>
      </c>
      <c r="AI1517" s="32" t="s">
        <v>1843</v>
      </c>
      <c r="AJ1517" s="31" t="s">
        <v>3053</v>
      </c>
      <c r="AK1517" s="31">
        <v>0.75</v>
      </c>
      <c r="AL1517" s="31">
        <v>7.8791930238032837</v>
      </c>
      <c r="AM1517" s="31">
        <v>2.626397674601094</v>
      </c>
      <c r="AN1517" s="31">
        <v>287.92277965823729</v>
      </c>
      <c r="AO1517" s="31">
        <v>95.974259886079082</v>
      </c>
      <c r="AP1517" s="31">
        <v>0.27954757012949999</v>
      </c>
      <c r="AQ1517" s="31">
        <v>9.3182523376499973E-2</v>
      </c>
      <c r="AR1517" s="31">
        <v>6.931645279590155E-4</v>
      </c>
    </row>
    <row r="1518" spans="1:44" hidden="1" x14ac:dyDescent="0.5">
      <c r="A1518" s="31">
        <v>732</v>
      </c>
      <c r="B1518" s="31">
        <v>54</v>
      </c>
      <c r="C1518" s="225" t="s">
        <v>44</v>
      </c>
      <c r="D1518" s="41">
        <v>42.484166700000003</v>
      </c>
      <c r="E1518" s="43">
        <v>154.00666699999999</v>
      </c>
      <c r="F1518">
        <v>305.27999999999997</v>
      </c>
      <c r="G1518">
        <f t="shared" si="19"/>
        <v>491300.53631999996</v>
      </c>
      <c r="H1518" s="32" t="s">
        <v>613</v>
      </c>
      <c r="I1518">
        <v>5296</v>
      </c>
      <c r="J1518">
        <v>0</v>
      </c>
      <c r="K1518" s="26">
        <v>2012</v>
      </c>
      <c r="L1518" t="s">
        <v>30</v>
      </c>
      <c r="M1518" s="32">
        <v>300</v>
      </c>
      <c r="N1518">
        <v>36.542166029999997</v>
      </c>
      <c r="P1518" t="s">
        <v>17</v>
      </c>
      <c r="Q1518">
        <v>100</v>
      </c>
      <c r="R1518" t="s">
        <v>13</v>
      </c>
      <c r="S1518" t="s">
        <v>16</v>
      </c>
      <c r="T1518" t="s">
        <v>16</v>
      </c>
      <c r="U1518" s="34">
        <v>2</v>
      </c>
      <c r="V1518" s="34">
        <v>20</v>
      </c>
      <c r="W1518" s="25">
        <v>11</v>
      </c>
      <c r="X1518" s="25">
        <v>18</v>
      </c>
      <c r="Y1518">
        <v>1.0288151290000001</v>
      </c>
      <c r="Z1518" t="s">
        <v>1110</v>
      </c>
      <c r="AA1518" t="s">
        <v>622</v>
      </c>
      <c r="AB1518">
        <v>1</v>
      </c>
      <c r="AC1518">
        <v>134</v>
      </c>
      <c r="AF1518" t="s">
        <v>529</v>
      </c>
      <c r="AG1518" s="32" t="s">
        <v>1844</v>
      </c>
      <c r="AH1518" s="32" t="s">
        <v>1342</v>
      </c>
      <c r="AI1518" s="32" t="s">
        <v>1845</v>
      </c>
      <c r="AJ1518" s="31" t="s">
        <v>3054</v>
      </c>
      <c r="AK1518" s="31">
        <v>0.75</v>
      </c>
      <c r="AL1518" s="31">
        <v>2.170781970813469</v>
      </c>
      <c r="AM1518" s="31">
        <v>0.72359399027115634</v>
      </c>
      <c r="AN1518" s="31">
        <v>79.325075192396397</v>
      </c>
      <c r="AO1518" s="31">
        <v>26.441691730798802</v>
      </c>
      <c r="AP1518" s="31">
        <v>8.1610837467E-2</v>
      </c>
      <c r="AQ1518" s="31">
        <v>2.7203612489000006E-2</v>
      </c>
      <c r="AR1518" s="31">
        <v>6.6194332938455068E-4</v>
      </c>
    </row>
    <row r="1519" spans="1:44" hidden="1" x14ac:dyDescent="0.5">
      <c r="A1519" s="31">
        <v>733</v>
      </c>
      <c r="B1519" s="31">
        <v>54</v>
      </c>
      <c r="C1519" s="225" t="s">
        <v>44</v>
      </c>
      <c r="D1519" s="41">
        <v>42.484166700000003</v>
      </c>
      <c r="E1519" s="43">
        <v>154.00666699999999</v>
      </c>
      <c r="F1519">
        <v>305.27999999999997</v>
      </c>
      <c r="G1519">
        <f t="shared" si="19"/>
        <v>491300.53631999996</v>
      </c>
      <c r="H1519" s="32" t="s">
        <v>613</v>
      </c>
      <c r="I1519">
        <v>5296</v>
      </c>
      <c r="J1519">
        <v>0</v>
      </c>
      <c r="K1519" s="26">
        <v>2012</v>
      </c>
      <c r="L1519" t="s">
        <v>30</v>
      </c>
      <c r="M1519" s="32">
        <v>300</v>
      </c>
      <c r="N1519">
        <v>36.542166029999997</v>
      </c>
      <c r="P1519" t="s">
        <v>17</v>
      </c>
      <c r="Q1519">
        <v>100</v>
      </c>
      <c r="R1519" t="s">
        <v>13</v>
      </c>
      <c r="S1519" t="s">
        <v>16</v>
      </c>
      <c r="T1519" t="s">
        <v>16</v>
      </c>
      <c r="U1519" s="34">
        <v>0</v>
      </c>
      <c r="V1519" s="34">
        <v>2</v>
      </c>
      <c r="W1519" s="25">
        <v>1</v>
      </c>
      <c r="X1519" s="25">
        <v>2</v>
      </c>
      <c r="Y1519">
        <v>1.0288151290000001</v>
      </c>
      <c r="Z1519" t="s">
        <v>1110</v>
      </c>
      <c r="AA1519" t="s">
        <v>622</v>
      </c>
      <c r="AB1519">
        <v>1</v>
      </c>
      <c r="AC1519">
        <v>100</v>
      </c>
      <c r="AF1519" t="s">
        <v>529</v>
      </c>
      <c r="AG1519" s="32" t="s">
        <v>1846</v>
      </c>
      <c r="AH1519" s="32" t="s">
        <v>1342</v>
      </c>
      <c r="AI1519" s="32" t="s">
        <v>1847</v>
      </c>
      <c r="AJ1519" s="31" t="s">
        <v>3055</v>
      </c>
      <c r="AK1519" s="31">
        <v>0.75</v>
      </c>
      <c r="AL1519" s="31">
        <v>14.57987890844867</v>
      </c>
      <c r="AM1519" s="31">
        <v>4.8599596361495578</v>
      </c>
      <c r="AN1519" s="31">
        <v>532.78035576982643</v>
      </c>
      <c r="AO1519" s="31">
        <v>177.59345192327552</v>
      </c>
      <c r="AP1519" s="31">
        <v>0.5481324904499999</v>
      </c>
      <c r="AQ1519" s="31">
        <v>0.18271083015</v>
      </c>
      <c r="AR1519" s="31">
        <v>6.6194332938455068E-4</v>
      </c>
    </row>
    <row r="1520" spans="1:44" hidden="1" x14ac:dyDescent="0.5">
      <c r="A1520" s="31">
        <v>734</v>
      </c>
      <c r="B1520" s="31">
        <v>54</v>
      </c>
      <c r="C1520" s="225" t="s">
        <v>44</v>
      </c>
      <c r="D1520" s="41">
        <v>42.484444400000001</v>
      </c>
      <c r="E1520" s="43">
        <v>154.00666699999999</v>
      </c>
      <c r="F1520">
        <v>306.67</v>
      </c>
      <c r="G1520">
        <f t="shared" si="19"/>
        <v>493537.52448000002</v>
      </c>
      <c r="H1520" s="32" t="s">
        <v>613</v>
      </c>
      <c r="I1520">
        <v>5299</v>
      </c>
      <c r="J1520">
        <v>0</v>
      </c>
      <c r="K1520" s="26">
        <v>2012</v>
      </c>
      <c r="L1520" t="s">
        <v>30</v>
      </c>
      <c r="M1520" s="32">
        <v>300</v>
      </c>
      <c r="N1520">
        <v>36.542166029999997</v>
      </c>
      <c r="P1520" t="s">
        <v>17</v>
      </c>
      <c r="Q1520">
        <v>100</v>
      </c>
      <c r="R1520" t="s">
        <v>13</v>
      </c>
      <c r="S1520" t="s">
        <v>16</v>
      </c>
      <c r="T1520" t="s">
        <v>16</v>
      </c>
      <c r="U1520" s="34">
        <v>2</v>
      </c>
      <c r="V1520" s="34">
        <v>20</v>
      </c>
      <c r="W1520" s="25">
        <v>11</v>
      </c>
      <c r="X1520" s="25">
        <v>18</v>
      </c>
      <c r="Y1520">
        <v>1.0288151290000001</v>
      </c>
      <c r="Z1520" t="s">
        <v>1110</v>
      </c>
      <c r="AA1520" t="s">
        <v>622</v>
      </c>
      <c r="AB1520">
        <v>1</v>
      </c>
      <c r="AC1520">
        <v>61</v>
      </c>
      <c r="AF1520" t="s">
        <v>529</v>
      </c>
      <c r="AG1520" s="32" t="s">
        <v>1848</v>
      </c>
      <c r="AH1520" s="32" t="s">
        <v>1342</v>
      </c>
      <c r="AI1520" s="32" t="s">
        <v>1849</v>
      </c>
      <c r="AJ1520" s="31" t="s">
        <v>3056</v>
      </c>
      <c r="AK1520" s="31">
        <v>0.75</v>
      </c>
      <c r="AL1520" s="31">
        <v>0.98819179268374313</v>
      </c>
      <c r="AM1520" s="31">
        <v>0.32939726422791438</v>
      </c>
      <c r="AN1520" s="31">
        <v>36.11066855773268</v>
      </c>
      <c r="AO1520" s="31">
        <v>12.036889519244227</v>
      </c>
      <c r="AP1520" s="31">
        <v>3.7151202130499994E-2</v>
      </c>
      <c r="AQ1520" s="31">
        <v>1.2383734043499997E-2</v>
      </c>
      <c r="AR1520" s="31">
        <v>6.5995671176617265E-4</v>
      </c>
    </row>
    <row r="1521" spans="1:44" hidden="1" x14ac:dyDescent="0.5">
      <c r="A1521" s="31">
        <v>735</v>
      </c>
      <c r="B1521" s="31">
        <v>54</v>
      </c>
      <c r="C1521" s="225" t="s">
        <v>44</v>
      </c>
      <c r="D1521" s="41">
        <v>42.484444400000001</v>
      </c>
      <c r="E1521" s="43">
        <v>154.00666699999999</v>
      </c>
      <c r="F1521">
        <v>306.67</v>
      </c>
      <c r="G1521">
        <f t="shared" si="19"/>
        <v>493537.52448000002</v>
      </c>
      <c r="H1521" s="32" t="s">
        <v>613</v>
      </c>
      <c r="I1521">
        <v>5299</v>
      </c>
      <c r="J1521">
        <v>0</v>
      </c>
      <c r="K1521" s="26">
        <v>2012</v>
      </c>
      <c r="L1521" t="s">
        <v>30</v>
      </c>
      <c r="M1521" s="32">
        <v>300</v>
      </c>
      <c r="N1521">
        <v>36.542166029999997</v>
      </c>
      <c r="P1521" t="s">
        <v>17</v>
      </c>
      <c r="Q1521">
        <v>100</v>
      </c>
      <c r="R1521" t="s">
        <v>13</v>
      </c>
      <c r="S1521" t="s">
        <v>16</v>
      </c>
      <c r="T1521" t="s">
        <v>16</v>
      </c>
      <c r="U1521" s="34">
        <v>0</v>
      </c>
      <c r="V1521" s="34">
        <v>2</v>
      </c>
      <c r="W1521" s="25">
        <v>1</v>
      </c>
      <c r="X1521" s="25">
        <v>2</v>
      </c>
      <c r="Y1521">
        <v>1.0288151290000001</v>
      </c>
      <c r="Z1521" t="s">
        <v>1110</v>
      </c>
      <c r="AA1521" t="s">
        <v>622</v>
      </c>
      <c r="AB1521">
        <v>1</v>
      </c>
      <c r="AC1521">
        <v>16</v>
      </c>
      <c r="AF1521" t="s">
        <v>529</v>
      </c>
      <c r="AG1521" s="32" t="s">
        <v>1850</v>
      </c>
      <c r="AH1521" s="32" t="s">
        <v>1342</v>
      </c>
      <c r="AI1521" s="32" t="s">
        <v>1851</v>
      </c>
      <c r="AJ1521" s="31" t="s">
        <v>3057</v>
      </c>
      <c r="AK1521" s="31">
        <v>0.75</v>
      </c>
      <c r="AL1521" s="31">
        <v>2.3327806253517873</v>
      </c>
      <c r="AM1521" s="31">
        <v>0.77759354178392925</v>
      </c>
      <c r="AN1521" s="31">
        <v>85.244856923172236</v>
      </c>
      <c r="AO1521" s="31">
        <v>28.414952307724086</v>
      </c>
      <c r="AP1521" s="31">
        <v>8.7701198472000003E-2</v>
      </c>
      <c r="AQ1521" s="31">
        <v>2.9233732824000006E-2</v>
      </c>
      <c r="AR1521" s="31">
        <v>6.5995671176617265E-4</v>
      </c>
    </row>
    <row r="1522" spans="1:44" hidden="1" x14ac:dyDescent="0.5">
      <c r="A1522" s="31">
        <v>736</v>
      </c>
      <c r="B1522" s="31">
        <v>54</v>
      </c>
      <c r="C1522" s="225" t="s">
        <v>44</v>
      </c>
      <c r="D1522" s="41">
        <v>40.225277800000001</v>
      </c>
      <c r="E1522" s="43">
        <v>148.10166699999999</v>
      </c>
      <c r="F1522">
        <v>243.37</v>
      </c>
      <c r="G1522">
        <f t="shared" si="19"/>
        <v>391666.04928000004</v>
      </c>
      <c r="H1522" s="32" t="s">
        <v>613</v>
      </c>
      <c r="I1522">
        <v>5348</v>
      </c>
      <c r="J1522">
        <v>0</v>
      </c>
      <c r="K1522" s="26">
        <v>2012</v>
      </c>
      <c r="L1522" t="s">
        <v>30</v>
      </c>
      <c r="M1522" s="32">
        <v>300</v>
      </c>
      <c r="N1522">
        <v>36.542166029999997</v>
      </c>
      <c r="P1522" t="s">
        <v>17</v>
      </c>
      <c r="Q1522">
        <v>100</v>
      </c>
      <c r="R1522" t="s">
        <v>13</v>
      </c>
      <c r="S1522" t="s">
        <v>16</v>
      </c>
      <c r="T1522" t="s">
        <v>16</v>
      </c>
      <c r="U1522" s="34">
        <v>2</v>
      </c>
      <c r="V1522" s="34">
        <v>20</v>
      </c>
      <c r="W1522" s="25">
        <v>11</v>
      </c>
      <c r="X1522" s="25">
        <v>18</v>
      </c>
      <c r="Y1522">
        <v>0.97091161199999998</v>
      </c>
      <c r="Z1522" t="s">
        <v>1110</v>
      </c>
      <c r="AA1522" t="s">
        <v>622</v>
      </c>
      <c r="AB1522">
        <v>1</v>
      </c>
      <c r="AC1522">
        <v>0</v>
      </c>
      <c r="AF1522" t="s">
        <v>529</v>
      </c>
      <c r="AG1522" s="32">
        <v>0</v>
      </c>
      <c r="AH1522" s="32" t="s">
        <v>671</v>
      </c>
      <c r="AI1522" s="32" t="s">
        <v>1129</v>
      </c>
      <c r="AJ1522" s="31" t="s">
        <v>1130</v>
      </c>
      <c r="AK1522" s="31">
        <v>0.59524549999999998</v>
      </c>
      <c r="AL1522" s="31">
        <v>0</v>
      </c>
      <c r="AM1522" s="31">
        <v>0</v>
      </c>
      <c r="AN1522" s="31">
        <v>0</v>
      </c>
      <c r="AO1522" s="31">
        <v>0</v>
      </c>
      <c r="AP1522" s="31">
        <v>0</v>
      </c>
      <c r="AQ1522" s="31">
        <v>0</v>
      </c>
      <c r="AR1522" s="31">
        <v>6.2833980077955129E-4</v>
      </c>
    </row>
    <row r="1523" spans="1:44" hidden="1" x14ac:dyDescent="0.5">
      <c r="A1523" s="31">
        <v>737</v>
      </c>
      <c r="B1523" s="31">
        <v>54</v>
      </c>
      <c r="C1523" s="225" t="s">
        <v>44</v>
      </c>
      <c r="D1523" s="41">
        <v>40.225277800000001</v>
      </c>
      <c r="E1523" s="43">
        <v>148.10166699999999</v>
      </c>
      <c r="F1523">
        <v>243.37</v>
      </c>
      <c r="G1523">
        <f t="shared" si="19"/>
        <v>391666.04928000004</v>
      </c>
      <c r="H1523" s="32" t="s">
        <v>613</v>
      </c>
      <c r="I1523">
        <v>5348</v>
      </c>
      <c r="J1523">
        <v>0</v>
      </c>
      <c r="K1523" s="26">
        <v>2012</v>
      </c>
      <c r="L1523" t="s">
        <v>30</v>
      </c>
      <c r="M1523" s="32">
        <v>300</v>
      </c>
      <c r="N1523">
        <v>36.542166029999997</v>
      </c>
      <c r="P1523" t="s">
        <v>17</v>
      </c>
      <c r="Q1523">
        <v>100</v>
      </c>
      <c r="R1523" t="s">
        <v>13</v>
      </c>
      <c r="S1523" t="s">
        <v>16</v>
      </c>
      <c r="T1523" t="s">
        <v>16</v>
      </c>
      <c r="U1523" s="34">
        <v>0</v>
      </c>
      <c r="V1523" s="34">
        <v>2</v>
      </c>
      <c r="W1523" s="25">
        <v>1</v>
      </c>
      <c r="X1523" s="25">
        <v>2</v>
      </c>
      <c r="Y1523">
        <v>0.97091161199999998</v>
      </c>
      <c r="Z1523" t="s">
        <v>1110</v>
      </c>
      <c r="AA1523" t="s">
        <v>622</v>
      </c>
      <c r="AB1523">
        <v>1</v>
      </c>
      <c r="AC1523">
        <v>28</v>
      </c>
      <c r="AF1523" t="s">
        <v>529</v>
      </c>
      <c r="AG1523" s="32" t="s">
        <v>1852</v>
      </c>
      <c r="AH1523" s="32" t="s">
        <v>1342</v>
      </c>
      <c r="AI1523" s="32" t="s">
        <v>1853</v>
      </c>
      <c r="AJ1523" s="31" t="s">
        <v>3058</v>
      </c>
      <c r="AK1523" s="31">
        <v>0.75</v>
      </c>
      <c r="AL1523" s="31">
        <v>4.3258314640488607</v>
      </c>
      <c r="AM1523" s="31">
        <v>1.4419438213496205</v>
      </c>
      <c r="AN1523" s="31">
        <v>158.07525157707144</v>
      </c>
      <c r="AO1523" s="31">
        <v>52.69175052569048</v>
      </c>
      <c r="AP1523" s="31">
        <v>0.15347709732599998</v>
      </c>
      <c r="AQ1523" s="31">
        <v>5.1159032441999992E-2</v>
      </c>
      <c r="AR1523" s="31">
        <v>6.2833980077955129E-4</v>
      </c>
    </row>
    <row r="1524" spans="1:44" hidden="1" x14ac:dyDescent="0.5">
      <c r="A1524" s="31">
        <v>738</v>
      </c>
      <c r="B1524" s="31">
        <v>54</v>
      </c>
      <c r="C1524" s="225" t="s">
        <v>44</v>
      </c>
      <c r="D1524" s="41">
        <v>40.223888899999999</v>
      </c>
      <c r="E1524" s="43">
        <v>148.10055600000001</v>
      </c>
      <c r="F1524">
        <v>243.45</v>
      </c>
      <c r="G1524">
        <f t="shared" si="19"/>
        <v>391794.79680000001</v>
      </c>
      <c r="H1524" s="32" t="s">
        <v>613</v>
      </c>
      <c r="I1524">
        <v>5350</v>
      </c>
      <c r="J1524">
        <v>0</v>
      </c>
      <c r="K1524" s="26">
        <v>2012</v>
      </c>
      <c r="L1524" t="s">
        <v>30</v>
      </c>
      <c r="M1524" s="32">
        <v>300</v>
      </c>
      <c r="N1524">
        <v>36.542166029999997</v>
      </c>
      <c r="P1524" t="s">
        <v>17</v>
      </c>
      <c r="Q1524">
        <v>100</v>
      </c>
      <c r="R1524" t="s">
        <v>13</v>
      </c>
      <c r="S1524" t="s">
        <v>16</v>
      </c>
      <c r="T1524" t="s">
        <v>16</v>
      </c>
      <c r="U1524" s="34">
        <v>2</v>
      </c>
      <c r="V1524" s="34">
        <v>20</v>
      </c>
      <c r="W1524" s="25">
        <v>11</v>
      </c>
      <c r="X1524" s="25">
        <v>18</v>
      </c>
      <c r="Y1524">
        <v>0.97091161199999998</v>
      </c>
      <c r="Z1524" t="s">
        <v>1110</v>
      </c>
      <c r="AA1524" t="s">
        <v>622</v>
      </c>
      <c r="AB1524">
        <v>1</v>
      </c>
      <c r="AC1524">
        <v>27</v>
      </c>
      <c r="AF1524" t="s">
        <v>529</v>
      </c>
      <c r="AG1524" s="32" t="s">
        <v>1854</v>
      </c>
      <c r="AH1524" s="32" t="s">
        <v>1342</v>
      </c>
      <c r="AI1524" s="32" t="s">
        <v>1855</v>
      </c>
      <c r="AJ1524" s="31" t="s">
        <v>3059</v>
      </c>
      <c r="AK1524" s="31">
        <v>0.75</v>
      </c>
      <c r="AL1524" s="31">
        <v>0.46348194257666381</v>
      </c>
      <c r="AM1524" s="31">
        <v>0.15449398085888794</v>
      </c>
      <c r="AN1524" s="31">
        <v>16.936634097543372</v>
      </c>
      <c r="AO1524" s="31">
        <v>5.6455446991811247</v>
      </c>
      <c r="AP1524" s="31">
        <v>1.6443974713499999E-2</v>
      </c>
      <c r="AQ1524" s="31">
        <v>5.481324904500001E-3</v>
      </c>
      <c r="AR1524" s="31">
        <v>6.2708199306860427E-4</v>
      </c>
    </row>
    <row r="1525" spans="1:44" hidden="1" x14ac:dyDescent="0.5">
      <c r="A1525" s="31">
        <v>739</v>
      </c>
      <c r="B1525" s="31">
        <v>54</v>
      </c>
      <c r="C1525" s="225" t="s">
        <v>44</v>
      </c>
      <c r="D1525" s="41">
        <v>40.223888899999999</v>
      </c>
      <c r="E1525" s="43">
        <v>148.10055600000001</v>
      </c>
      <c r="F1525">
        <v>243.45</v>
      </c>
      <c r="G1525">
        <f t="shared" si="19"/>
        <v>391794.79680000001</v>
      </c>
      <c r="H1525" s="32" t="s">
        <v>613</v>
      </c>
      <c r="I1525">
        <v>5350</v>
      </c>
      <c r="J1525">
        <v>0</v>
      </c>
      <c r="K1525" s="26">
        <v>2012</v>
      </c>
      <c r="L1525" t="s">
        <v>30</v>
      </c>
      <c r="M1525" s="32">
        <v>300</v>
      </c>
      <c r="N1525">
        <v>36.542166029999997</v>
      </c>
      <c r="P1525" t="s">
        <v>17</v>
      </c>
      <c r="Q1525">
        <v>100</v>
      </c>
      <c r="R1525" t="s">
        <v>13</v>
      </c>
      <c r="S1525" t="s">
        <v>16</v>
      </c>
      <c r="T1525" t="s">
        <v>16</v>
      </c>
      <c r="U1525" s="34">
        <v>0</v>
      </c>
      <c r="V1525" s="34">
        <v>2</v>
      </c>
      <c r="W1525" s="25">
        <v>1</v>
      </c>
      <c r="X1525" s="25">
        <v>2</v>
      </c>
      <c r="Y1525">
        <v>0.97091161199999998</v>
      </c>
      <c r="Z1525" t="s">
        <v>1110</v>
      </c>
      <c r="AA1525" t="s">
        <v>622</v>
      </c>
      <c r="AB1525">
        <v>1</v>
      </c>
      <c r="AC1525">
        <v>65</v>
      </c>
      <c r="AF1525" t="s">
        <v>529</v>
      </c>
      <c r="AG1525" s="32" t="s">
        <v>1856</v>
      </c>
      <c r="AH1525" s="32" t="s">
        <v>1342</v>
      </c>
      <c r="AI1525" s="32" t="s">
        <v>1857</v>
      </c>
      <c r="AJ1525" s="31" t="s">
        <v>3060</v>
      </c>
      <c r="AK1525" s="31">
        <v>0.75</v>
      </c>
      <c r="AL1525" s="31">
        <v>10.042108755827714</v>
      </c>
      <c r="AM1525" s="31">
        <v>3.3473695852759047</v>
      </c>
      <c r="AN1525" s="31">
        <v>366.96040544677305</v>
      </c>
      <c r="AO1525" s="31">
        <v>122.32013514892435</v>
      </c>
      <c r="AP1525" s="31">
        <v>0.3562861187925</v>
      </c>
      <c r="AQ1525" s="31">
        <v>0.11876203959750001</v>
      </c>
      <c r="AR1525" s="31">
        <v>6.2708199306860427E-4</v>
      </c>
    </row>
    <row r="1526" spans="1:44" hidden="1" x14ac:dyDescent="0.5">
      <c r="A1526" s="31">
        <v>740</v>
      </c>
      <c r="B1526" s="31">
        <v>54</v>
      </c>
      <c r="C1526" s="225" t="s">
        <v>44</v>
      </c>
      <c r="D1526" s="41">
        <v>43.593611099999997</v>
      </c>
      <c r="E1526" s="43">
        <v>153.96694400000001</v>
      </c>
      <c r="F1526">
        <v>249.1</v>
      </c>
      <c r="G1526">
        <f t="shared" si="19"/>
        <v>400887.59039999999</v>
      </c>
      <c r="H1526" s="32" t="s">
        <v>613</v>
      </c>
      <c r="I1526">
        <v>5378</v>
      </c>
      <c r="J1526">
        <v>0</v>
      </c>
      <c r="K1526" s="26">
        <v>2012</v>
      </c>
      <c r="L1526" t="s">
        <v>30</v>
      </c>
      <c r="M1526" s="32">
        <v>300</v>
      </c>
      <c r="N1526">
        <v>36.542166029999997</v>
      </c>
      <c r="P1526" t="s">
        <v>17</v>
      </c>
      <c r="Q1526">
        <v>100</v>
      </c>
      <c r="R1526" t="s">
        <v>13</v>
      </c>
      <c r="S1526" t="s">
        <v>16</v>
      </c>
      <c r="T1526" t="s">
        <v>16</v>
      </c>
      <c r="U1526" s="34">
        <v>2</v>
      </c>
      <c r="V1526" s="34">
        <v>20</v>
      </c>
      <c r="W1526" s="25">
        <v>11</v>
      </c>
      <c r="X1526" s="25">
        <v>18</v>
      </c>
      <c r="Y1526">
        <v>0.31036865699999999</v>
      </c>
      <c r="Z1526" t="s">
        <v>823</v>
      </c>
      <c r="AA1526" t="s">
        <v>643</v>
      </c>
      <c r="AB1526">
        <v>1</v>
      </c>
      <c r="AC1526">
        <v>27</v>
      </c>
      <c r="AF1526" t="s">
        <v>529</v>
      </c>
      <c r="AG1526" s="32" t="s">
        <v>1858</v>
      </c>
      <c r="AH1526" s="32" t="s">
        <v>1342</v>
      </c>
      <c r="AI1526" s="32" t="s">
        <v>1859</v>
      </c>
      <c r="AJ1526" s="31" t="s">
        <v>3061</v>
      </c>
      <c r="AK1526" s="31">
        <v>0.75</v>
      </c>
      <c r="AL1526" s="31">
        <v>1.4498886722314879</v>
      </c>
      <c r="AM1526" s="31">
        <v>0.48329622407716255</v>
      </c>
      <c r="AN1526" s="31">
        <v>52.982072585699278</v>
      </c>
      <c r="AO1526" s="31">
        <v>17.660690861899756</v>
      </c>
      <c r="AP1526" s="31">
        <v>1.6443974713500002E-2</v>
      </c>
      <c r="AQ1526" s="31">
        <v>5.4813249044999993E-3</v>
      </c>
      <c r="AR1526" s="31">
        <v>6.0973478224021923E-4</v>
      </c>
    </row>
    <row r="1527" spans="1:44" hidden="1" x14ac:dyDescent="0.5">
      <c r="A1527" s="31">
        <v>741</v>
      </c>
      <c r="B1527" s="31">
        <v>54</v>
      </c>
      <c r="C1527" s="225" t="s">
        <v>44</v>
      </c>
      <c r="D1527" s="41">
        <v>43.593611099999997</v>
      </c>
      <c r="E1527" s="43">
        <v>153.96694400000001</v>
      </c>
      <c r="F1527">
        <v>249.1</v>
      </c>
      <c r="G1527">
        <f t="shared" si="19"/>
        <v>400887.59039999999</v>
      </c>
      <c r="H1527" s="32" t="s">
        <v>613</v>
      </c>
      <c r="I1527">
        <v>5378</v>
      </c>
      <c r="J1527">
        <v>0</v>
      </c>
      <c r="K1527" s="26">
        <v>2012</v>
      </c>
      <c r="L1527" t="s">
        <v>30</v>
      </c>
      <c r="M1527" s="32">
        <v>300</v>
      </c>
      <c r="N1527">
        <v>36.542166029999997</v>
      </c>
      <c r="P1527" t="s">
        <v>17</v>
      </c>
      <c r="Q1527">
        <v>100</v>
      </c>
      <c r="R1527" t="s">
        <v>13</v>
      </c>
      <c r="S1527" t="s">
        <v>16</v>
      </c>
      <c r="T1527" t="s">
        <v>16</v>
      </c>
      <c r="U1527" s="34">
        <v>0</v>
      </c>
      <c r="V1527" s="34">
        <v>2</v>
      </c>
      <c r="W1527" s="25">
        <v>1</v>
      </c>
      <c r="X1527" s="25">
        <v>2</v>
      </c>
      <c r="Y1527">
        <v>0.31036865699999999</v>
      </c>
      <c r="Z1527" t="s">
        <v>823</v>
      </c>
      <c r="AA1527" t="s">
        <v>643</v>
      </c>
      <c r="AB1527">
        <v>1</v>
      </c>
      <c r="AC1527">
        <v>98</v>
      </c>
      <c r="AF1527" t="s">
        <v>529</v>
      </c>
      <c r="AG1527" s="32" t="s">
        <v>1860</v>
      </c>
      <c r="AH1527" s="32" t="s">
        <v>1342</v>
      </c>
      <c r="AI1527" s="32" t="s">
        <v>1861</v>
      </c>
      <c r="AJ1527" s="31" t="s">
        <v>3062</v>
      </c>
      <c r="AK1527" s="31">
        <v>0.75</v>
      </c>
      <c r="AL1527" s="31">
        <v>47.363029959561935</v>
      </c>
      <c r="AM1527" s="31">
        <v>15.787676653187312</v>
      </c>
      <c r="AN1527" s="31">
        <v>1730.7477044661762</v>
      </c>
      <c r="AO1527" s="31">
        <v>576.91590148872547</v>
      </c>
      <c r="AP1527" s="31">
        <v>0.53716984064099993</v>
      </c>
      <c r="AQ1527" s="31">
        <v>0.17905661354700003</v>
      </c>
      <c r="AR1527" s="31">
        <v>6.0973478224021923E-4</v>
      </c>
    </row>
    <row r="1528" spans="1:44" hidden="1" x14ac:dyDescent="0.5">
      <c r="A1528" s="31">
        <v>742</v>
      </c>
      <c r="B1528" s="31">
        <v>54</v>
      </c>
      <c r="C1528" s="225" t="s">
        <v>44</v>
      </c>
      <c r="D1528" s="41">
        <v>43.5833333</v>
      </c>
      <c r="E1528" s="43">
        <v>153.966667</v>
      </c>
      <c r="F1528">
        <v>251</v>
      </c>
      <c r="G1528">
        <f t="shared" si="19"/>
        <v>403945.34400000004</v>
      </c>
      <c r="H1528" s="32" t="s">
        <v>613</v>
      </c>
      <c r="I1528">
        <v>5386</v>
      </c>
      <c r="J1528">
        <v>0</v>
      </c>
      <c r="K1528" s="26">
        <v>2012</v>
      </c>
      <c r="L1528" t="s">
        <v>30</v>
      </c>
      <c r="M1528" s="32">
        <v>300</v>
      </c>
      <c r="N1528">
        <v>36.542166029999997</v>
      </c>
      <c r="P1528" t="s">
        <v>17</v>
      </c>
      <c r="Q1528">
        <v>100</v>
      </c>
      <c r="R1528" t="s">
        <v>13</v>
      </c>
      <c r="S1528" t="s">
        <v>16</v>
      </c>
      <c r="T1528" t="s">
        <v>16</v>
      </c>
      <c r="U1528" s="34">
        <v>2</v>
      </c>
      <c r="V1528" s="34">
        <v>20</v>
      </c>
      <c r="W1528" s="25">
        <v>11</v>
      </c>
      <c r="X1528" s="25">
        <v>18</v>
      </c>
      <c r="Y1528">
        <v>0.31036865699999999</v>
      </c>
      <c r="Z1528" t="s">
        <v>823</v>
      </c>
      <c r="AA1528" t="s">
        <v>643</v>
      </c>
      <c r="AB1528">
        <v>1</v>
      </c>
      <c r="AC1528">
        <v>82</v>
      </c>
      <c r="AF1528" t="s">
        <v>529</v>
      </c>
      <c r="AG1528" s="32" t="s">
        <v>1862</v>
      </c>
      <c r="AH1528" s="32" t="s">
        <v>1342</v>
      </c>
      <c r="AI1528" s="32" t="s">
        <v>1863</v>
      </c>
      <c r="AJ1528" s="31" t="s">
        <v>3063</v>
      </c>
      <c r="AK1528" s="31">
        <v>0.75</v>
      </c>
      <c r="AL1528" s="31">
        <v>4.4033655971474808</v>
      </c>
      <c r="AM1528" s="31">
        <v>1.4677885323824933</v>
      </c>
      <c r="AN1528" s="31">
        <v>160.90851674175332</v>
      </c>
      <c r="AO1528" s="31">
        <v>53.636172247251103</v>
      </c>
      <c r="AP1528" s="31">
        <v>4.9940960240999997E-2</v>
      </c>
      <c r="AQ1528" s="31">
        <v>1.6646986746999996E-2</v>
      </c>
      <c r="AR1528" s="31">
        <v>6.048671655223386E-4</v>
      </c>
    </row>
    <row r="1529" spans="1:44" hidden="1" x14ac:dyDescent="0.5">
      <c r="A1529" s="31">
        <v>743</v>
      </c>
      <c r="B1529" s="31">
        <v>54</v>
      </c>
      <c r="C1529" s="225" t="s">
        <v>44</v>
      </c>
      <c r="D1529" s="41">
        <v>43.5833333</v>
      </c>
      <c r="E1529" s="43">
        <v>153.966667</v>
      </c>
      <c r="F1529">
        <v>251</v>
      </c>
      <c r="G1529">
        <f t="shared" si="19"/>
        <v>403945.34400000004</v>
      </c>
      <c r="H1529" s="32" t="s">
        <v>613</v>
      </c>
      <c r="I1529">
        <v>5386</v>
      </c>
      <c r="J1529">
        <v>0</v>
      </c>
      <c r="K1529" s="26">
        <v>2012</v>
      </c>
      <c r="L1529" t="s">
        <v>30</v>
      </c>
      <c r="M1529" s="32">
        <v>300</v>
      </c>
      <c r="N1529">
        <v>36.542166029999997</v>
      </c>
      <c r="P1529" t="s">
        <v>17</v>
      </c>
      <c r="Q1529">
        <v>100</v>
      </c>
      <c r="R1529" t="s">
        <v>13</v>
      </c>
      <c r="S1529" t="s">
        <v>16</v>
      </c>
      <c r="T1529" t="s">
        <v>16</v>
      </c>
      <c r="U1529" s="34">
        <v>0</v>
      </c>
      <c r="V1529" s="34">
        <v>2</v>
      </c>
      <c r="W1529" s="25">
        <v>1</v>
      </c>
      <c r="X1529" s="25">
        <v>2</v>
      </c>
      <c r="Y1529">
        <v>0.31036865699999999</v>
      </c>
      <c r="Z1529" t="s">
        <v>823</v>
      </c>
      <c r="AA1529" t="s">
        <v>643</v>
      </c>
      <c r="AB1529">
        <v>1</v>
      </c>
      <c r="AC1529">
        <v>80</v>
      </c>
      <c r="AF1529" t="s">
        <v>529</v>
      </c>
      <c r="AG1529" s="32" t="s">
        <v>1864</v>
      </c>
      <c r="AH1529" s="32" t="s">
        <v>1342</v>
      </c>
      <c r="AI1529" s="32" t="s">
        <v>1865</v>
      </c>
      <c r="AJ1529" s="31" t="s">
        <v>3064</v>
      </c>
      <c r="AK1529" s="31">
        <v>0.75</v>
      </c>
      <c r="AL1529" s="31">
        <v>38.663697926173</v>
      </c>
      <c r="AM1529" s="31">
        <v>12.887899308724336</v>
      </c>
      <c r="AN1529" s="31">
        <v>1412.8552689519804</v>
      </c>
      <c r="AO1529" s="31">
        <v>470.9517563173269</v>
      </c>
      <c r="AP1529" s="31">
        <v>0.43850599235999993</v>
      </c>
      <c r="AQ1529" s="31">
        <v>0.14616866412000001</v>
      </c>
      <c r="AR1529" s="31">
        <v>6.048671655223386E-4</v>
      </c>
    </row>
    <row r="1530" spans="1:44" hidden="1" x14ac:dyDescent="0.5">
      <c r="A1530" s="31">
        <v>744</v>
      </c>
      <c r="B1530" s="31">
        <v>54</v>
      </c>
      <c r="C1530" s="225" t="s">
        <v>44</v>
      </c>
      <c r="D1530" s="41">
        <v>43.971944399999998</v>
      </c>
      <c r="E1530" s="43">
        <v>157.33805599999999</v>
      </c>
      <c r="F1530">
        <v>323.97000000000003</v>
      </c>
      <c r="G1530">
        <f t="shared" si="19"/>
        <v>521379.17568000004</v>
      </c>
      <c r="H1530" s="32" t="s">
        <v>613</v>
      </c>
      <c r="I1530">
        <v>5401</v>
      </c>
      <c r="J1530">
        <v>0</v>
      </c>
      <c r="K1530" s="26">
        <v>2012</v>
      </c>
      <c r="L1530" t="s">
        <v>30</v>
      </c>
      <c r="M1530" s="32">
        <v>300</v>
      </c>
      <c r="N1530">
        <v>36.542166029999997</v>
      </c>
      <c r="P1530" t="s">
        <v>17</v>
      </c>
      <c r="Q1530">
        <v>100</v>
      </c>
      <c r="R1530" t="s">
        <v>13</v>
      </c>
      <c r="S1530" t="s">
        <v>16</v>
      </c>
      <c r="T1530" t="s">
        <v>16</v>
      </c>
      <c r="U1530" s="34">
        <v>2</v>
      </c>
      <c r="V1530" s="34">
        <v>20</v>
      </c>
      <c r="W1530" s="25">
        <v>11</v>
      </c>
      <c r="X1530" s="25">
        <v>18</v>
      </c>
      <c r="Y1530">
        <v>1.4517405560000001</v>
      </c>
      <c r="Z1530" t="s">
        <v>823</v>
      </c>
      <c r="AA1530" t="s">
        <v>642</v>
      </c>
      <c r="AB1530">
        <v>1</v>
      </c>
      <c r="AC1530">
        <v>179</v>
      </c>
      <c r="AF1530" t="s">
        <v>529</v>
      </c>
      <c r="AG1530" s="32" t="s">
        <v>1866</v>
      </c>
      <c r="AH1530" s="32" t="s">
        <v>1342</v>
      </c>
      <c r="AI1530" s="32" t="s">
        <v>1867</v>
      </c>
      <c r="AJ1530" s="31" t="s">
        <v>3065</v>
      </c>
      <c r="AK1530" s="31">
        <v>0.75</v>
      </c>
      <c r="AL1530" s="31">
        <v>2.0550044710146769</v>
      </c>
      <c r="AM1530" s="31">
        <v>0.68500149033822577</v>
      </c>
      <c r="AN1530" s="31">
        <v>75.094314572210635</v>
      </c>
      <c r="AO1530" s="31">
        <v>25.031438190736889</v>
      </c>
      <c r="AP1530" s="31">
        <v>0.10901746198949998</v>
      </c>
      <c r="AQ1530" s="31">
        <v>3.6339153996500007E-2</v>
      </c>
      <c r="AR1530" s="31">
        <v>5.9584487742919885E-4</v>
      </c>
    </row>
    <row r="1531" spans="1:44" hidden="1" x14ac:dyDescent="0.5">
      <c r="A1531" s="31">
        <v>745</v>
      </c>
      <c r="B1531" s="31">
        <v>54</v>
      </c>
      <c r="C1531" s="225" t="s">
        <v>44</v>
      </c>
      <c r="D1531" s="41">
        <v>43.971944399999998</v>
      </c>
      <c r="E1531" s="43">
        <v>157.33805599999999</v>
      </c>
      <c r="F1531">
        <v>323.97000000000003</v>
      </c>
      <c r="G1531">
        <f t="shared" si="19"/>
        <v>521379.17568000004</v>
      </c>
      <c r="H1531" s="32" t="s">
        <v>613</v>
      </c>
      <c r="I1531">
        <v>5401</v>
      </c>
      <c r="J1531">
        <v>0</v>
      </c>
      <c r="K1531" s="26">
        <v>2012</v>
      </c>
      <c r="L1531" t="s">
        <v>30</v>
      </c>
      <c r="M1531" s="32">
        <v>300</v>
      </c>
      <c r="N1531">
        <v>36.542166029999997</v>
      </c>
      <c r="P1531" t="s">
        <v>17</v>
      </c>
      <c r="Q1531">
        <v>100</v>
      </c>
      <c r="R1531" t="s">
        <v>13</v>
      </c>
      <c r="S1531" t="s">
        <v>16</v>
      </c>
      <c r="T1531" t="s">
        <v>16</v>
      </c>
      <c r="U1531" s="34">
        <v>0</v>
      </c>
      <c r="V1531" s="34">
        <v>2</v>
      </c>
      <c r="W1531" s="25">
        <v>1</v>
      </c>
      <c r="X1531" s="25">
        <v>2</v>
      </c>
      <c r="Y1531">
        <v>1.4517405560000001</v>
      </c>
      <c r="Z1531" t="s">
        <v>823</v>
      </c>
      <c r="AA1531" t="s">
        <v>642</v>
      </c>
      <c r="AB1531">
        <v>1</v>
      </c>
      <c r="AC1531">
        <v>282</v>
      </c>
      <c r="AF1531" t="s">
        <v>529</v>
      </c>
      <c r="AG1531" s="32" t="s">
        <v>1868</v>
      </c>
      <c r="AH1531" s="32" t="s">
        <v>1342</v>
      </c>
      <c r="AI1531" s="32" t="s">
        <v>1869</v>
      </c>
      <c r="AJ1531" s="31" t="s">
        <v>3066</v>
      </c>
      <c r="AK1531" s="31">
        <v>0.75</v>
      </c>
      <c r="AL1531" s="31">
        <v>29.137437695168995</v>
      </c>
      <c r="AM1531" s="31">
        <v>9.7124792317229982</v>
      </c>
      <c r="AN1531" s="31">
        <v>1064.7450859456458</v>
      </c>
      <c r="AO1531" s="31">
        <v>354.91502864854863</v>
      </c>
      <c r="AP1531" s="31">
        <v>1.5457336230689998</v>
      </c>
      <c r="AQ1531" s="31">
        <v>0.51524454102299988</v>
      </c>
      <c r="AR1531" s="31">
        <v>5.9584487742919885E-4</v>
      </c>
    </row>
    <row r="1532" spans="1:44" hidden="1" x14ac:dyDescent="0.5">
      <c r="A1532" s="31">
        <v>746</v>
      </c>
      <c r="B1532" s="31">
        <v>54</v>
      </c>
      <c r="C1532" s="225" t="s">
        <v>44</v>
      </c>
      <c r="D1532" s="41">
        <v>40.584166699999997</v>
      </c>
      <c r="E1532" s="43">
        <v>151.00027800000001</v>
      </c>
      <c r="F1532">
        <v>308.73</v>
      </c>
      <c r="G1532">
        <f t="shared" si="19"/>
        <v>496852.77312000003</v>
      </c>
      <c r="H1532" s="32" t="s">
        <v>613</v>
      </c>
      <c r="I1532">
        <v>5412</v>
      </c>
      <c r="J1532">
        <v>0</v>
      </c>
      <c r="K1532" s="26">
        <v>2012</v>
      </c>
      <c r="L1532" t="s">
        <v>30</v>
      </c>
      <c r="M1532" s="32">
        <v>300</v>
      </c>
      <c r="N1532">
        <v>36.542166029999997</v>
      </c>
      <c r="P1532" t="s">
        <v>17</v>
      </c>
      <c r="Q1532">
        <v>100</v>
      </c>
      <c r="R1532" t="s">
        <v>13</v>
      </c>
      <c r="S1532" t="s">
        <v>16</v>
      </c>
      <c r="T1532" t="s">
        <v>16</v>
      </c>
      <c r="U1532" s="34">
        <v>2</v>
      </c>
      <c r="V1532" s="34">
        <v>20</v>
      </c>
      <c r="W1532" s="25">
        <v>11</v>
      </c>
      <c r="X1532" s="25">
        <v>18</v>
      </c>
      <c r="Y1532">
        <v>0.97091161199999998</v>
      </c>
      <c r="Z1532" t="s">
        <v>1110</v>
      </c>
      <c r="AA1532" t="s">
        <v>622</v>
      </c>
      <c r="AB1532">
        <v>1</v>
      </c>
      <c r="AC1532">
        <v>5</v>
      </c>
      <c r="AF1532" t="s">
        <v>529</v>
      </c>
      <c r="AG1532" s="32" t="s">
        <v>1870</v>
      </c>
      <c r="AH1532" s="32" t="s">
        <v>1342</v>
      </c>
      <c r="AI1532" s="32" t="s">
        <v>1871</v>
      </c>
      <c r="AJ1532" s="31" t="s">
        <v>3067</v>
      </c>
      <c r="AK1532" s="31">
        <v>0.75</v>
      </c>
      <c r="AL1532" s="31">
        <v>8.5829989366048826E-2</v>
      </c>
      <c r="AM1532" s="31">
        <v>2.8609996455349618E-2</v>
      </c>
      <c r="AN1532" s="31">
        <v>3.1364137217672909</v>
      </c>
      <c r="AO1532" s="31">
        <v>1.0454712405890971</v>
      </c>
      <c r="AP1532" s="31">
        <v>3.0451805025000001E-3</v>
      </c>
      <c r="AQ1532" s="31">
        <v>1.0150601675000001E-3</v>
      </c>
      <c r="AR1532" s="31">
        <v>5.8931417842951993E-4</v>
      </c>
    </row>
    <row r="1533" spans="1:44" hidden="1" x14ac:dyDescent="0.5">
      <c r="A1533" s="31">
        <v>747</v>
      </c>
      <c r="B1533" s="31">
        <v>54</v>
      </c>
      <c r="C1533" s="225" t="s">
        <v>44</v>
      </c>
      <c r="D1533" s="41">
        <v>40.584166699999997</v>
      </c>
      <c r="E1533" s="43">
        <v>151.00027800000001</v>
      </c>
      <c r="F1533">
        <v>308.73</v>
      </c>
      <c r="G1533">
        <f t="shared" si="19"/>
        <v>496852.77312000003</v>
      </c>
      <c r="H1533" s="32" t="s">
        <v>613</v>
      </c>
      <c r="I1533">
        <v>5412</v>
      </c>
      <c r="J1533">
        <v>0</v>
      </c>
      <c r="K1533" s="26">
        <v>2012</v>
      </c>
      <c r="L1533" t="s">
        <v>30</v>
      </c>
      <c r="M1533" s="32">
        <v>300</v>
      </c>
      <c r="N1533">
        <v>36.542166029999997</v>
      </c>
      <c r="P1533" t="s">
        <v>17</v>
      </c>
      <c r="Q1533">
        <v>100</v>
      </c>
      <c r="R1533" t="s">
        <v>13</v>
      </c>
      <c r="S1533" t="s">
        <v>16</v>
      </c>
      <c r="T1533" t="s">
        <v>16</v>
      </c>
      <c r="U1533" s="34">
        <v>0</v>
      </c>
      <c r="V1533" s="34">
        <v>2</v>
      </c>
      <c r="W1533" s="25">
        <v>1</v>
      </c>
      <c r="X1533" s="25">
        <v>2</v>
      </c>
      <c r="Y1533">
        <v>0.97091161199999998</v>
      </c>
      <c r="Z1533" t="s">
        <v>1110</v>
      </c>
      <c r="AA1533" t="s">
        <v>622</v>
      </c>
      <c r="AB1533">
        <v>1</v>
      </c>
      <c r="AC1533">
        <v>10</v>
      </c>
      <c r="AF1533" t="s">
        <v>529</v>
      </c>
      <c r="AG1533" s="32" t="s">
        <v>1872</v>
      </c>
      <c r="AH1533" s="32" t="s">
        <v>1342</v>
      </c>
      <c r="AI1533" s="32" t="s">
        <v>1873</v>
      </c>
      <c r="AJ1533" s="31" t="s">
        <v>3068</v>
      </c>
      <c r="AK1533" s="31">
        <v>0.75</v>
      </c>
      <c r="AL1533" s="31">
        <v>1.544939808588879</v>
      </c>
      <c r="AM1533" s="31">
        <v>0.51497993619629301</v>
      </c>
      <c r="AN1533" s="31">
        <v>56.455446991811229</v>
      </c>
      <c r="AO1533" s="31">
        <v>18.818482330603743</v>
      </c>
      <c r="AP1533" s="31">
        <v>5.4813249044999991E-2</v>
      </c>
      <c r="AQ1533" s="31">
        <v>1.8271083014999998E-2</v>
      </c>
      <c r="AR1533" s="31">
        <v>5.8931417842951993E-4</v>
      </c>
    </row>
    <row r="1534" spans="1:44" hidden="1" x14ac:dyDescent="0.5">
      <c r="A1534" s="31">
        <v>705</v>
      </c>
      <c r="B1534" s="31">
        <v>53</v>
      </c>
      <c r="C1534" s="225" t="s">
        <v>20</v>
      </c>
      <c r="D1534" s="35">
        <v>36.878258000000002</v>
      </c>
      <c r="E1534" s="33">
        <v>-8.7550170000000005</v>
      </c>
      <c r="F1534">
        <v>11.4</v>
      </c>
      <c r="G1534">
        <f t="shared" si="19"/>
        <v>18346.5216</v>
      </c>
      <c r="H1534" s="32" t="s">
        <v>612</v>
      </c>
      <c r="I1534">
        <v>2200</v>
      </c>
      <c r="J1534">
        <v>70.487287923918799</v>
      </c>
      <c r="K1534" s="27">
        <v>2012</v>
      </c>
      <c r="L1534" t="s">
        <v>30</v>
      </c>
      <c r="M1534" s="32">
        <v>32</v>
      </c>
      <c r="N1534">
        <v>3.4233292909999999</v>
      </c>
      <c r="P1534" t="s">
        <v>12</v>
      </c>
      <c r="Q1534">
        <v>89</v>
      </c>
      <c r="R1534" t="s">
        <v>13</v>
      </c>
      <c r="S1534" t="s">
        <v>14</v>
      </c>
      <c r="T1534" t="s">
        <v>14</v>
      </c>
      <c r="U1534" s="34">
        <v>0</v>
      </c>
      <c r="V1534" s="34">
        <v>1</v>
      </c>
      <c r="W1534" s="25">
        <v>0.5</v>
      </c>
      <c r="X1534" s="25">
        <v>1</v>
      </c>
      <c r="Y1534" s="244">
        <v>0.95563787099999997</v>
      </c>
      <c r="Z1534" t="s">
        <v>1120</v>
      </c>
      <c r="AA1534" t="s">
        <v>622</v>
      </c>
      <c r="AB1534">
        <v>1</v>
      </c>
      <c r="AC1534">
        <v>10</v>
      </c>
      <c r="AF1534" t="s">
        <v>528</v>
      </c>
      <c r="AG1534" s="32" t="s">
        <v>1807</v>
      </c>
      <c r="AH1534" s="32" t="s">
        <v>671</v>
      </c>
      <c r="AI1534" s="32" t="s">
        <v>1129</v>
      </c>
      <c r="AJ1534" s="31" t="s">
        <v>1130</v>
      </c>
      <c r="AK1534" s="31">
        <v>0.59524549999999998</v>
      </c>
      <c r="AL1534" s="31">
        <v>124.57553599819612</v>
      </c>
      <c r="AM1534" s="31">
        <v>84.708760982118932</v>
      </c>
      <c r="AN1534" s="31">
        <v>479.17200148837048</v>
      </c>
      <c r="AO1534" s="31">
        <v>325.8269468251749</v>
      </c>
      <c r="AP1534" s="31">
        <v>0.45791491134515516</v>
      </c>
      <c r="AQ1534" s="31">
        <v>0.3113725697784403</v>
      </c>
      <c r="AR1534" s="31">
        <v>1.4721509040515557E-2</v>
      </c>
    </row>
    <row r="1535" spans="1:44" hidden="1" x14ac:dyDescent="0.5">
      <c r="A1535" s="31">
        <v>1538</v>
      </c>
      <c r="B1535" s="52">
        <v>115</v>
      </c>
      <c r="C1535" s="225" t="s">
        <v>20</v>
      </c>
      <c r="D1535" s="41">
        <v>36.787638999999999</v>
      </c>
      <c r="E1535" s="43">
        <v>-2.5889169999999999</v>
      </c>
      <c r="F1535">
        <v>0.04</v>
      </c>
      <c r="G1535">
        <f t="shared" si="19"/>
        <v>64.373760000000004</v>
      </c>
      <c r="H1535" s="32" t="s">
        <v>57</v>
      </c>
      <c r="I1535">
        <v>1.5</v>
      </c>
      <c r="J1535">
        <v>70.177194315602605</v>
      </c>
      <c r="K1535" s="26">
        <v>2017</v>
      </c>
      <c r="L1535" t="s">
        <v>30</v>
      </c>
      <c r="M1535" s="32">
        <v>100</v>
      </c>
      <c r="N1535">
        <v>11.428783320000001</v>
      </c>
      <c r="O1535">
        <v>5</v>
      </c>
      <c r="P1535" t="s">
        <v>15</v>
      </c>
      <c r="Q1535">
        <v>97</v>
      </c>
      <c r="R1535" t="s">
        <v>13</v>
      </c>
      <c r="S1535" t="s">
        <v>14</v>
      </c>
      <c r="T1535" t="s">
        <v>14</v>
      </c>
      <c r="U1535" s="34">
        <v>0</v>
      </c>
      <c r="V1535" s="34">
        <v>1</v>
      </c>
      <c r="W1535" s="25">
        <v>0.5</v>
      </c>
      <c r="X1535" s="25">
        <v>1</v>
      </c>
      <c r="Y1535" s="244">
        <v>0.627337917333333</v>
      </c>
      <c r="Z1535" t="s">
        <v>716</v>
      </c>
      <c r="AA1535" t="s">
        <v>655</v>
      </c>
      <c r="AB1535">
        <v>1</v>
      </c>
      <c r="AC1535">
        <v>2173</v>
      </c>
      <c r="AF1535" t="s">
        <v>532</v>
      </c>
      <c r="AG1535" s="32">
        <v>2173</v>
      </c>
      <c r="AH1535" s="32" t="s">
        <v>1201</v>
      </c>
      <c r="AI1535" s="32" t="s">
        <v>2394</v>
      </c>
      <c r="AJ1535" s="31" t="s">
        <v>3416</v>
      </c>
      <c r="AK1535" s="31">
        <v>0.1</v>
      </c>
      <c r="AL1535" s="31">
        <v>217.3</v>
      </c>
      <c r="AM1535" s="31">
        <v>1955.7</v>
      </c>
      <c r="AN1535" s="31">
        <v>2560.2831086969077</v>
      </c>
      <c r="AO1535" s="31">
        <v>23042.547978272167</v>
      </c>
      <c r="AP1535" s="31">
        <v>1.6061626731936294</v>
      </c>
      <c r="AQ1535" s="31">
        <v>14.455464058742665</v>
      </c>
      <c r="AR1535" s="31">
        <v>0.20269999999999999</v>
      </c>
    </row>
    <row r="1536" spans="1:44" hidden="1" x14ac:dyDescent="0.5">
      <c r="A1536" s="31">
        <v>1539</v>
      </c>
      <c r="B1536" s="52">
        <v>115</v>
      </c>
      <c r="C1536" s="225" t="s">
        <v>20</v>
      </c>
      <c r="D1536" s="41">
        <v>36.787638999999999</v>
      </c>
      <c r="E1536" s="43">
        <v>-2.5889169999999999</v>
      </c>
      <c r="F1536">
        <v>0.04</v>
      </c>
      <c r="G1536">
        <f t="shared" si="19"/>
        <v>64.373760000000004</v>
      </c>
      <c r="H1536" s="32" t="s">
        <v>57</v>
      </c>
      <c r="I1536">
        <v>1.5</v>
      </c>
      <c r="J1536">
        <v>70.177194315602605</v>
      </c>
      <c r="K1536" s="26">
        <v>2017</v>
      </c>
      <c r="L1536" t="s">
        <v>30</v>
      </c>
      <c r="M1536" s="32">
        <v>100</v>
      </c>
      <c r="N1536">
        <v>11.428783320000001</v>
      </c>
      <c r="O1536">
        <v>5</v>
      </c>
      <c r="P1536" t="s">
        <v>15</v>
      </c>
      <c r="Q1536">
        <v>97</v>
      </c>
      <c r="R1536" t="s">
        <v>13</v>
      </c>
      <c r="S1536" t="s">
        <v>14</v>
      </c>
      <c r="T1536" t="s">
        <v>14</v>
      </c>
      <c r="U1536" s="34">
        <v>1</v>
      </c>
      <c r="V1536" s="34">
        <v>2</v>
      </c>
      <c r="W1536" s="25">
        <v>1.5</v>
      </c>
      <c r="X1536" s="25">
        <v>1</v>
      </c>
      <c r="Y1536" s="244">
        <v>0.627337917333333</v>
      </c>
      <c r="Z1536" t="s">
        <v>716</v>
      </c>
      <c r="AA1536" t="s">
        <v>655</v>
      </c>
      <c r="AB1536">
        <v>1</v>
      </c>
      <c r="AC1536">
        <v>1908</v>
      </c>
      <c r="AF1536" t="s">
        <v>532</v>
      </c>
      <c r="AG1536" s="32">
        <v>1908</v>
      </c>
      <c r="AH1536" s="32" t="s">
        <v>1201</v>
      </c>
      <c r="AI1536" s="32" t="s">
        <v>2645</v>
      </c>
      <c r="AJ1536" s="31" t="s">
        <v>3417</v>
      </c>
      <c r="AK1536" s="31">
        <v>0.1</v>
      </c>
      <c r="AL1536" s="31">
        <v>190.8</v>
      </c>
      <c r="AM1536" s="31">
        <v>1717.2</v>
      </c>
      <c r="AN1536" s="31">
        <v>2248.0534612948459</v>
      </c>
      <c r="AO1536" s="31">
        <v>20232.48115165361</v>
      </c>
      <c r="AP1536" s="31">
        <v>1.4102891764626992</v>
      </c>
      <c r="AQ1536" s="31">
        <v>12.69260258816429</v>
      </c>
      <c r="AR1536" s="31">
        <v>0.20269999999999999</v>
      </c>
    </row>
    <row r="1537" spans="1:44" hidden="1" x14ac:dyDescent="0.5">
      <c r="A1537" s="31">
        <v>1540</v>
      </c>
      <c r="B1537" s="52">
        <v>115</v>
      </c>
      <c r="C1537" s="225" t="s">
        <v>20</v>
      </c>
      <c r="D1537" s="41">
        <v>36.787638999999999</v>
      </c>
      <c r="E1537" s="43">
        <v>-2.5889169999999999</v>
      </c>
      <c r="F1537">
        <v>0.04</v>
      </c>
      <c r="G1537">
        <f t="shared" si="19"/>
        <v>64.373760000000004</v>
      </c>
      <c r="H1537" s="32" t="s">
        <v>57</v>
      </c>
      <c r="I1537">
        <v>1.5</v>
      </c>
      <c r="J1537">
        <v>70.177194315602605</v>
      </c>
      <c r="K1537" s="26">
        <v>2017</v>
      </c>
      <c r="L1537" t="s">
        <v>30</v>
      </c>
      <c r="M1537" s="32">
        <v>100</v>
      </c>
      <c r="N1537">
        <v>11.428783320000001</v>
      </c>
      <c r="O1537">
        <v>5</v>
      </c>
      <c r="P1537" t="s">
        <v>15</v>
      </c>
      <c r="Q1537">
        <v>97</v>
      </c>
      <c r="R1537" t="s">
        <v>13</v>
      </c>
      <c r="S1537" t="s">
        <v>14</v>
      </c>
      <c r="T1537" t="s">
        <v>14</v>
      </c>
      <c r="U1537" s="34">
        <v>2</v>
      </c>
      <c r="V1537" s="34">
        <v>3</v>
      </c>
      <c r="W1537" s="25">
        <v>2.5</v>
      </c>
      <c r="X1537" s="25">
        <v>1</v>
      </c>
      <c r="Y1537" s="244">
        <v>0.627337917333333</v>
      </c>
      <c r="Z1537" t="s">
        <v>716</v>
      </c>
      <c r="AA1537" t="s">
        <v>655</v>
      </c>
      <c r="AB1537">
        <v>1</v>
      </c>
      <c r="AC1537">
        <v>1514</v>
      </c>
      <c r="AF1537" t="s">
        <v>532</v>
      </c>
      <c r="AG1537" s="32">
        <v>1514</v>
      </c>
      <c r="AH1537" s="32" t="s">
        <v>1201</v>
      </c>
      <c r="AI1537" s="32" t="s">
        <v>2646</v>
      </c>
      <c r="AJ1537" s="31" t="s">
        <v>3418</v>
      </c>
      <c r="AK1537" s="31">
        <v>0.1</v>
      </c>
      <c r="AL1537" s="31">
        <v>151.4</v>
      </c>
      <c r="AM1537" s="31">
        <v>1362.6</v>
      </c>
      <c r="AN1537" s="31">
        <v>1783.832777987629</v>
      </c>
      <c r="AO1537" s="31">
        <v>16054.495001888659</v>
      </c>
      <c r="AP1537" s="31">
        <v>1.1190659398136931</v>
      </c>
      <c r="AQ1537" s="31">
        <v>10.071593458323237</v>
      </c>
      <c r="AR1537" s="31">
        <v>0.20269999999999999</v>
      </c>
    </row>
    <row r="1538" spans="1:44" hidden="1" x14ac:dyDescent="0.5">
      <c r="A1538" s="31">
        <v>1541</v>
      </c>
      <c r="B1538" s="52">
        <v>115</v>
      </c>
      <c r="C1538" s="225" t="s">
        <v>20</v>
      </c>
      <c r="D1538" s="41">
        <v>36.787638999999999</v>
      </c>
      <c r="E1538" s="43">
        <v>-2.5889169999999999</v>
      </c>
      <c r="F1538">
        <v>0.04</v>
      </c>
      <c r="G1538">
        <f t="shared" si="19"/>
        <v>64.373760000000004</v>
      </c>
      <c r="H1538" s="32" t="s">
        <v>57</v>
      </c>
      <c r="I1538">
        <v>1.5</v>
      </c>
      <c r="J1538">
        <v>70.177194315602605</v>
      </c>
      <c r="K1538" s="26">
        <v>2017</v>
      </c>
      <c r="L1538" t="s">
        <v>30</v>
      </c>
      <c r="M1538" s="32">
        <v>100</v>
      </c>
      <c r="N1538">
        <v>11.428783320000001</v>
      </c>
      <c r="O1538">
        <v>5</v>
      </c>
      <c r="P1538" t="s">
        <v>15</v>
      </c>
      <c r="Q1538">
        <v>97</v>
      </c>
      <c r="R1538" t="s">
        <v>13</v>
      </c>
      <c r="S1538" t="s">
        <v>14</v>
      </c>
      <c r="T1538" t="s">
        <v>14</v>
      </c>
      <c r="U1538" s="34">
        <v>3</v>
      </c>
      <c r="V1538" s="34">
        <v>4</v>
      </c>
      <c r="W1538" s="25">
        <v>3.5</v>
      </c>
      <c r="X1538" s="25">
        <v>1</v>
      </c>
      <c r="Y1538" s="244">
        <v>0.627337917333333</v>
      </c>
      <c r="Z1538" t="s">
        <v>716</v>
      </c>
      <c r="AA1538" t="s">
        <v>655</v>
      </c>
      <c r="AB1538">
        <v>1</v>
      </c>
      <c r="AC1538">
        <v>435</v>
      </c>
      <c r="AF1538" t="s">
        <v>532</v>
      </c>
      <c r="AG1538" s="32">
        <v>435</v>
      </c>
      <c r="AH1538" s="32" t="s">
        <v>1201</v>
      </c>
      <c r="AI1538" s="32" t="s">
        <v>2647</v>
      </c>
      <c r="AJ1538" s="31" t="s">
        <v>3419</v>
      </c>
      <c r="AK1538" s="31">
        <v>0.1</v>
      </c>
      <c r="AL1538" s="31">
        <v>43.5</v>
      </c>
      <c r="AM1538" s="31">
        <v>391.5</v>
      </c>
      <c r="AN1538" s="31">
        <v>512.52791177319591</v>
      </c>
      <c r="AO1538" s="31">
        <v>4612.7512059587634</v>
      </c>
      <c r="AP1538" s="31">
        <v>0.32152819274699895</v>
      </c>
      <c r="AQ1538" s="31">
        <v>2.8937537347229907</v>
      </c>
      <c r="AR1538" s="31">
        <v>0.20269999999999999</v>
      </c>
    </row>
    <row r="1539" spans="1:44" hidden="1" x14ac:dyDescent="0.5">
      <c r="A1539" s="31">
        <v>1542</v>
      </c>
      <c r="B1539" s="52">
        <v>115</v>
      </c>
      <c r="C1539" s="225" t="s">
        <v>20</v>
      </c>
      <c r="D1539" s="41">
        <v>36.787638999999999</v>
      </c>
      <c r="E1539" s="43">
        <v>-2.5889169999999999</v>
      </c>
      <c r="F1539">
        <v>0.04</v>
      </c>
      <c r="G1539">
        <f t="shared" si="19"/>
        <v>64.373760000000004</v>
      </c>
      <c r="H1539" s="32" t="s">
        <v>57</v>
      </c>
      <c r="I1539">
        <v>1.5</v>
      </c>
      <c r="J1539">
        <v>70.177194315602605</v>
      </c>
      <c r="K1539" s="26">
        <v>2017</v>
      </c>
      <c r="L1539" t="s">
        <v>30</v>
      </c>
      <c r="M1539" s="32">
        <v>100</v>
      </c>
      <c r="N1539">
        <v>11.428783320000001</v>
      </c>
      <c r="O1539">
        <v>5</v>
      </c>
      <c r="P1539" t="s">
        <v>15</v>
      </c>
      <c r="Q1539">
        <v>97</v>
      </c>
      <c r="R1539" t="s">
        <v>13</v>
      </c>
      <c r="S1539" t="s">
        <v>14</v>
      </c>
      <c r="T1539" t="s">
        <v>14</v>
      </c>
      <c r="U1539" s="34">
        <v>4</v>
      </c>
      <c r="V1539" s="34">
        <v>5</v>
      </c>
      <c r="W1539" s="25">
        <v>4.5</v>
      </c>
      <c r="X1539" s="25">
        <v>1</v>
      </c>
      <c r="Y1539" s="244">
        <v>0.627337917333333</v>
      </c>
      <c r="Z1539" t="s">
        <v>716</v>
      </c>
      <c r="AA1539" t="s">
        <v>655</v>
      </c>
      <c r="AB1539">
        <v>1</v>
      </c>
      <c r="AC1539">
        <v>141</v>
      </c>
      <c r="AF1539" t="s">
        <v>532</v>
      </c>
      <c r="AG1539" s="32">
        <v>141</v>
      </c>
      <c r="AH1539" s="32" t="s">
        <v>1201</v>
      </c>
      <c r="AI1539" s="32" t="s">
        <v>2648</v>
      </c>
      <c r="AJ1539" s="31" t="s">
        <v>3420</v>
      </c>
      <c r="AK1539" s="31">
        <v>0.1</v>
      </c>
      <c r="AL1539" s="31">
        <v>14.100000000000001</v>
      </c>
      <c r="AM1539" s="31">
        <v>126.9</v>
      </c>
      <c r="AN1539" s="31">
        <v>166.12973691958766</v>
      </c>
      <c r="AO1539" s="31">
        <v>1495.1676322762889</v>
      </c>
      <c r="AP1539" s="31">
        <v>0.10421948316626864</v>
      </c>
      <c r="AQ1539" s="31">
        <v>0.93797534849641784</v>
      </c>
      <c r="AR1539" s="31">
        <v>0.20269999999999999</v>
      </c>
    </row>
    <row r="1540" spans="1:44" hidden="1" x14ac:dyDescent="0.5">
      <c r="A1540" s="31">
        <v>1543</v>
      </c>
      <c r="B1540" s="52">
        <v>115</v>
      </c>
      <c r="C1540" s="225" t="s">
        <v>20</v>
      </c>
      <c r="D1540" s="41">
        <v>36.787638999999999</v>
      </c>
      <c r="E1540" s="43">
        <v>-2.5889169999999999</v>
      </c>
      <c r="F1540">
        <v>0.04</v>
      </c>
      <c r="G1540">
        <f t="shared" si="19"/>
        <v>64.373760000000004</v>
      </c>
      <c r="H1540" s="32" t="s">
        <v>57</v>
      </c>
      <c r="I1540">
        <v>1.5</v>
      </c>
      <c r="J1540">
        <v>70.177194315602605</v>
      </c>
      <c r="K1540" s="26">
        <v>2017</v>
      </c>
      <c r="L1540" t="s">
        <v>30</v>
      </c>
      <c r="M1540" s="32">
        <v>100</v>
      </c>
      <c r="N1540">
        <v>11.428783320000001</v>
      </c>
      <c r="O1540">
        <v>5</v>
      </c>
      <c r="P1540" t="s">
        <v>15</v>
      </c>
      <c r="Q1540">
        <v>97</v>
      </c>
      <c r="R1540" t="s">
        <v>13</v>
      </c>
      <c r="S1540" t="s">
        <v>14</v>
      </c>
      <c r="T1540" t="s">
        <v>14</v>
      </c>
      <c r="U1540" s="34">
        <v>5</v>
      </c>
      <c r="V1540" s="34">
        <v>6</v>
      </c>
      <c r="W1540" s="25">
        <v>5.5</v>
      </c>
      <c r="X1540" s="25">
        <v>1</v>
      </c>
      <c r="Y1540" s="244">
        <v>0.627337917333333</v>
      </c>
      <c r="Z1540" t="s">
        <v>716</v>
      </c>
      <c r="AA1540" t="s">
        <v>655</v>
      </c>
      <c r="AB1540">
        <v>1</v>
      </c>
      <c r="AC1540">
        <v>62</v>
      </c>
      <c r="AF1540" t="s">
        <v>532</v>
      </c>
      <c r="AG1540" s="32">
        <v>62</v>
      </c>
      <c r="AH1540" s="32" t="s">
        <v>1201</v>
      </c>
      <c r="AI1540" s="32" t="s">
        <v>2649</v>
      </c>
      <c r="AJ1540" s="31" t="s">
        <v>3421</v>
      </c>
      <c r="AK1540" s="31">
        <v>0.1</v>
      </c>
      <c r="AL1540" s="31">
        <v>6.2</v>
      </c>
      <c r="AM1540" s="31">
        <v>55.8</v>
      </c>
      <c r="AN1540" s="31">
        <v>73.049955241237114</v>
      </c>
      <c r="AO1540" s="31">
        <v>657.44959717113397</v>
      </c>
      <c r="AP1540" s="31">
        <v>4.5827006782330884E-2</v>
      </c>
      <c r="AQ1540" s="31">
        <v>0.41244306104097789</v>
      </c>
      <c r="AR1540" s="31">
        <v>0.20269999999999999</v>
      </c>
    </row>
    <row r="1541" spans="1:44" hidden="1" x14ac:dyDescent="0.5">
      <c r="A1541" s="31">
        <v>1544</v>
      </c>
      <c r="B1541" s="52">
        <v>115</v>
      </c>
      <c r="C1541" s="225" t="s">
        <v>20</v>
      </c>
      <c r="D1541" s="41">
        <v>36.787638999999999</v>
      </c>
      <c r="E1541" s="43">
        <v>-2.5889169999999999</v>
      </c>
      <c r="F1541">
        <v>0.04</v>
      </c>
      <c r="G1541">
        <f t="shared" si="19"/>
        <v>64.373760000000004</v>
      </c>
      <c r="H1541" s="32" t="s">
        <v>57</v>
      </c>
      <c r="I1541">
        <v>1.5</v>
      </c>
      <c r="J1541">
        <v>70.177194315602605</v>
      </c>
      <c r="K1541" s="26">
        <v>2017</v>
      </c>
      <c r="L1541" t="s">
        <v>30</v>
      </c>
      <c r="M1541" s="32">
        <v>100</v>
      </c>
      <c r="N1541">
        <v>11.428783320000001</v>
      </c>
      <c r="O1541">
        <v>5</v>
      </c>
      <c r="P1541" t="s">
        <v>15</v>
      </c>
      <c r="Q1541">
        <v>97</v>
      </c>
      <c r="R1541" t="s">
        <v>13</v>
      </c>
      <c r="S1541" t="s">
        <v>14</v>
      </c>
      <c r="T1541" t="s">
        <v>14</v>
      </c>
      <c r="U1541" s="34">
        <v>6</v>
      </c>
      <c r="V1541" s="34">
        <v>7</v>
      </c>
      <c r="W1541" s="25">
        <v>6.5</v>
      </c>
      <c r="X1541" s="25">
        <v>1</v>
      </c>
      <c r="Y1541" s="244">
        <v>0.627337917333333</v>
      </c>
      <c r="Z1541" t="s">
        <v>716</v>
      </c>
      <c r="AA1541" t="s">
        <v>655</v>
      </c>
      <c r="AB1541">
        <v>1</v>
      </c>
      <c r="AC1541">
        <v>44</v>
      </c>
      <c r="AF1541" t="s">
        <v>532</v>
      </c>
      <c r="AG1541" s="32">
        <v>44</v>
      </c>
      <c r="AH1541" s="32" t="s">
        <v>1201</v>
      </c>
      <c r="AI1541" s="32" t="s">
        <v>2650</v>
      </c>
      <c r="AJ1541" s="31" t="s">
        <v>3422</v>
      </c>
      <c r="AK1541" s="31">
        <v>0.1</v>
      </c>
      <c r="AL1541" s="31">
        <v>4.4000000000000004</v>
      </c>
      <c r="AM1541" s="31">
        <v>39.6</v>
      </c>
      <c r="AN1541" s="31">
        <v>51.841903719587634</v>
      </c>
      <c r="AO1541" s="31">
        <v>466.57713347628874</v>
      </c>
      <c r="AP1541" s="31">
        <v>3.2522391910041276E-2</v>
      </c>
      <c r="AQ1541" s="31">
        <v>0.29270152719037151</v>
      </c>
      <c r="AR1541" s="31">
        <v>0.20269999999999999</v>
      </c>
    </row>
    <row r="1542" spans="1:44" hidden="1" x14ac:dyDescent="0.5">
      <c r="A1542" s="31">
        <v>1545</v>
      </c>
      <c r="B1542" s="52">
        <v>115</v>
      </c>
      <c r="C1542" s="225" t="s">
        <v>20</v>
      </c>
      <c r="D1542" s="41">
        <v>36.787638999999999</v>
      </c>
      <c r="E1542" s="43">
        <v>-2.5889169999999999</v>
      </c>
      <c r="F1542">
        <v>0.04</v>
      </c>
      <c r="G1542">
        <f t="shared" si="19"/>
        <v>64.373760000000004</v>
      </c>
      <c r="H1542" s="32" t="s">
        <v>57</v>
      </c>
      <c r="I1542">
        <v>1.5</v>
      </c>
      <c r="J1542">
        <v>70.177194315602605</v>
      </c>
      <c r="K1542" s="26">
        <v>2017</v>
      </c>
      <c r="L1542" t="s">
        <v>30</v>
      </c>
      <c r="M1542" s="32">
        <v>100</v>
      </c>
      <c r="N1542">
        <v>11.428783320000001</v>
      </c>
      <c r="O1542">
        <v>5</v>
      </c>
      <c r="P1542" t="s">
        <v>15</v>
      </c>
      <c r="Q1542">
        <v>97</v>
      </c>
      <c r="R1542" t="s">
        <v>13</v>
      </c>
      <c r="S1542" t="s">
        <v>14</v>
      </c>
      <c r="T1542" t="s">
        <v>14</v>
      </c>
      <c r="U1542" s="34">
        <v>7</v>
      </c>
      <c r="V1542" s="34">
        <v>8</v>
      </c>
      <c r="W1542" s="25">
        <v>7.5</v>
      </c>
      <c r="X1542" s="25">
        <v>1</v>
      </c>
      <c r="Y1542" s="244">
        <v>0.627337917333333</v>
      </c>
      <c r="Z1542" t="s">
        <v>716</v>
      </c>
      <c r="AA1542" t="s">
        <v>655</v>
      </c>
      <c r="AB1542">
        <v>1</v>
      </c>
      <c r="AC1542">
        <v>38</v>
      </c>
      <c r="AF1542" t="s">
        <v>532</v>
      </c>
      <c r="AG1542" s="32">
        <v>38</v>
      </c>
      <c r="AH1542" s="32" t="s">
        <v>1201</v>
      </c>
      <c r="AI1542" s="32" t="s">
        <v>2651</v>
      </c>
      <c r="AJ1542" s="31" t="s">
        <v>3423</v>
      </c>
      <c r="AK1542" s="31">
        <v>0.1</v>
      </c>
      <c r="AL1542" s="31">
        <v>3.8000000000000003</v>
      </c>
      <c r="AM1542" s="31">
        <v>34.200000000000003</v>
      </c>
      <c r="AN1542" s="31">
        <v>44.772553212371143</v>
      </c>
      <c r="AO1542" s="31">
        <v>402.95297891134021</v>
      </c>
      <c r="AP1542" s="31">
        <v>2.8087520285944738E-2</v>
      </c>
      <c r="AQ1542" s="31">
        <v>0.25278768257350259</v>
      </c>
      <c r="AR1542" s="31">
        <v>0.20269999999999999</v>
      </c>
    </row>
    <row r="1543" spans="1:44" hidden="1" x14ac:dyDescent="0.5">
      <c r="A1543" s="31">
        <v>1546</v>
      </c>
      <c r="B1543" s="52">
        <v>115</v>
      </c>
      <c r="C1543" s="225" t="s">
        <v>20</v>
      </c>
      <c r="D1543" s="41">
        <v>36.787638999999999</v>
      </c>
      <c r="E1543" s="43">
        <v>-2.5889169999999999</v>
      </c>
      <c r="F1543">
        <v>0.04</v>
      </c>
      <c r="G1543">
        <f t="shared" si="19"/>
        <v>64.373760000000004</v>
      </c>
      <c r="H1543" s="32" t="s">
        <v>57</v>
      </c>
      <c r="I1543">
        <v>1.5</v>
      </c>
      <c r="J1543">
        <v>70.177194315602605</v>
      </c>
      <c r="K1543" s="26">
        <v>2017</v>
      </c>
      <c r="L1543" t="s">
        <v>30</v>
      </c>
      <c r="M1543" s="32">
        <v>100</v>
      </c>
      <c r="N1543">
        <v>11.428783320000001</v>
      </c>
      <c r="O1543">
        <v>5</v>
      </c>
      <c r="P1543" t="s">
        <v>15</v>
      </c>
      <c r="Q1543">
        <v>97</v>
      </c>
      <c r="R1543" t="s">
        <v>13</v>
      </c>
      <c r="S1543" t="s">
        <v>14</v>
      </c>
      <c r="T1543" t="s">
        <v>14</v>
      </c>
      <c r="U1543" s="34">
        <v>8</v>
      </c>
      <c r="V1543" s="34">
        <v>9</v>
      </c>
      <c r="W1543" s="25">
        <v>8.5</v>
      </c>
      <c r="X1543" s="25">
        <v>1</v>
      </c>
      <c r="Y1543" s="244">
        <v>0.627337917333333</v>
      </c>
      <c r="Z1543" t="s">
        <v>716</v>
      </c>
      <c r="AA1543" t="s">
        <v>655</v>
      </c>
      <c r="AB1543">
        <v>1</v>
      </c>
      <c r="AC1543">
        <v>0</v>
      </c>
      <c r="AF1543" t="s">
        <v>532</v>
      </c>
      <c r="AG1543" s="32">
        <v>0</v>
      </c>
      <c r="AH1543" s="32" t="s">
        <v>1201</v>
      </c>
      <c r="AI1543" s="32">
        <v>0</v>
      </c>
      <c r="AJ1543" s="31">
        <v>0</v>
      </c>
      <c r="AK1543" s="31">
        <v>0.1</v>
      </c>
      <c r="AL1543" s="31">
        <v>0</v>
      </c>
      <c r="AM1543" s="31">
        <v>0</v>
      </c>
      <c r="AN1543" s="31">
        <v>0</v>
      </c>
      <c r="AO1543" s="31">
        <v>0</v>
      </c>
      <c r="AP1543" s="31">
        <v>0</v>
      </c>
      <c r="AQ1543" s="31">
        <v>0</v>
      </c>
      <c r="AR1543" s="31">
        <v>0.20269999999999999</v>
      </c>
    </row>
    <row r="1544" spans="1:44" hidden="1" x14ac:dyDescent="0.5">
      <c r="A1544" s="31">
        <v>282</v>
      </c>
      <c r="B1544" s="31">
        <v>19</v>
      </c>
      <c r="C1544" s="225" t="s">
        <v>44</v>
      </c>
      <c r="D1544" s="41">
        <v>-53.018611100000001</v>
      </c>
      <c r="E1544" s="43">
        <v>-10.050000000000001</v>
      </c>
      <c r="F1544">
        <v>1066.43</v>
      </c>
      <c r="G1544">
        <f t="shared" si="19"/>
        <v>1716252.7219200002</v>
      </c>
      <c r="H1544" s="32" t="s">
        <v>613</v>
      </c>
      <c r="I1544">
        <v>4230</v>
      </c>
      <c r="J1544">
        <v>0</v>
      </c>
      <c r="K1544" s="26">
        <v>2010</v>
      </c>
      <c r="L1544" t="s">
        <v>30</v>
      </c>
      <c r="M1544" s="32">
        <v>75</v>
      </c>
      <c r="N1544">
        <v>8.4297523430000005</v>
      </c>
      <c r="O1544">
        <v>0.161</v>
      </c>
      <c r="P1544" t="s">
        <v>15</v>
      </c>
      <c r="Q1544">
        <v>99.3</v>
      </c>
      <c r="R1544" t="s">
        <v>13</v>
      </c>
      <c r="S1544" t="s">
        <v>14</v>
      </c>
      <c r="T1544" t="s">
        <v>14</v>
      </c>
      <c r="U1544" s="34">
        <v>0</v>
      </c>
      <c r="V1544" s="34">
        <v>1</v>
      </c>
      <c r="W1544" s="25">
        <v>0.5</v>
      </c>
      <c r="X1544" s="25">
        <v>1</v>
      </c>
      <c r="Y1544">
        <v>1.280237852</v>
      </c>
      <c r="Z1544" t="s">
        <v>624</v>
      </c>
      <c r="AA1544" t="s">
        <v>622</v>
      </c>
      <c r="AB1544">
        <v>1</v>
      </c>
      <c r="AC1544">
        <v>0</v>
      </c>
      <c r="AF1544" t="s">
        <v>523</v>
      </c>
      <c r="AG1544" s="32">
        <v>0</v>
      </c>
      <c r="AH1544" s="32" t="s">
        <v>671</v>
      </c>
      <c r="AI1544" s="32" t="s">
        <v>1129</v>
      </c>
      <c r="AJ1544" s="31" t="s">
        <v>1130</v>
      </c>
      <c r="AK1544" s="31">
        <v>0.59524549999999998</v>
      </c>
      <c r="AL1544" s="31">
        <v>0</v>
      </c>
      <c r="AM1544" s="31">
        <v>0</v>
      </c>
      <c r="AN1544" s="31">
        <v>0</v>
      </c>
      <c r="AO1544" s="31">
        <v>0</v>
      </c>
      <c r="AP1544" s="31">
        <v>0</v>
      </c>
      <c r="AQ1544" s="31">
        <v>0</v>
      </c>
      <c r="AR1544" s="31">
        <v>1.9260108528724052E-3</v>
      </c>
    </row>
    <row r="1545" spans="1:44" hidden="1" x14ac:dyDescent="0.5">
      <c r="A1545" s="31">
        <v>283</v>
      </c>
      <c r="B1545" s="31">
        <v>19</v>
      </c>
      <c r="C1545" s="225" t="s">
        <v>44</v>
      </c>
      <c r="D1545" s="41">
        <v>-6.4222222200000001</v>
      </c>
      <c r="E1545" s="43">
        <v>-5.4944444399999997</v>
      </c>
      <c r="F1545">
        <v>1059.99</v>
      </c>
      <c r="G1545">
        <f t="shared" si="19"/>
        <v>1705888.5465600002</v>
      </c>
      <c r="H1545" s="32" t="s">
        <v>613</v>
      </c>
      <c r="I1545">
        <v>4785</v>
      </c>
      <c r="J1545">
        <v>0</v>
      </c>
      <c r="K1545" s="26">
        <v>2010</v>
      </c>
      <c r="L1545" t="s">
        <v>30</v>
      </c>
      <c r="M1545" s="32">
        <v>75</v>
      </c>
      <c r="N1545">
        <v>8.4297523430000005</v>
      </c>
      <c r="O1545">
        <v>0.161</v>
      </c>
      <c r="P1545" t="s">
        <v>15</v>
      </c>
      <c r="Q1545">
        <v>99.3</v>
      </c>
      <c r="R1545" t="s">
        <v>13</v>
      </c>
      <c r="S1545" t="s">
        <v>14</v>
      </c>
      <c r="T1545" t="s">
        <v>14</v>
      </c>
      <c r="U1545" s="34">
        <v>0</v>
      </c>
      <c r="V1545" s="34">
        <v>1</v>
      </c>
      <c r="W1545" s="25">
        <v>0.5</v>
      </c>
      <c r="X1545" s="25">
        <v>1</v>
      </c>
      <c r="Y1545">
        <v>1.5753479850000001</v>
      </c>
      <c r="Z1545" t="s">
        <v>1105</v>
      </c>
      <c r="AA1545" t="s">
        <v>622</v>
      </c>
      <c r="AB1545">
        <v>1</v>
      </c>
      <c r="AC1545">
        <v>0</v>
      </c>
      <c r="AF1545" t="s">
        <v>523</v>
      </c>
      <c r="AG1545" s="32">
        <v>0</v>
      </c>
      <c r="AH1545" s="32" t="s">
        <v>671</v>
      </c>
      <c r="AI1545" s="32" t="s">
        <v>1129</v>
      </c>
      <c r="AJ1545" s="31" t="s">
        <v>1130</v>
      </c>
      <c r="AK1545" s="31">
        <v>0.59524549999999998</v>
      </c>
      <c r="AL1545" s="31">
        <v>0</v>
      </c>
      <c r="AM1545" s="31">
        <v>0</v>
      </c>
      <c r="AN1545" s="31">
        <v>0</v>
      </c>
      <c r="AO1545" s="31">
        <v>0</v>
      </c>
      <c r="AP1545" s="31">
        <v>0</v>
      </c>
      <c r="AQ1545" s="31">
        <v>0</v>
      </c>
      <c r="AR1545" s="31">
        <v>1.1045035853976017E-3</v>
      </c>
    </row>
    <row r="1546" spans="1:44" hidden="1" x14ac:dyDescent="0.5">
      <c r="A1546" s="31">
        <v>284</v>
      </c>
      <c r="B1546" s="31">
        <v>19</v>
      </c>
      <c r="C1546" s="225" t="s">
        <v>44</v>
      </c>
      <c r="D1546" s="42">
        <v>-6.4222222200000001</v>
      </c>
      <c r="E1546" s="43">
        <v>-5.4944444399999997</v>
      </c>
      <c r="F1546">
        <v>1059.99</v>
      </c>
      <c r="G1546">
        <f t="shared" si="19"/>
        <v>1705888.5465600002</v>
      </c>
      <c r="H1546" s="32" t="s">
        <v>613</v>
      </c>
      <c r="I1546">
        <v>4785</v>
      </c>
      <c r="J1546">
        <v>0</v>
      </c>
      <c r="K1546" s="26">
        <v>2010</v>
      </c>
      <c r="L1546" t="s">
        <v>30</v>
      </c>
      <c r="M1546" s="32">
        <v>75</v>
      </c>
      <c r="N1546">
        <v>8.4297523430000005</v>
      </c>
      <c r="O1546">
        <v>0.161</v>
      </c>
      <c r="P1546" t="s">
        <v>15</v>
      </c>
      <c r="Q1546">
        <v>99.3</v>
      </c>
      <c r="R1546" t="s">
        <v>13</v>
      </c>
      <c r="S1546" t="s">
        <v>14</v>
      </c>
      <c r="T1546" t="s">
        <v>14</v>
      </c>
      <c r="U1546" s="34">
        <v>0</v>
      </c>
      <c r="V1546" s="34">
        <v>1</v>
      </c>
      <c r="W1546" s="25">
        <v>0.5</v>
      </c>
      <c r="X1546" s="25">
        <v>1</v>
      </c>
      <c r="Y1546">
        <v>1.5753479850000001</v>
      </c>
      <c r="Z1546" t="s">
        <v>1105</v>
      </c>
      <c r="AA1546" t="s">
        <v>622</v>
      </c>
      <c r="AB1546">
        <v>1</v>
      </c>
      <c r="AC1546">
        <v>0</v>
      </c>
      <c r="AF1546" t="s">
        <v>523</v>
      </c>
      <c r="AG1546" s="32">
        <v>0</v>
      </c>
      <c r="AH1546" s="32" t="s">
        <v>671</v>
      </c>
      <c r="AI1546" s="32" t="s">
        <v>1129</v>
      </c>
      <c r="AJ1546" s="31" t="s">
        <v>1130</v>
      </c>
      <c r="AK1546" s="31">
        <v>0.59524549999999998</v>
      </c>
      <c r="AL1546" s="31">
        <v>0</v>
      </c>
      <c r="AM1546" s="31">
        <v>0</v>
      </c>
      <c r="AN1546" s="31">
        <v>0</v>
      </c>
      <c r="AO1546" s="31">
        <v>0</v>
      </c>
      <c r="AP1546" s="31">
        <v>0</v>
      </c>
      <c r="AQ1546" s="31">
        <v>0</v>
      </c>
      <c r="AR1546" s="31">
        <v>1.1045035853976017E-3</v>
      </c>
    </row>
    <row r="1547" spans="1:44" hidden="1" x14ac:dyDescent="0.5">
      <c r="A1547" s="31">
        <v>285</v>
      </c>
      <c r="B1547" s="31">
        <v>19</v>
      </c>
      <c r="C1547" s="225" t="s">
        <v>44</v>
      </c>
      <c r="D1547" s="42">
        <v>-6.4222222200000001</v>
      </c>
      <c r="E1547" s="43">
        <v>-5.4944444399999997</v>
      </c>
      <c r="F1547">
        <v>1059.99</v>
      </c>
      <c r="G1547">
        <f t="shared" si="19"/>
        <v>1705888.5465600002</v>
      </c>
      <c r="H1547" s="32" t="s">
        <v>613</v>
      </c>
      <c r="I1547">
        <v>4785</v>
      </c>
      <c r="J1547">
        <v>0</v>
      </c>
      <c r="K1547" s="26">
        <v>2010</v>
      </c>
      <c r="L1547" t="s">
        <v>30</v>
      </c>
      <c r="M1547" s="32">
        <v>75</v>
      </c>
      <c r="N1547">
        <v>8.4297523430000005</v>
      </c>
      <c r="O1547">
        <v>0.161</v>
      </c>
      <c r="P1547" t="s">
        <v>15</v>
      </c>
      <c r="Q1547">
        <v>99.3</v>
      </c>
      <c r="R1547" t="s">
        <v>13</v>
      </c>
      <c r="S1547" t="s">
        <v>14</v>
      </c>
      <c r="T1547" t="s">
        <v>14</v>
      </c>
      <c r="U1547" s="34">
        <v>0</v>
      </c>
      <c r="V1547" s="34">
        <v>1</v>
      </c>
      <c r="W1547" s="25">
        <v>0.5</v>
      </c>
      <c r="X1547" s="25">
        <v>1</v>
      </c>
      <c r="Y1547">
        <v>1.5753479850000001</v>
      </c>
      <c r="Z1547" t="s">
        <v>1105</v>
      </c>
      <c r="AA1547" t="s">
        <v>622</v>
      </c>
      <c r="AB1547">
        <v>1</v>
      </c>
      <c r="AC1547">
        <v>0</v>
      </c>
      <c r="AF1547" t="s">
        <v>523</v>
      </c>
      <c r="AG1547" s="32">
        <v>0</v>
      </c>
      <c r="AH1547" s="32" t="s">
        <v>671</v>
      </c>
      <c r="AI1547" s="32" t="s">
        <v>1129</v>
      </c>
      <c r="AJ1547" s="31" t="s">
        <v>1130</v>
      </c>
      <c r="AK1547" s="31">
        <v>0.59524549999999998</v>
      </c>
      <c r="AL1547" s="31">
        <v>0</v>
      </c>
      <c r="AM1547" s="31">
        <v>0</v>
      </c>
      <c r="AN1547" s="31">
        <v>0</v>
      </c>
      <c r="AO1547" s="31">
        <v>0</v>
      </c>
      <c r="AP1547" s="31">
        <v>0</v>
      </c>
      <c r="AQ1547" s="31">
        <v>0</v>
      </c>
      <c r="AR1547" s="31">
        <v>1.1045035853976017E-3</v>
      </c>
    </row>
    <row r="1548" spans="1:44" hidden="1" x14ac:dyDescent="0.5">
      <c r="A1548" s="31">
        <v>286</v>
      </c>
      <c r="B1548" s="31">
        <v>19</v>
      </c>
      <c r="C1548" s="225" t="s">
        <v>44</v>
      </c>
      <c r="D1548" s="41">
        <v>48.8333333</v>
      </c>
      <c r="E1548" s="43">
        <v>-16.502222199999999</v>
      </c>
      <c r="F1548">
        <v>493.83</v>
      </c>
      <c r="G1548">
        <f t="shared" si="19"/>
        <v>794742.34751999995</v>
      </c>
      <c r="H1548" s="32" t="s">
        <v>613</v>
      </c>
      <c r="I1548">
        <v>4842</v>
      </c>
      <c r="J1548">
        <v>0</v>
      </c>
      <c r="K1548" s="26">
        <v>2010</v>
      </c>
      <c r="L1548" t="s">
        <v>30</v>
      </c>
      <c r="M1548" s="32">
        <v>75</v>
      </c>
      <c r="N1548">
        <v>8.4297523430000005</v>
      </c>
      <c r="O1548">
        <v>0.161</v>
      </c>
      <c r="P1548" t="s">
        <v>15</v>
      </c>
      <c r="Q1548">
        <v>99.3</v>
      </c>
      <c r="R1548" t="s">
        <v>13</v>
      </c>
      <c r="S1548" t="s">
        <v>14</v>
      </c>
      <c r="T1548" t="s">
        <v>14</v>
      </c>
      <c r="U1548" s="34">
        <v>0</v>
      </c>
      <c r="V1548" s="34">
        <v>1</v>
      </c>
      <c r="W1548" s="25">
        <v>0.5</v>
      </c>
      <c r="X1548" s="25">
        <v>1</v>
      </c>
      <c r="Y1548">
        <v>1.217101183</v>
      </c>
      <c r="Z1548" t="s">
        <v>1106</v>
      </c>
      <c r="AA1548" t="s">
        <v>622</v>
      </c>
      <c r="AB1548">
        <v>1</v>
      </c>
      <c r="AC1548">
        <v>2</v>
      </c>
      <c r="AF1548" t="s">
        <v>523</v>
      </c>
      <c r="AG1548" s="32" t="s">
        <v>1296</v>
      </c>
      <c r="AH1548" s="32" t="s">
        <v>671</v>
      </c>
      <c r="AI1548" s="32" t="s">
        <v>1129</v>
      </c>
      <c r="AJ1548" s="31" t="s">
        <v>1130</v>
      </c>
      <c r="AK1548" s="31">
        <v>0.59524549999999998</v>
      </c>
      <c r="AL1548" s="31">
        <v>39.125456999904991</v>
      </c>
      <c r="AM1548" s="31">
        <v>26.604493079356409</v>
      </c>
      <c r="AN1548" s="31">
        <v>332.14291320835338</v>
      </c>
      <c r="AO1548" s="31">
        <v>225.85023954686</v>
      </c>
      <c r="AP1548" s="31">
        <v>0.4042515325909532</v>
      </c>
      <c r="AQ1548" s="31">
        <v>0.27488259373331669</v>
      </c>
      <c r="AR1548" s="31">
        <v>1.043194503176969E-3</v>
      </c>
    </row>
    <row r="1549" spans="1:44" hidden="1" x14ac:dyDescent="0.5">
      <c r="A1549" s="31">
        <v>287</v>
      </c>
      <c r="B1549" s="31">
        <v>19</v>
      </c>
      <c r="C1549" s="225" t="s">
        <v>44</v>
      </c>
      <c r="D1549" s="41">
        <v>48.838055599999997</v>
      </c>
      <c r="E1549" s="43">
        <v>-16.4916667</v>
      </c>
      <c r="F1549">
        <v>341.75</v>
      </c>
      <c r="G1549">
        <f t="shared" si="19"/>
        <v>549993.31200000003</v>
      </c>
      <c r="H1549" s="32" t="s">
        <v>613</v>
      </c>
      <c r="I1549">
        <v>4843</v>
      </c>
      <c r="J1549">
        <v>0</v>
      </c>
      <c r="K1549" s="26">
        <v>2010</v>
      </c>
      <c r="L1549" t="s">
        <v>30</v>
      </c>
      <c r="M1549" s="32">
        <v>75</v>
      </c>
      <c r="N1549">
        <v>8.4297523430000005</v>
      </c>
      <c r="O1549">
        <v>0.161</v>
      </c>
      <c r="P1549" t="s">
        <v>15</v>
      </c>
      <c r="Q1549">
        <v>99.3</v>
      </c>
      <c r="R1549" t="s">
        <v>13</v>
      </c>
      <c r="S1549" t="s">
        <v>14</v>
      </c>
      <c r="T1549" t="s">
        <v>14</v>
      </c>
      <c r="U1549" s="34">
        <v>0</v>
      </c>
      <c r="V1549" s="34">
        <v>1</v>
      </c>
      <c r="W1549" s="25">
        <v>0.5</v>
      </c>
      <c r="X1549" s="25">
        <v>1</v>
      </c>
      <c r="Y1549">
        <v>1.217101183</v>
      </c>
      <c r="Z1549" t="s">
        <v>1106</v>
      </c>
      <c r="AA1549" t="s">
        <v>622</v>
      </c>
      <c r="AB1549">
        <v>1</v>
      </c>
      <c r="AC1549">
        <v>1</v>
      </c>
      <c r="AF1549" t="s">
        <v>523</v>
      </c>
      <c r="AG1549" s="32" t="s">
        <v>1297</v>
      </c>
      <c r="AH1549" s="32" t="s">
        <v>671</v>
      </c>
      <c r="AI1549" s="32" t="s">
        <v>1129</v>
      </c>
      <c r="AJ1549" s="31" t="s">
        <v>1130</v>
      </c>
      <c r="AK1549" s="31">
        <v>0.59524549999999998</v>
      </c>
      <c r="AL1549" s="31">
        <v>19.562728499952495</v>
      </c>
      <c r="AM1549" s="31">
        <v>13.302246539678205</v>
      </c>
      <c r="AN1549" s="31">
        <v>166.07145660417669</v>
      </c>
      <c r="AO1549" s="31">
        <v>112.92511977343</v>
      </c>
      <c r="AP1549" s="31">
        <v>0.2021257662954766</v>
      </c>
      <c r="AQ1549" s="31">
        <v>0.13744129686665835</v>
      </c>
      <c r="AR1549" s="31">
        <v>1.0421498491501582E-3</v>
      </c>
    </row>
    <row r="1550" spans="1:44" hidden="1" x14ac:dyDescent="0.5">
      <c r="A1550" s="31">
        <v>288</v>
      </c>
      <c r="B1550" s="31">
        <v>19</v>
      </c>
      <c r="C1550" s="225" t="s">
        <v>44</v>
      </c>
      <c r="D1550" s="41">
        <v>48.828055599999999</v>
      </c>
      <c r="E1550" s="43">
        <v>-16.506944399999998</v>
      </c>
      <c r="F1550">
        <v>351.57</v>
      </c>
      <c r="G1550">
        <f t="shared" si="19"/>
        <v>565797.07007999998</v>
      </c>
      <c r="H1550" s="32" t="s">
        <v>613</v>
      </c>
      <c r="I1550">
        <v>4844</v>
      </c>
      <c r="J1550">
        <v>0</v>
      </c>
      <c r="K1550" s="26">
        <v>2010</v>
      </c>
      <c r="L1550" t="s">
        <v>30</v>
      </c>
      <c r="M1550" s="32">
        <v>75</v>
      </c>
      <c r="N1550">
        <v>8.4297523430000005</v>
      </c>
      <c r="O1550">
        <v>0.161</v>
      </c>
      <c r="P1550" t="s">
        <v>15</v>
      </c>
      <c r="Q1550">
        <v>99.3</v>
      </c>
      <c r="R1550" t="s">
        <v>13</v>
      </c>
      <c r="S1550" t="s">
        <v>14</v>
      </c>
      <c r="T1550" t="s">
        <v>14</v>
      </c>
      <c r="U1550" s="34">
        <v>0</v>
      </c>
      <c r="V1550" s="34">
        <v>1</v>
      </c>
      <c r="W1550" s="25">
        <v>0.5</v>
      </c>
      <c r="X1550" s="25">
        <v>1</v>
      </c>
      <c r="Y1550">
        <v>1.217101183</v>
      </c>
      <c r="Z1550" t="s">
        <v>1106</v>
      </c>
      <c r="AA1550" t="s">
        <v>622</v>
      </c>
      <c r="AB1550">
        <v>1</v>
      </c>
      <c r="AC1550">
        <v>0</v>
      </c>
      <c r="AF1550" t="s">
        <v>523</v>
      </c>
      <c r="AG1550" s="32">
        <v>0</v>
      </c>
      <c r="AH1550" s="32" t="s">
        <v>671</v>
      </c>
      <c r="AI1550" s="32" t="s">
        <v>1129</v>
      </c>
      <c r="AJ1550" s="31" t="s">
        <v>1130</v>
      </c>
      <c r="AK1550" s="31">
        <v>0.59524549999999998</v>
      </c>
      <c r="AL1550" s="31">
        <v>0</v>
      </c>
      <c r="AM1550" s="31">
        <v>0</v>
      </c>
      <c r="AN1550" s="31">
        <v>0</v>
      </c>
      <c r="AO1550" s="31">
        <v>0</v>
      </c>
      <c r="AP1550" s="31">
        <v>0</v>
      </c>
      <c r="AQ1550" s="31">
        <v>0</v>
      </c>
      <c r="AR1550" s="31">
        <v>1.0411062412389429E-3</v>
      </c>
    </row>
    <row r="1551" spans="1:44" hidden="1" x14ac:dyDescent="0.5">
      <c r="A1551" s="31">
        <v>289</v>
      </c>
      <c r="B1551" s="31">
        <v>19</v>
      </c>
      <c r="C1551" s="225" t="s">
        <v>44</v>
      </c>
      <c r="D1551" s="41">
        <v>-49.572499999999998</v>
      </c>
      <c r="E1551" s="43">
        <v>-38.407499999999999</v>
      </c>
      <c r="F1551">
        <v>329.72</v>
      </c>
      <c r="G1551">
        <f t="shared" si="19"/>
        <v>530632.9036800001</v>
      </c>
      <c r="H1551" s="32" t="s">
        <v>613</v>
      </c>
      <c r="I1551">
        <v>4881</v>
      </c>
      <c r="J1551">
        <v>0</v>
      </c>
      <c r="K1551" s="26">
        <v>2010</v>
      </c>
      <c r="L1551" t="s">
        <v>30</v>
      </c>
      <c r="M1551" s="32">
        <v>75</v>
      </c>
      <c r="N1551">
        <v>8.4297523430000005</v>
      </c>
      <c r="O1551">
        <v>0.161</v>
      </c>
      <c r="P1551" t="s">
        <v>15</v>
      </c>
      <c r="Q1551">
        <v>99.3</v>
      </c>
      <c r="R1551" t="s">
        <v>13</v>
      </c>
      <c r="S1551" t="s">
        <v>14</v>
      </c>
      <c r="T1551" t="s">
        <v>14</v>
      </c>
      <c r="U1551" s="34">
        <v>0</v>
      </c>
      <c r="V1551" s="34">
        <v>1</v>
      </c>
      <c r="W1551" s="25">
        <v>0.5</v>
      </c>
      <c r="X1551" s="25">
        <v>1</v>
      </c>
      <c r="Y1551">
        <v>1.2408205290000001</v>
      </c>
      <c r="Z1551" t="s">
        <v>752</v>
      </c>
      <c r="AA1551" t="s">
        <v>620</v>
      </c>
      <c r="AB1551">
        <v>1</v>
      </c>
      <c r="AC1551">
        <v>0</v>
      </c>
      <c r="AF1551" t="s">
        <v>523</v>
      </c>
      <c r="AG1551" s="32">
        <v>0</v>
      </c>
      <c r="AH1551" s="32" t="s">
        <v>671</v>
      </c>
      <c r="AI1551" s="32" t="s">
        <v>1129</v>
      </c>
      <c r="AJ1551" s="31" t="s">
        <v>1130</v>
      </c>
      <c r="AK1551" s="31">
        <v>0.59524549999999998</v>
      </c>
      <c r="AL1551" s="31">
        <v>0</v>
      </c>
      <c r="AM1551" s="31">
        <v>0</v>
      </c>
      <c r="AN1551" s="31">
        <v>0</v>
      </c>
      <c r="AO1551" s="31">
        <v>0</v>
      </c>
      <c r="AP1551" s="31">
        <v>0</v>
      </c>
      <c r="AQ1551" s="31">
        <v>0</v>
      </c>
      <c r="AR1551" s="31">
        <v>1.0032186796426529E-3</v>
      </c>
    </row>
    <row r="1552" spans="1:44" hidden="1" x14ac:dyDescent="0.5">
      <c r="A1552" s="31">
        <v>290</v>
      </c>
      <c r="B1552" s="31">
        <v>19</v>
      </c>
      <c r="C1552" s="225" t="s">
        <v>44</v>
      </c>
      <c r="D1552" s="41">
        <v>-52.010555600000004</v>
      </c>
      <c r="E1552" s="43">
        <v>-8.0108333300000005</v>
      </c>
      <c r="F1552">
        <v>1186.19</v>
      </c>
      <c r="G1552">
        <f t="shared" ref="G1552:G1615" si="20">F1552*1609.344</f>
        <v>1908987.7593600003</v>
      </c>
      <c r="H1552" s="32" t="s">
        <v>612</v>
      </c>
      <c r="I1552">
        <v>2749</v>
      </c>
      <c r="J1552">
        <v>0</v>
      </c>
      <c r="K1552" s="26">
        <v>2010</v>
      </c>
      <c r="L1552" t="s">
        <v>30</v>
      </c>
      <c r="M1552" s="32">
        <v>75</v>
      </c>
      <c r="N1552">
        <v>8.4297523430000005</v>
      </c>
      <c r="O1552">
        <v>0.161</v>
      </c>
      <c r="P1552" t="s">
        <v>15</v>
      </c>
      <c r="Q1552">
        <v>99.3</v>
      </c>
      <c r="R1552" t="s">
        <v>13</v>
      </c>
      <c r="S1552" t="s">
        <v>14</v>
      </c>
      <c r="T1552" t="s">
        <v>14</v>
      </c>
      <c r="U1552" s="34">
        <v>0</v>
      </c>
      <c r="V1552" s="34">
        <v>1</v>
      </c>
      <c r="W1552" s="25">
        <v>0.5</v>
      </c>
      <c r="X1552" s="25">
        <v>1</v>
      </c>
      <c r="Y1552">
        <v>0.98707708599999999</v>
      </c>
      <c r="Z1552" t="s">
        <v>1107</v>
      </c>
      <c r="AA1552" t="s">
        <v>622</v>
      </c>
      <c r="AB1552">
        <v>1</v>
      </c>
      <c r="AC1552">
        <v>1</v>
      </c>
      <c r="AF1552" t="s">
        <v>523</v>
      </c>
      <c r="AG1552" s="32" t="s">
        <v>1298</v>
      </c>
      <c r="AH1552" s="32" t="s">
        <v>671</v>
      </c>
      <c r="AI1552" s="32" t="s">
        <v>1129</v>
      </c>
      <c r="AJ1552" s="31" t="s">
        <v>1130</v>
      </c>
      <c r="AK1552" s="31">
        <v>0.59524549999999998</v>
      </c>
      <c r="AL1552" s="31">
        <v>24.121540594652199</v>
      </c>
      <c r="AM1552" s="31">
        <v>16.402143489733486</v>
      </c>
      <c r="AN1552" s="31">
        <v>204.77201746680666</v>
      </c>
      <c r="AO1552" s="31">
        <v>139.2406923593183</v>
      </c>
      <c r="AP1552" s="31">
        <v>0.2021257662954766</v>
      </c>
      <c r="AQ1552" s="31">
        <v>0.13744129686665837</v>
      </c>
      <c r="AR1552" s="31">
        <v>8.493201934503692E-3</v>
      </c>
    </row>
    <row r="1553" spans="1:44" hidden="1" x14ac:dyDescent="0.5">
      <c r="A1553" s="31">
        <v>1176</v>
      </c>
      <c r="B1553" s="31">
        <v>83</v>
      </c>
      <c r="C1553" s="225" t="s">
        <v>32</v>
      </c>
      <c r="D1553" s="44">
        <v>34.287132999999997</v>
      </c>
      <c r="E1553" s="45">
        <v>-120.035583</v>
      </c>
      <c r="F1553">
        <v>11.5</v>
      </c>
      <c r="G1553">
        <f t="shared" si="20"/>
        <v>18507.456000000002</v>
      </c>
      <c r="H1553" s="32" t="s">
        <v>611</v>
      </c>
      <c r="I1553">
        <v>580</v>
      </c>
      <c r="J1553">
        <v>74.068332303951195</v>
      </c>
      <c r="K1553" s="26">
        <v>2010</v>
      </c>
      <c r="L1553" t="s">
        <v>30</v>
      </c>
      <c r="M1553" s="32">
        <v>104</v>
      </c>
      <c r="N1553">
        <v>11.913003570000001</v>
      </c>
      <c r="P1553" t="s">
        <v>17</v>
      </c>
      <c r="Q1553">
        <v>100</v>
      </c>
      <c r="R1553" t="s">
        <v>13</v>
      </c>
      <c r="S1553" t="s">
        <v>14</v>
      </c>
      <c r="T1553" t="s">
        <v>14</v>
      </c>
      <c r="U1553" s="34">
        <v>15.5</v>
      </c>
      <c r="V1553" s="34">
        <v>16</v>
      </c>
      <c r="W1553" s="25">
        <v>15.75</v>
      </c>
      <c r="X1553" s="25">
        <v>0.5</v>
      </c>
      <c r="Y1553">
        <v>0.58806967600000004</v>
      </c>
      <c r="Z1553" t="s">
        <v>1125</v>
      </c>
      <c r="AA1553" t="s">
        <v>622</v>
      </c>
      <c r="AB1553">
        <v>1</v>
      </c>
      <c r="AC1553">
        <v>236.00899999999999</v>
      </c>
      <c r="AF1553" t="s">
        <v>521</v>
      </c>
      <c r="AG1553" s="32" t="s">
        <v>2206</v>
      </c>
      <c r="AH1553" s="32" t="s">
        <v>2207</v>
      </c>
      <c r="AI1553" s="32" t="s">
        <v>2208</v>
      </c>
      <c r="AJ1553" s="31" t="s">
        <v>3218</v>
      </c>
      <c r="AK1553" s="31">
        <v>0.51785313300000002</v>
      </c>
      <c r="AL1553" s="31">
        <v>41.565822913200847</v>
      </c>
      <c r="AM1553" s="31">
        <v>38.699835947263836</v>
      </c>
      <c r="AN1553" s="31">
        <v>495.17379675494954</v>
      </c>
      <c r="AO1553" s="31">
        <v>461.03128379816843</v>
      </c>
      <c r="AP1553" s="31">
        <v>0.29119669422137306</v>
      </c>
      <c r="AQ1553" s="31">
        <v>0.27111851768905298</v>
      </c>
      <c r="AR1553" s="31">
        <v>7.4618537027130172E-2</v>
      </c>
    </row>
    <row r="1554" spans="1:44" hidden="1" x14ac:dyDescent="0.5">
      <c r="A1554" s="31">
        <v>1177</v>
      </c>
      <c r="B1554" s="31">
        <v>83</v>
      </c>
      <c r="C1554" s="225" t="s">
        <v>32</v>
      </c>
      <c r="D1554" s="44">
        <v>34.287132999999997</v>
      </c>
      <c r="E1554" s="45">
        <v>-120.035583</v>
      </c>
      <c r="F1554">
        <v>11.5</v>
      </c>
      <c r="G1554">
        <f t="shared" si="20"/>
        <v>18507.456000000002</v>
      </c>
      <c r="H1554" s="32" t="s">
        <v>611</v>
      </c>
      <c r="I1554">
        <v>580</v>
      </c>
      <c r="J1554">
        <v>74.068332303951195</v>
      </c>
      <c r="K1554" s="26">
        <v>2010</v>
      </c>
      <c r="L1554" t="s">
        <v>30</v>
      </c>
      <c r="M1554" s="32">
        <v>104</v>
      </c>
      <c r="N1554">
        <v>11.913003570000001</v>
      </c>
      <c r="P1554" t="s">
        <v>17</v>
      </c>
      <c r="Q1554">
        <v>100</v>
      </c>
      <c r="R1554" t="s">
        <v>13</v>
      </c>
      <c r="S1554" t="s">
        <v>14</v>
      </c>
      <c r="T1554" t="s">
        <v>14</v>
      </c>
      <c r="U1554" s="34">
        <v>12.5</v>
      </c>
      <c r="V1554" s="34">
        <v>13</v>
      </c>
      <c r="W1554" s="25">
        <v>12.75</v>
      </c>
      <c r="X1554" s="25">
        <v>0.5</v>
      </c>
      <c r="Y1554">
        <v>0.58806967600000004</v>
      </c>
      <c r="Z1554" t="s">
        <v>1125</v>
      </c>
      <c r="AA1554" t="s">
        <v>622</v>
      </c>
      <c r="AB1554">
        <v>1</v>
      </c>
      <c r="AC1554">
        <v>591.55600000000004</v>
      </c>
      <c r="AF1554" t="s">
        <v>521</v>
      </c>
      <c r="AG1554" s="32" t="s">
        <v>2209</v>
      </c>
      <c r="AH1554" s="32" t="s">
        <v>2210</v>
      </c>
      <c r="AI1554" s="32" t="s">
        <v>2211</v>
      </c>
      <c r="AJ1554" s="31" t="s">
        <v>3219</v>
      </c>
      <c r="AK1554" s="31">
        <v>0.88966725000000002</v>
      </c>
      <c r="AL1554" s="31">
        <v>178.9883142149979</v>
      </c>
      <c r="AM1554" s="31">
        <v>22.197369775278133</v>
      </c>
      <c r="AN1554" s="31">
        <v>2132.288426231552</v>
      </c>
      <c r="AO1554" s="31">
        <v>264.4373453774985</v>
      </c>
      <c r="AP1554" s="31">
        <v>1.2539341639525388</v>
      </c>
      <c r="AQ1554" s="31">
        <v>0.15550758401844567</v>
      </c>
      <c r="AR1554" s="31">
        <v>7.4618537027130172E-2</v>
      </c>
    </row>
    <row r="1555" spans="1:44" hidden="1" x14ac:dyDescent="0.5">
      <c r="A1555" s="31">
        <v>1178</v>
      </c>
      <c r="B1555" s="31">
        <v>83</v>
      </c>
      <c r="C1555" s="225" t="s">
        <v>32</v>
      </c>
      <c r="D1555" s="44">
        <v>34.287132999999997</v>
      </c>
      <c r="E1555" s="45">
        <v>-120.035583</v>
      </c>
      <c r="F1555">
        <v>11.5</v>
      </c>
      <c r="G1555">
        <f t="shared" si="20"/>
        <v>18507.456000000002</v>
      </c>
      <c r="H1555" s="32" t="s">
        <v>611</v>
      </c>
      <c r="I1555">
        <v>580</v>
      </c>
      <c r="J1555">
        <v>74.068332303951195</v>
      </c>
      <c r="K1555" s="26">
        <v>2010</v>
      </c>
      <c r="L1555" t="s">
        <v>30</v>
      </c>
      <c r="M1555" s="32">
        <v>104</v>
      </c>
      <c r="N1555">
        <v>11.913003570000001</v>
      </c>
      <c r="P1555" t="s">
        <v>17</v>
      </c>
      <c r="Q1555">
        <v>100</v>
      </c>
      <c r="R1555" t="s">
        <v>13</v>
      </c>
      <c r="S1555" t="s">
        <v>14</v>
      </c>
      <c r="T1555" t="s">
        <v>14</v>
      </c>
      <c r="U1555" s="34">
        <v>13.5</v>
      </c>
      <c r="V1555" s="34">
        <v>14</v>
      </c>
      <c r="W1555" s="25">
        <v>13.75</v>
      </c>
      <c r="X1555" s="25">
        <v>0.5</v>
      </c>
      <c r="Y1555">
        <v>0.58806967600000004</v>
      </c>
      <c r="Z1555" t="s">
        <v>1125</v>
      </c>
      <c r="AA1555" t="s">
        <v>622</v>
      </c>
      <c r="AB1555">
        <v>1</v>
      </c>
      <c r="AC1555">
        <v>760.73879999999997</v>
      </c>
      <c r="AF1555" t="s">
        <v>521</v>
      </c>
      <c r="AG1555" s="32" t="s">
        <v>2212</v>
      </c>
      <c r="AH1555" s="32" t="s">
        <v>2213</v>
      </c>
      <c r="AI1555" s="32" t="s">
        <v>2214</v>
      </c>
      <c r="AJ1555" s="31" t="s">
        <v>3220</v>
      </c>
      <c r="AK1555" s="31">
        <v>0.89248399099999998</v>
      </c>
      <c r="AL1555" s="31">
        <v>230.90706018058674</v>
      </c>
      <c r="AM1555" s="31">
        <v>27.816975778716795</v>
      </c>
      <c r="AN1555" s="31">
        <v>2750.7966322695347</v>
      </c>
      <c r="AO1555" s="31">
        <v>331.38373175845675</v>
      </c>
      <c r="AP1555" s="31">
        <v>1.6176600842806366</v>
      </c>
      <c r="AQ1555" s="31">
        <v>0.1948767237668666</v>
      </c>
      <c r="AR1555" s="31">
        <v>7.4618537027130172E-2</v>
      </c>
    </row>
    <row r="1556" spans="1:44" hidden="1" x14ac:dyDescent="0.5">
      <c r="A1556" s="31">
        <v>1179</v>
      </c>
      <c r="B1556" s="31">
        <v>83</v>
      </c>
      <c r="C1556" s="225" t="s">
        <v>32</v>
      </c>
      <c r="D1556" s="44">
        <v>34.287132999999997</v>
      </c>
      <c r="E1556" s="45">
        <v>-120.035583</v>
      </c>
      <c r="F1556">
        <v>11.5</v>
      </c>
      <c r="G1556">
        <f t="shared" si="20"/>
        <v>18507.456000000002</v>
      </c>
      <c r="H1556" s="32" t="s">
        <v>611</v>
      </c>
      <c r="I1556">
        <v>580</v>
      </c>
      <c r="J1556">
        <v>74.068332303951195</v>
      </c>
      <c r="K1556" s="26">
        <v>2010</v>
      </c>
      <c r="L1556" t="s">
        <v>30</v>
      </c>
      <c r="M1556" s="32">
        <v>104</v>
      </c>
      <c r="N1556">
        <v>11.913003570000001</v>
      </c>
      <c r="P1556" t="s">
        <v>17</v>
      </c>
      <c r="Q1556">
        <v>100</v>
      </c>
      <c r="R1556" t="s">
        <v>13</v>
      </c>
      <c r="S1556" t="s">
        <v>14</v>
      </c>
      <c r="T1556" t="s">
        <v>14</v>
      </c>
      <c r="U1556" s="34">
        <v>14.5</v>
      </c>
      <c r="V1556" s="34">
        <v>15</v>
      </c>
      <c r="W1556" s="25">
        <v>14.75</v>
      </c>
      <c r="X1556" s="25">
        <v>0.5</v>
      </c>
      <c r="Y1556">
        <v>0.58806967600000004</v>
      </c>
      <c r="Z1556" t="s">
        <v>1125</v>
      </c>
      <c r="AA1556" t="s">
        <v>622</v>
      </c>
      <c r="AB1556">
        <v>1</v>
      </c>
      <c r="AC1556">
        <v>869.29920000000004</v>
      </c>
      <c r="AF1556" t="s">
        <v>521</v>
      </c>
      <c r="AG1556" s="32" t="s">
        <v>2215</v>
      </c>
      <c r="AH1556" s="32" t="s">
        <v>2216</v>
      </c>
      <c r="AI1556" s="32" t="s">
        <v>2217</v>
      </c>
      <c r="AJ1556" s="31" t="s">
        <v>3221</v>
      </c>
      <c r="AK1556" s="31">
        <v>0.900948258</v>
      </c>
      <c r="AL1556" s="31">
        <v>266.36081807448738</v>
      </c>
      <c r="AM1556" s="31">
        <v>29.284149002509139</v>
      </c>
      <c r="AN1556" s="31">
        <v>3173.1573766294891</v>
      </c>
      <c r="AO1556" s="31">
        <v>348.86217161130332</v>
      </c>
      <c r="AP1556" s="31">
        <v>1.8660376303715138</v>
      </c>
      <c r="AQ1556" s="31">
        <v>0.20515526422811556</v>
      </c>
      <c r="AR1556" s="31">
        <v>7.4618537027130172E-2</v>
      </c>
    </row>
    <row r="1557" spans="1:44" hidden="1" x14ac:dyDescent="0.5">
      <c r="A1557" s="31">
        <v>1180</v>
      </c>
      <c r="B1557" s="31">
        <v>83</v>
      </c>
      <c r="C1557" s="225" t="s">
        <v>32</v>
      </c>
      <c r="D1557" s="44">
        <v>34.287132999999997</v>
      </c>
      <c r="E1557" s="45">
        <v>-120.035583</v>
      </c>
      <c r="F1557">
        <v>11.5</v>
      </c>
      <c r="G1557">
        <f t="shared" si="20"/>
        <v>18507.456000000002</v>
      </c>
      <c r="H1557" s="32" t="s">
        <v>611</v>
      </c>
      <c r="I1557">
        <v>580</v>
      </c>
      <c r="J1557">
        <v>74.068332303951195</v>
      </c>
      <c r="K1557" s="26">
        <v>2010</v>
      </c>
      <c r="L1557" t="s">
        <v>30</v>
      </c>
      <c r="M1557" s="32">
        <v>104</v>
      </c>
      <c r="N1557">
        <v>11.913003570000001</v>
      </c>
      <c r="P1557" t="s">
        <v>17</v>
      </c>
      <c r="Q1557">
        <v>100</v>
      </c>
      <c r="R1557" t="s">
        <v>13</v>
      </c>
      <c r="S1557" t="s">
        <v>14</v>
      </c>
      <c r="T1557" t="s">
        <v>14</v>
      </c>
      <c r="U1557" s="34">
        <v>9.5</v>
      </c>
      <c r="V1557" s="34">
        <v>10</v>
      </c>
      <c r="W1557" s="25">
        <v>9.75</v>
      </c>
      <c r="X1557" s="25">
        <v>0.5</v>
      </c>
      <c r="Y1557">
        <v>0.58806967600000004</v>
      </c>
      <c r="Z1557" t="s">
        <v>1125</v>
      </c>
      <c r="AA1557" t="s">
        <v>622</v>
      </c>
      <c r="AB1557">
        <v>1</v>
      </c>
      <c r="AC1557">
        <v>990.55799999999999</v>
      </c>
      <c r="AF1557" t="s">
        <v>521</v>
      </c>
      <c r="AG1557" s="32" t="s">
        <v>2218</v>
      </c>
      <c r="AH1557" s="32" t="s">
        <v>2219</v>
      </c>
      <c r="AI1557" s="32" t="s">
        <v>2220</v>
      </c>
      <c r="AJ1557" s="31" t="s">
        <v>3222</v>
      </c>
      <c r="AK1557" s="31">
        <v>0.37816564000000003</v>
      </c>
      <c r="AL1557" s="31">
        <v>127.39816906563978</v>
      </c>
      <c r="AM1557" s="31">
        <v>209.48640105458526</v>
      </c>
      <c r="AN1557" s="31">
        <v>1517.6948428904304</v>
      </c>
      <c r="AO1557" s="31">
        <v>2495.612243629726</v>
      </c>
      <c r="AP1557" s="31">
        <v>0.89251031452544638</v>
      </c>
      <c r="AQ1557" s="31">
        <v>1.4675938835329663</v>
      </c>
      <c r="AR1557" s="31">
        <v>7.4618537027130172E-2</v>
      </c>
    </row>
    <row r="1558" spans="1:44" hidden="1" x14ac:dyDescent="0.5">
      <c r="A1558" s="31">
        <v>1181</v>
      </c>
      <c r="B1558" s="31">
        <v>83</v>
      </c>
      <c r="C1558" s="225" t="s">
        <v>32</v>
      </c>
      <c r="D1558" s="44">
        <v>34.287132999999997</v>
      </c>
      <c r="E1558" s="45">
        <v>-120.035583</v>
      </c>
      <c r="F1558">
        <v>11.5</v>
      </c>
      <c r="G1558">
        <f t="shared" si="20"/>
        <v>18507.456000000002</v>
      </c>
      <c r="H1558" s="32" t="s">
        <v>611</v>
      </c>
      <c r="I1558">
        <v>580</v>
      </c>
      <c r="J1558">
        <v>74.068332303951195</v>
      </c>
      <c r="K1558" s="26">
        <v>2010</v>
      </c>
      <c r="L1558" t="s">
        <v>30</v>
      </c>
      <c r="M1558" s="32">
        <v>104</v>
      </c>
      <c r="N1558">
        <v>11.913003570000001</v>
      </c>
      <c r="P1558" t="s">
        <v>17</v>
      </c>
      <c r="Q1558">
        <v>100</v>
      </c>
      <c r="R1558" t="s">
        <v>13</v>
      </c>
      <c r="S1558" t="s">
        <v>14</v>
      </c>
      <c r="T1558" t="s">
        <v>14</v>
      </c>
      <c r="U1558" s="34">
        <v>9</v>
      </c>
      <c r="V1558" s="34">
        <v>9.5</v>
      </c>
      <c r="W1558" s="25">
        <v>9.25</v>
      </c>
      <c r="X1558" s="25">
        <v>0.5</v>
      </c>
      <c r="Y1558">
        <v>0.58806967600000004</v>
      </c>
      <c r="Z1558" t="s">
        <v>1125</v>
      </c>
      <c r="AA1558" t="s">
        <v>622</v>
      </c>
      <c r="AB1558">
        <v>1</v>
      </c>
      <c r="AC1558">
        <v>1263.0591999999999</v>
      </c>
      <c r="AF1558" t="s">
        <v>521</v>
      </c>
      <c r="AG1558" s="32" t="s">
        <v>2221</v>
      </c>
      <c r="AH1558" s="32" t="s">
        <v>2222</v>
      </c>
      <c r="AI1558" s="32" t="s">
        <v>2223</v>
      </c>
      <c r="AJ1558" s="31" t="s">
        <v>3223</v>
      </c>
      <c r="AK1558" s="31">
        <v>0.48785425100000002</v>
      </c>
      <c r="AL1558" s="31">
        <v>209.56319467989678</v>
      </c>
      <c r="AM1558" s="31">
        <v>219.99787658336615</v>
      </c>
      <c r="AN1558" s="31">
        <v>2496.5270863622154</v>
      </c>
      <c r="AO1558" s="31">
        <v>2620.8354891300605</v>
      </c>
      <c r="AP1558" s="31">
        <v>1.4681318748022523</v>
      </c>
      <c r="AQ1558" s="31">
        <v>1.5412338769420162</v>
      </c>
      <c r="AR1558" s="31">
        <v>7.4618537027130172E-2</v>
      </c>
    </row>
    <row r="1559" spans="1:44" hidden="1" x14ac:dyDescent="0.5">
      <c r="A1559" s="31">
        <v>1182</v>
      </c>
      <c r="B1559" s="31">
        <v>83</v>
      </c>
      <c r="C1559" s="225" t="s">
        <v>32</v>
      </c>
      <c r="D1559" s="44">
        <v>34.287132999999997</v>
      </c>
      <c r="E1559" s="45">
        <v>-120.035583</v>
      </c>
      <c r="F1559">
        <v>11.5</v>
      </c>
      <c r="G1559">
        <f t="shared" si="20"/>
        <v>18507.456000000002</v>
      </c>
      <c r="H1559" s="32" t="s">
        <v>611</v>
      </c>
      <c r="I1559">
        <v>580</v>
      </c>
      <c r="J1559">
        <v>74.068332303951195</v>
      </c>
      <c r="K1559" s="26">
        <v>2010</v>
      </c>
      <c r="L1559" t="s">
        <v>30</v>
      </c>
      <c r="M1559" s="32">
        <v>104</v>
      </c>
      <c r="N1559">
        <v>11.913003570000001</v>
      </c>
      <c r="P1559" t="s">
        <v>17</v>
      </c>
      <c r="Q1559">
        <v>100</v>
      </c>
      <c r="R1559" t="s">
        <v>13</v>
      </c>
      <c r="S1559" t="s">
        <v>14</v>
      </c>
      <c r="T1559" t="s">
        <v>14</v>
      </c>
      <c r="U1559" s="34">
        <v>7</v>
      </c>
      <c r="V1559" s="34">
        <v>7.5</v>
      </c>
      <c r="W1559" s="25">
        <v>7.25</v>
      </c>
      <c r="X1559" s="25">
        <v>0.5</v>
      </c>
      <c r="Y1559">
        <v>0.58806967600000004</v>
      </c>
      <c r="Z1559" t="s">
        <v>1125</v>
      </c>
      <c r="AA1559" t="s">
        <v>622</v>
      </c>
      <c r="AB1559">
        <v>1</v>
      </c>
      <c r="AC1559">
        <v>1299.135</v>
      </c>
      <c r="AF1559" t="s">
        <v>521</v>
      </c>
      <c r="AG1559" s="32" t="s">
        <v>2224</v>
      </c>
      <c r="AH1559" s="32" t="s">
        <v>2225</v>
      </c>
      <c r="AI1559" s="32" t="s">
        <v>2226</v>
      </c>
      <c r="AJ1559" s="31" t="s">
        <v>3224</v>
      </c>
      <c r="AK1559" s="31">
        <v>0.22888229500000001</v>
      </c>
      <c r="AL1559" s="31">
        <v>101.12713253210663</v>
      </c>
      <c r="AM1559" s="31">
        <v>340.70316514166768</v>
      </c>
      <c r="AN1559" s="31">
        <v>1204.7278908788494</v>
      </c>
      <c r="AO1559" s="31">
        <v>4058.7980226429872</v>
      </c>
      <c r="AP1559" s="31">
        <v>0.70846394045728844</v>
      </c>
      <c r="AQ1559" s="31">
        <v>2.3868560381251025</v>
      </c>
      <c r="AR1559" s="31">
        <v>7.4618537027130172E-2</v>
      </c>
    </row>
    <row r="1560" spans="1:44" hidden="1" x14ac:dyDescent="0.5">
      <c r="A1560" s="31">
        <v>1183</v>
      </c>
      <c r="B1560" s="31">
        <v>83</v>
      </c>
      <c r="C1560" s="225" t="s">
        <v>32</v>
      </c>
      <c r="D1560" s="44">
        <v>34.287132999999997</v>
      </c>
      <c r="E1560" s="45">
        <v>-120.035583</v>
      </c>
      <c r="F1560">
        <v>11.5</v>
      </c>
      <c r="G1560">
        <f t="shared" si="20"/>
        <v>18507.456000000002</v>
      </c>
      <c r="H1560" s="32" t="s">
        <v>611</v>
      </c>
      <c r="I1560">
        <v>580</v>
      </c>
      <c r="J1560">
        <v>74.068332303951195</v>
      </c>
      <c r="K1560" s="26">
        <v>2010</v>
      </c>
      <c r="L1560" t="s">
        <v>30</v>
      </c>
      <c r="M1560" s="32">
        <v>104</v>
      </c>
      <c r="N1560">
        <v>11.913003570000001</v>
      </c>
      <c r="P1560" t="s">
        <v>17</v>
      </c>
      <c r="Q1560">
        <v>100</v>
      </c>
      <c r="R1560" t="s">
        <v>13</v>
      </c>
      <c r="S1560" t="s">
        <v>14</v>
      </c>
      <c r="T1560" t="s">
        <v>14</v>
      </c>
      <c r="U1560" s="34">
        <v>8.5</v>
      </c>
      <c r="V1560" s="34">
        <v>9</v>
      </c>
      <c r="W1560" s="25">
        <v>8.75</v>
      </c>
      <c r="X1560" s="25">
        <v>0.5</v>
      </c>
      <c r="Y1560">
        <v>0.58806967600000004</v>
      </c>
      <c r="Z1560" t="s">
        <v>1125</v>
      </c>
      <c r="AA1560" t="s">
        <v>622</v>
      </c>
      <c r="AB1560">
        <v>1</v>
      </c>
      <c r="AC1560">
        <v>1325.6856</v>
      </c>
      <c r="AF1560" t="s">
        <v>521</v>
      </c>
      <c r="AG1560" s="32" t="s">
        <v>2227</v>
      </c>
      <c r="AH1560" s="32" t="s">
        <v>2228</v>
      </c>
      <c r="AI1560" s="32" t="s">
        <v>2229</v>
      </c>
      <c r="AJ1560" s="31" t="s">
        <v>3225</v>
      </c>
      <c r="AK1560" s="31">
        <v>0.76174803400000002</v>
      </c>
      <c r="AL1560" s="31">
        <v>343.4417521307833</v>
      </c>
      <c r="AM1560" s="31">
        <v>107.41829187529459</v>
      </c>
      <c r="AN1560" s="31">
        <v>4091.4228192210762</v>
      </c>
      <c r="AO1560" s="31">
        <v>1279.6744945936864</v>
      </c>
      <c r="AP1560" s="31">
        <v>2.4060416916783454</v>
      </c>
      <c r="AQ1560" s="31">
        <v>0.75253776542117301</v>
      </c>
      <c r="AR1560" s="31">
        <v>7.4618537027130172E-2</v>
      </c>
    </row>
    <row r="1561" spans="1:44" hidden="1" x14ac:dyDescent="0.5">
      <c r="A1561" s="31">
        <v>1184</v>
      </c>
      <c r="B1561" s="31">
        <v>83</v>
      </c>
      <c r="C1561" s="225" t="s">
        <v>32</v>
      </c>
      <c r="D1561" s="44">
        <v>34.287132999999997</v>
      </c>
      <c r="E1561" s="45">
        <v>-120.035583</v>
      </c>
      <c r="F1561">
        <v>11.5</v>
      </c>
      <c r="G1561">
        <f t="shared" si="20"/>
        <v>18507.456000000002</v>
      </c>
      <c r="H1561" s="32" t="s">
        <v>611</v>
      </c>
      <c r="I1561">
        <v>580</v>
      </c>
      <c r="J1561">
        <v>74.068332303951195</v>
      </c>
      <c r="K1561" s="26">
        <v>2010</v>
      </c>
      <c r="L1561" t="s">
        <v>30</v>
      </c>
      <c r="M1561" s="32">
        <v>104</v>
      </c>
      <c r="N1561">
        <v>11.913003570000001</v>
      </c>
      <c r="P1561" t="s">
        <v>17</v>
      </c>
      <c r="Q1561">
        <v>100</v>
      </c>
      <c r="R1561" t="s">
        <v>13</v>
      </c>
      <c r="S1561" t="s">
        <v>14</v>
      </c>
      <c r="T1561" t="s">
        <v>14</v>
      </c>
      <c r="U1561" s="34">
        <v>10.5</v>
      </c>
      <c r="V1561" s="34">
        <v>11</v>
      </c>
      <c r="W1561" s="25">
        <v>10.75</v>
      </c>
      <c r="X1561" s="25">
        <v>0.5</v>
      </c>
      <c r="Y1561">
        <v>0.58806967600000004</v>
      </c>
      <c r="Z1561" t="s">
        <v>1125</v>
      </c>
      <c r="AA1561" t="s">
        <v>622</v>
      </c>
      <c r="AB1561">
        <v>1</v>
      </c>
      <c r="AC1561">
        <v>1343.529</v>
      </c>
      <c r="AF1561" t="s">
        <v>521</v>
      </c>
      <c r="AG1561" s="32" t="s">
        <v>2230</v>
      </c>
      <c r="AH1561" s="32" t="s">
        <v>2231</v>
      </c>
      <c r="AI1561" s="32" t="s">
        <v>2232</v>
      </c>
      <c r="AJ1561" s="31" t="s">
        <v>3226</v>
      </c>
      <c r="AK1561" s="31">
        <v>0.52064451199999995</v>
      </c>
      <c r="AL1561" s="31">
        <v>237.89732037223695</v>
      </c>
      <c r="AM1561" s="31">
        <v>219.03118821489858</v>
      </c>
      <c r="AN1561" s="31">
        <v>2834.0716268878928</v>
      </c>
      <c r="AO1561" s="31">
        <v>2609.3193271454288</v>
      </c>
      <c r="AP1561" s="31">
        <v>1.6666315833847563</v>
      </c>
      <c r="AQ1561" s="31">
        <v>1.5344615712949503</v>
      </c>
      <c r="AR1561" s="31">
        <v>7.4618537027130172E-2</v>
      </c>
    </row>
    <row r="1562" spans="1:44" hidden="1" x14ac:dyDescent="0.5">
      <c r="A1562" s="31">
        <v>1185</v>
      </c>
      <c r="B1562" s="31">
        <v>83</v>
      </c>
      <c r="C1562" s="225" t="s">
        <v>32</v>
      </c>
      <c r="D1562" s="44">
        <v>34.287132999999997</v>
      </c>
      <c r="E1562" s="45">
        <v>-120.035583</v>
      </c>
      <c r="F1562">
        <v>11.5</v>
      </c>
      <c r="G1562">
        <f t="shared" si="20"/>
        <v>18507.456000000002</v>
      </c>
      <c r="H1562" s="32" t="s">
        <v>611</v>
      </c>
      <c r="I1562">
        <v>580</v>
      </c>
      <c r="J1562">
        <v>74.068332303951195</v>
      </c>
      <c r="K1562" s="26">
        <v>2010</v>
      </c>
      <c r="L1562" t="s">
        <v>30</v>
      </c>
      <c r="M1562" s="32">
        <v>104</v>
      </c>
      <c r="N1562">
        <v>11.913003570000001</v>
      </c>
      <c r="P1562" t="s">
        <v>17</v>
      </c>
      <c r="Q1562">
        <v>100</v>
      </c>
      <c r="R1562" t="s">
        <v>13</v>
      </c>
      <c r="S1562" t="s">
        <v>14</v>
      </c>
      <c r="T1562" t="s">
        <v>14</v>
      </c>
      <c r="U1562" s="34">
        <v>11.5</v>
      </c>
      <c r="V1562" s="34">
        <v>12</v>
      </c>
      <c r="W1562" s="25">
        <v>11.75</v>
      </c>
      <c r="X1562" s="25">
        <v>0.5</v>
      </c>
      <c r="Y1562">
        <v>0.58806967600000004</v>
      </c>
      <c r="Z1562" t="s">
        <v>1125</v>
      </c>
      <c r="AA1562" t="s">
        <v>622</v>
      </c>
      <c r="AB1562">
        <v>1</v>
      </c>
      <c r="AC1562">
        <v>1534.7896000000001</v>
      </c>
      <c r="AF1562" t="s">
        <v>521</v>
      </c>
      <c r="AG1562" s="32" t="s">
        <v>2233</v>
      </c>
      <c r="AH1562" s="32" t="s">
        <v>2234</v>
      </c>
      <c r="AI1562" s="32" t="s">
        <v>2235</v>
      </c>
      <c r="AJ1562" s="31" t="s">
        <v>3227</v>
      </c>
      <c r="AK1562" s="31">
        <v>0.81687431300000002</v>
      </c>
      <c r="AL1562" s="31">
        <v>426.38831800589048</v>
      </c>
      <c r="AM1562" s="31">
        <v>95.587108593048811</v>
      </c>
      <c r="AN1562" s="31">
        <v>5079.565554610469</v>
      </c>
      <c r="AO1562" s="31">
        <v>1138.7295659149681</v>
      </c>
      <c r="AP1562" s="31">
        <v>2.9871384699205392</v>
      </c>
      <c r="AQ1562" s="31">
        <v>0.66965232687923593</v>
      </c>
      <c r="AR1562" s="31">
        <v>7.4618537027130172E-2</v>
      </c>
    </row>
    <row r="1563" spans="1:44" hidden="1" x14ac:dyDescent="0.5">
      <c r="A1563" s="31">
        <v>1186</v>
      </c>
      <c r="B1563" s="31">
        <v>83</v>
      </c>
      <c r="C1563" s="225" t="s">
        <v>32</v>
      </c>
      <c r="D1563" s="44">
        <v>34.287132999999997</v>
      </c>
      <c r="E1563" s="45">
        <v>-120.035583</v>
      </c>
      <c r="F1563">
        <v>11.5</v>
      </c>
      <c r="G1563">
        <f t="shared" si="20"/>
        <v>18507.456000000002</v>
      </c>
      <c r="H1563" s="32" t="s">
        <v>611</v>
      </c>
      <c r="I1563">
        <v>580</v>
      </c>
      <c r="J1563">
        <v>74.068332303951195</v>
      </c>
      <c r="K1563" s="26">
        <v>2010</v>
      </c>
      <c r="L1563" t="s">
        <v>30</v>
      </c>
      <c r="M1563" s="32">
        <v>104</v>
      </c>
      <c r="N1563">
        <v>11.913003570000001</v>
      </c>
      <c r="P1563" t="s">
        <v>17</v>
      </c>
      <c r="Q1563">
        <v>100</v>
      </c>
      <c r="R1563" t="s">
        <v>13</v>
      </c>
      <c r="S1563" t="s">
        <v>14</v>
      </c>
      <c r="T1563" t="s">
        <v>14</v>
      </c>
      <c r="U1563" s="34">
        <v>13</v>
      </c>
      <c r="V1563" s="34">
        <v>13.5</v>
      </c>
      <c r="W1563" s="25">
        <v>13.25</v>
      </c>
      <c r="X1563" s="25">
        <v>0.5</v>
      </c>
      <c r="Y1563">
        <v>0.58806967600000004</v>
      </c>
      <c r="Z1563" t="s">
        <v>1125</v>
      </c>
      <c r="AA1563" t="s">
        <v>622</v>
      </c>
      <c r="AB1563">
        <v>1</v>
      </c>
      <c r="AC1563">
        <v>1985.1790000000001</v>
      </c>
      <c r="AF1563" t="s">
        <v>521</v>
      </c>
      <c r="AG1563" s="32" t="s">
        <v>2236</v>
      </c>
      <c r="AH1563" s="32" t="s">
        <v>2237</v>
      </c>
      <c r="AI1563" s="32" t="s">
        <v>2238</v>
      </c>
      <c r="AJ1563" s="31" t="s">
        <v>3228</v>
      </c>
      <c r="AK1563" s="31">
        <v>0.83533323699999995</v>
      </c>
      <c r="AL1563" s="31">
        <v>563.97602793394935</v>
      </c>
      <c r="AM1563" s="31">
        <v>111.17492135594387</v>
      </c>
      <c r="AN1563" s="31">
        <v>6718.6484341715586</v>
      </c>
      <c r="AO1563" s="31">
        <v>1324.4272350078286</v>
      </c>
      <c r="AP1563" s="31">
        <v>3.9510334078411757</v>
      </c>
      <c r="AQ1563" s="31">
        <v>0.77885549497662965</v>
      </c>
      <c r="AR1563" s="31">
        <v>7.4618537027130172E-2</v>
      </c>
    </row>
    <row r="1564" spans="1:44" hidden="1" x14ac:dyDescent="0.5">
      <c r="A1564" s="31">
        <v>1187</v>
      </c>
      <c r="B1564" s="31">
        <v>83</v>
      </c>
      <c r="C1564" s="225" t="s">
        <v>32</v>
      </c>
      <c r="D1564" s="44">
        <v>34.287132999999997</v>
      </c>
      <c r="E1564" s="45">
        <v>-120.035583</v>
      </c>
      <c r="F1564">
        <v>11.5</v>
      </c>
      <c r="G1564">
        <f t="shared" si="20"/>
        <v>18507.456000000002</v>
      </c>
      <c r="H1564" s="32" t="s">
        <v>611</v>
      </c>
      <c r="I1564">
        <v>580</v>
      </c>
      <c r="J1564">
        <v>74.068332303951195</v>
      </c>
      <c r="K1564" s="26">
        <v>2010</v>
      </c>
      <c r="L1564" t="s">
        <v>30</v>
      </c>
      <c r="M1564" s="32">
        <v>104</v>
      </c>
      <c r="N1564">
        <v>11.913003570000001</v>
      </c>
      <c r="P1564" t="s">
        <v>17</v>
      </c>
      <c r="Q1564">
        <v>100</v>
      </c>
      <c r="R1564" t="s">
        <v>13</v>
      </c>
      <c r="S1564" t="s">
        <v>14</v>
      </c>
      <c r="T1564" t="s">
        <v>14</v>
      </c>
      <c r="U1564" s="34">
        <v>2.5</v>
      </c>
      <c r="V1564" s="34">
        <v>3</v>
      </c>
      <c r="W1564" s="25">
        <v>2.75</v>
      </c>
      <c r="X1564" s="25">
        <v>0.5</v>
      </c>
      <c r="Y1564">
        <v>0.58806967600000004</v>
      </c>
      <c r="Z1564" t="s">
        <v>1125</v>
      </c>
      <c r="AA1564" t="s">
        <v>622</v>
      </c>
      <c r="AB1564">
        <v>1</v>
      </c>
      <c r="AC1564">
        <v>2004.2003999999999</v>
      </c>
      <c r="AF1564" t="s">
        <v>521</v>
      </c>
      <c r="AG1564" s="32" t="s">
        <v>2239</v>
      </c>
      <c r="AH1564" s="32" t="s">
        <v>2240</v>
      </c>
      <c r="AI1564" s="32" t="s">
        <v>2241</v>
      </c>
      <c r="AJ1564" s="31" t="s">
        <v>3229</v>
      </c>
      <c r="AK1564" s="31">
        <v>0.52855932000000005</v>
      </c>
      <c r="AL1564" s="31">
        <v>360.27662836596528</v>
      </c>
      <c r="AM1564" s="31">
        <v>321.34341830347046</v>
      </c>
      <c r="AN1564" s="31">
        <v>4291.9767599113084</v>
      </c>
      <c r="AO1564" s="31">
        <v>3828.1652894452473</v>
      </c>
      <c r="AP1564" s="31">
        <v>2.523981382600573</v>
      </c>
      <c r="AQ1564" s="31">
        <v>2.2512279214385127</v>
      </c>
      <c r="AR1564" s="31">
        <v>7.4618537027130172E-2</v>
      </c>
    </row>
    <row r="1565" spans="1:44" hidden="1" x14ac:dyDescent="0.5">
      <c r="A1565" s="31">
        <v>1188</v>
      </c>
      <c r="B1565" s="31">
        <v>83</v>
      </c>
      <c r="C1565" s="225" t="s">
        <v>32</v>
      </c>
      <c r="D1565" s="44">
        <v>34.287132999999997</v>
      </c>
      <c r="E1565" s="45">
        <v>-120.035583</v>
      </c>
      <c r="F1565">
        <v>11.5</v>
      </c>
      <c r="G1565">
        <f t="shared" si="20"/>
        <v>18507.456000000002</v>
      </c>
      <c r="H1565" s="32" t="s">
        <v>611</v>
      </c>
      <c r="I1565">
        <v>580</v>
      </c>
      <c r="J1565">
        <v>74.068332303951195</v>
      </c>
      <c r="K1565" s="26">
        <v>2010</v>
      </c>
      <c r="L1565" t="s">
        <v>30</v>
      </c>
      <c r="M1565" s="32">
        <v>104</v>
      </c>
      <c r="N1565">
        <v>11.913003570000001</v>
      </c>
      <c r="P1565" t="s">
        <v>17</v>
      </c>
      <c r="Q1565">
        <v>100</v>
      </c>
      <c r="R1565" t="s">
        <v>13</v>
      </c>
      <c r="S1565" t="s">
        <v>14</v>
      </c>
      <c r="T1565" t="s">
        <v>14</v>
      </c>
      <c r="U1565" s="34">
        <v>14</v>
      </c>
      <c r="V1565" s="34">
        <v>14.5</v>
      </c>
      <c r="W1565" s="25">
        <v>14.25</v>
      </c>
      <c r="X1565" s="25">
        <v>0.5</v>
      </c>
      <c r="Y1565">
        <v>0.58806967600000004</v>
      </c>
      <c r="Z1565" t="s">
        <v>1125</v>
      </c>
      <c r="AA1565" t="s">
        <v>622</v>
      </c>
      <c r="AB1565">
        <v>1</v>
      </c>
      <c r="AC1565">
        <v>2057.7528000000002</v>
      </c>
      <c r="AF1565" t="s">
        <v>521</v>
      </c>
      <c r="AG1565" s="32" t="s">
        <v>2242</v>
      </c>
      <c r="AH1565" s="32" t="s">
        <v>2243</v>
      </c>
      <c r="AI1565" s="32" t="s">
        <v>2244</v>
      </c>
      <c r="AJ1565" s="31" t="s">
        <v>3230</v>
      </c>
      <c r="AK1565" s="31">
        <v>0.97559852700000005</v>
      </c>
      <c r="AL1565" s="31">
        <v>682.75603471522163</v>
      </c>
      <c r="AM1565" s="31">
        <v>17.076955823130788</v>
      </c>
      <c r="AN1565" s="31">
        <v>8133.6750790014794</v>
      </c>
      <c r="AO1565" s="31">
        <v>203.43783568568935</v>
      </c>
      <c r="AP1565" s="31">
        <v>4.7831676683976747</v>
      </c>
      <c r="AQ1565" s="31">
        <v>0.11963562211782458</v>
      </c>
      <c r="AR1565" s="31">
        <v>7.4618537027130172E-2</v>
      </c>
    </row>
    <row r="1566" spans="1:44" hidden="1" x14ac:dyDescent="0.5">
      <c r="A1566" s="31">
        <v>1189</v>
      </c>
      <c r="B1566" s="31">
        <v>83</v>
      </c>
      <c r="C1566" s="225" t="s">
        <v>32</v>
      </c>
      <c r="D1566" s="44">
        <v>34.287132999999997</v>
      </c>
      <c r="E1566" s="45">
        <v>-120.035583</v>
      </c>
      <c r="F1566">
        <v>11.5</v>
      </c>
      <c r="G1566">
        <f t="shared" si="20"/>
        <v>18507.456000000002</v>
      </c>
      <c r="H1566" s="32" t="s">
        <v>611</v>
      </c>
      <c r="I1566">
        <v>580</v>
      </c>
      <c r="J1566">
        <v>74.068332303951195</v>
      </c>
      <c r="K1566" s="26">
        <v>2010</v>
      </c>
      <c r="L1566" t="s">
        <v>30</v>
      </c>
      <c r="M1566" s="32">
        <v>104</v>
      </c>
      <c r="N1566">
        <v>11.913003570000001</v>
      </c>
      <c r="P1566" t="s">
        <v>17</v>
      </c>
      <c r="Q1566">
        <v>100</v>
      </c>
      <c r="R1566" t="s">
        <v>13</v>
      </c>
      <c r="S1566" t="s">
        <v>14</v>
      </c>
      <c r="T1566" t="s">
        <v>14</v>
      </c>
      <c r="U1566" s="34">
        <v>6.5</v>
      </c>
      <c r="V1566" s="34">
        <v>7</v>
      </c>
      <c r="W1566" s="25">
        <v>6.75</v>
      </c>
      <c r="X1566" s="25">
        <v>0.5</v>
      </c>
      <c r="Y1566">
        <v>0.58806967600000004</v>
      </c>
      <c r="Z1566" t="s">
        <v>1125</v>
      </c>
      <c r="AA1566" t="s">
        <v>622</v>
      </c>
      <c r="AB1566">
        <v>1</v>
      </c>
      <c r="AC1566">
        <v>2199.4337999999998</v>
      </c>
      <c r="AF1566" t="s">
        <v>521</v>
      </c>
      <c r="AG1566" s="32" t="s">
        <v>2245</v>
      </c>
      <c r="AH1566" s="32" t="s">
        <v>2246</v>
      </c>
      <c r="AI1566" s="32" t="s">
        <v>2247</v>
      </c>
      <c r="AJ1566" s="31" t="s">
        <v>3231</v>
      </c>
      <c r="AK1566" s="31">
        <v>0.563823835</v>
      </c>
      <c r="AL1566" s="31">
        <v>421.75043215274474</v>
      </c>
      <c r="AM1566" s="31">
        <v>326.2676649409064</v>
      </c>
      <c r="AN1566" s="31">
        <v>5024.3144038846913</v>
      </c>
      <c r="AO1566" s="31">
        <v>3886.8278572165818</v>
      </c>
      <c r="AP1566" s="31">
        <v>2.9546469436146037</v>
      </c>
      <c r="AQ1566" s="31">
        <v>2.2857255986611298</v>
      </c>
      <c r="AR1566" s="31">
        <v>7.4618537027130172E-2</v>
      </c>
    </row>
    <row r="1567" spans="1:44" hidden="1" x14ac:dyDescent="0.5">
      <c r="A1567" s="31">
        <v>1190</v>
      </c>
      <c r="B1567" s="31">
        <v>83</v>
      </c>
      <c r="C1567" s="225" t="s">
        <v>32</v>
      </c>
      <c r="D1567" s="44">
        <v>34.287132999999997</v>
      </c>
      <c r="E1567" s="45">
        <v>-120.035583</v>
      </c>
      <c r="F1567">
        <v>11.5</v>
      </c>
      <c r="G1567">
        <f t="shared" si="20"/>
        <v>18507.456000000002</v>
      </c>
      <c r="H1567" s="32" t="s">
        <v>611</v>
      </c>
      <c r="I1567">
        <v>580</v>
      </c>
      <c r="J1567">
        <v>74.068332303951195</v>
      </c>
      <c r="K1567" s="26">
        <v>2010</v>
      </c>
      <c r="L1567" t="s">
        <v>30</v>
      </c>
      <c r="M1567" s="32">
        <v>104</v>
      </c>
      <c r="N1567">
        <v>11.913003570000001</v>
      </c>
      <c r="P1567" t="s">
        <v>17</v>
      </c>
      <c r="Q1567">
        <v>100</v>
      </c>
      <c r="R1567" t="s">
        <v>13</v>
      </c>
      <c r="S1567" t="s">
        <v>14</v>
      </c>
      <c r="T1567" t="s">
        <v>14</v>
      </c>
      <c r="U1567" s="34">
        <v>1</v>
      </c>
      <c r="V1567" s="34">
        <v>1.5</v>
      </c>
      <c r="W1567" s="25">
        <v>1.25</v>
      </c>
      <c r="X1567" s="25">
        <v>0.5</v>
      </c>
      <c r="Y1567">
        <v>0.58806967600000004</v>
      </c>
      <c r="Z1567" t="s">
        <v>1125</v>
      </c>
      <c r="AA1567" t="s">
        <v>622</v>
      </c>
      <c r="AB1567">
        <v>1</v>
      </c>
      <c r="AC1567">
        <v>2551.114</v>
      </c>
      <c r="AF1567" t="s">
        <v>521</v>
      </c>
      <c r="AG1567" s="32" t="s">
        <v>2248</v>
      </c>
      <c r="AH1567" s="32" t="s">
        <v>2249</v>
      </c>
      <c r="AI1567" s="32" t="s">
        <v>2250</v>
      </c>
      <c r="AJ1567" s="31" t="s">
        <v>3232</v>
      </c>
      <c r="AK1567" s="31">
        <v>0.54359977599999998</v>
      </c>
      <c r="AL1567" s="31">
        <v>471.63969017523834</v>
      </c>
      <c r="AM1567" s="31">
        <v>395.98334978576111</v>
      </c>
      <c r="AN1567" s="31">
        <v>5618.6453128113089</v>
      </c>
      <c r="AO1567" s="31">
        <v>4717.351059658331</v>
      </c>
      <c r="AP1567" s="31">
        <v>3.3041549286638654</v>
      </c>
      <c r="AQ1567" s="31">
        <v>2.7741311092315315</v>
      </c>
      <c r="AR1567" s="31">
        <v>7.4618537027130172E-2</v>
      </c>
    </row>
    <row r="1568" spans="1:44" hidden="1" x14ac:dyDescent="0.5">
      <c r="A1568" s="31">
        <v>1191</v>
      </c>
      <c r="B1568" s="31">
        <v>83</v>
      </c>
      <c r="C1568" s="225" t="s">
        <v>32</v>
      </c>
      <c r="D1568" s="44">
        <v>34.287132999999997</v>
      </c>
      <c r="E1568" s="45">
        <v>-120.035583</v>
      </c>
      <c r="F1568">
        <v>11.5</v>
      </c>
      <c r="G1568">
        <f t="shared" si="20"/>
        <v>18507.456000000002</v>
      </c>
      <c r="H1568" s="32" t="s">
        <v>611</v>
      </c>
      <c r="I1568">
        <v>580</v>
      </c>
      <c r="J1568">
        <v>74.068332303951195</v>
      </c>
      <c r="K1568" s="26">
        <v>2010</v>
      </c>
      <c r="L1568" t="s">
        <v>30</v>
      </c>
      <c r="M1568" s="32">
        <v>104</v>
      </c>
      <c r="N1568">
        <v>11.913003570000001</v>
      </c>
      <c r="P1568" t="s">
        <v>17</v>
      </c>
      <c r="Q1568">
        <v>100</v>
      </c>
      <c r="R1568" t="s">
        <v>13</v>
      </c>
      <c r="S1568" t="s">
        <v>14</v>
      </c>
      <c r="T1568" t="s">
        <v>14</v>
      </c>
      <c r="U1568" s="34">
        <v>8</v>
      </c>
      <c r="V1568" s="34">
        <v>8.5</v>
      </c>
      <c r="W1568" s="25">
        <v>8.25</v>
      </c>
      <c r="X1568" s="25">
        <v>0.5</v>
      </c>
      <c r="Y1568">
        <v>0.58806967600000004</v>
      </c>
      <c r="Z1568" t="s">
        <v>1125</v>
      </c>
      <c r="AA1568" t="s">
        <v>622</v>
      </c>
      <c r="AB1568">
        <v>1</v>
      </c>
      <c r="AC1568">
        <v>2770.02</v>
      </c>
      <c r="AF1568" t="s">
        <v>521</v>
      </c>
      <c r="AG1568" s="32" t="s">
        <v>2251</v>
      </c>
      <c r="AH1568" s="32" t="s">
        <v>2252</v>
      </c>
      <c r="AI1568" s="32" t="s">
        <v>2253</v>
      </c>
      <c r="AJ1568" s="31" t="s">
        <v>3233</v>
      </c>
      <c r="AK1568" s="31">
        <v>0.71555555599999998</v>
      </c>
      <c r="AL1568" s="31">
        <v>674.10488318772616</v>
      </c>
      <c r="AM1568" s="31">
        <v>267.96715794911347</v>
      </c>
      <c r="AN1568" s="31">
        <v>8030.6138799698165</v>
      </c>
      <c r="AO1568" s="31">
        <v>3192.2937092905427</v>
      </c>
      <c r="AP1568" s="31">
        <v>4.7225605024749537</v>
      </c>
      <c r="AQ1568" s="31">
        <v>1.8772911273193278</v>
      </c>
      <c r="AR1568" s="31">
        <v>7.4618537027130172E-2</v>
      </c>
    </row>
    <row r="1569" spans="1:44" hidden="1" x14ac:dyDescent="0.5">
      <c r="A1569" s="31">
        <v>1192</v>
      </c>
      <c r="B1569" s="31">
        <v>83</v>
      </c>
      <c r="C1569" s="225" t="s">
        <v>32</v>
      </c>
      <c r="D1569" s="44">
        <v>34.287132999999997</v>
      </c>
      <c r="E1569" s="45">
        <v>-120.035583</v>
      </c>
      <c r="F1569">
        <v>11.5</v>
      </c>
      <c r="G1569">
        <f t="shared" si="20"/>
        <v>18507.456000000002</v>
      </c>
      <c r="H1569" s="32" t="s">
        <v>611</v>
      </c>
      <c r="I1569">
        <v>580</v>
      </c>
      <c r="J1569">
        <v>74.068332303951195</v>
      </c>
      <c r="K1569" s="26">
        <v>2010</v>
      </c>
      <c r="L1569" t="s">
        <v>30</v>
      </c>
      <c r="M1569" s="32">
        <v>104</v>
      </c>
      <c r="N1569">
        <v>11.913003570000001</v>
      </c>
      <c r="P1569" t="s">
        <v>17</v>
      </c>
      <c r="Q1569">
        <v>100</v>
      </c>
      <c r="R1569" t="s">
        <v>13</v>
      </c>
      <c r="S1569" t="s">
        <v>14</v>
      </c>
      <c r="T1569" t="s">
        <v>14</v>
      </c>
      <c r="U1569" s="34">
        <v>0.5</v>
      </c>
      <c r="V1569" s="34">
        <v>1</v>
      </c>
      <c r="W1569" s="25">
        <v>0.75</v>
      </c>
      <c r="X1569" s="25">
        <v>0.5</v>
      </c>
      <c r="Y1569">
        <v>0.58806967600000004</v>
      </c>
      <c r="Z1569" t="s">
        <v>1125</v>
      </c>
      <c r="AA1569" t="s">
        <v>622</v>
      </c>
      <c r="AB1569">
        <v>1</v>
      </c>
      <c r="AC1569">
        <v>3064.5344</v>
      </c>
      <c r="AF1569" t="s">
        <v>521</v>
      </c>
      <c r="AG1569" s="32" t="s">
        <v>2254</v>
      </c>
      <c r="AH1569" s="32" t="s">
        <v>2255</v>
      </c>
      <c r="AI1569" s="32" t="s">
        <v>2256</v>
      </c>
      <c r="AJ1569" s="31" t="s">
        <v>3234</v>
      </c>
      <c r="AK1569" s="31">
        <v>0.63210489700000005</v>
      </c>
      <c r="AL1569" s="31">
        <v>658.80193464182537</v>
      </c>
      <c r="AM1569" s="31">
        <v>383.4332034951052</v>
      </c>
      <c r="AN1569" s="31">
        <v>7848.3097993109741</v>
      </c>
      <c r="AO1569" s="31">
        <v>4567.8411220937251</v>
      </c>
      <c r="AP1569" s="31">
        <v>4.6153530008284296</v>
      </c>
      <c r="AQ1569" s="31">
        <v>2.6862088486891333</v>
      </c>
      <c r="AR1569" s="31">
        <v>7.4618537027130172E-2</v>
      </c>
    </row>
    <row r="1570" spans="1:44" hidden="1" x14ac:dyDescent="0.5">
      <c r="A1570" s="31">
        <v>1193</v>
      </c>
      <c r="B1570" s="31">
        <v>83</v>
      </c>
      <c r="C1570" s="225" t="s">
        <v>32</v>
      </c>
      <c r="D1570" s="44">
        <v>34.287132999999997</v>
      </c>
      <c r="E1570" s="45">
        <v>-120.035583</v>
      </c>
      <c r="F1570">
        <v>11.5</v>
      </c>
      <c r="G1570">
        <f t="shared" si="20"/>
        <v>18507.456000000002</v>
      </c>
      <c r="H1570" s="32" t="s">
        <v>611</v>
      </c>
      <c r="I1570">
        <v>580</v>
      </c>
      <c r="J1570">
        <v>74.068332303951195</v>
      </c>
      <c r="K1570" s="26">
        <v>2010</v>
      </c>
      <c r="L1570" t="s">
        <v>30</v>
      </c>
      <c r="M1570" s="32">
        <v>104</v>
      </c>
      <c r="N1570">
        <v>11.913003570000001</v>
      </c>
      <c r="P1570" t="s">
        <v>17</v>
      </c>
      <c r="Q1570">
        <v>100</v>
      </c>
      <c r="R1570" t="s">
        <v>13</v>
      </c>
      <c r="S1570" t="s">
        <v>14</v>
      </c>
      <c r="T1570" t="s">
        <v>14</v>
      </c>
      <c r="U1570" s="34">
        <v>15</v>
      </c>
      <c r="V1570" s="34">
        <v>15.5</v>
      </c>
      <c r="W1570" s="25">
        <v>15.25</v>
      </c>
      <c r="X1570" s="25">
        <v>0.5</v>
      </c>
      <c r="Y1570">
        <v>0.58806967600000004</v>
      </c>
      <c r="Z1570" t="s">
        <v>1125</v>
      </c>
      <c r="AA1570" t="s">
        <v>622</v>
      </c>
      <c r="AB1570">
        <v>1</v>
      </c>
      <c r="AC1570">
        <v>3093.7919999999999</v>
      </c>
      <c r="AF1570" t="s">
        <v>521</v>
      </c>
      <c r="AG1570" s="32" t="s">
        <v>2257</v>
      </c>
      <c r="AH1570" s="32" t="s">
        <v>2258</v>
      </c>
      <c r="AI1570" s="32" t="s">
        <v>2259</v>
      </c>
      <c r="AJ1570" s="31" t="s">
        <v>3235</v>
      </c>
      <c r="AK1570" s="31">
        <v>0.73593570600000002</v>
      </c>
      <c r="AL1570" s="31">
        <v>774.34089620943212</v>
      </c>
      <c r="AM1570" s="31">
        <v>277.84462746650718</v>
      </c>
      <c r="AN1570" s="31">
        <v>9224.7258609399651</v>
      </c>
      <c r="AO1570" s="31">
        <v>3309.9640389138203</v>
      </c>
      <c r="AP1570" s="31">
        <v>5.4247815482317874</v>
      </c>
      <c r="AQ1570" s="31">
        <v>1.946489479935702</v>
      </c>
      <c r="AR1570" s="31">
        <v>7.4618537027130172E-2</v>
      </c>
    </row>
    <row r="1571" spans="1:44" hidden="1" x14ac:dyDescent="0.5">
      <c r="A1571" s="31">
        <v>1194</v>
      </c>
      <c r="B1571" s="31">
        <v>83</v>
      </c>
      <c r="C1571" s="225" t="s">
        <v>32</v>
      </c>
      <c r="D1571" s="44">
        <v>34.287132999999997</v>
      </c>
      <c r="E1571" s="45">
        <v>-120.035583</v>
      </c>
      <c r="F1571">
        <v>11.5</v>
      </c>
      <c r="G1571">
        <f t="shared" si="20"/>
        <v>18507.456000000002</v>
      </c>
      <c r="H1571" s="32" t="s">
        <v>611</v>
      </c>
      <c r="I1571">
        <v>580</v>
      </c>
      <c r="J1571">
        <v>74.068332303951195</v>
      </c>
      <c r="K1571" s="26">
        <v>2010</v>
      </c>
      <c r="L1571" t="s">
        <v>30</v>
      </c>
      <c r="M1571" s="32">
        <v>104</v>
      </c>
      <c r="N1571">
        <v>11.913003570000001</v>
      </c>
      <c r="P1571" t="s">
        <v>17</v>
      </c>
      <c r="Q1571">
        <v>100</v>
      </c>
      <c r="R1571" t="s">
        <v>13</v>
      </c>
      <c r="S1571" t="s">
        <v>14</v>
      </c>
      <c r="T1571" t="s">
        <v>14</v>
      </c>
      <c r="U1571" s="34">
        <v>12</v>
      </c>
      <c r="V1571" s="34">
        <v>12.5</v>
      </c>
      <c r="W1571" s="25">
        <v>12.25</v>
      </c>
      <c r="X1571" s="25">
        <v>0.5</v>
      </c>
      <c r="Y1571">
        <v>0.58806967600000004</v>
      </c>
      <c r="Z1571" t="s">
        <v>1125</v>
      </c>
      <c r="AA1571" t="s">
        <v>622</v>
      </c>
      <c r="AB1571">
        <v>1</v>
      </c>
      <c r="AC1571">
        <v>3187.4720000000002</v>
      </c>
      <c r="AF1571" t="s">
        <v>521</v>
      </c>
      <c r="AG1571" s="32" t="s">
        <v>2260</v>
      </c>
      <c r="AH1571" s="32" t="s">
        <v>2261</v>
      </c>
      <c r="AI1571" s="32" t="s">
        <v>2262</v>
      </c>
      <c r="AJ1571" s="31" t="s">
        <v>3236</v>
      </c>
      <c r="AK1571" s="31">
        <v>0.88329058299999996</v>
      </c>
      <c r="AL1571" s="31">
        <v>957.52735299215669</v>
      </c>
      <c r="AM1571" s="31">
        <v>126.5183409402066</v>
      </c>
      <c r="AN1571" s="31">
        <v>11407.026774568214</v>
      </c>
      <c r="AO1571" s="31">
        <v>1507.2134472911584</v>
      </c>
      <c r="AP1571" s="31">
        <v>6.7081265394436551</v>
      </c>
      <c r="AQ1571" s="31">
        <v>0.88634652361135469</v>
      </c>
      <c r="AR1571" s="31">
        <v>7.4618537027130172E-2</v>
      </c>
    </row>
    <row r="1572" spans="1:44" hidden="1" x14ac:dyDescent="0.5">
      <c r="A1572" s="31">
        <v>1571</v>
      </c>
      <c r="B1572" s="52">
        <v>116</v>
      </c>
      <c r="C1572" s="225" t="s">
        <v>43</v>
      </c>
      <c r="D1572" s="41">
        <v>43.803167000000002</v>
      </c>
      <c r="E1572" s="43">
        <v>151.75983299999999</v>
      </c>
      <c r="F1572">
        <v>161</v>
      </c>
      <c r="G1572">
        <f t="shared" si="20"/>
        <v>259104.38400000002</v>
      </c>
      <c r="H1572" s="32" t="s">
        <v>613</v>
      </c>
      <c r="I1572">
        <v>5143</v>
      </c>
      <c r="J1572">
        <v>0</v>
      </c>
      <c r="K1572" s="26">
        <v>2016</v>
      </c>
      <c r="L1572" t="s">
        <v>30</v>
      </c>
      <c r="M1572" s="32">
        <v>11</v>
      </c>
      <c r="N1572">
        <v>1.1060976250000001</v>
      </c>
      <c r="O1572">
        <v>0.375</v>
      </c>
      <c r="P1572" t="s">
        <v>23</v>
      </c>
      <c r="Q1572">
        <v>95.5</v>
      </c>
      <c r="R1572" t="s">
        <v>13</v>
      </c>
      <c r="S1572" t="s">
        <v>14</v>
      </c>
      <c r="T1572" t="s">
        <v>14</v>
      </c>
      <c r="U1572" s="34">
        <v>0</v>
      </c>
      <c r="V1572" s="34">
        <v>5</v>
      </c>
      <c r="W1572" s="25">
        <v>2.5</v>
      </c>
      <c r="X1572" s="25">
        <v>5</v>
      </c>
      <c r="Y1572">
        <v>0.31036865699999999</v>
      </c>
      <c r="Z1572" t="s">
        <v>823</v>
      </c>
      <c r="AA1572" t="s">
        <v>643</v>
      </c>
      <c r="AB1572">
        <v>1</v>
      </c>
      <c r="AC1572">
        <v>33</v>
      </c>
      <c r="AF1572" t="s">
        <v>532</v>
      </c>
      <c r="AG1572" s="32">
        <v>33</v>
      </c>
      <c r="AH1572" s="32" t="s">
        <v>671</v>
      </c>
      <c r="AI1572" s="32" t="s">
        <v>1129</v>
      </c>
      <c r="AJ1572" s="31" t="s">
        <v>1130</v>
      </c>
      <c r="AK1572" s="31">
        <v>0.59524549999999998</v>
      </c>
      <c r="AL1572" s="31">
        <v>19.6431015</v>
      </c>
      <c r="AM1572" s="31">
        <v>13.3568985</v>
      </c>
      <c r="AN1572" s="31">
        <v>22.750982111815642</v>
      </c>
      <c r="AO1572" s="31">
        <v>15.47019236462415</v>
      </c>
      <c r="AP1572" s="31">
        <v>7.0611917634752445E-3</v>
      </c>
      <c r="AQ1572" s="31">
        <v>4.8014628277400521E-3</v>
      </c>
      <c r="AR1572" s="31">
        <v>7.7160346635006267E-4</v>
      </c>
    </row>
    <row r="1573" spans="1:44" hidden="1" x14ac:dyDescent="0.5">
      <c r="A1573" s="31">
        <v>1572</v>
      </c>
      <c r="B1573" s="52">
        <v>116</v>
      </c>
      <c r="C1573" s="225" t="s">
        <v>43</v>
      </c>
      <c r="D1573" s="41">
        <v>43.803167000000002</v>
      </c>
      <c r="E1573" s="43">
        <v>151.75983299999999</v>
      </c>
      <c r="F1573">
        <v>161</v>
      </c>
      <c r="G1573">
        <f t="shared" si="20"/>
        <v>259104.38400000002</v>
      </c>
      <c r="H1573" s="32" t="s">
        <v>613</v>
      </c>
      <c r="I1573">
        <v>5143</v>
      </c>
      <c r="J1573">
        <v>0</v>
      </c>
      <c r="K1573" s="26">
        <v>2016</v>
      </c>
      <c r="L1573" t="s">
        <v>30</v>
      </c>
      <c r="M1573" s="32">
        <v>11</v>
      </c>
      <c r="N1573">
        <v>1.1060976250000001</v>
      </c>
      <c r="O1573">
        <v>0.375</v>
      </c>
      <c r="P1573" t="s">
        <v>23</v>
      </c>
      <c r="Q1573">
        <v>95.5</v>
      </c>
      <c r="R1573" t="s">
        <v>13</v>
      </c>
      <c r="S1573" t="s">
        <v>14</v>
      </c>
      <c r="T1573" t="s">
        <v>14</v>
      </c>
      <c r="U1573" s="34">
        <v>0</v>
      </c>
      <c r="V1573" s="34">
        <v>5</v>
      </c>
      <c r="W1573" s="25">
        <v>2.5</v>
      </c>
      <c r="X1573" s="25">
        <v>5</v>
      </c>
      <c r="Y1573">
        <v>0.31036865699999999</v>
      </c>
      <c r="Z1573" t="s">
        <v>823</v>
      </c>
      <c r="AA1573" t="s">
        <v>643</v>
      </c>
      <c r="AB1573">
        <v>1</v>
      </c>
      <c r="AC1573">
        <v>45</v>
      </c>
      <c r="AF1573" t="s">
        <v>532</v>
      </c>
      <c r="AG1573" s="32">
        <v>45</v>
      </c>
      <c r="AH1573" s="32" t="s">
        <v>671</v>
      </c>
      <c r="AI1573" s="32" t="s">
        <v>1129</v>
      </c>
      <c r="AJ1573" s="31" t="s">
        <v>1130</v>
      </c>
      <c r="AK1573" s="31">
        <v>0.59524549999999998</v>
      </c>
      <c r="AL1573" s="31">
        <v>26.786047499999999</v>
      </c>
      <c r="AM1573" s="31">
        <v>18.213952500000001</v>
      </c>
      <c r="AN1573" s="31">
        <v>31.024066516112235</v>
      </c>
      <c r="AO1573" s="31">
        <v>21.095716860851116</v>
      </c>
      <c r="AP1573" s="31">
        <v>9.628897859284424E-3</v>
      </c>
      <c r="AQ1573" s="31">
        <v>6.5474493105546171E-3</v>
      </c>
      <c r="AR1573" s="31">
        <v>7.7160346635006267E-4</v>
      </c>
    </row>
    <row r="1574" spans="1:44" hidden="1" x14ac:dyDescent="0.5">
      <c r="A1574" s="31">
        <v>1573</v>
      </c>
      <c r="B1574" s="52">
        <v>116</v>
      </c>
      <c r="C1574" s="225" t="s">
        <v>43</v>
      </c>
      <c r="D1574" s="46">
        <v>45.920499999999997</v>
      </c>
      <c r="E1574" s="47">
        <v>152.791</v>
      </c>
      <c r="F1574">
        <v>75</v>
      </c>
      <c r="G1574">
        <f t="shared" si="20"/>
        <v>120700.8</v>
      </c>
      <c r="H1574" s="32" t="s">
        <v>613</v>
      </c>
      <c r="I1574">
        <v>6065</v>
      </c>
      <c r="J1574">
        <v>0</v>
      </c>
      <c r="K1574" s="26">
        <v>2016</v>
      </c>
      <c r="L1574" t="s">
        <v>30</v>
      </c>
      <c r="M1574" s="32">
        <v>11</v>
      </c>
      <c r="N1574">
        <v>1.1060976250000001</v>
      </c>
      <c r="O1574">
        <v>0.375</v>
      </c>
      <c r="P1574" t="s">
        <v>23</v>
      </c>
      <c r="Q1574">
        <v>95.5</v>
      </c>
      <c r="R1574" t="s">
        <v>13</v>
      </c>
      <c r="S1574" t="s">
        <v>14</v>
      </c>
      <c r="T1574" t="s">
        <v>14</v>
      </c>
      <c r="U1574" s="34">
        <v>0</v>
      </c>
      <c r="V1574" s="34">
        <v>5</v>
      </c>
      <c r="W1574" s="25">
        <v>2.5</v>
      </c>
      <c r="X1574" s="25">
        <v>5</v>
      </c>
      <c r="Y1574">
        <v>0.80058939699999998</v>
      </c>
      <c r="Z1574" t="s">
        <v>825</v>
      </c>
      <c r="AA1574" t="s">
        <v>656</v>
      </c>
      <c r="AB1574">
        <v>1</v>
      </c>
      <c r="AC1574">
        <v>27</v>
      </c>
      <c r="AF1574" t="s">
        <v>532</v>
      </c>
      <c r="AG1574" s="32">
        <v>27</v>
      </c>
      <c r="AH1574" s="32" t="s">
        <v>671</v>
      </c>
      <c r="AI1574" s="32" t="s">
        <v>1129</v>
      </c>
      <c r="AJ1574" s="31" t="s">
        <v>1130</v>
      </c>
      <c r="AK1574" s="31">
        <v>0.59524549999999998</v>
      </c>
      <c r="AL1574" s="31">
        <v>16.071628499999999</v>
      </c>
      <c r="AM1574" s="31">
        <v>10.928371500000001</v>
      </c>
      <c r="AN1574" s="31">
        <v>18.614439909667343</v>
      </c>
      <c r="AO1574" s="31">
        <v>12.657430116510668</v>
      </c>
      <c r="AP1574" s="31">
        <v>1.4902523222773315E-2</v>
      </c>
      <c r="AQ1574" s="31">
        <v>1.0133404344546916E-2</v>
      </c>
      <c r="AR1574" s="31">
        <v>3.0634692824592276E-4</v>
      </c>
    </row>
    <row r="1575" spans="1:44" hidden="1" x14ac:dyDescent="0.5">
      <c r="A1575" s="31">
        <v>1574</v>
      </c>
      <c r="B1575" s="52">
        <v>116</v>
      </c>
      <c r="C1575" s="225" t="s">
        <v>43</v>
      </c>
      <c r="D1575" s="46">
        <v>45.920499999999997</v>
      </c>
      <c r="E1575" s="47">
        <v>152.791</v>
      </c>
      <c r="F1575">
        <v>75</v>
      </c>
      <c r="G1575">
        <f t="shared" si="20"/>
        <v>120700.8</v>
      </c>
      <c r="H1575" s="32" t="s">
        <v>613</v>
      </c>
      <c r="I1575">
        <v>6065</v>
      </c>
      <c r="J1575">
        <v>0</v>
      </c>
      <c r="K1575" s="26">
        <v>2016</v>
      </c>
      <c r="L1575" t="s">
        <v>30</v>
      </c>
      <c r="M1575" s="32">
        <v>11</v>
      </c>
      <c r="N1575">
        <v>1.1060976250000001</v>
      </c>
      <c r="O1575">
        <v>0.375</v>
      </c>
      <c r="P1575" t="s">
        <v>23</v>
      </c>
      <c r="Q1575">
        <v>95.5</v>
      </c>
      <c r="R1575" t="s">
        <v>13</v>
      </c>
      <c r="S1575" t="s">
        <v>14</v>
      </c>
      <c r="T1575" t="s">
        <v>14</v>
      </c>
      <c r="U1575" s="34">
        <v>0</v>
      </c>
      <c r="V1575" s="34">
        <v>5</v>
      </c>
      <c r="W1575" s="25">
        <v>2.5</v>
      </c>
      <c r="X1575" s="25">
        <v>5</v>
      </c>
      <c r="Y1575">
        <v>0.80058939699999998</v>
      </c>
      <c r="Z1575" t="s">
        <v>825</v>
      </c>
      <c r="AA1575" t="s">
        <v>656</v>
      </c>
      <c r="AB1575">
        <v>1</v>
      </c>
      <c r="AC1575">
        <v>69</v>
      </c>
      <c r="AF1575" t="s">
        <v>532</v>
      </c>
      <c r="AG1575" s="32">
        <v>69</v>
      </c>
      <c r="AH1575" s="32" t="s">
        <v>671</v>
      </c>
      <c r="AI1575" s="32" t="s">
        <v>1129</v>
      </c>
      <c r="AJ1575" s="31" t="s">
        <v>1130</v>
      </c>
      <c r="AK1575" s="31">
        <v>0.59524549999999998</v>
      </c>
      <c r="AL1575" s="31">
        <v>41.071939499999999</v>
      </c>
      <c r="AM1575" s="31">
        <v>27.928060500000001</v>
      </c>
      <c r="AN1575" s="31">
        <v>47.570235324705436</v>
      </c>
      <c r="AO1575" s="31">
        <v>32.346765853305044</v>
      </c>
      <c r="AP1575" s="31">
        <v>3.8084226013754024E-2</v>
      </c>
      <c r="AQ1575" s="31">
        <v>2.5896477769397675E-2</v>
      </c>
      <c r="AR1575" s="31">
        <v>3.0634692824592276E-4</v>
      </c>
    </row>
    <row r="1576" spans="1:44" hidden="1" x14ac:dyDescent="0.5">
      <c r="A1576" s="31">
        <v>1575</v>
      </c>
      <c r="B1576" s="52">
        <v>116</v>
      </c>
      <c r="C1576" s="225" t="s">
        <v>43</v>
      </c>
      <c r="D1576" s="46">
        <v>45.920499999999997</v>
      </c>
      <c r="E1576" s="47">
        <v>152.791</v>
      </c>
      <c r="F1576">
        <v>75</v>
      </c>
      <c r="G1576">
        <f t="shared" si="20"/>
        <v>120700.8</v>
      </c>
      <c r="H1576" s="32" t="s">
        <v>613</v>
      </c>
      <c r="I1576">
        <v>6065</v>
      </c>
      <c r="J1576">
        <v>0</v>
      </c>
      <c r="K1576" s="26">
        <v>2016</v>
      </c>
      <c r="L1576" t="s">
        <v>30</v>
      </c>
      <c r="M1576" s="32">
        <v>11</v>
      </c>
      <c r="N1576">
        <v>1.1060976250000001</v>
      </c>
      <c r="O1576">
        <v>0.375</v>
      </c>
      <c r="P1576" t="s">
        <v>23</v>
      </c>
      <c r="Q1576">
        <v>95.5</v>
      </c>
      <c r="R1576" t="s">
        <v>13</v>
      </c>
      <c r="S1576" t="s">
        <v>14</v>
      </c>
      <c r="T1576" t="s">
        <v>14</v>
      </c>
      <c r="U1576" s="34">
        <v>0</v>
      </c>
      <c r="V1576" s="34">
        <v>5</v>
      </c>
      <c r="W1576" s="25">
        <v>2.5</v>
      </c>
      <c r="X1576" s="25">
        <v>5</v>
      </c>
      <c r="Y1576">
        <v>0.80058939699999998</v>
      </c>
      <c r="Z1576" t="s">
        <v>825</v>
      </c>
      <c r="AA1576" t="s">
        <v>656</v>
      </c>
      <c r="AB1576">
        <v>1</v>
      </c>
      <c r="AC1576">
        <v>263</v>
      </c>
      <c r="AF1576" t="s">
        <v>532</v>
      </c>
      <c r="AG1576" s="32">
        <v>263</v>
      </c>
      <c r="AH1576" s="32" t="s">
        <v>671</v>
      </c>
      <c r="AI1576" s="32" t="s">
        <v>1129</v>
      </c>
      <c r="AJ1576" s="31" t="s">
        <v>1130</v>
      </c>
      <c r="AK1576" s="31">
        <v>0.59524549999999998</v>
      </c>
      <c r="AL1576" s="31">
        <v>156.5495665</v>
      </c>
      <c r="AM1576" s="31">
        <v>106.4504335</v>
      </c>
      <c r="AN1576" s="31">
        <v>181.31843319416708</v>
      </c>
      <c r="AO1576" s="31">
        <v>123.29274520897428</v>
      </c>
      <c r="AP1576" s="31">
        <v>0.145161615095903</v>
      </c>
      <c r="AQ1576" s="31">
        <v>9.8706864541327349E-2</v>
      </c>
      <c r="AR1576" s="31">
        <v>3.0634692824592276E-4</v>
      </c>
    </row>
    <row r="1577" spans="1:44" hidden="1" x14ac:dyDescent="0.5">
      <c r="A1577" s="31">
        <v>1576</v>
      </c>
      <c r="B1577" s="52">
        <v>116</v>
      </c>
      <c r="C1577" s="225" t="s">
        <v>43</v>
      </c>
      <c r="D1577" s="46">
        <v>45.920499999999997</v>
      </c>
      <c r="E1577" s="47">
        <v>152.791</v>
      </c>
      <c r="F1577">
        <v>75</v>
      </c>
      <c r="G1577">
        <f t="shared" si="20"/>
        <v>120700.8</v>
      </c>
      <c r="H1577" s="32" t="s">
        <v>613</v>
      </c>
      <c r="I1577">
        <v>6065</v>
      </c>
      <c r="J1577">
        <v>0</v>
      </c>
      <c r="K1577" s="26">
        <v>2016</v>
      </c>
      <c r="L1577" t="s">
        <v>30</v>
      </c>
      <c r="M1577" s="32">
        <v>11</v>
      </c>
      <c r="N1577">
        <v>1.1060976250000001</v>
      </c>
      <c r="O1577">
        <v>0.375</v>
      </c>
      <c r="P1577" t="s">
        <v>23</v>
      </c>
      <c r="Q1577">
        <v>95.5</v>
      </c>
      <c r="R1577" t="s">
        <v>13</v>
      </c>
      <c r="S1577" t="s">
        <v>14</v>
      </c>
      <c r="T1577" t="s">
        <v>14</v>
      </c>
      <c r="U1577" s="34">
        <v>0</v>
      </c>
      <c r="V1577" s="34">
        <v>5</v>
      </c>
      <c r="W1577" s="25">
        <v>2.5</v>
      </c>
      <c r="X1577" s="25">
        <v>5</v>
      </c>
      <c r="Y1577">
        <v>0.80058939699999998</v>
      </c>
      <c r="Z1577" t="s">
        <v>825</v>
      </c>
      <c r="AA1577" t="s">
        <v>656</v>
      </c>
      <c r="AB1577">
        <v>1</v>
      </c>
      <c r="AC1577">
        <v>562</v>
      </c>
      <c r="AF1577" t="s">
        <v>532</v>
      </c>
      <c r="AG1577" s="32">
        <v>562</v>
      </c>
      <c r="AH1577" s="32" t="s">
        <v>671</v>
      </c>
      <c r="AI1577" s="32" t="s">
        <v>1129</v>
      </c>
      <c r="AJ1577" s="31" t="s">
        <v>1130</v>
      </c>
      <c r="AK1577" s="31">
        <v>0.59524549999999998</v>
      </c>
      <c r="AL1577" s="31">
        <v>334.52797099999998</v>
      </c>
      <c r="AM1577" s="31">
        <v>227.47202900000002</v>
      </c>
      <c r="AN1577" s="31">
        <v>387.45611960122392</v>
      </c>
      <c r="AO1577" s="31">
        <v>263.46206390662951</v>
      </c>
      <c r="AP1577" s="31">
        <v>0.31019326115550372</v>
      </c>
      <c r="AQ1577" s="31">
        <v>0.210924934875384</v>
      </c>
      <c r="AR1577" s="31">
        <v>3.0634692824592276E-4</v>
      </c>
    </row>
    <row r="1578" spans="1:44" hidden="1" x14ac:dyDescent="0.5">
      <c r="A1578" s="31">
        <v>1577</v>
      </c>
      <c r="B1578" s="52">
        <v>116</v>
      </c>
      <c r="C1578" s="225" t="s">
        <v>43</v>
      </c>
      <c r="D1578" s="46">
        <v>45.920499999999997</v>
      </c>
      <c r="E1578" s="47">
        <v>152.791</v>
      </c>
      <c r="F1578">
        <v>75</v>
      </c>
      <c r="G1578">
        <f t="shared" si="20"/>
        <v>120700.8</v>
      </c>
      <c r="H1578" s="32" t="s">
        <v>613</v>
      </c>
      <c r="I1578">
        <v>6065</v>
      </c>
      <c r="J1578">
        <v>0</v>
      </c>
      <c r="K1578" s="26">
        <v>2016</v>
      </c>
      <c r="L1578" t="s">
        <v>30</v>
      </c>
      <c r="M1578" s="32">
        <v>11</v>
      </c>
      <c r="N1578">
        <v>1.1060976250000001</v>
      </c>
      <c r="O1578">
        <v>0.375</v>
      </c>
      <c r="P1578" t="s">
        <v>23</v>
      </c>
      <c r="Q1578">
        <v>95.5</v>
      </c>
      <c r="R1578" t="s">
        <v>13</v>
      </c>
      <c r="S1578" t="s">
        <v>14</v>
      </c>
      <c r="T1578" t="s">
        <v>14</v>
      </c>
      <c r="U1578" s="34">
        <v>0</v>
      </c>
      <c r="V1578" s="34">
        <v>5</v>
      </c>
      <c r="W1578" s="25">
        <v>2.5</v>
      </c>
      <c r="X1578" s="25">
        <v>5</v>
      </c>
      <c r="Y1578">
        <v>0.80058939699999998</v>
      </c>
      <c r="Z1578" t="s">
        <v>825</v>
      </c>
      <c r="AA1578" t="s">
        <v>656</v>
      </c>
      <c r="AB1578">
        <v>1</v>
      </c>
      <c r="AC1578">
        <v>26</v>
      </c>
      <c r="AF1578" t="s">
        <v>532</v>
      </c>
      <c r="AG1578" s="32">
        <v>26</v>
      </c>
      <c r="AH1578" s="32" t="s">
        <v>671</v>
      </c>
      <c r="AI1578" s="32" t="s">
        <v>1129</v>
      </c>
      <c r="AJ1578" s="31" t="s">
        <v>1130</v>
      </c>
      <c r="AK1578" s="31">
        <v>0.59524549999999998</v>
      </c>
      <c r="AL1578" s="31">
        <v>15.476383</v>
      </c>
      <c r="AM1578" s="31">
        <v>10.523617</v>
      </c>
      <c r="AN1578" s="31">
        <v>17.925016209309295</v>
      </c>
      <c r="AO1578" s="31">
        <v>12.188636408491755</v>
      </c>
      <c r="AP1578" s="31">
        <v>1.4350577918226153E-2</v>
      </c>
      <c r="AQ1578" s="31">
        <v>9.758093072526659E-3</v>
      </c>
      <c r="AR1578" s="31">
        <v>3.0634692824592276E-4</v>
      </c>
    </row>
    <row r="1579" spans="1:44" hidden="1" x14ac:dyDescent="0.5">
      <c r="A1579" s="31">
        <v>1578</v>
      </c>
      <c r="B1579" s="52">
        <v>116</v>
      </c>
      <c r="C1579" s="225" t="s">
        <v>43</v>
      </c>
      <c r="D1579" s="46">
        <v>45.920499999999997</v>
      </c>
      <c r="E1579" s="47">
        <v>152.791</v>
      </c>
      <c r="F1579">
        <v>75</v>
      </c>
      <c r="G1579">
        <f t="shared" si="20"/>
        <v>120700.8</v>
      </c>
      <c r="H1579" s="32" t="s">
        <v>613</v>
      </c>
      <c r="I1579">
        <v>6065</v>
      </c>
      <c r="J1579">
        <v>0</v>
      </c>
      <c r="K1579" s="26">
        <v>2016</v>
      </c>
      <c r="L1579" t="s">
        <v>30</v>
      </c>
      <c r="M1579" s="32">
        <v>11</v>
      </c>
      <c r="N1579">
        <v>1.1060976250000001</v>
      </c>
      <c r="O1579">
        <v>0.375</v>
      </c>
      <c r="P1579" t="s">
        <v>23</v>
      </c>
      <c r="Q1579">
        <v>95.5</v>
      </c>
      <c r="R1579" t="s">
        <v>13</v>
      </c>
      <c r="S1579" t="s">
        <v>14</v>
      </c>
      <c r="T1579" t="s">
        <v>14</v>
      </c>
      <c r="U1579" s="34">
        <v>0</v>
      </c>
      <c r="V1579" s="34">
        <v>5</v>
      </c>
      <c r="W1579" s="25">
        <v>2.5</v>
      </c>
      <c r="X1579" s="25">
        <v>5</v>
      </c>
      <c r="Y1579">
        <v>0.80058939699999998</v>
      </c>
      <c r="Z1579" t="s">
        <v>825</v>
      </c>
      <c r="AA1579" t="s">
        <v>656</v>
      </c>
      <c r="AB1579">
        <v>1</v>
      </c>
      <c r="AC1579">
        <v>20</v>
      </c>
      <c r="AF1579" t="s">
        <v>532</v>
      </c>
      <c r="AG1579" s="32">
        <v>20</v>
      </c>
      <c r="AH1579" s="32" t="s">
        <v>671</v>
      </c>
      <c r="AI1579" s="32" t="s">
        <v>1129</v>
      </c>
      <c r="AJ1579" s="31" t="s">
        <v>1130</v>
      </c>
      <c r="AK1579" s="31">
        <v>0.59524549999999998</v>
      </c>
      <c r="AL1579" s="31">
        <v>11.904909999999999</v>
      </c>
      <c r="AM1579" s="31">
        <v>8.0950900000000008</v>
      </c>
      <c r="AN1579" s="31">
        <v>13.788474007160994</v>
      </c>
      <c r="AO1579" s="31">
        <v>9.3758741603782756</v>
      </c>
      <c r="AP1579" s="31">
        <v>1.1038906090943193E-2</v>
      </c>
      <c r="AQ1579" s="31">
        <v>7.5062254404051247E-3</v>
      </c>
      <c r="AR1579" s="31">
        <v>3.0634692824592276E-4</v>
      </c>
    </row>
    <row r="1580" spans="1:44" hidden="1" x14ac:dyDescent="0.5">
      <c r="A1580" s="31">
        <v>1579</v>
      </c>
      <c r="B1580" s="52">
        <v>116</v>
      </c>
      <c r="C1580" s="225" t="s">
        <v>43</v>
      </c>
      <c r="D1580" s="46">
        <v>45.920499999999997</v>
      </c>
      <c r="E1580" s="47">
        <v>152.791</v>
      </c>
      <c r="F1580">
        <v>75</v>
      </c>
      <c r="G1580">
        <f t="shared" si="20"/>
        <v>120700.8</v>
      </c>
      <c r="H1580" s="32" t="s">
        <v>613</v>
      </c>
      <c r="I1580">
        <v>6065</v>
      </c>
      <c r="J1580">
        <v>0</v>
      </c>
      <c r="K1580" s="26">
        <v>2016</v>
      </c>
      <c r="L1580" t="s">
        <v>30</v>
      </c>
      <c r="M1580" s="32">
        <v>11</v>
      </c>
      <c r="N1580">
        <v>1.1060976250000001</v>
      </c>
      <c r="O1580">
        <v>0.375</v>
      </c>
      <c r="P1580" t="s">
        <v>23</v>
      </c>
      <c r="Q1580">
        <v>95.5</v>
      </c>
      <c r="R1580" t="s">
        <v>13</v>
      </c>
      <c r="S1580" t="s">
        <v>14</v>
      </c>
      <c r="T1580" t="s">
        <v>14</v>
      </c>
      <c r="U1580" s="34">
        <v>0</v>
      </c>
      <c r="V1580" s="34">
        <v>5</v>
      </c>
      <c r="W1580" s="25">
        <v>2.5</v>
      </c>
      <c r="X1580" s="25">
        <v>5</v>
      </c>
      <c r="Y1580">
        <v>0.80058939699999998</v>
      </c>
      <c r="Z1580" t="s">
        <v>825</v>
      </c>
      <c r="AA1580" t="s">
        <v>656</v>
      </c>
      <c r="AB1580">
        <v>1</v>
      </c>
      <c r="AC1580">
        <v>14</v>
      </c>
      <c r="AF1580" t="s">
        <v>532</v>
      </c>
      <c r="AG1580" s="32">
        <v>14</v>
      </c>
      <c r="AH1580" s="32" t="s">
        <v>671</v>
      </c>
      <c r="AI1580" s="32" t="s">
        <v>1129</v>
      </c>
      <c r="AJ1580" s="31" t="s">
        <v>1130</v>
      </c>
      <c r="AK1580" s="31">
        <v>0.59524549999999998</v>
      </c>
      <c r="AL1580" s="31">
        <v>8.333437</v>
      </c>
      <c r="AM1580" s="31">
        <v>5.666563</v>
      </c>
      <c r="AN1580" s="31">
        <v>9.6519318050126977</v>
      </c>
      <c r="AO1580" s="31">
        <v>6.563111912264791</v>
      </c>
      <c r="AP1580" s="31">
        <v>7.7272342636602372E-3</v>
      </c>
      <c r="AQ1580" s="31">
        <v>5.2543578082835853E-3</v>
      </c>
      <c r="AR1580" s="31">
        <v>3.0634692824592276E-4</v>
      </c>
    </row>
    <row r="1581" spans="1:44" hidden="1" x14ac:dyDescent="0.5">
      <c r="A1581" s="31">
        <v>1580</v>
      </c>
      <c r="B1581" s="52">
        <v>116</v>
      </c>
      <c r="C1581" s="225" t="s">
        <v>43</v>
      </c>
      <c r="D1581" s="46">
        <v>45.920499999999997</v>
      </c>
      <c r="E1581" s="47">
        <v>152.791</v>
      </c>
      <c r="F1581">
        <v>75</v>
      </c>
      <c r="G1581">
        <f t="shared" si="20"/>
        <v>120700.8</v>
      </c>
      <c r="H1581" s="32" t="s">
        <v>613</v>
      </c>
      <c r="I1581">
        <v>6065</v>
      </c>
      <c r="J1581">
        <v>0</v>
      </c>
      <c r="K1581" s="26">
        <v>2016</v>
      </c>
      <c r="L1581" t="s">
        <v>30</v>
      </c>
      <c r="M1581" s="32">
        <v>11</v>
      </c>
      <c r="N1581">
        <v>1.1060976250000001</v>
      </c>
      <c r="O1581">
        <v>0.375</v>
      </c>
      <c r="P1581" t="s">
        <v>23</v>
      </c>
      <c r="Q1581">
        <v>95.5</v>
      </c>
      <c r="R1581" t="s">
        <v>13</v>
      </c>
      <c r="S1581" t="s">
        <v>14</v>
      </c>
      <c r="T1581" t="s">
        <v>14</v>
      </c>
      <c r="U1581" s="34">
        <v>0</v>
      </c>
      <c r="V1581" s="34">
        <v>5</v>
      </c>
      <c r="W1581" s="25">
        <v>2.5</v>
      </c>
      <c r="X1581" s="25">
        <v>5</v>
      </c>
      <c r="Y1581">
        <v>0.80058939699999998</v>
      </c>
      <c r="Z1581" t="s">
        <v>825</v>
      </c>
      <c r="AA1581" t="s">
        <v>656</v>
      </c>
      <c r="AB1581">
        <v>1</v>
      </c>
      <c r="AC1581">
        <v>139</v>
      </c>
      <c r="AF1581" t="s">
        <v>532</v>
      </c>
      <c r="AG1581" s="32">
        <v>139</v>
      </c>
      <c r="AH1581" s="32" t="s">
        <v>671</v>
      </c>
      <c r="AI1581" s="32" t="s">
        <v>1129</v>
      </c>
      <c r="AJ1581" s="31" t="s">
        <v>1130</v>
      </c>
      <c r="AK1581" s="31">
        <v>0.59524549999999998</v>
      </c>
      <c r="AL1581" s="31">
        <v>82.739124500000003</v>
      </c>
      <c r="AM1581" s="31">
        <v>56.260875499999997</v>
      </c>
      <c r="AN1581" s="31">
        <v>95.829894349768935</v>
      </c>
      <c r="AO1581" s="31">
        <v>65.162325414628995</v>
      </c>
      <c r="AP1581" s="31">
        <v>7.6720397332055212E-2</v>
      </c>
      <c r="AQ1581" s="31">
        <v>5.21682668108156E-2</v>
      </c>
      <c r="AR1581" s="31">
        <v>3.0634692824592276E-4</v>
      </c>
    </row>
    <row r="1582" spans="1:44" hidden="1" x14ac:dyDescent="0.5">
      <c r="A1582" s="31">
        <v>1581</v>
      </c>
      <c r="B1582" s="52">
        <v>116</v>
      </c>
      <c r="C1582" s="225" t="s">
        <v>43</v>
      </c>
      <c r="D1582" s="46">
        <v>45.920499999999997</v>
      </c>
      <c r="E1582" s="47">
        <v>152.791</v>
      </c>
      <c r="F1582">
        <v>75</v>
      </c>
      <c r="G1582">
        <f t="shared" si="20"/>
        <v>120700.8</v>
      </c>
      <c r="H1582" s="32" t="s">
        <v>613</v>
      </c>
      <c r="I1582">
        <v>6065</v>
      </c>
      <c r="J1582">
        <v>0</v>
      </c>
      <c r="K1582" s="26">
        <v>2016</v>
      </c>
      <c r="L1582" t="s">
        <v>30</v>
      </c>
      <c r="M1582" s="32">
        <v>11</v>
      </c>
      <c r="N1582">
        <v>1.1060976250000001</v>
      </c>
      <c r="O1582">
        <v>0.375</v>
      </c>
      <c r="P1582" t="s">
        <v>23</v>
      </c>
      <c r="Q1582">
        <v>95.5</v>
      </c>
      <c r="R1582" t="s">
        <v>13</v>
      </c>
      <c r="S1582" t="s">
        <v>14</v>
      </c>
      <c r="T1582" t="s">
        <v>14</v>
      </c>
      <c r="U1582" s="34">
        <v>0</v>
      </c>
      <c r="V1582" s="34">
        <v>5</v>
      </c>
      <c r="W1582" s="25">
        <v>2.5</v>
      </c>
      <c r="X1582" s="25">
        <v>5</v>
      </c>
      <c r="Y1582">
        <v>0.80058939699999998</v>
      </c>
      <c r="Z1582" t="s">
        <v>825</v>
      </c>
      <c r="AA1582" t="s">
        <v>656</v>
      </c>
      <c r="AB1582">
        <v>1</v>
      </c>
      <c r="AC1582">
        <v>7</v>
      </c>
      <c r="AF1582" t="s">
        <v>532</v>
      </c>
      <c r="AG1582" s="32">
        <v>7</v>
      </c>
      <c r="AH1582" s="32" t="s">
        <v>671</v>
      </c>
      <c r="AI1582" s="32" t="s">
        <v>1129</v>
      </c>
      <c r="AJ1582" s="31" t="s">
        <v>1130</v>
      </c>
      <c r="AK1582" s="31">
        <v>0.59524549999999998</v>
      </c>
      <c r="AL1582" s="31">
        <v>4.1667185</v>
      </c>
      <c r="AM1582" s="31">
        <v>2.8332815</v>
      </c>
      <c r="AN1582" s="31">
        <v>4.8259659025063488</v>
      </c>
      <c r="AO1582" s="31">
        <v>3.2815559561323955</v>
      </c>
      <c r="AP1582" s="31">
        <v>3.8636171318301186E-3</v>
      </c>
      <c r="AQ1582" s="31">
        <v>2.6271789041417927E-3</v>
      </c>
      <c r="AR1582" s="31">
        <v>3.0634692824592276E-4</v>
      </c>
    </row>
    <row r="1583" spans="1:44" hidden="1" x14ac:dyDescent="0.5">
      <c r="A1583" s="31">
        <v>1582</v>
      </c>
      <c r="B1583" s="52">
        <v>116</v>
      </c>
      <c r="C1583" s="225" t="s">
        <v>43</v>
      </c>
      <c r="D1583" s="41">
        <v>45.643332999999998</v>
      </c>
      <c r="E1583" s="43">
        <v>152.93183300000001</v>
      </c>
      <c r="F1583">
        <v>94</v>
      </c>
      <c r="G1583">
        <f t="shared" si="20"/>
        <v>151278.33600000001</v>
      </c>
      <c r="H1583" s="32" t="s">
        <v>59</v>
      </c>
      <c r="I1583">
        <v>7138</v>
      </c>
      <c r="J1583">
        <v>0</v>
      </c>
      <c r="K1583" s="26">
        <v>2016</v>
      </c>
      <c r="L1583" t="s">
        <v>30</v>
      </c>
      <c r="M1583" s="32">
        <v>11</v>
      </c>
      <c r="N1583">
        <v>1.1060976250000001</v>
      </c>
      <c r="O1583">
        <v>0.375</v>
      </c>
      <c r="P1583" t="s">
        <v>23</v>
      </c>
      <c r="Q1583">
        <v>95.5</v>
      </c>
      <c r="R1583" t="s">
        <v>13</v>
      </c>
      <c r="S1583" t="s">
        <v>14</v>
      </c>
      <c r="T1583" t="s">
        <v>14</v>
      </c>
      <c r="U1583" s="34">
        <v>0</v>
      </c>
      <c r="V1583" s="34">
        <v>5</v>
      </c>
      <c r="W1583" s="25">
        <v>2.5</v>
      </c>
      <c r="X1583" s="25">
        <v>5</v>
      </c>
      <c r="Y1583">
        <v>0.78206890600000001</v>
      </c>
      <c r="Z1583" t="s">
        <v>764</v>
      </c>
      <c r="AA1583" t="s">
        <v>620</v>
      </c>
      <c r="AB1583">
        <v>1</v>
      </c>
      <c r="AC1583">
        <v>9</v>
      </c>
      <c r="AF1583" t="s">
        <v>532</v>
      </c>
      <c r="AG1583" s="32">
        <v>9</v>
      </c>
      <c r="AH1583" s="32" t="s">
        <v>671</v>
      </c>
      <c r="AI1583" s="32" t="s">
        <v>1129</v>
      </c>
      <c r="AJ1583" s="31" t="s">
        <v>1130</v>
      </c>
      <c r="AK1583" s="31">
        <v>0.59524549999999998</v>
      </c>
      <c r="AL1583" s="31">
        <v>5.3572094999999997</v>
      </c>
      <c r="AM1583" s="31">
        <v>3.6427905000000003</v>
      </c>
      <c r="AN1583" s="31">
        <v>6.2048133032224477</v>
      </c>
      <c r="AO1583" s="31">
        <v>4.2191433721702234</v>
      </c>
      <c r="AP1583" s="31">
        <v>4.852591551985426E-3</v>
      </c>
      <c r="AQ1583" s="31">
        <v>3.2996608413303173E-3</v>
      </c>
      <c r="AR1583" s="31">
        <v>1.0455138010742134E-4</v>
      </c>
    </row>
    <row r="1584" spans="1:44" hidden="1" x14ac:dyDescent="0.5">
      <c r="A1584" s="31">
        <v>1583</v>
      </c>
      <c r="B1584" s="52">
        <v>116</v>
      </c>
      <c r="C1584" s="225" t="s">
        <v>43</v>
      </c>
      <c r="D1584" s="41">
        <v>45.643332999999998</v>
      </c>
      <c r="E1584" s="43">
        <v>152.93183300000001</v>
      </c>
      <c r="F1584">
        <v>94</v>
      </c>
      <c r="G1584">
        <f t="shared" si="20"/>
        <v>151278.33600000001</v>
      </c>
      <c r="H1584" s="32" t="s">
        <v>59</v>
      </c>
      <c r="I1584">
        <v>7138</v>
      </c>
      <c r="J1584">
        <v>0</v>
      </c>
      <c r="K1584" s="26">
        <v>2016</v>
      </c>
      <c r="L1584" t="s">
        <v>30</v>
      </c>
      <c r="M1584" s="32">
        <v>11</v>
      </c>
      <c r="N1584">
        <v>1.1060976250000001</v>
      </c>
      <c r="O1584">
        <v>0.375</v>
      </c>
      <c r="P1584" t="s">
        <v>23</v>
      </c>
      <c r="Q1584">
        <v>95.5</v>
      </c>
      <c r="R1584" t="s">
        <v>13</v>
      </c>
      <c r="S1584" t="s">
        <v>14</v>
      </c>
      <c r="T1584" t="s">
        <v>14</v>
      </c>
      <c r="U1584" s="34">
        <v>0</v>
      </c>
      <c r="V1584" s="34">
        <v>5</v>
      </c>
      <c r="W1584" s="25">
        <v>2.5</v>
      </c>
      <c r="X1584" s="25">
        <v>5</v>
      </c>
      <c r="Y1584">
        <v>0.78206890600000001</v>
      </c>
      <c r="Z1584" t="s">
        <v>764</v>
      </c>
      <c r="AA1584" t="s">
        <v>620</v>
      </c>
      <c r="AB1584">
        <v>1</v>
      </c>
      <c r="AC1584">
        <v>26</v>
      </c>
      <c r="AF1584" t="s">
        <v>532</v>
      </c>
      <c r="AG1584" s="32">
        <v>26</v>
      </c>
      <c r="AH1584" s="32" t="s">
        <v>671</v>
      </c>
      <c r="AI1584" s="32" t="s">
        <v>1129</v>
      </c>
      <c r="AJ1584" s="31" t="s">
        <v>1130</v>
      </c>
      <c r="AK1584" s="31">
        <v>0.59524549999999998</v>
      </c>
      <c r="AL1584" s="31">
        <v>15.476383</v>
      </c>
      <c r="AM1584" s="31">
        <v>10.523617</v>
      </c>
      <c r="AN1584" s="31">
        <v>17.925016209309295</v>
      </c>
      <c r="AO1584" s="31">
        <v>12.188636408491755</v>
      </c>
      <c r="AP1584" s="31">
        <v>1.4018597816846787E-2</v>
      </c>
      <c r="AQ1584" s="31">
        <v>9.5323535416209169E-3</v>
      </c>
      <c r="AR1584" s="31">
        <v>1.0455138010742134E-4</v>
      </c>
    </row>
    <row r="1585" spans="1:44" hidden="1" x14ac:dyDescent="0.5">
      <c r="A1585" s="31">
        <v>1584</v>
      </c>
      <c r="B1585" s="52">
        <v>116</v>
      </c>
      <c r="C1585" s="225" t="s">
        <v>43</v>
      </c>
      <c r="D1585" s="41">
        <v>45.643332999999998</v>
      </c>
      <c r="E1585" s="43">
        <v>152.93183300000001</v>
      </c>
      <c r="F1585">
        <v>94</v>
      </c>
      <c r="G1585">
        <f t="shared" si="20"/>
        <v>151278.33600000001</v>
      </c>
      <c r="H1585" s="32" t="s">
        <v>59</v>
      </c>
      <c r="I1585">
        <v>7138</v>
      </c>
      <c r="J1585">
        <v>0</v>
      </c>
      <c r="K1585" s="26">
        <v>2016</v>
      </c>
      <c r="L1585" t="s">
        <v>30</v>
      </c>
      <c r="M1585" s="32">
        <v>11</v>
      </c>
      <c r="N1585">
        <v>1.1060976250000001</v>
      </c>
      <c r="O1585">
        <v>0.375</v>
      </c>
      <c r="P1585" t="s">
        <v>23</v>
      </c>
      <c r="Q1585">
        <v>95.5</v>
      </c>
      <c r="R1585" t="s">
        <v>13</v>
      </c>
      <c r="S1585" t="s">
        <v>14</v>
      </c>
      <c r="T1585" t="s">
        <v>14</v>
      </c>
      <c r="U1585" s="34">
        <v>0</v>
      </c>
      <c r="V1585" s="34">
        <v>5</v>
      </c>
      <c r="W1585" s="25">
        <v>2.5</v>
      </c>
      <c r="X1585" s="25">
        <v>5</v>
      </c>
      <c r="Y1585">
        <v>0.78206890600000001</v>
      </c>
      <c r="Z1585" t="s">
        <v>764</v>
      </c>
      <c r="AA1585" t="s">
        <v>620</v>
      </c>
      <c r="AB1585">
        <v>1</v>
      </c>
      <c r="AC1585">
        <v>152</v>
      </c>
      <c r="AF1585" t="s">
        <v>532</v>
      </c>
      <c r="AG1585" s="32">
        <v>152</v>
      </c>
      <c r="AH1585" s="32" t="s">
        <v>671</v>
      </c>
      <c r="AI1585" s="32" t="s">
        <v>1129</v>
      </c>
      <c r="AJ1585" s="31" t="s">
        <v>1130</v>
      </c>
      <c r="AK1585" s="31">
        <v>0.59524549999999998</v>
      </c>
      <c r="AL1585" s="31">
        <v>90.477316000000002</v>
      </c>
      <c r="AM1585" s="31">
        <v>61.522683999999998</v>
      </c>
      <c r="AN1585" s="31">
        <v>104.79240245442357</v>
      </c>
      <c r="AO1585" s="31">
        <v>71.256643618874875</v>
      </c>
      <c r="AP1585" s="31">
        <v>8.1954879544642756E-2</v>
      </c>
      <c r="AQ1585" s="31">
        <v>5.5727605320245358E-2</v>
      </c>
      <c r="AR1585" s="31">
        <v>1.0455138010742134E-4</v>
      </c>
    </row>
    <row r="1586" spans="1:44" hidden="1" x14ac:dyDescent="0.5">
      <c r="A1586" s="31">
        <v>1585</v>
      </c>
      <c r="B1586" s="52">
        <v>116</v>
      </c>
      <c r="C1586" s="225" t="s">
        <v>43</v>
      </c>
      <c r="D1586" s="41">
        <v>45.643332999999998</v>
      </c>
      <c r="E1586" s="43">
        <v>152.93183300000001</v>
      </c>
      <c r="F1586">
        <v>94</v>
      </c>
      <c r="G1586">
        <f t="shared" si="20"/>
        <v>151278.33600000001</v>
      </c>
      <c r="H1586" s="32" t="s">
        <v>59</v>
      </c>
      <c r="I1586">
        <v>7138</v>
      </c>
      <c r="J1586">
        <v>0</v>
      </c>
      <c r="K1586" s="26">
        <v>2016</v>
      </c>
      <c r="L1586" t="s">
        <v>30</v>
      </c>
      <c r="M1586" s="32">
        <v>11</v>
      </c>
      <c r="N1586">
        <v>1.1060976250000001</v>
      </c>
      <c r="O1586">
        <v>0.375</v>
      </c>
      <c r="P1586" t="s">
        <v>23</v>
      </c>
      <c r="Q1586">
        <v>95.5</v>
      </c>
      <c r="R1586" t="s">
        <v>13</v>
      </c>
      <c r="S1586" t="s">
        <v>14</v>
      </c>
      <c r="T1586" t="s">
        <v>14</v>
      </c>
      <c r="U1586" s="34">
        <v>0</v>
      </c>
      <c r="V1586" s="34">
        <v>5</v>
      </c>
      <c r="W1586" s="25">
        <v>2.5</v>
      </c>
      <c r="X1586" s="25">
        <v>5</v>
      </c>
      <c r="Y1586">
        <v>0.78206890600000001</v>
      </c>
      <c r="Z1586" t="s">
        <v>764</v>
      </c>
      <c r="AA1586" t="s">
        <v>620</v>
      </c>
      <c r="AB1586">
        <v>1</v>
      </c>
      <c r="AC1586">
        <v>52</v>
      </c>
      <c r="AF1586" t="s">
        <v>532</v>
      </c>
      <c r="AG1586" s="32">
        <v>52</v>
      </c>
      <c r="AH1586" s="32" t="s">
        <v>671</v>
      </c>
      <c r="AI1586" s="32" t="s">
        <v>1129</v>
      </c>
      <c r="AJ1586" s="31" t="s">
        <v>1130</v>
      </c>
      <c r="AK1586" s="31">
        <v>0.59524549999999998</v>
      </c>
      <c r="AL1586" s="31">
        <v>30.952766</v>
      </c>
      <c r="AM1586" s="31">
        <v>21.047234</v>
      </c>
      <c r="AN1586" s="31">
        <v>35.850032418618589</v>
      </c>
      <c r="AO1586" s="31">
        <v>24.37727281698351</v>
      </c>
      <c r="AP1586" s="31">
        <v>2.8037195633693574E-2</v>
      </c>
      <c r="AQ1586" s="31">
        <v>1.9064707083241834E-2</v>
      </c>
      <c r="AR1586" s="31">
        <v>1.0455138010742134E-4</v>
      </c>
    </row>
    <row r="1587" spans="1:44" hidden="1" x14ac:dyDescent="0.5">
      <c r="A1587" s="31">
        <v>1586</v>
      </c>
      <c r="B1587" s="52">
        <v>116</v>
      </c>
      <c r="C1587" s="225" t="s">
        <v>43</v>
      </c>
      <c r="D1587" s="41">
        <v>45.643332999999998</v>
      </c>
      <c r="E1587" s="43">
        <v>152.93183300000001</v>
      </c>
      <c r="F1587">
        <v>94</v>
      </c>
      <c r="G1587">
        <f t="shared" si="20"/>
        <v>151278.33600000001</v>
      </c>
      <c r="H1587" s="32" t="s">
        <v>59</v>
      </c>
      <c r="I1587">
        <v>7138</v>
      </c>
      <c r="J1587">
        <v>0</v>
      </c>
      <c r="K1587" s="26">
        <v>2016</v>
      </c>
      <c r="L1587" t="s">
        <v>30</v>
      </c>
      <c r="M1587" s="32">
        <v>11</v>
      </c>
      <c r="N1587">
        <v>1.1060976250000001</v>
      </c>
      <c r="O1587">
        <v>0.375</v>
      </c>
      <c r="P1587" t="s">
        <v>23</v>
      </c>
      <c r="Q1587">
        <v>95.5</v>
      </c>
      <c r="R1587" t="s">
        <v>13</v>
      </c>
      <c r="S1587" t="s">
        <v>14</v>
      </c>
      <c r="T1587" t="s">
        <v>14</v>
      </c>
      <c r="U1587" s="34">
        <v>0</v>
      </c>
      <c r="V1587" s="34">
        <v>5</v>
      </c>
      <c r="W1587" s="25">
        <v>2.5</v>
      </c>
      <c r="X1587" s="25">
        <v>5</v>
      </c>
      <c r="Y1587">
        <v>0.78206890600000001</v>
      </c>
      <c r="Z1587" t="s">
        <v>764</v>
      </c>
      <c r="AA1587" t="s">
        <v>620</v>
      </c>
      <c r="AB1587">
        <v>1</v>
      </c>
      <c r="AC1587">
        <v>71</v>
      </c>
      <c r="AF1587" t="s">
        <v>532</v>
      </c>
      <c r="AG1587" s="32">
        <v>71</v>
      </c>
      <c r="AH1587" s="32" t="s">
        <v>671</v>
      </c>
      <c r="AI1587" s="32" t="s">
        <v>1129</v>
      </c>
      <c r="AJ1587" s="31" t="s">
        <v>1130</v>
      </c>
      <c r="AK1587" s="31">
        <v>0.59524549999999998</v>
      </c>
      <c r="AL1587" s="31">
        <v>42.262430500000001</v>
      </c>
      <c r="AM1587" s="31">
        <v>28.737569499999999</v>
      </c>
      <c r="AN1587" s="31">
        <v>48.949082725421533</v>
      </c>
      <c r="AO1587" s="31">
        <v>33.284353269342873</v>
      </c>
      <c r="AP1587" s="31">
        <v>3.8281555576773915E-2</v>
      </c>
      <c r="AQ1587" s="31">
        <v>2.6030657748272502E-2</v>
      </c>
      <c r="AR1587" s="31">
        <v>1.0455138010742134E-4</v>
      </c>
    </row>
    <row r="1588" spans="1:44" hidden="1" x14ac:dyDescent="0.5">
      <c r="A1588" s="31">
        <v>1587</v>
      </c>
      <c r="B1588" s="52">
        <v>116</v>
      </c>
      <c r="C1588" s="225" t="s">
        <v>43</v>
      </c>
      <c r="D1588" s="41">
        <v>45.643332999999998</v>
      </c>
      <c r="E1588" s="43">
        <v>152.93183300000001</v>
      </c>
      <c r="F1588">
        <v>94</v>
      </c>
      <c r="G1588">
        <f t="shared" si="20"/>
        <v>151278.33600000001</v>
      </c>
      <c r="H1588" s="32" t="s">
        <v>59</v>
      </c>
      <c r="I1588">
        <v>7138</v>
      </c>
      <c r="J1588">
        <v>0</v>
      </c>
      <c r="K1588" s="26">
        <v>2016</v>
      </c>
      <c r="L1588" t="s">
        <v>30</v>
      </c>
      <c r="M1588" s="32">
        <v>11</v>
      </c>
      <c r="N1588">
        <v>1.1060976250000001</v>
      </c>
      <c r="O1588">
        <v>0.375</v>
      </c>
      <c r="P1588" t="s">
        <v>23</v>
      </c>
      <c r="Q1588">
        <v>95.5</v>
      </c>
      <c r="R1588" t="s">
        <v>13</v>
      </c>
      <c r="S1588" t="s">
        <v>14</v>
      </c>
      <c r="T1588" t="s">
        <v>14</v>
      </c>
      <c r="U1588" s="34">
        <v>0</v>
      </c>
      <c r="V1588" s="34">
        <v>5</v>
      </c>
      <c r="W1588" s="25">
        <v>2.5</v>
      </c>
      <c r="X1588" s="25">
        <v>5</v>
      </c>
      <c r="Y1588">
        <v>0.78206890600000001</v>
      </c>
      <c r="Z1588" t="s">
        <v>764</v>
      </c>
      <c r="AA1588" t="s">
        <v>620</v>
      </c>
      <c r="AB1588">
        <v>1</v>
      </c>
      <c r="AC1588">
        <v>121</v>
      </c>
      <c r="AF1588" t="s">
        <v>532</v>
      </c>
      <c r="AG1588" s="32">
        <v>121</v>
      </c>
      <c r="AH1588" s="32" t="s">
        <v>671</v>
      </c>
      <c r="AI1588" s="32" t="s">
        <v>1129</v>
      </c>
      <c r="AJ1588" s="31" t="s">
        <v>1130</v>
      </c>
      <c r="AK1588" s="31">
        <v>0.59524549999999998</v>
      </c>
      <c r="AL1588" s="31">
        <v>72.024705499999996</v>
      </c>
      <c r="AM1588" s="31">
        <v>48.975294500000004</v>
      </c>
      <c r="AN1588" s="31">
        <v>83.420267743324018</v>
      </c>
      <c r="AO1588" s="31">
        <v>56.724038670288557</v>
      </c>
      <c r="AP1588" s="31">
        <v>6.5240397532248501E-2</v>
      </c>
      <c r="AQ1588" s="31">
        <v>4.4362106866774269E-2</v>
      </c>
      <c r="AR1588" s="31">
        <v>1.0455138010742134E-4</v>
      </c>
    </row>
    <row r="1589" spans="1:44" hidden="1" x14ac:dyDescent="0.5">
      <c r="A1589" s="31">
        <v>1588</v>
      </c>
      <c r="B1589" s="52">
        <v>116</v>
      </c>
      <c r="C1589" s="225" t="s">
        <v>43</v>
      </c>
      <c r="D1589" s="41">
        <v>45.847833000000001</v>
      </c>
      <c r="E1589" s="43">
        <v>153.79983300000001</v>
      </c>
      <c r="F1589">
        <v>111</v>
      </c>
      <c r="G1589">
        <f t="shared" si="20"/>
        <v>178637.18400000001</v>
      </c>
      <c r="H1589" s="32" t="s">
        <v>59</v>
      </c>
      <c r="I1589">
        <v>8255</v>
      </c>
      <c r="J1589">
        <v>0</v>
      </c>
      <c r="K1589" s="26">
        <v>2016</v>
      </c>
      <c r="L1589" t="s">
        <v>30</v>
      </c>
      <c r="M1589" s="32">
        <v>11</v>
      </c>
      <c r="N1589">
        <v>1.1060976250000001</v>
      </c>
      <c r="O1589">
        <v>0.375</v>
      </c>
      <c r="P1589" t="s">
        <v>23</v>
      </c>
      <c r="Q1589">
        <v>95.5</v>
      </c>
      <c r="R1589" t="s">
        <v>13</v>
      </c>
      <c r="S1589" t="s">
        <v>14</v>
      </c>
      <c r="T1589" t="s">
        <v>14</v>
      </c>
      <c r="U1589" s="34">
        <v>0</v>
      </c>
      <c r="V1589" s="34">
        <v>5</v>
      </c>
      <c r="W1589" s="25">
        <v>2.5</v>
      </c>
      <c r="X1589" s="25">
        <v>5</v>
      </c>
      <c r="Y1589">
        <v>0.78206890600000001</v>
      </c>
      <c r="Z1589" t="s">
        <v>764</v>
      </c>
      <c r="AA1589" t="s">
        <v>620</v>
      </c>
      <c r="AB1589">
        <v>1</v>
      </c>
      <c r="AC1589">
        <v>70</v>
      </c>
      <c r="AF1589" t="s">
        <v>532</v>
      </c>
      <c r="AG1589" s="32">
        <v>70</v>
      </c>
      <c r="AH1589" s="32" t="s">
        <v>671</v>
      </c>
      <c r="AI1589" s="32" t="s">
        <v>1129</v>
      </c>
      <c r="AJ1589" s="31" t="s">
        <v>1130</v>
      </c>
      <c r="AK1589" s="31">
        <v>0.59524549999999998</v>
      </c>
      <c r="AL1589" s="31">
        <v>41.667184999999996</v>
      </c>
      <c r="AM1589" s="31">
        <v>28.332815000000004</v>
      </c>
      <c r="AN1589" s="31">
        <v>48.259659025063485</v>
      </c>
      <c r="AO1589" s="31">
        <v>32.815559561323958</v>
      </c>
      <c r="AP1589" s="31">
        <v>3.7742378737664423E-2</v>
      </c>
      <c r="AQ1589" s="31">
        <v>2.5664028765902468E-2</v>
      </c>
      <c r="AR1589" s="31">
        <v>3.4142925466152144E-5</v>
      </c>
    </row>
    <row r="1590" spans="1:44" hidden="1" x14ac:dyDescent="0.5">
      <c r="A1590" s="31">
        <v>1589</v>
      </c>
      <c r="B1590" s="52">
        <v>117</v>
      </c>
      <c r="C1590" s="225" t="s">
        <v>43</v>
      </c>
      <c r="D1590" s="41">
        <v>57.3</v>
      </c>
      <c r="E1590" s="43">
        <v>-10.382999999999999</v>
      </c>
      <c r="F1590">
        <v>110</v>
      </c>
      <c r="G1590">
        <f t="shared" si="20"/>
        <v>177027.84</v>
      </c>
      <c r="H1590" s="32" t="s">
        <v>612</v>
      </c>
      <c r="I1590">
        <v>2200</v>
      </c>
      <c r="J1590">
        <v>0</v>
      </c>
      <c r="K1590" s="26">
        <v>2017</v>
      </c>
      <c r="L1590" t="s">
        <v>30</v>
      </c>
      <c r="M1590" s="32">
        <v>60</v>
      </c>
      <c r="N1590">
        <v>6.6570999999999998</v>
      </c>
      <c r="O1590">
        <v>12</v>
      </c>
      <c r="P1590" t="s">
        <v>602</v>
      </c>
      <c r="Q1590">
        <v>89.3</v>
      </c>
      <c r="R1590" t="s">
        <v>13</v>
      </c>
      <c r="S1590" t="s">
        <v>14</v>
      </c>
      <c r="T1590" t="s">
        <v>14</v>
      </c>
      <c r="U1590" s="34">
        <v>0.5</v>
      </c>
      <c r="V1590" s="34">
        <v>1</v>
      </c>
      <c r="W1590" s="25">
        <v>0.75</v>
      </c>
      <c r="X1590" s="25">
        <v>0.5</v>
      </c>
      <c r="Y1590">
        <v>1.062755103</v>
      </c>
      <c r="Z1590" t="s">
        <v>1114</v>
      </c>
      <c r="AA1590" t="s">
        <v>622</v>
      </c>
      <c r="AB1590">
        <v>6</v>
      </c>
      <c r="AC1590">
        <v>0.11</v>
      </c>
      <c r="AD1590">
        <v>0.08</v>
      </c>
      <c r="AE1590" t="s">
        <v>519</v>
      </c>
      <c r="AF1590" t="s">
        <v>524</v>
      </c>
      <c r="AG1590" s="32">
        <v>110</v>
      </c>
      <c r="AH1590" s="32" t="s">
        <v>1331</v>
      </c>
      <c r="AI1590" s="32" t="s">
        <v>2665</v>
      </c>
      <c r="AJ1590" s="31" t="s">
        <v>3437</v>
      </c>
      <c r="AK1590" s="31">
        <v>0.89</v>
      </c>
      <c r="AL1590" s="31">
        <v>97.9</v>
      </c>
      <c r="AM1590" s="31">
        <v>12.099999999999994</v>
      </c>
      <c r="AN1590" s="31">
        <v>729.82092945128784</v>
      </c>
      <c r="AO1590" s="31">
        <v>90.202586786114182</v>
      </c>
      <c r="AP1590" s="31">
        <v>0.77562091705055913</v>
      </c>
      <c r="AQ1590" s="31">
        <v>9.586325941074321E-2</v>
      </c>
      <c r="AR1590" s="31">
        <v>1.4721509040515557E-2</v>
      </c>
    </row>
    <row r="1591" spans="1:44" hidden="1" x14ac:dyDescent="0.5">
      <c r="A1591" s="31">
        <v>1590</v>
      </c>
      <c r="B1591" s="52">
        <v>117</v>
      </c>
      <c r="C1591" s="225" t="s">
        <v>43</v>
      </c>
      <c r="D1591" s="41">
        <v>57.3</v>
      </c>
      <c r="E1591" s="43">
        <v>-10.382999999999999</v>
      </c>
      <c r="F1591">
        <v>110</v>
      </c>
      <c r="G1591">
        <f t="shared" si="20"/>
        <v>177027.84</v>
      </c>
      <c r="H1591" s="32" t="s">
        <v>612</v>
      </c>
      <c r="I1591">
        <v>2200</v>
      </c>
      <c r="J1591">
        <v>0</v>
      </c>
      <c r="K1591" s="26">
        <v>2017</v>
      </c>
      <c r="L1591" t="s">
        <v>30</v>
      </c>
      <c r="M1591" s="32">
        <v>60</v>
      </c>
      <c r="N1591">
        <v>6.6570999999999998</v>
      </c>
      <c r="O1591">
        <v>12</v>
      </c>
      <c r="P1591" t="s">
        <v>602</v>
      </c>
      <c r="Q1591">
        <v>89.3</v>
      </c>
      <c r="R1591" t="s">
        <v>13</v>
      </c>
      <c r="S1591" t="s">
        <v>14</v>
      </c>
      <c r="T1591" t="s">
        <v>14</v>
      </c>
      <c r="U1591" s="34">
        <v>1</v>
      </c>
      <c r="V1591" s="34">
        <v>1.5</v>
      </c>
      <c r="W1591" s="25">
        <v>1.25</v>
      </c>
      <c r="X1591" s="25">
        <v>0.5</v>
      </c>
      <c r="Y1591">
        <v>1.062755103</v>
      </c>
      <c r="Z1591" t="s">
        <v>1114</v>
      </c>
      <c r="AA1591" t="s">
        <v>622</v>
      </c>
      <c r="AB1591">
        <v>6</v>
      </c>
      <c r="AC1591">
        <v>7.0000000000000007E-2</v>
      </c>
      <c r="AD1591">
        <v>0.04</v>
      </c>
      <c r="AE1591" t="s">
        <v>519</v>
      </c>
      <c r="AF1591" t="s">
        <v>524</v>
      </c>
      <c r="AG1591" s="32">
        <v>70</v>
      </c>
      <c r="AH1591" s="32" t="s">
        <v>1331</v>
      </c>
      <c r="AI1591" s="32" t="s">
        <v>2666</v>
      </c>
      <c r="AJ1591" s="31" t="s">
        <v>3438</v>
      </c>
      <c r="AK1591" s="31">
        <v>0.89</v>
      </c>
      <c r="AL1591" s="31">
        <v>62.300000000000004</v>
      </c>
      <c r="AM1591" s="31">
        <v>7.6999999999999957</v>
      </c>
      <c r="AN1591" s="31">
        <v>464.43150055991049</v>
      </c>
      <c r="AO1591" s="31">
        <v>57.401646136618112</v>
      </c>
      <c r="AP1591" s="31">
        <v>0.49357694721399226</v>
      </c>
      <c r="AQ1591" s="31">
        <v>6.1003892352291131E-2</v>
      </c>
      <c r="AR1591" s="31">
        <v>1.4721509040515557E-2</v>
      </c>
    </row>
    <row r="1592" spans="1:44" hidden="1" x14ac:dyDescent="0.5">
      <c r="A1592" s="31">
        <v>1591</v>
      </c>
      <c r="B1592" s="52">
        <v>117</v>
      </c>
      <c r="C1592" s="225" t="s">
        <v>43</v>
      </c>
      <c r="D1592" s="41">
        <v>57.3</v>
      </c>
      <c r="E1592" s="43">
        <v>-10.382999999999999</v>
      </c>
      <c r="F1592">
        <v>110</v>
      </c>
      <c r="G1592">
        <f t="shared" si="20"/>
        <v>177027.84</v>
      </c>
      <c r="H1592" s="32" t="s">
        <v>612</v>
      </c>
      <c r="I1592">
        <v>2200</v>
      </c>
      <c r="J1592">
        <v>0</v>
      </c>
      <c r="K1592" s="26">
        <v>2017</v>
      </c>
      <c r="L1592" t="s">
        <v>30</v>
      </c>
      <c r="M1592" s="32">
        <v>60</v>
      </c>
      <c r="N1592">
        <v>6.6570999999999998</v>
      </c>
      <c r="O1592">
        <v>12</v>
      </c>
      <c r="P1592" t="s">
        <v>602</v>
      </c>
      <c r="Q1592">
        <v>89.3</v>
      </c>
      <c r="R1592" t="s">
        <v>13</v>
      </c>
      <c r="S1592" t="s">
        <v>14</v>
      </c>
      <c r="T1592" t="s">
        <v>14</v>
      </c>
      <c r="U1592" s="34">
        <v>1.5</v>
      </c>
      <c r="V1592" s="34">
        <v>2</v>
      </c>
      <c r="W1592" s="25">
        <v>1.75</v>
      </c>
      <c r="X1592" s="25">
        <v>0.5</v>
      </c>
      <c r="Y1592">
        <v>1.062755103</v>
      </c>
      <c r="Z1592" t="s">
        <v>1114</v>
      </c>
      <c r="AA1592" t="s">
        <v>622</v>
      </c>
      <c r="AB1592">
        <v>6</v>
      </c>
      <c r="AC1592">
        <v>0.06</v>
      </c>
      <c r="AD1592">
        <v>0.04</v>
      </c>
      <c r="AE1592" t="s">
        <v>519</v>
      </c>
      <c r="AF1592" t="s">
        <v>524</v>
      </c>
      <c r="AG1592" s="32">
        <v>60</v>
      </c>
      <c r="AH1592" s="32" t="s">
        <v>1331</v>
      </c>
      <c r="AI1592" s="32" t="s">
        <v>2667</v>
      </c>
      <c r="AJ1592" s="31" t="s">
        <v>3439</v>
      </c>
      <c r="AK1592" s="31">
        <v>0.89</v>
      </c>
      <c r="AL1592" s="31">
        <v>53.4</v>
      </c>
      <c r="AM1592" s="31">
        <v>6.6000000000000014</v>
      </c>
      <c r="AN1592" s="31">
        <v>398.08414333706605</v>
      </c>
      <c r="AO1592" s="31">
        <v>49.201410974244133</v>
      </c>
      <c r="AP1592" s="31">
        <v>0.42306595475485037</v>
      </c>
      <c r="AQ1592" s="31">
        <v>5.2289050587678153E-2</v>
      </c>
      <c r="AR1592" s="31">
        <v>1.4721509040515557E-2</v>
      </c>
    </row>
    <row r="1593" spans="1:44" hidden="1" x14ac:dyDescent="0.5">
      <c r="A1593" s="31">
        <v>1592</v>
      </c>
      <c r="B1593" s="52">
        <v>117</v>
      </c>
      <c r="C1593" s="225" t="s">
        <v>43</v>
      </c>
      <c r="D1593" s="41">
        <v>57.3</v>
      </c>
      <c r="E1593" s="43">
        <v>-10.382999999999999</v>
      </c>
      <c r="F1593">
        <v>110</v>
      </c>
      <c r="G1593">
        <f t="shared" si="20"/>
        <v>177027.84</v>
      </c>
      <c r="H1593" s="32" t="s">
        <v>612</v>
      </c>
      <c r="I1593">
        <v>2200</v>
      </c>
      <c r="J1593">
        <v>0</v>
      </c>
      <c r="K1593" s="26">
        <v>2017</v>
      </c>
      <c r="L1593" t="s">
        <v>30</v>
      </c>
      <c r="M1593" s="32">
        <v>60</v>
      </c>
      <c r="N1593">
        <v>6.6570999999999998</v>
      </c>
      <c r="O1593">
        <v>12</v>
      </c>
      <c r="P1593" t="s">
        <v>602</v>
      </c>
      <c r="Q1593">
        <v>89.3</v>
      </c>
      <c r="R1593" t="s">
        <v>13</v>
      </c>
      <c r="S1593" t="s">
        <v>14</v>
      </c>
      <c r="T1593" t="s">
        <v>14</v>
      </c>
      <c r="U1593" s="34">
        <v>2</v>
      </c>
      <c r="V1593" s="34">
        <v>2.5</v>
      </c>
      <c r="W1593" s="25">
        <v>2.25</v>
      </c>
      <c r="X1593" s="25">
        <v>0.5</v>
      </c>
      <c r="Y1593">
        <v>1.062755103</v>
      </c>
      <c r="Z1593" t="s">
        <v>1114</v>
      </c>
      <c r="AA1593" t="s">
        <v>622</v>
      </c>
      <c r="AB1593">
        <v>6</v>
      </c>
      <c r="AC1593">
        <v>7.0000000000000007E-2</v>
      </c>
      <c r="AD1593">
        <v>0.04</v>
      </c>
      <c r="AE1593" t="s">
        <v>519</v>
      </c>
      <c r="AF1593" t="s">
        <v>524</v>
      </c>
      <c r="AG1593" s="32">
        <v>70</v>
      </c>
      <c r="AH1593" s="32" t="s">
        <v>1331</v>
      </c>
      <c r="AI1593" s="32" t="s">
        <v>2666</v>
      </c>
      <c r="AJ1593" s="31" t="s">
        <v>3438</v>
      </c>
      <c r="AK1593" s="31">
        <v>0.89</v>
      </c>
      <c r="AL1593" s="31">
        <v>62.300000000000004</v>
      </c>
      <c r="AM1593" s="31">
        <v>7.6999999999999957</v>
      </c>
      <c r="AN1593" s="31">
        <v>464.43150055991049</v>
      </c>
      <c r="AO1593" s="31">
        <v>57.401646136618112</v>
      </c>
      <c r="AP1593" s="31">
        <v>0.49357694721399226</v>
      </c>
      <c r="AQ1593" s="31">
        <v>6.1003892352291131E-2</v>
      </c>
      <c r="AR1593" s="31">
        <v>1.4721509040515557E-2</v>
      </c>
    </row>
    <row r="1594" spans="1:44" hidden="1" x14ac:dyDescent="0.5">
      <c r="A1594" s="31">
        <v>1593</v>
      </c>
      <c r="B1594" s="52">
        <v>117</v>
      </c>
      <c r="C1594" s="225" t="s">
        <v>43</v>
      </c>
      <c r="D1594" s="41">
        <v>57.3</v>
      </c>
      <c r="E1594" s="43">
        <v>-10.382999999999999</v>
      </c>
      <c r="F1594">
        <v>110</v>
      </c>
      <c r="G1594">
        <f t="shared" si="20"/>
        <v>177027.84</v>
      </c>
      <c r="H1594" s="32" t="s">
        <v>612</v>
      </c>
      <c r="I1594">
        <v>2200</v>
      </c>
      <c r="J1594">
        <v>0</v>
      </c>
      <c r="K1594" s="26">
        <v>2017</v>
      </c>
      <c r="L1594" t="s">
        <v>30</v>
      </c>
      <c r="M1594" s="32">
        <v>60</v>
      </c>
      <c r="N1594">
        <v>6.6570999999999998</v>
      </c>
      <c r="O1594">
        <v>12</v>
      </c>
      <c r="P1594" t="s">
        <v>602</v>
      </c>
      <c r="Q1594">
        <v>89.3</v>
      </c>
      <c r="R1594" t="s">
        <v>13</v>
      </c>
      <c r="S1594" t="s">
        <v>14</v>
      </c>
      <c r="T1594" t="s">
        <v>14</v>
      </c>
      <c r="U1594" s="34">
        <v>2.5</v>
      </c>
      <c r="V1594" s="34">
        <v>3</v>
      </c>
      <c r="W1594" s="25">
        <v>2.75</v>
      </c>
      <c r="X1594" s="25">
        <v>0.5</v>
      </c>
      <c r="Y1594">
        <v>1.062755103</v>
      </c>
      <c r="Z1594" t="s">
        <v>1114</v>
      </c>
      <c r="AA1594" t="s">
        <v>622</v>
      </c>
      <c r="AB1594">
        <v>6</v>
      </c>
      <c r="AC1594">
        <v>0.05</v>
      </c>
      <c r="AD1594">
        <v>0.03</v>
      </c>
      <c r="AE1594" t="s">
        <v>519</v>
      </c>
      <c r="AF1594" t="s">
        <v>524</v>
      </c>
      <c r="AG1594" s="32">
        <v>50</v>
      </c>
      <c r="AH1594" s="32" t="s">
        <v>1331</v>
      </c>
      <c r="AI1594" s="32" t="s">
        <v>2668</v>
      </c>
      <c r="AJ1594" s="31" t="s">
        <v>1371</v>
      </c>
      <c r="AK1594" s="31">
        <v>0.89</v>
      </c>
      <c r="AL1594" s="31">
        <v>44.5</v>
      </c>
      <c r="AM1594" s="31">
        <v>5.5</v>
      </c>
      <c r="AN1594" s="31">
        <v>331.73678611422173</v>
      </c>
      <c r="AO1594" s="31">
        <v>41.001175811870098</v>
      </c>
      <c r="AP1594" s="31">
        <v>0.35255496229570871</v>
      </c>
      <c r="AQ1594" s="31">
        <v>4.3574208823065112E-2</v>
      </c>
      <c r="AR1594" s="31">
        <v>1.4721509040515557E-2</v>
      </c>
    </row>
    <row r="1595" spans="1:44" hidden="1" x14ac:dyDescent="0.5">
      <c r="A1595" s="31">
        <v>1594</v>
      </c>
      <c r="B1595" s="52">
        <v>117</v>
      </c>
      <c r="C1595" s="225" t="s">
        <v>43</v>
      </c>
      <c r="D1595" s="41">
        <v>57.3</v>
      </c>
      <c r="E1595" s="43">
        <v>-10.382999999999999</v>
      </c>
      <c r="F1595">
        <v>110</v>
      </c>
      <c r="G1595">
        <f t="shared" si="20"/>
        <v>177027.84</v>
      </c>
      <c r="H1595" s="32" t="s">
        <v>612</v>
      </c>
      <c r="I1595">
        <v>2200</v>
      </c>
      <c r="J1595">
        <v>0</v>
      </c>
      <c r="K1595" s="26">
        <v>2017</v>
      </c>
      <c r="L1595" t="s">
        <v>30</v>
      </c>
      <c r="M1595" s="32">
        <v>60</v>
      </c>
      <c r="N1595">
        <v>6.6570999999999998</v>
      </c>
      <c r="O1595">
        <v>12</v>
      </c>
      <c r="P1595" t="s">
        <v>602</v>
      </c>
      <c r="Q1595">
        <v>89.3</v>
      </c>
      <c r="R1595" t="s">
        <v>13</v>
      </c>
      <c r="S1595" t="s">
        <v>14</v>
      </c>
      <c r="T1595" t="s">
        <v>14</v>
      </c>
      <c r="U1595" s="34">
        <v>3</v>
      </c>
      <c r="V1595" s="34">
        <v>3.5</v>
      </c>
      <c r="W1595" s="25">
        <v>3.25</v>
      </c>
      <c r="X1595" s="25">
        <v>0.5</v>
      </c>
      <c r="Y1595">
        <v>1.062755103</v>
      </c>
      <c r="Z1595" t="s">
        <v>1114</v>
      </c>
      <c r="AA1595" t="s">
        <v>622</v>
      </c>
      <c r="AB1595">
        <v>6</v>
      </c>
      <c r="AC1595">
        <v>0.05</v>
      </c>
      <c r="AD1595">
        <v>0.02</v>
      </c>
      <c r="AE1595" t="s">
        <v>519</v>
      </c>
      <c r="AF1595" t="s">
        <v>524</v>
      </c>
      <c r="AG1595" s="32">
        <v>50</v>
      </c>
      <c r="AH1595" s="32" t="s">
        <v>1331</v>
      </c>
      <c r="AI1595" s="32" t="s">
        <v>2668</v>
      </c>
      <c r="AJ1595" s="31" t="s">
        <v>1371</v>
      </c>
      <c r="AK1595" s="31">
        <v>0.89</v>
      </c>
      <c r="AL1595" s="31">
        <v>44.5</v>
      </c>
      <c r="AM1595" s="31">
        <v>5.5</v>
      </c>
      <c r="AN1595" s="31">
        <v>331.73678611422173</v>
      </c>
      <c r="AO1595" s="31">
        <v>41.001175811870098</v>
      </c>
      <c r="AP1595" s="31">
        <v>0.35255496229570871</v>
      </c>
      <c r="AQ1595" s="31">
        <v>4.3574208823065112E-2</v>
      </c>
      <c r="AR1595" s="31">
        <v>1.4721509040515557E-2</v>
      </c>
    </row>
    <row r="1596" spans="1:44" hidden="1" x14ac:dyDescent="0.5">
      <c r="A1596" s="31">
        <v>1595</v>
      </c>
      <c r="B1596" s="52">
        <v>117</v>
      </c>
      <c r="C1596" s="225" t="s">
        <v>43</v>
      </c>
      <c r="D1596" s="41">
        <v>57.3</v>
      </c>
      <c r="E1596" s="43">
        <v>-10.382999999999999</v>
      </c>
      <c r="F1596">
        <v>110</v>
      </c>
      <c r="G1596">
        <f t="shared" si="20"/>
        <v>177027.84</v>
      </c>
      <c r="H1596" s="32" t="s">
        <v>612</v>
      </c>
      <c r="I1596">
        <v>2200</v>
      </c>
      <c r="J1596">
        <v>0</v>
      </c>
      <c r="K1596" s="26">
        <v>2017</v>
      </c>
      <c r="L1596" t="s">
        <v>30</v>
      </c>
      <c r="M1596" s="32">
        <v>60</v>
      </c>
      <c r="N1596">
        <v>6.6570999999999998</v>
      </c>
      <c r="O1596">
        <v>12</v>
      </c>
      <c r="P1596" t="s">
        <v>602</v>
      </c>
      <c r="Q1596">
        <v>89.3</v>
      </c>
      <c r="R1596" t="s">
        <v>13</v>
      </c>
      <c r="S1596" t="s">
        <v>14</v>
      </c>
      <c r="T1596" t="s">
        <v>14</v>
      </c>
      <c r="U1596" s="34">
        <v>3.5</v>
      </c>
      <c r="V1596" s="34">
        <v>4</v>
      </c>
      <c r="W1596" s="25">
        <v>3.75</v>
      </c>
      <c r="X1596" s="25">
        <v>0.5</v>
      </c>
      <c r="Y1596">
        <v>1.062755103</v>
      </c>
      <c r="Z1596" t="s">
        <v>1114</v>
      </c>
      <c r="AA1596" t="s">
        <v>622</v>
      </c>
      <c r="AB1596">
        <v>6</v>
      </c>
      <c r="AC1596">
        <v>7.0000000000000007E-2</v>
      </c>
      <c r="AD1596">
        <v>0.04</v>
      </c>
      <c r="AE1596" t="s">
        <v>519</v>
      </c>
      <c r="AF1596" t="s">
        <v>524</v>
      </c>
      <c r="AG1596" s="32">
        <v>70</v>
      </c>
      <c r="AH1596" s="32" t="s">
        <v>1331</v>
      </c>
      <c r="AI1596" s="32" t="s">
        <v>2666</v>
      </c>
      <c r="AJ1596" s="31" t="s">
        <v>3438</v>
      </c>
      <c r="AK1596" s="31">
        <v>0.89</v>
      </c>
      <c r="AL1596" s="31">
        <v>62.300000000000004</v>
      </c>
      <c r="AM1596" s="31">
        <v>7.6999999999999957</v>
      </c>
      <c r="AN1596" s="31">
        <v>464.43150055991049</v>
      </c>
      <c r="AO1596" s="31">
        <v>57.401646136618112</v>
      </c>
      <c r="AP1596" s="31">
        <v>0.49357694721399226</v>
      </c>
      <c r="AQ1596" s="31">
        <v>6.1003892352291131E-2</v>
      </c>
      <c r="AR1596" s="31">
        <v>1.4721509040515557E-2</v>
      </c>
    </row>
    <row r="1597" spans="1:44" hidden="1" x14ac:dyDescent="0.5">
      <c r="A1597" s="31">
        <v>1596</v>
      </c>
      <c r="B1597" s="52">
        <v>117</v>
      </c>
      <c r="C1597" s="225" t="s">
        <v>43</v>
      </c>
      <c r="D1597" s="41">
        <v>57.3</v>
      </c>
      <c r="E1597" s="43">
        <v>-10.382999999999999</v>
      </c>
      <c r="F1597">
        <v>110</v>
      </c>
      <c r="G1597">
        <f t="shared" si="20"/>
        <v>177027.84</v>
      </c>
      <c r="H1597" s="32" t="s">
        <v>612</v>
      </c>
      <c r="I1597">
        <v>2200</v>
      </c>
      <c r="J1597">
        <v>0</v>
      </c>
      <c r="K1597" s="26">
        <v>2017</v>
      </c>
      <c r="L1597" t="s">
        <v>30</v>
      </c>
      <c r="M1597" s="32">
        <v>60</v>
      </c>
      <c r="N1597">
        <v>6.6570999999999998</v>
      </c>
      <c r="O1597">
        <v>12</v>
      </c>
      <c r="P1597" t="s">
        <v>602</v>
      </c>
      <c r="Q1597">
        <v>89.3</v>
      </c>
      <c r="R1597" t="s">
        <v>13</v>
      </c>
      <c r="S1597" t="s">
        <v>14</v>
      </c>
      <c r="T1597" t="s">
        <v>14</v>
      </c>
      <c r="U1597" s="34">
        <v>4</v>
      </c>
      <c r="V1597" s="34">
        <v>4.5</v>
      </c>
      <c r="W1597" s="25">
        <v>4.25</v>
      </c>
      <c r="X1597" s="25">
        <v>0.5</v>
      </c>
      <c r="Y1597">
        <v>1.062755103</v>
      </c>
      <c r="Z1597" t="s">
        <v>1114</v>
      </c>
      <c r="AA1597" t="s">
        <v>622</v>
      </c>
      <c r="AB1597">
        <v>6</v>
      </c>
      <c r="AC1597">
        <v>0.1</v>
      </c>
      <c r="AD1597">
        <v>0.9</v>
      </c>
      <c r="AE1597" t="s">
        <v>519</v>
      </c>
      <c r="AF1597" t="s">
        <v>524</v>
      </c>
      <c r="AG1597" s="32">
        <v>100</v>
      </c>
      <c r="AH1597" s="32" t="s">
        <v>1331</v>
      </c>
      <c r="AI1597" s="32">
        <v>89</v>
      </c>
      <c r="AJ1597" s="31">
        <v>11</v>
      </c>
      <c r="AK1597" s="31">
        <v>0.89</v>
      </c>
      <c r="AL1597" s="31">
        <v>89</v>
      </c>
      <c r="AM1597" s="31">
        <v>11</v>
      </c>
      <c r="AN1597" s="31">
        <v>663.47357222844346</v>
      </c>
      <c r="AO1597" s="31">
        <v>82.002351623740196</v>
      </c>
      <c r="AP1597" s="31">
        <v>0.70510992459141741</v>
      </c>
      <c r="AQ1597" s="31">
        <v>8.7148417646130225E-2</v>
      </c>
      <c r="AR1597" s="31">
        <v>1.4721509040515557E-2</v>
      </c>
    </row>
    <row r="1598" spans="1:44" hidden="1" x14ac:dyDescent="0.5">
      <c r="A1598" s="31">
        <v>1597</v>
      </c>
      <c r="B1598" s="52">
        <v>117</v>
      </c>
      <c r="C1598" s="225" t="s">
        <v>43</v>
      </c>
      <c r="D1598" s="41">
        <v>57.3</v>
      </c>
      <c r="E1598" s="43">
        <v>-10.382999999999999</v>
      </c>
      <c r="F1598">
        <v>110</v>
      </c>
      <c r="G1598">
        <f t="shared" si="20"/>
        <v>177027.84</v>
      </c>
      <c r="H1598" s="32" t="s">
        <v>612</v>
      </c>
      <c r="I1598">
        <v>2200</v>
      </c>
      <c r="J1598">
        <v>0</v>
      </c>
      <c r="K1598" s="26">
        <v>2017</v>
      </c>
      <c r="L1598" t="s">
        <v>30</v>
      </c>
      <c r="M1598" s="32">
        <v>60</v>
      </c>
      <c r="N1598">
        <v>6.6570999999999998</v>
      </c>
      <c r="O1598">
        <v>12</v>
      </c>
      <c r="P1598" t="s">
        <v>602</v>
      </c>
      <c r="Q1598">
        <v>89.3</v>
      </c>
      <c r="R1598" t="s">
        <v>13</v>
      </c>
      <c r="S1598" t="s">
        <v>14</v>
      </c>
      <c r="T1598" t="s">
        <v>14</v>
      </c>
      <c r="U1598" s="34">
        <v>4.5</v>
      </c>
      <c r="V1598" s="34">
        <v>5</v>
      </c>
      <c r="W1598" s="25">
        <v>4.75</v>
      </c>
      <c r="X1598" s="25">
        <v>0.5</v>
      </c>
      <c r="Y1598">
        <v>1.062755103</v>
      </c>
      <c r="Z1598" t="s">
        <v>1114</v>
      </c>
      <c r="AA1598" t="s">
        <v>622</v>
      </c>
      <c r="AB1598">
        <v>6</v>
      </c>
      <c r="AC1598">
        <v>7.0000000000000007E-2</v>
      </c>
      <c r="AD1598">
        <v>0.04</v>
      </c>
      <c r="AE1598" t="s">
        <v>519</v>
      </c>
      <c r="AF1598" t="s">
        <v>524</v>
      </c>
      <c r="AG1598" s="32">
        <v>70</v>
      </c>
      <c r="AH1598" s="32" t="s">
        <v>1331</v>
      </c>
      <c r="AI1598" s="32" t="s">
        <v>2666</v>
      </c>
      <c r="AJ1598" s="31" t="s">
        <v>3438</v>
      </c>
      <c r="AK1598" s="31">
        <v>0.89</v>
      </c>
      <c r="AL1598" s="31">
        <v>62.300000000000004</v>
      </c>
      <c r="AM1598" s="31">
        <v>7.6999999999999957</v>
      </c>
      <c r="AN1598" s="31">
        <v>464.43150055991049</v>
      </c>
      <c r="AO1598" s="31">
        <v>57.401646136618112</v>
      </c>
      <c r="AP1598" s="31">
        <v>0.49357694721399226</v>
      </c>
      <c r="AQ1598" s="31">
        <v>6.1003892352291131E-2</v>
      </c>
      <c r="AR1598" s="31">
        <v>1.4721509040515557E-2</v>
      </c>
    </row>
    <row r="1599" spans="1:44" hidden="1" x14ac:dyDescent="0.5">
      <c r="A1599" s="31">
        <v>1598</v>
      </c>
      <c r="B1599" s="52">
        <v>117</v>
      </c>
      <c r="C1599" s="225" t="s">
        <v>43</v>
      </c>
      <c r="D1599" s="41">
        <v>57.3</v>
      </c>
      <c r="E1599" s="43">
        <v>-10.382999999999999</v>
      </c>
      <c r="F1599">
        <v>110</v>
      </c>
      <c r="G1599">
        <f t="shared" si="20"/>
        <v>177027.84</v>
      </c>
      <c r="H1599" s="32" t="s">
        <v>612</v>
      </c>
      <c r="I1599">
        <v>2200</v>
      </c>
      <c r="J1599">
        <v>0</v>
      </c>
      <c r="K1599" s="26">
        <v>2017</v>
      </c>
      <c r="L1599" t="s">
        <v>30</v>
      </c>
      <c r="M1599" s="32">
        <v>60</v>
      </c>
      <c r="N1599">
        <v>6.6570999999999998</v>
      </c>
      <c r="O1599">
        <v>12</v>
      </c>
      <c r="P1599" t="s">
        <v>602</v>
      </c>
      <c r="Q1599">
        <v>89.3</v>
      </c>
      <c r="R1599" t="s">
        <v>13</v>
      </c>
      <c r="S1599" t="s">
        <v>14</v>
      </c>
      <c r="T1599" t="s">
        <v>14</v>
      </c>
      <c r="U1599" s="34">
        <v>5</v>
      </c>
      <c r="V1599" s="34">
        <v>6</v>
      </c>
      <c r="W1599" s="25">
        <v>5.5</v>
      </c>
      <c r="X1599" s="25">
        <v>1</v>
      </c>
      <c r="Y1599">
        <v>1.062755103</v>
      </c>
      <c r="Z1599" t="s">
        <v>1114</v>
      </c>
      <c r="AA1599" t="s">
        <v>622</v>
      </c>
      <c r="AB1599">
        <v>6</v>
      </c>
      <c r="AC1599">
        <v>0.04</v>
      </c>
      <c r="AD1599">
        <v>0.02</v>
      </c>
      <c r="AE1599" t="s">
        <v>519</v>
      </c>
      <c r="AF1599" t="s">
        <v>524</v>
      </c>
      <c r="AG1599" s="32">
        <v>40</v>
      </c>
      <c r="AH1599" s="32" t="s">
        <v>1331</v>
      </c>
      <c r="AI1599" s="32" t="s">
        <v>2669</v>
      </c>
      <c r="AJ1599" s="31" t="s">
        <v>2650</v>
      </c>
      <c r="AK1599" s="31">
        <v>0.89</v>
      </c>
      <c r="AL1599" s="31">
        <v>35.6</v>
      </c>
      <c r="AM1599" s="31">
        <v>4.3999999999999986</v>
      </c>
      <c r="AN1599" s="31">
        <v>265.38942889137741</v>
      </c>
      <c r="AO1599" s="31">
        <v>32.800940649496077</v>
      </c>
      <c r="AP1599" s="31">
        <v>0.28204396983656693</v>
      </c>
      <c r="AQ1599" s="31">
        <v>3.4859367058452086E-2</v>
      </c>
      <c r="AR1599" s="31">
        <v>1.4721509040515557E-2</v>
      </c>
    </row>
    <row r="1600" spans="1:44" hidden="1" x14ac:dyDescent="0.5">
      <c r="A1600" s="31">
        <v>1599</v>
      </c>
      <c r="B1600" s="52">
        <v>117</v>
      </c>
      <c r="C1600" s="225" t="s">
        <v>43</v>
      </c>
      <c r="D1600" s="41">
        <v>57.3</v>
      </c>
      <c r="E1600" s="43">
        <v>-10.382999999999999</v>
      </c>
      <c r="F1600">
        <v>110</v>
      </c>
      <c r="G1600">
        <f t="shared" si="20"/>
        <v>177027.84</v>
      </c>
      <c r="H1600" s="32" t="s">
        <v>612</v>
      </c>
      <c r="I1600">
        <v>2200</v>
      </c>
      <c r="J1600">
        <v>0</v>
      </c>
      <c r="K1600" s="26">
        <v>2017</v>
      </c>
      <c r="L1600" t="s">
        <v>30</v>
      </c>
      <c r="M1600" s="32">
        <v>60</v>
      </c>
      <c r="N1600">
        <v>6.6570999999999998</v>
      </c>
      <c r="O1600">
        <v>12</v>
      </c>
      <c r="P1600" t="s">
        <v>602</v>
      </c>
      <c r="Q1600">
        <v>89.3</v>
      </c>
      <c r="R1600" t="s">
        <v>13</v>
      </c>
      <c r="S1600" t="s">
        <v>14</v>
      </c>
      <c r="T1600" t="s">
        <v>14</v>
      </c>
      <c r="U1600" s="34">
        <v>6</v>
      </c>
      <c r="V1600" s="34">
        <v>7</v>
      </c>
      <c r="W1600" s="25">
        <v>6.5</v>
      </c>
      <c r="X1600" s="25">
        <v>1</v>
      </c>
      <c r="Y1600">
        <v>1.062755103</v>
      </c>
      <c r="Z1600" t="s">
        <v>1114</v>
      </c>
      <c r="AA1600" t="s">
        <v>622</v>
      </c>
      <c r="AB1600">
        <v>6</v>
      </c>
      <c r="AC1600">
        <v>7.0000000000000007E-2</v>
      </c>
      <c r="AD1600">
        <v>0.04</v>
      </c>
      <c r="AE1600" t="s">
        <v>519</v>
      </c>
      <c r="AF1600" t="s">
        <v>524</v>
      </c>
      <c r="AG1600" s="32">
        <v>70</v>
      </c>
      <c r="AH1600" s="32" t="s">
        <v>1331</v>
      </c>
      <c r="AI1600" s="32" t="s">
        <v>2666</v>
      </c>
      <c r="AJ1600" s="31" t="s">
        <v>3438</v>
      </c>
      <c r="AK1600" s="31">
        <v>0.89</v>
      </c>
      <c r="AL1600" s="31">
        <v>62.300000000000004</v>
      </c>
      <c r="AM1600" s="31">
        <v>7.6999999999999957</v>
      </c>
      <c r="AN1600" s="31">
        <v>464.43150055991049</v>
      </c>
      <c r="AO1600" s="31">
        <v>57.401646136618112</v>
      </c>
      <c r="AP1600" s="31">
        <v>0.49357694721399226</v>
      </c>
      <c r="AQ1600" s="31">
        <v>6.1003892352291131E-2</v>
      </c>
      <c r="AR1600" s="31">
        <v>1.4721509040515557E-2</v>
      </c>
    </row>
    <row r="1601" spans="1:44" hidden="1" x14ac:dyDescent="0.5">
      <c r="A1601" s="31">
        <v>1600</v>
      </c>
      <c r="B1601" s="52">
        <v>117</v>
      </c>
      <c r="C1601" s="225" t="s">
        <v>43</v>
      </c>
      <c r="D1601" s="41">
        <v>57.3</v>
      </c>
      <c r="E1601" s="43">
        <v>-10.382999999999999</v>
      </c>
      <c r="F1601">
        <v>110</v>
      </c>
      <c r="G1601">
        <f t="shared" si="20"/>
        <v>177027.84</v>
      </c>
      <c r="H1601" s="32" t="s">
        <v>612</v>
      </c>
      <c r="I1601">
        <v>2200</v>
      </c>
      <c r="J1601">
        <v>0</v>
      </c>
      <c r="K1601" s="26">
        <v>2017</v>
      </c>
      <c r="L1601" t="s">
        <v>30</v>
      </c>
      <c r="M1601" s="32">
        <v>60</v>
      </c>
      <c r="N1601">
        <v>6.6570999999999998</v>
      </c>
      <c r="O1601">
        <v>12</v>
      </c>
      <c r="P1601" t="s">
        <v>602</v>
      </c>
      <c r="Q1601">
        <v>89.3</v>
      </c>
      <c r="R1601" t="s">
        <v>13</v>
      </c>
      <c r="S1601" t="s">
        <v>14</v>
      </c>
      <c r="T1601" t="s">
        <v>14</v>
      </c>
      <c r="U1601" s="34">
        <v>7</v>
      </c>
      <c r="V1601" s="34">
        <v>8</v>
      </c>
      <c r="W1601" s="25">
        <v>7.5</v>
      </c>
      <c r="X1601" s="25">
        <v>1</v>
      </c>
      <c r="Y1601">
        <v>1.062755103</v>
      </c>
      <c r="Z1601" t="s">
        <v>1114</v>
      </c>
      <c r="AA1601" t="s">
        <v>622</v>
      </c>
      <c r="AB1601">
        <v>6</v>
      </c>
      <c r="AC1601">
        <v>0.04</v>
      </c>
      <c r="AD1601">
        <v>1.4999999999999999E-2</v>
      </c>
      <c r="AE1601" t="s">
        <v>519</v>
      </c>
      <c r="AF1601" t="s">
        <v>524</v>
      </c>
      <c r="AG1601" s="32">
        <v>40</v>
      </c>
      <c r="AH1601" s="32" t="s">
        <v>1331</v>
      </c>
      <c r="AI1601" s="32" t="s">
        <v>2669</v>
      </c>
      <c r="AJ1601" s="31" t="s">
        <v>2650</v>
      </c>
      <c r="AK1601" s="31">
        <v>0.89</v>
      </c>
      <c r="AL1601" s="31">
        <v>35.6</v>
      </c>
      <c r="AM1601" s="31">
        <v>4.3999999999999986</v>
      </c>
      <c r="AN1601" s="31">
        <v>265.38942889137741</v>
      </c>
      <c r="AO1601" s="31">
        <v>32.800940649496077</v>
      </c>
      <c r="AP1601" s="31">
        <v>0.28204396983656693</v>
      </c>
      <c r="AQ1601" s="31">
        <v>3.4859367058452086E-2</v>
      </c>
      <c r="AR1601" s="31">
        <v>1.4721509040515557E-2</v>
      </c>
    </row>
    <row r="1602" spans="1:44" hidden="1" x14ac:dyDescent="0.5">
      <c r="A1602" s="31">
        <v>1601</v>
      </c>
      <c r="B1602" s="52">
        <v>117</v>
      </c>
      <c r="C1602" s="225" t="s">
        <v>43</v>
      </c>
      <c r="D1602" s="41">
        <v>57.3</v>
      </c>
      <c r="E1602" s="43">
        <v>-10.382999999999999</v>
      </c>
      <c r="F1602">
        <v>110</v>
      </c>
      <c r="G1602">
        <f t="shared" si="20"/>
        <v>177027.84</v>
      </c>
      <c r="H1602" s="32" t="s">
        <v>612</v>
      </c>
      <c r="I1602">
        <v>2200</v>
      </c>
      <c r="J1602">
        <v>0</v>
      </c>
      <c r="K1602" s="26">
        <v>2017</v>
      </c>
      <c r="L1602" t="s">
        <v>30</v>
      </c>
      <c r="M1602" s="32">
        <v>60</v>
      </c>
      <c r="N1602">
        <v>6.6570999999999998</v>
      </c>
      <c r="O1602">
        <v>12</v>
      </c>
      <c r="P1602" t="s">
        <v>602</v>
      </c>
      <c r="Q1602">
        <v>89.3</v>
      </c>
      <c r="R1602" t="s">
        <v>13</v>
      </c>
      <c r="S1602" t="s">
        <v>14</v>
      </c>
      <c r="T1602" t="s">
        <v>14</v>
      </c>
      <c r="U1602" s="34">
        <v>8</v>
      </c>
      <c r="V1602" s="34">
        <v>9</v>
      </c>
      <c r="W1602" s="25">
        <v>8.5</v>
      </c>
      <c r="X1602" s="25">
        <v>1</v>
      </c>
      <c r="Y1602">
        <v>1.062755103</v>
      </c>
      <c r="Z1602" t="s">
        <v>1114</v>
      </c>
      <c r="AA1602" t="s">
        <v>622</v>
      </c>
      <c r="AB1602">
        <v>6</v>
      </c>
      <c r="AC1602">
        <v>0.02</v>
      </c>
      <c r="AD1602">
        <v>0.01</v>
      </c>
      <c r="AE1602" t="s">
        <v>519</v>
      </c>
      <c r="AF1602" t="s">
        <v>524</v>
      </c>
      <c r="AG1602" s="32">
        <v>20</v>
      </c>
      <c r="AH1602" s="32" t="s">
        <v>1331</v>
      </c>
      <c r="AI1602" s="32" t="s">
        <v>2670</v>
      </c>
      <c r="AJ1602" s="31" t="s">
        <v>2518</v>
      </c>
      <c r="AK1602" s="31">
        <v>0.89</v>
      </c>
      <c r="AL1602" s="31">
        <v>17.8</v>
      </c>
      <c r="AM1602" s="31">
        <v>2.1999999999999993</v>
      </c>
      <c r="AN1602" s="31">
        <v>132.6947144456887</v>
      </c>
      <c r="AO1602" s="31">
        <v>16.400470324748039</v>
      </c>
      <c r="AP1602" s="31">
        <v>0.14102198491828347</v>
      </c>
      <c r="AQ1602" s="31">
        <v>1.7429683529226043E-2</v>
      </c>
      <c r="AR1602" s="31">
        <v>1.4721509040515557E-2</v>
      </c>
    </row>
    <row r="1603" spans="1:44" hidden="1" x14ac:dyDescent="0.5">
      <c r="A1603" s="31">
        <v>1602</v>
      </c>
      <c r="B1603" s="52">
        <v>117</v>
      </c>
      <c r="C1603" s="225" t="s">
        <v>43</v>
      </c>
      <c r="D1603" s="41">
        <v>57.3</v>
      </c>
      <c r="E1603" s="43">
        <v>-10.382999999999999</v>
      </c>
      <c r="F1603">
        <v>110</v>
      </c>
      <c r="G1603">
        <f t="shared" si="20"/>
        <v>177027.84</v>
      </c>
      <c r="H1603" s="32" t="s">
        <v>612</v>
      </c>
      <c r="I1603">
        <v>2200</v>
      </c>
      <c r="J1603">
        <v>0</v>
      </c>
      <c r="K1603" s="26">
        <v>2017</v>
      </c>
      <c r="L1603" t="s">
        <v>30</v>
      </c>
      <c r="M1603" s="32">
        <v>60</v>
      </c>
      <c r="N1603">
        <v>6.6570999999999998</v>
      </c>
      <c r="O1603">
        <v>12</v>
      </c>
      <c r="P1603" t="s">
        <v>602</v>
      </c>
      <c r="Q1603">
        <v>89.3</v>
      </c>
      <c r="R1603" t="s">
        <v>13</v>
      </c>
      <c r="S1603" t="s">
        <v>14</v>
      </c>
      <c r="T1603" t="s">
        <v>14</v>
      </c>
      <c r="U1603" s="34">
        <v>9</v>
      </c>
      <c r="V1603" s="34">
        <v>10</v>
      </c>
      <c r="W1603" s="25">
        <v>9.5</v>
      </c>
      <c r="X1603" s="25">
        <v>1</v>
      </c>
      <c r="Y1603">
        <v>1.062755103</v>
      </c>
      <c r="Z1603" t="s">
        <v>1114</v>
      </c>
      <c r="AA1603" t="s">
        <v>622</v>
      </c>
      <c r="AB1603">
        <v>6</v>
      </c>
      <c r="AC1603">
        <v>0.05</v>
      </c>
      <c r="AD1603">
        <v>0.03</v>
      </c>
      <c r="AE1603" t="s">
        <v>519</v>
      </c>
      <c r="AF1603" t="s">
        <v>524</v>
      </c>
      <c r="AG1603" s="32">
        <v>50</v>
      </c>
      <c r="AH1603" s="32" t="s">
        <v>1331</v>
      </c>
      <c r="AI1603" s="32" t="s">
        <v>2668</v>
      </c>
      <c r="AJ1603" s="31" t="s">
        <v>1371</v>
      </c>
      <c r="AK1603" s="31">
        <v>0.89</v>
      </c>
      <c r="AL1603" s="31">
        <v>44.5</v>
      </c>
      <c r="AM1603" s="31">
        <v>5.5</v>
      </c>
      <c r="AN1603" s="31">
        <v>331.73678611422173</v>
      </c>
      <c r="AO1603" s="31">
        <v>41.001175811870098</v>
      </c>
      <c r="AP1603" s="31">
        <v>0.35255496229570871</v>
      </c>
      <c r="AQ1603" s="31">
        <v>4.3574208823065112E-2</v>
      </c>
      <c r="AR1603" s="31">
        <v>1.4721509040515557E-2</v>
      </c>
    </row>
    <row r="1604" spans="1:44" hidden="1" x14ac:dyDescent="0.5">
      <c r="A1604" s="31">
        <v>1603</v>
      </c>
      <c r="B1604" s="52">
        <v>117</v>
      </c>
      <c r="C1604" s="225" t="s">
        <v>43</v>
      </c>
      <c r="D1604" s="41">
        <v>57.3</v>
      </c>
      <c r="E1604" s="43">
        <v>-10.382999999999999</v>
      </c>
      <c r="F1604">
        <v>110</v>
      </c>
      <c r="G1604">
        <f t="shared" si="20"/>
        <v>177027.84</v>
      </c>
      <c r="H1604" s="32" t="s">
        <v>612</v>
      </c>
      <c r="I1604">
        <v>2200</v>
      </c>
      <c r="J1604">
        <v>0</v>
      </c>
      <c r="K1604" s="26">
        <v>2017</v>
      </c>
      <c r="L1604" t="s">
        <v>30</v>
      </c>
      <c r="M1604" s="32">
        <v>60</v>
      </c>
      <c r="N1604">
        <v>6.6570999999999998</v>
      </c>
      <c r="O1604">
        <v>12</v>
      </c>
      <c r="P1604" t="s">
        <v>602</v>
      </c>
      <c r="Q1604">
        <v>89.3</v>
      </c>
      <c r="R1604" t="s">
        <v>13</v>
      </c>
      <c r="S1604" t="s">
        <v>14</v>
      </c>
      <c r="T1604" t="s">
        <v>14</v>
      </c>
      <c r="U1604" s="34">
        <v>0</v>
      </c>
      <c r="V1604" s="34">
        <v>0.5</v>
      </c>
      <c r="W1604" s="25">
        <v>0.25</v>
      </c>
      <c r="X1604" s="25">
        <v>0.5</v>
      </c>
      <c r="Y1604">
        <v>1.062755103</v>
      </c>
      <c r="Z1604" t="s">
        <v>1114</v>
      </c>
      <c r="AA1604" t="s">
        <v>622</v>
      </c>
      <c r="AB1604">
        <v>6</v>
      </c>
      <c r="AC1604">
        <v>0.2</v>
      </c>
      <c r="AD1604">
        <v>0.12</v>
      </c>
      <c r="AF1604" t="s">
        <v>524</v>
      </c>
      <c r="AG1604" s="32">
        <v>200</v>
      </c>
      <c r="AH1604" s="32" t="s">
        <v>1331</v>
      </c>
      <c r="AI1604" s="32">
        <v>178</v>
      </c>
      <c r="AJ1604" s="31">
        <v>22</v>
      </c>
      <c r="AK1604" s="31">
        <v>0.89</v>
      </c>
      <c r="AL1604" s="31">
        <v>178</v>
      </c>
      <c r="AM1604" s="31">
        <v>22</v>
      </c>
      <c r="AN1604" s="31">
        <v>1326.9471444568869</v>
      </c>
      <c r="AO1604" s="31">
        <v>164.00470324748039</v>
      </c>
      <c r="AP1604" s="31">
        <v>1.4102198491828348</v>
      </c>
      <c r="AQ1604" s="31">
        <v>0.17429683529226045</v>
      </c>
      <c r="AR1604" s="31">
        <v>1.4721509040515557E-2</v>
      </c>
    </row>
    <row r="1605" spans="1:44" hidden="1" x14ac:dyDescent="0.5">
      <c r="A1605" s="31">
        <v>1604</v>
      </c>
      <c r="B1605" s="52">
        <v>118</v>
      </c>
      <c r="C1605" s="225" t="s">
        <v>43</v>
      </c>
      <c r="D1605" s="43">
        <v>-54.351799999999997</v>
      </c>
      <c r="E1605" s="43">
        <v>-36.374000000000002</v>
      </c>
      <c r="F1605">
        <v>0.8</v>
      </c>
      <c r="G1605">
        <f t="shared" si="20"/>
        <v>1287.4752000000001</v>
      </c>
      <c r="H1605" s="32" t="s">
        <v>614</v>
      </c>
      <c r="I1605">
        <v>136</v>
      </c>
      <c r="J1605">
        <v>0</v>
      </c>
      <c r="K1605" s="26">
        <v>2018</v>
      </c>
      <c r="L1605" t="s">
        <v>30</v>
      </c>
      <c r="M1605" s="32">
        <v>80</v>
      </c>
      <c r="N1605">
        <v>9.0254600000000007</v>
      </c>
      <c r="O1605">
        <v>2</v>
      </c>
      <c r="P1605" t="s">
        <v>35</v>
      </c>
      <c r="Q1605">
        <v>93</v>
      </c>
      <c r="R1605" t="s">
        <v>13</v>
      </c>
      <c r="S1605" t="s">
        <v>14</v>
      </c>
      <c r="T1605" t="s">
        <v>14</v>
      </c>
      <c r="U1605" s="34">
        <v>0</v>
      </c>
      <c r="V1605" s="34">
        <v>2</v>
      </c>
      <c r="W1605" s="25">
        <v>1</v>
      </c>
      <c r="X1605" s="25">
        <v>2</v>
      </c>
      <c r="Y1605">
        <v>1.1435670570000001</v>
      </c>
      <c r="Z1605" t="s">
        <v>834</v>
      </c>
      <c r="AA1605" t="s">
        <v>666</v>
      </c>
      <c r="AB1605">
        <v>1</v>
      </c>
      <c r="AC1605">
        <v>0.59124717599999999</v>
      </c>
      <c r="AF1605" t="s">
        <v>524</v>
      </c>
      <c r="AG1605" s="32" t="s">
        <v>2671</v>
      </c>
      <c r="AH1605" s="32" t="s">
        <v>2181</v>
      </c>
      <c r="AI1605" s="32" t="s">
        <v>2672</v>
      </c>
      <c r="AJ1605" s="31" t="s">
        <v>3440</v>
      </c>
      <c r="AK1605" s="31">
        <v>0.39</v>
      </c>
      <c r="AL1605" s="31">
        <v>230.58639864</v>
      </c>
      <c r="AM1605" s="31">
        <v>360.66077736</v>
      </c>
      <c r="AN1605" s="31">
        <v>2237.7938897520157</v>
      </c>
      <c r="AO1605" s="31">
        <v>3500.1391608941781</v>
      </c>
      <c r="AP1605" s="31">
        <v>2.5590673726762949</v>
      </c>
      <c r="AQ1605" s="31">
        <v>4.0026438393142048</v>
      </c>
      <c r="AR1605" s="31">
        <v>0.11642332811254341</v>
      </c>
    </row>
    <row r="1606" spans="1:44" hidden="1" x14ac:dyDescent="0.5">
      <c r="A1606" s="31">
        <v>1605</v>
      </c>
      <c r="B1606" s="52">
        <v>118</v>
      </c>
      <c r="C1606" s="225" t="s">
        <v>43</v>
      </c>
      <c r="D1606" s="43">
        <v>-54.287799999999997</v>
      </c>
      <c r="E1606" s="43">
        <v>-36.378500000000003</v>
      </c>
      <c r="F1606">
        <v>0</v>
      </c>
      <c r="G1606">
        <f t="shared" si="20"/>
        <v>0</v>
      </c>
      <c r="H1606" s="32" t="s">
        <v>614</v>
      </c>
      <c r="I1606">
        <v>142</v>
      </c>
      <c r="J1606">
        <v>0</v>
      </c>
      <c r="K1606" s="26">
        <v>2018</v>
      </c>
      <c r="L1606" t="s">
        <v>30</v>
      </c>
      <c r="M1606" s="32">
        <v>80</v>
      </c>
      <c r="N1606">
        <v>9.0254600000000007</v>
      </c>
      <c r="O1606">
        <v>2</v>
      </c>
      <c r="P1606" t="s">
        <v>35</v>
      </c>
      <c r="Q1606">
        <v>93</v>
      </c>
      <c r="R1606" t="s">
        <v>13</v>
      </c>
      <c r="S1606" t="s">
        <v>14</v>
      </c>
      <c r="T1606" t="s">
        <v>14</v>
      </c>
      <c r="U1606" s="34">
        <v>0</v>
      </c>
      <c r="V1606" s="34">
        <v>2</v>
      </c>
      <c r="W1606" s="25">
        <v>1</v>
      </c>
      <c r="X1606" s="25">
        <v>2</v>
      </c>
      <c r="Y1606">
        <v>1.1435670570000001</v>
      </c>
      <c r="Z1606" t="s">
        <v>834</v>
      </c>
      <c r="AA1606" t="s">
        <v>666</v>
      </c>
      <c r="AB1606">
        <v>1</v>
      </c>
      <c r="AC1606">
        <v>0.31223621699999998</v>
      </c>
      <c r="AF1606" t="s">
        <v>524</v>
      </c>
      <c r="AG1606" s="32" t="s">
        <v>2673</v>
      </c>
      <c r="AH1606" s="32" t="s">
        <v>2181</v>
      </c>
      <c r="AI1606" s="32" t="s">
        <v>2674</v>
      </c>
      <c r="AJ1606" s="31" t="s">
        <v>3441</v>
      </c>
      <c r="AK1606" s="31">
        <v>0.39</v>
      </c>
      <c r="AL1606" s="31">
        <v>121.77212463000001</v>
      </c>
      <c r="AM1606" s="31">
        <v>190.46409237</v>
      </c>
      <c r="AN1606" s="31">
        <v>1181.7735913581505</v>
      </c>
      <c r="AO1606" s="31">
        <v>1848.4151044319788</v>
      </c>
      <c r="AP1606" s="31">
        <v>1.3514373479097608</v>
      </c>
      <c r="AQ1606" s="31">
        <v>2.1137866210896257</v>
      </c>
      <c r="AR1606" s="31">
        <v>0.1157255597266041</v>
      </c>
    </row>
    <row r="1607" spans="1:44" hidden="1" x14ac:dyDescent="0.5">
      <c r="A1607" s="31">
        <v>1195</v>
      </c>
      <c r="B1607" s="31">
        <v>83</v>
      </c>
      <c r="C1607" s="225" t="s">
        <v>32</v>
      </c>
      <c r="D1607" s="44">
        <v>34.287132999999997</v>
      </c>
      <c r="E1607" s="45">
        <v>-120.035583</v>
      </c>
      <c r="F1607">
        <v>11.5</v>
      </c>
      <c r="G1607">
        <f t="shared" si="20"/>
        <v>18507.456000000002</v>
      </c>
      <c r="H1607" s="32" t="s">
        <v>611</v>
      </c>
      <c r="I1607">
        <v>580</v>
      </c>
      <c r="J1607">
        <v>74.068332303951195</v>
      </c>
      <c r="K1607" s="26">
        <v>2010</v>
      </c>
      <c r="L1607" t="s">
        <v>30</v>
      </c>
      <c r="M1607" s="32">
        <v>104</v>
      </c>
      <c r="N1607">
        <v>11.913003570000001</v>
      </c>
      <c r="P1607" t="s">
        <v>17</v>
      </c>
      <c r="Q1607">
        <v>100</v>
      </c>
      <c r="R1607" t="s">
        <v>13</v>
      </c>
      <c r="S1607" t="s">
        <v>14</v>
      </c>
      <c r="T1607" t="s">
        <v>14</v>
      </c>
      <c r="U1607" s="34">
        <v>7.5</v>
      </c>
      <c r="V1607" s="34">
        <v>8</v>
      </c>
      <c r="W1607" s="25">
        <v>7.75</v>
      </c>
      <c r="X1607" s="25">
        <v>0.5</v>
      </c>
      <c r="Y1607">
        <v>0.58806967600000004</v>
      </c>
      <c r="Z1607" t="s">
        <v>1125</v>
      </c>
      <c r="AA1607" t="s">
        <v>622</v>
      </c>
      <c r="AB1607">
        <v>1</v>
      </c>
      <c r="AC1607">
        <v>3213.2932000000001</v>
      </c>
      <c r="AF1607" t="s">
        <v>521</v>
      </c>
      <c r="AG1607" s="32" t="s">
        <v>2263</v>
      </c>
      <c r="AH1607" s="32" t="s">
        <v>2264</v>
      </c>
      <c r="AI1607" s="32" t="s">
        <v>2265</v>
      </c>
      <c r="AJ1607" s="31" t="s">
        <v>3237</v>
      </c>
      <c r="AK1607" s="31">
        <v>0.82896020800000003</v>
      </c>
      <c r="AL1607" s="31">
        <v>905.91040760856572</v>
      </c>
      <c r="AM1607" s="31">
        <v>186.91696681296457</v>
      </c>
      <c r="AN1607" s="31">
        <v>10792.113919940999</v>
      </c>
      <c r="AO1607" s="31">
        <v>2226.7424929364188</v>
      </c>
      <c r="AP1607" s="31">
        <v>6.3465149362547937</v>
      </c>
      <c r="AQ1607" s="31">
        <v>1.309479736356552</v>
      </c>
      <c r="AR1607" s="31">
        <v>7.4618537027130172E-2</v>
      </c>
    </row>
    <row r="1608" spans="1:44" hidden="1" x14ac:dyDescent="0.5">
      <c r="A1608" s="31">
        <v>1196</v>
      </c>
      <c r="B1608" s="31">
        <v>83</v>
      </c>
      <c r="C1608" s="225" t="s">
        <v>32</v>
      </c>
      <c r="D1608" s="44">
        <v>34.287132999999997</v>
      </c>
      <c r="E1608" s="45">
        <v>-120.035583</v>
      </c>
      <c r="F1608">
        <v>11.5</v>
      </c>
      <c r="G1608">
        <f t="shared" si="20"/>
        <v>18507.456000000002</v>
      </c>
      <c r="H1608" s="32" t="s">
        <v>611</v>
      </c>
      <c r="I1608">
        <v>580</v>
      </c>
      <c r="J1608">
        <v>74.068332303951195</v>
      </c>
      <c r="K1608" s="26">
        <v>2010</v>
      </c>
      <c r="L1608" t="s">
        <v>30</v>
      </c>
      <c r="M1608" s="32">
        <v>104</v>
      </c>
      <c r="N1608">
        <v>11.913003570000001</v>
      </c>
      <c r="P1608" t="s">
        <v>17</v>
      </c>
      <c r="Q1608">
        <v>100</v>
      </c>
      <c r="R1608" t="s">
        <v>13</v>
      </c>
      <c r="S1608" t="s">
        <v>14</v>
      </c>
      <c r="T1608" t="s">
        <v>14</v>
      </c>
      <c r="U1608" s="34">
        <v>16</v>
      </c>
      <c r="V1608" s="34">
        <v>16.5</v>
      </c>
      <c r="W1608" s="25">
        <v>16.25</v>
      </c>
      <c r="X1608" s="25">
        <v>0.5</v>
      </c>
      <c r="Y1608">
        <v>0.58806967600000004</v>
      </c>
      <c r="Z1608" t="s">
        <v>1125</v>
      </c>
      <c r="AA1608" t="s">
        <v>622</v>
      </c>
      <c r="AB1608">
        <v>1</v>
      </c>
      <c r="AC1608">
        <v>3375.6624000000002</v>
      </c>
      <c r="AF1608" t="s">
        <v>521</v>
      </c>
      <c r="AG1608" s="32" t="s">
        <v>2266</v>
      </c>
      <c r="AH1608" s="32" t="s">
        <v>2267</v>
      </c>
      <c r="AI1608" s="32" t="s">
        <v>2268</v>
      </c>
      <c r="AJ1608" s="31" t="s">
        <v>3238</v>
      </c>
      <c r="AK1608" s="31">
        <v>0.34540954099999999</v>
      </c>
      <c r="AL1608" s="31">
        <v>396.54688814628088</v>
      </c>
      <c r="AM1608" s="31">
        <v>751.50156181324382</v>
      </c>
      <c r="AN1608" s="31">
        <v>4724.0644941590353</v>
      </c>
      <c r="AO1608" s="31">
        <v>8952.6407887417499</v>
      </c>
      <c r="AP1608" s="31">
        <v>2.7780790764832082</v>
      </c>
      <c r="AQ1608" s="31">
        <v>5.2647765679797454</v>
      </c>
      <c r="AR1608" s="31">
        <v>7.4618537027130172E-2</v>
      </c>
    </row>
    <row r="1609" spans="1:44" hidden="1" x14ac:dyDescent="0.5">
      <c r="A1609" s="31">
        <v>1197</v>
      </c>
      <c r="B1609" s="31">
        <v>83</v>
      </c>
      <c r="C1609" s="225" t="s">
        <v>32</v>
      </c>
      <c r="D1609" s="44">
        <v>34.287132999999997</v>
      </c>
      <c r="E1609" s="45">
        <v>-120.035583</v>
      </c>
      <c r="F1609">
        <v>11.5</v>
      </c>
      <c r="G1609">
        <f t="shared" si="20"/>
        <v>18507.456000000002</v>
      </c>
      <c r="H1609" s="32" t="s">
        <v>611</v>
      </c>
      <c r="I1609">
        <v>580</v>
      </c>
      <c r="J1609">
        <v>74.068332303951195</v>
      </c>
      <c r="K1609" s="26">
        <v>2010</v>
      </c>
      <c r="L1609" t="s">
        <v>30</v>
      </c>
      <c r="M1609" s="32">
        <v>104</v>
      </c>
      <c r="N1609">
        <v>11.913003570000001</v>
      </c>
      <c r="P1609" t="s">
        <v>17</v>
      </c>
      <c r="Q1609">
        <v>100</v>
      </c>
      <c r="R1609" t="s">
        <v>13</v>
      </c>
      <c r="S1609" t="s">
        <v>14</v>
      </c>
      <c r="T1609" t="s">
        <v>14</v>
      </c>
      <c r="U1609" s="34">
        <v>6</v>
      </c>
      <c r="V1609" s="34">
        <v>6.5</v>
      </c>
      <c r="W1609" s="25">
        <v>6.25</v>
      </c>
      <c r="X1609" s="25">
        <v>0.5</v>
      </c>
      <c r="Y1609">
        <v>0.58806967600000004</v>
      </c>
      <c r="Z1609" t="s">
        <v>1125</v>
      </c>
      <c r="AA1609" t="s">
        <v>622</v>
      </c>
      <c r="AB1609">
        <v>1</v>
      </c>
      <c r="AC1609">
        <v>3549.9034000000001</v>
      </c>
      <c r="AF1609" t="s">
        <v>521</v>
      </c>
      <c r="AG1609" s="32" t="s">
        <v>2269</v>
      </c>
      <c r="AH1609" s="32" t="s">
        <v>2270</v>
      </c>
      <c r="AI1609" s="32" t="s">
        <v>2271</v>
      </c>
      <c r="AJ1609" s="31" t="s">
        <v>3239</v>
      </c>
      <c r="AK1609" s="31">
        <v>0.67686202399999995</v>
      </c>
      <c r="AL1609" s="31">
        <v>817.18030988167504</v>
      </c>
      <c r="AM1609" s="31">
        <v>390.12676439093195</v>
      </c>
      <c r="AN1609" s="31">
        <v>9735.0719489541025</v>
      </c>
      <c r="AO1609" s="31">
        <v>4647.5815369417214</v>
      </c>
      <c r="AP1609" s="31">
        <v>5.7249006068581281</v>
      </c>
      <c r="AQ1609" s="31">
        <v>2.7331017686129</v>
      </c>
      <c r="AR1609" s="31">
        <v>7.4618537027130172E-2</v>
      </c>
    </row>
    <row r="1610" spans="1:44" hidden="1" x14ac:dyDescent="0.5">
      <c r="A1610" s="31">
        <v>1198</v>
      </c>
      <c r="B1610" s="31">
        <v>83</v>
      </c>
      <c r="C1610" s="225" t="s">
        <v>32</v>
      </c>
      <c r="D1610" s="44">
        <v>34.287132999999997</v>
      </c>
      <c r="E1610" s="45">
        <v>-120.035583</v>
      </c>
      <c r="F1610">
        <v>11.5</v>
      </c>
      <c r="G1610">
        <f t="shared" si="20"/>
        <v>18507.456000000002</v>
      </c>
      <c r="H1610" s="32" t="s">
        <v>611</v>
      </c>
      <c r="I1610">
        <v>580</v>
      </c>
      <c r="J1610">
        <v>74.068332303951195</v>
      </c>
      <c r="K1610" s="26">
        <v>2010</v>
      </c>
      <c r="L1610" t="s">
        <v>30</v>
      </c>
      <c r="M1610" s="32">
        <v>104</v>
      </c>
      <c r="N1610">
        <v>11.913003570000001</v>
      </c>
      <c r="P1610" t="s">
        <v>17</v>
      </c>
      <c r="Q1610">
        <v>100</v>
      </c>
      <c r="R1610" t="s">
        <v>13</v>
      </c>
      <c r="S1610" t="s">
        <v>14</v>
      </c>
      <c r="T1610" t="s">
        <v>14</v>
      </c>
      <c r="U1610" s="34">
        <v>4.5</v>
      </c>
      <c r="V1610" s="34">
        <v>5</v>
      </c>
      <c r="W1610" s="25">
        <v>4.75</v>
      </c>
      <c r="X1610" s="25">
        <v>0.5</v>
      </c>
      <c r="Y1610">
        <v>0.58806967600000004</v>
      </c>
      <c r="Z1610" t="s">
        <v>1125</v>
      </c>
      <c r="AA1610" t="s">
        <v>622</v>
      </c>
      <c r="AB1610">
        <v>1</v>
      </c>
      <c r="AC1610">
        <v>3783.85</v>
      </c>
      <c r="AF1610" t="s">
        <v>521</v>
      </c>
      <c r="AG1610" s="32" t="s">
        <v>2272</v>
      </c>
      <c r="AH1610" s="32" t="s">
        <v>2273</v>
      </c>
      <c r="AI1610" s="32" t="s">
        <v>2274</v>
      </c>
      <c r="AJ1610" s="31" t="s">
        <v>3240</v>
      </c>
      <c r="AK1610" s="31">
        <v>0.82860049999999996</v>
      </c>
      <c r="AL1610" s="31">
        <v>1066.3022188972723</v>
      </c>
      <c r="AM1610" s="31">
        <v>220.56910075227211</v>
      </c>
      <c r="AN1610" s="31">
        <v>12702.862140422127</v>
      </c>
      <c r="AO1610" s="31">
        <v>2627.6404846935075</v>
      </c>
      <c r="AP1610" s="31">
        <v>7.4701680231907073</v>
      </c>
      <c r="AQ1610" s="31">
        <v>1.5452356884781941</v>
      </c>
      <c r="AR1610" s="31">
        <v>7.4618537027130172E-2</v>
      </c>
    </row>
    <row r="1611" spans="1:44" hidden="1" x14ac:dyDescent="0.5">
      <c r="A1611" s="31">
        <v>1199</v>
      </c>
      <c r="B1611" s="31">
        <v>83</v>
      </c>
      <c r="C1611" s="225" t="s">
        <v>32</v>
      </c>
      <c r="D1611" s="44">
        <v>34.287132999999997</v>
      </c>
      <c r="E1611" s="45">
        <v>-120.035583</v>
      </c>
      <c r="F1611">
        <v>11.5</v>
      </c>
      <c r="G1611">
        <f t="shared" si="20"/>
        <v>18507.456000000002</v>
      </c>
      <c r="H1611" s="32" t="s">
        <v>611</v>
      </c>
      <c r="I1611">
        <v>580</v>
      </c>
      <c r="J1611">
        <v>74.068332303951195</v>
      </c>
      <c r="K1611" s="26">
        <v>2010</v>
      </c>
      <c r="L1611" t="s">
        <v>30</v>
      </c>
      <c r="M1611" s="32">
        <v>104</v>
      </c>
      <c r="N1611">
        <v>11.913003570000001</v>
      </c>
      <c r="P1611" t="s">
        <v>17</v>
      </c>
      <c r="Q1611">
        <v>100</v>
      </c>
      <c r="R1611" t="s">
        <v>13</v>
      </c>
      <c r="S1611" t="s">
        <v>14</v>
      </c>
      <c r="T1611" t="s">
        <v>14</v>
      </c>
      <c r="U1611" s="34">
        <v>4</v>
      </c>
      <c r="V1611" s="34">
        <v>4.5</v>
      </c>
      <c r="W1611" s="25">
        <v>4.25</v>
      </c>
      <c r="X1611" s="25">
        <v>0.5</v>
      </c>
      <c r="Y1611">
        <v>0.58806967600000004</v>
      </c>
      <c r="Z1611" t="s">
        <v>1125</v>
      </c>
      <c r="AA1611" t="s">
        <v>622</v>
      </c>
      <c r="AB1611">
        <v>1</v>
      </c>
      <c r="AC1611">
        <v>3987.7087999999999</v>
      </c>
      <c r="AF1611" t="s">
        <v>521</v>
      </c>
      <c r="AG1611" s="32" t="s">
        <v>2275</v>
      </c>
      <c r="AH1611" s="32" t="s">
        <v>2276</v>
      </c>
      <c r="AI1611" s="32" t="s">
        <v>2277</v>
      </c>
      <c r="AJ1611" s="31" t="s">
        <v>3241</v>
      </c>
      <c r="AK1611" s="31">
        <v>0.84504976899999995</v>
      </c>
      <c r="AL1611" s="31">
        <v>1146.058889892247</v>
      </c>
      <c r="AM1611" s="31">
        <v>210.14394210006253</v>
      </c>
      <c r="AN1611" s="31">
        <v>13653.003646716576</v>
      </c>
      <c r="AO1611" s="31">
        <v>2503.4455324519186</v>
      </c>
      <c r="AP1611" s="31">
        <v>8.0289174309514362</v>
      </c>
      <c r="AQ1611" s="31">
        <v>1.4722004031526474</v>
      </c>
      <c r="AR1611" s="31">
        <v>7.4618537027130172E-2</v>
      </c>
    </row>
    <row r="1612" spans="1:44" hidden="1" x14ac:dyDescent="0.5">
      <c r="A1612" s="31">
        <v>1200</v>
      </c>
      <c r="B1612" s="31">
        <v>83</v>
      </c>
      <c r="C1612" s="225" t="s">
        <v>32</v>
      </c>
      <c r="D1612" s="44">
        <v>34.287132999999997</v>
      </c>
      <c r="E1612" s="45">
        <v>-120.035583</v>
      </c>
      <c r="F1612">
        <v>11.5</v>
      </c>
      <c r="G1612">
        <f t="shared" si="20"/>
        <v>18507.456000000002</v>
      </c>
      <c r="H1612" s="32" t="s">
        <v>611</v>
      </c>
      <c r="I1612">
        <v>580</v>
      </c>
      <c r="J1612">
        <v>74.068332303951195</v>
      </c>
      <c r="K1612" s="26">
        <v>2010</v>
      </c>
      <c r="L1612" t="s">
        <v>30</v>
      </c>
      <c r="M1612" s="32">
        <v>104</v>
      </c>
      <c r="N1612">
        <v>11.913003570000001</v>
      </c>
      <c r="P1612" t="s">
        <v>17</v>
      </c>
      <c r="Q1612">
        <v>100</v>
      </c>
      <c r="R1612" t="s">
        <v>13</v>
      </c>
      <c r="S1612" t="s">
        <v>14</v>
      </c>
      <c r="T1612" t="s">
        <v>14</v>
      </c>
      <c r="U1612" s="34">
        <v>5</v>
      </c>
      <c r="V1612" s="34">
        <v>5.5</v>
      </c>
      <c r="W1612" s="25">
        <v>5.25</v>
      </c>
      <c r="X1612" s="25">
        <v>0.5</v>
      </c>
      <c r="Y1612">
        <v>0.58806967600000004</v>
      </c>
      <c r="Z1612" t="s">
        <v>1125</v>
      </c>
      <c r="AA1612" t="s">
        <v>622</v>
      </c>
      <c r="AB1612">
        <v>1</v>
      </c>
      <c r="AC1612">
        <v>3987.8045999999999</v>
      </c>
      <c r="AF1612" t="s">
        <v>521</v>
      </c>
      <c r="AG1612" s="32" t="s">
        <v>2278</v>
      </c>
      <c r="AH1612" s="32" t="s">
        <v>2279</v>
      </c>
      <c r="AI1612" s="32" t="s">
        <v>2280</v>
      </c>
      <c r="AJ1612" s="31" t="s">
        <v>3242</v>
      </c>
      <c r="AK1612" s="31">
        <v>0.72091581400000004</v>
      </c>
      <c r="AL1612" s="31">
        <v>977.7315568578797</v>
      </c>
      <c r="AM1612" s="31">
        <v>378.50385630768528</v>
      </c>
      <c r="AN1612" s="31">
        <v>11647.71952734958</v>
      </c>
      <c r="AO1612" s="31">
        <v>4509.1177914522223</v>
      </c>
      <c r="AP1612" s="31">
        <v>6.8496706485873409</v>
      </c>
      <c r="AQ1612" s="31">
        <v>2.6516754386651442</v>
      </c>
      <c r="AR1612" s="31">
        <v>7.4618537027130172E-2</v>
      </c>
    </row>
    <row r="1613" spans="1:44" hidden="1" x14ac:dyDescent="0.5">
      <c r="A1613" s="31">
        <v>1201</v>
      </c>
      <c r="B1613" s="31">
        <v>83</v>
      </c>
      <c r="C1613" s="225" t="s">
        <v>32</v>
      </c>
      <c r="D1613" s="44">
        <v>34.287132999999997</v>
      </c>
      <c r="E1613" s="45">
        <v>-120.035583</v>
      </c>
      <c r="F1613">
        <v>11.5</v>
      </c>
      <c r="G1613">
        <f t="shared" si="20"/>
        <v>18507.456000000002</v>
      </c>
      <c r="H1613" s="32" t="s">
        <v>611</v>
      </c>
      <c r="I1613">
        <v>580</v>
      </c>
      <c r="J1613">
        <v>74.068332303951195</v>
      </c>
      <c r="K1613" s="26">
        <v>2010</v>
      </c>
      <c r="L1613" t="s">
        <v>30</v>
      </c>
      <c r="M1613" s="32">
        <v>104</v>
      </c>
      <c r="N1613">
        <v>11.913003570000001</v>
      </c>
      <c r="P1613" t="s">
        <v>17</v>
      </c>
      <c r="Q1613">
        <v>100</v>
      </c>
      <c r="R1613" t="s">
        <v>13</v>
      </c>
      <c r="S1613" t="s">
        <v>14</v>
      </c>
      <c r="T1613" t="s">
        <v>14</v>
      </c>
      <c r="U1613" s="34">
        <v>5.5</v>
      </c>
      <c r="V1613" s="34">
        <v>6</v>
      </c>
      <c r="W1613" s="25">
        <v>5.75</v>
      </c>
      <c r="X1613" s="25">
        <v>0.5</v>
      </c>
      <c r="Y1613">
        <v>0.58806967600000004</v>
      </c>
      <c r="Z1613" t="s">
        <v>1125</v>
      </c>
      <c r="AA1613" t="s">
        <v>622</v>
      </c>
      <c r="AB1613">
        <v>1</v>
      </c>
      <c r="AC1613">
        <v>4064.9904000000001</v>
      </c>
      <c r="AF1613" t="s">
        <v>521</v>
      </c>
      <c r="AG1613" s="32" t="s">
        <v>2281</v>
      </c>
      <c r="AH1613" s="32" t="s">
        <v>2282</v>
      </c>
      <c r="AI1613" s="32" t="s">
        <v>2283</v>
      </c>
      <c r="AJ1613" s="31" t="s">
        <v>3243</v>
      </c>
      <c r="AK1613" s="31">
        <v>0.485259891</v>
      </c>
      <c r="AL1613" s="31">
        <v>670.86499403857931</v>
      </c>
      <c r="AM1613" s="31">
        <v>711.62098199396144</v>
      </c>
      <c r="AN1613" s="31">
        <v>7992.0170689696251</v>
      </c>
      <c r="AO1613" s="31">
        <v>8477.5432989809688</v>
      </c>
      <c r="AP1613" s="31">
        <v>4.6998628883354376</v>
      </c>
      <c r="AQ1613" s="31">
        <v>4.9853861411077096</v>
      </c>
      <c r="AR1613" s="31">
        <v>7.4618537027130172E-2</v>
      </c>
    </row>
    <row r="1614" spans="1:44" hidden="1" x14ac:dyDescent="0.5">
      <c r="A1614" s="31">
        <v>1202</v>
      </c>
      <c r="B1614" s="31">
        <v>83</v>
      </c>
      <c r="C1614" s="225" t="s">
        <v>32</v>
      </c>
      <c r="D1614" s="44">
        <v>34.287132999999997</v>
      </c>
      <c r="E1614" s="45">
        <v>-120.035583</v>
      </c>
      <c r="F1614">
        <v>11.5</v>
      </c>
      <c r="G1614">
        <f t="shared" si="20"/>
        <v>18507.456000000002</v>
      </c>
      <c r="H1614" s="32" t="s">
        <v>611</v>
      </c>
      <c r="I1614">
        <v>580</v>
      </c>
      <c r="J1614">
        <v>74.068332303951195</v>
      </c>
      <c r="K1614" s="26">
        <v>2010</v>
      </c>
      <c r="L1614" t="s">
        <v>30</v>
      </c>
      <c r="M1614" s="32">
        <v>104</v>
      </c>
      <c r="N1614">
        <v>11.913003570000001</v>
      </c>
      <c r="P1614" t="s">
        <v>17</v>
      </c>
      <c r="Q1614">
        <v>100</v>
      </c>
      <c r="R1614" t="s">
        <v>13</v>
      </c>
      <c r="S1614" t="s">
        <v>14</v>
      </c>
      <c r="T1614" t="s">
        <v>14</v>
      </c>
      <c r="U1614" s="34">
        <v>11</v>
      </c>
      <c r="V1614" s="34">
        <v>11.5</v>
      </c>
      <c r="W1614" s="25">
        <v>11.25</v>
      </c>
      <c r="X1614" s="25">
        <v>0.5</v>
      </c>
      <c r="Y1614">
        <v>0.58806967600000004</v>
      </c>
      <c r="Z1614" t="s">
        <v>1125</v>
      </c>
      <c r="AA1614" t="s">
        <v>622</v>
      </c>
      <c r="AB1614">
        <v>1</v>
      </c>
      <c r="AC1614">
        <v>4295.6484</v>
      </c>
      <c r="AF1614" t="s">
        <v>521</v>
      </c>
      <c r="AG1614" s="32" t="s">
        <v>2284</v>
      </c>
      <c r="AH1614" s="32" t="s">
        <v>2285</v>
      </c>
      <c r="AI1614" s="32" t="s">
        <v>2286</v>
      </c>
      <c r="AJ1614" s="31" t="s">
        <v>3244</v>
      </c>
      <c r="AK1614" s="31">
        <v>0.86263698899999997</v>
      </c>
      <c r="AL1614" s="31">
        <v>1260.2537940006507</v>
      </c>
      <c r="AM1614" s="31">
        <v>200.67798851146085</v>
      </c>
      <c r="AN1614" s="31">
        <v>15013.407947035796</v>
      </c>
      <c r="AO1614" s="31">
        <v>2390.6775935574524</v>
      </c>
      <c r="AP1614" s="31">
        <v>8.8289299470691667</v>
      </c>
      <c r="AQ1614" s="31">
        <v>1.4058849978637906</v>
      </c>
      <c r="AR1614" s="31">
        <v>7.4618537027130172E-2</v>
      </c>
    </row>
    <row r="1615" spans="1:44" hidden="1" x14ac:dyDescent="0.5">
      <c r="A1615" s="31">
        <v>1203</v>
      </c>
      <c r="B1615" s="31">
        <v>83</v>
      </c>
      <c r="C1615" s="225" t="s">
        <v>32</v>
      </c>
      <c r="D1615" s="44">
        <v>34.287132999999997</v>
      </c>
      <c r="E1615" s="45">
        <v>-120.035583</v>
      </c>
      <c r="F1615">
        <v>11.5</v>
      </c>
      <c r="G1615">
        <f t="shared" si="20"/>
        <v>18507.456000000002</v>
      </c>
      <c r="H1615" s="32" t="s">
        <v>611</v>
      </c>
      <c r="I1615">
        <v>580</v>
      </c>
      <c r="J1615">
        <v>74.068332303951195</v>
      </c>
      <c r="K1615" s="26">
        <v>2010</v>
      </c>
      <c r="L1615" t="s">
        <v>30</v>
      </c>
      <c r="M1615" s="32">
        <v>104</v>
      </c>
      <c r="N1615">
        <v>11.913003570000001</v>
      </c>
      <c r="P1615" t="s">
        <v>17</v>
      </c>
      <c r="Q1615">
        <v>100</v>
      </c>
      <c r="R1615" t="s">
        <v>13</v>
      </c>
      <c r="S1615" t="s">
        <v>14</v>
      </c>
      <c r="T1615" t="s">
        <v>14</v>
      </c>
      <c r="U1615" s="34">
        <v>1.5</v>
      </c>
      <c r="V1615" s="34">
        <v>2</v>
      </c>
      <c r="W1615" s="25">
        <v>1.75</v>
      </c>
      <c r="X1615" s="25">
        <v>0.5</v>
      </c>
      <c r="Y1615">
        <v>0.58806967600000004</v>
      </c>
      <c r="Z1615" t="s">
        <v>1125</v>
      </c>
      <c r="AA1615" t="s">
        <v>622</v>
      </c>
      <c r="AB1615">
        <v>1</v>
      </c>
      <c r="AC1615">
        <v>4447.8635999999997</v>
      </c>
      <c r="AF1615" t="s">
        <v>521</v>
      </c>
      <c r="AG1615" s="32" t="s">
        <v>2287</v>
      </c>
      <c r="AH1615" s="32" t="s">
        <v>2288</v>
      </c>
      <c r="AI1615" s="32" t="s">
        <v>2289</v>
      </c>
      <c r="AJ1615" s="31" t="s">
        <v>3245</v>
      </c>
      <c r="AK1615" s="31">
        <v>0.668292526</v>
      </c>
      <c r="AL1615" s="31">
        <v>1010.9257871502467</v>
      </c>
      <c r="AM1615" s="31">
        <v>501.77373861139074</v>
      </c>
      <c r="AN1615" s="31">
        <v>12043.162511325951</v>
      </c>
      <c r="AO1615" s="31">
        <v>5977.6323394097453</v>
      </c>
      <c r="AP1615" s="31">
        <v>7.0822186760507986</v>
      </c>
      <c r="AQ1615" s="31">
        <v>3.5152643130838115</v>
      </c>
      <c r="AR1615" s="31">
        <v>7.4618537027130172E-2</v>
      </c>
    </row>
    <row r="1616" spans="1:44" hidden="1" x14ac:dyDescent="0.5">
      <c r="A1616" s="31">
        <v>1204</v>
      </c>
      <c r="B1616" s="31">
        <v>83</v>
      </c>
      <c r="C1616" s="225" t="s">
        <v>32</v>
      </c>
      <c r="D1616" s="44">
        <v>34.287132999999997</v>
      </c>
      <c r="E1616" s="45">
        <v>-120.035583</v>
      </c>
      <c r="F1616">
        <v>11.5</v>
      </c>
      <c r="G1616">
        <f t="shared" ref="G1616:G1650" si="21">F1616*1609.344</f>
        <v>18507.456000000002</v>
      </c>
      <c r="H1616" s="32" t="s">
        <v>611</v>
      </c>
      <c r="I1616">
        <v>580</v>
      </c>
      <c r="J1616">
        <v>74.068332303951195</v>
      </c>
      <c r="K1616" s="26">
        <v>2010</v>
      </c>
      <c r="L1616" t="s">
        <v>30</v>
      </c>
      <c r="M1616" s="32">
        <v>104</v>
      </c>
      <c r="N1616">
        <v>11.913003570000001</v>
      </c>
      <c r="P1616" t="s">
        <v>17</v>
      </c>
      <c r="Q1616">
        <v>100</v>
      </c>
      <c r="R1616" t="s">
        <v>13</v>
      </c>
      <c r="S1616" t="s">
        <v>14</v>
      </c>
      <c r="T1616" t="s">
        <v>14</v>
      </c>
      <c r="U1616" s="34">
        <v>0</v>
      </c>
      <c r="V1616" s="34">
        <v>0.5</v>
      </c>
      <c r="W1616" s="25">
        <v>0.25</v>
      </c>
      <c r="X1616" s="25">
        <v>0.5</v>
      </c>
      <c r="Y1616">
        <v>0.58806967600000004</v>
      </c>
      <c r="Z1616" t="s">
        <v>1125</v>
      </c>
      <c r="AA1616" t="s">
        <v>622</v>
      </c>
      <c r="AB1616">
        <v>1</v>
      </c>
      <c r="AC1616">
        <v>4599.63</v>
      </c>
      <c r="AF1616" t="s">
        <v>521</v>
      </c>
      <c r="AG1616" s="32" t="s">
        <v>2290</v>
      </c>
      <c r="AH1616" s="32" t="s">
        <v>2291</v>
      </c>
      <c r="AI1616" s="32" t="s">
        <v>2292</v>
      </c>
      <c r="AJ1616" s="31" t="s">
        <v>3246</v>
      </c>
      <c r="AK1616" s="31">
        <v>0.81868237200000005</v>
      </c>
      <c r="AL1616" s="31">
        <v>1280.6768151474487</v>
      </c>
      <c r="AM1616" s="31">
        <v>283.63781888921608</v>
      </c>
      <c r="AN1616" s="31">
        <v>15256.707470867786</v>
      </c>
      <c r="AO1616" s="31">
        <v>3378.9783490142449</v>
      </c>
      <c r="AP1616" s="31">
        <v>8.9720070192199994</v>
      </c>
      <c r="AQ1616" s="31">
        <v>1.9870747029158222</v>
      </c>
      <c r="AR1616" s="31">
        <v>7.4618537027130172E-2</v>
      </c>
    </row>
    <row r="1617" spans="1:44" hidden="1" x14ac:dyDescent="0.5">
      <c r="A1617" s="31">
        <v>1616</v>
      </c>
      <c r="B1617" s="52">
        <v>118</v>
      </c>
      <c r="C1617" s="225" t="s">
        <v>43</v>
      </c>
      <c r="D1617" s="43">
        <v>-54.713799999999999</v>
      </c>
      <c r="E1617" s="43">
        <v>-39.543900000000001</v>
      </c>
      <c r="F1617">
        <v>77</v>
      </c>
      <c r="G1617">
        <f t="shared" si="21"/>
        <v>123919.488</v>
      </c>
      <c r="H1617" s="32" t="s">
        <v>612</v>
      </c>
      <c r="I1617">
        <v>3633</v>
      </c>
      <c r="J1617">
        <v>0</v>
      </c>
      <c r="K1617" s="26">
        <v>2018</v>
      </c>
      <c r="L1617" t="s">
        <v>30</v>
      </c>
      <c r="M1617" s="32">
        <v>80</v>
      </c>
      <c r="N1617">
        <v>9.0254600000000007</v>
      </c>
      <c r="O1617">
        <v>2</v>
      </c>
      <c r="P1617" t="s">
        <v>35</v>
      </c>
      <c r="Q1617">
        <v>93</v>
      </c>
      <c r="R1617" t="s">
        <v>13</v>
      </c>
      <c r="S1617" t="s">
        <v>14</v>
      </c>
      <c r="T1617" t="s">
        <v>14</v>
      </c>
      <c r="U1617" s="34">
        <v>0</v>
      </c>
      <c r="V1617" s="34">
        <v>2</v>
      </c>
      <c r="W1617" s="25">
        <v>1</v>
      </c>
      <c r="X1617" s="25">
        <v>2</v>
      </c>
      <c r="Y1617">
        <v>1.346490763</v>
      </c>
      <c r="Z1617" t="s">
        <v>766</v>
      </c>
      <c r="AA1617" t="s">
        <v>620</v>
      </c>
      <c r="AB1617">
        <v>1</v>
      </c>
      <c r="AC1617">
        <v>0.92592592600000001</v>
      </c>
      <c r="AF1617" t="s">
        <v>524</v>
      </c>
      <c r="AG1617" s="32" t="s">
        <v>2693</v>
      </c>
      <c r="AH1617" s="32" t="s">
        <v>2181</v>
      </c>
      <c r="AI1617" s="32" t="s">
        <v>2694</v>
      </c>
      <c r="AJ1617" s="31" t="s">
        <v>3451</v>
      </c>
      <c r="AK1617" s="31">
        <v>0.39</v>
      </c>
      <c r="AL1617" s="31">
        <v>361.11111113999999</v>
      </c>
      <c r="AM1617" s="31">
        <v>564.81481486000007</v>
      </c>
      <c r="AN1617" s="31">
        <v>3504.509558225403</v>
      </c>
      <c r="AO1617" s="31">
        <v>5481.4123859422971</v>
      </c>
      <c r="AP1617" s="31">
        <v>4.7187897489957153</v>
      </c>
      <c r="AQ1617" s="31">
        <v>7.3806711458650947</v>
      </c>
      <c r="AR1617" s="31">
        <v>3.5028808894965119E-3</v>
      </c>
    </row>
    <row r="1618" spans="1:44" hidden="1" x14ac:dyDescent="0.5">
      <c r="A1618" s="31">
        <v>1617</v>
      </c>
      <c r="B1618" s="52">
        <v>118</v>
      </c>
      <c r="C1618" s="225" t="s">
        <v>43</v>
      </c>
      <c r="D1618" s="43">
        <v>-54.814500000000002</v>
      </c>
      <c r="E1618" s="43">
        <v>-36.01</v>
      </c>
      <c r="F1618">
        <v>0.6</v>
      </c>
      <c r="G1618">
        <f t="shared" si="21"/>
        <v>965.60640000000001</v>
      </c>
      <c r="H1618" s="32" t="s">
        <v>611</v>
      </c>
      <c r="I1618">
        <v>201</v>
      </c>
      <c r="J1618">
        <v>0</v>
      </c>
      <c r="K1618" s="26">
        <v>2018</v>
      </c>
      <c r="L1618" t="s">
        <v>30</v>
      </c>
      <c r="M1618" s="32">
        <v>80</v>
      </c>
      <c r="N1618">
        <v>9.0254600000000007</v>
      </c>
      <c r="O1618">
        <v>2</v>
      </c>
      <c r="P1618" t="s">
        <v>35</v>
      </c>
      <c r="Q1618">
        <v>93</v>
      </c>
      <c r="R1618" t="s">
        <v>13</v>
      </c>
      <c r="S1618" t="s">
        <v>14</v>
      </c>
      <c r="T1618" t="s">
        <v>14</v>
      </c>
      <c r="U1618" s="34">
        <v>0</v>
      </c>
      <c r="V1618" s="34">
        <v>2</v>
      </c>
      <c r="W1618" s="25">
        <v>1</v>
      </c>
      <c r="X1618" s="25">
        <v>2</v>
      </c>
      <c r="Y1618">
        <v>1.7066694790000001</v>
      </c>
      <c r="Z1618" t="s">
        <v>1112</v>
      </c>
      <c r="AA1618" t="s">
        <v>622</v>
      </c>
      <c r="AB1618">
        <v>1</v>
      </c>
      <c r="AC1618">
        <v>9.5648015000000003E-2</v>
      </c>
      <c r="AF1618" t="s">
        <v>524</v>
      </c>
      <c r="AG1618" s="32" t="s">
        <v>2695</v>
      </c>
      <c r="AH1618" s="32" t="s">
        <v>2181</v>
      </c>
      <c r="AI1618" s="32" t="s">
        <v>2696</v>
      </c>
      <c r="AJ1618" s="31" t="s">
        <v>3452</v>
      </c>
      <c r="AK1618" s="31">
        <v>0.39</v>
      </c>
      <c r="AL1618" s="31">
        <v>37.302725850000002</v>
      </c>
      <c r="AM1618" s="31">
        <v>58.345289149999999</v>
      </c>
      <c r="AN1618" s="31">
        <v>362.0153333872484</v>
      </c>
      <c r="AO1618" s="31">
        <v>566.22911119543983</v>
      </c>
      <c r="AP1618" s="31">
        <v>0.61784052042202653</v>
      </c>
      <c r="AQ1618" s="31">
        <v>0.96636594219855443</v>
      </c>
      <c r="AR1618" s="31">
        <v>0.10908303431071784</v>
      </c>
    </row>
    <row r="1619" spans="1:44" hidden="1" x14ac:dyDescent="0.5">
      <c r="A1619" s="31">
        <v>1618</v>
      </c>
      <c r="B1619" s="52">
        <v>118</v>
      </c>
      <c r="C1619" s="225" t="s">
        <v>43</v>
      </c>
      <c r="D1619" s="43">
        <v>-54.814599999999999</v>
      </c>
      <c r="E1619" s="43">
        <v>-36.010100000000001</v>
      </c>
      <c r="F1619">
        <v>0.6</v>
      </c>
      <c r="G1619">
        <f t="shared" si="21"/>
        <v>965.60640000000001</v>
      </c>
      <c r="H1619" s="32" t="s">
        <v>611</v>
      </c>
      <c r="I1619">
        <v>201</v>
      </c>
      <c r="J1619">
        <v>0</v>
      </c>
      <c r="K1619" s="26">
        <v>2018</v>
      </c>
      <c r="L1619" t="s">
        <v>30</v>
      </c>
      <c r="M1619" s="32">
        <v>80</v>
      </c>
      <c r="N1619">
        <v>9.0254600000000007</v>
      </c>
      <c r="O1619">
        <v>2</v>
      </c>
      <c r="P1619" t="s">
        <v>35</v>
      </c>
      <c r="Q1619">
        <v>93</v>
      </c>
      <c r="R1619" t="s">
        <v>13</v>
      </c>
      <c r="S1619" t="s">
        <v>14</v>
      </c>
      <c r="T1619" t="s">
        <v>14</v>
      </c>
      <c r="U1619" s="34">
        <v>0</v>
      </c>
      <c r="V1619" s="34">
        <v>2</v>
      </c>
      <c r="W1619" s="25">
        <v>1</v>
      </c>
      <c r="X1619" s="25">
        <v>2</v>
      </c>
      <c r="Y1619">
        <v>1.7066694790000001</v>
      </c>
      <c r="Z1619" t="s">
        <v>1112</v>
      </c>
      <c r="AA1619" t="s">
        <v>622</v>
      </c>
      <c r="AB1619">
        <v>1</v>
      </c>
      <c r="AC1619">
        <v>0.92231370499999998</v>
      </c>
      <c r="AF1619" t="s">
        <v>524</v>
      </c>
      <c r="AG1619" s="32" t="s">
        <v>2697</v>
      </c>
      <c r="AH1619" s="32" t="s">
        <v>2181</v>
      </c>
      <c r="AI1619" s="32" t="s">
        <v>2698</v>
      </c>
      <c r="AJ1619" s="31" t="s">
        <v>3453</v>
      </c>
      <c r="AK1619" s="31">
        <v>0.39</v>
      </c>
      <c r="AL1619" s="31">
        <v>359.70234495</v>
      </c>
      <c r="AM1619" s="31">
        <v>562.61136005000003</v>
      </c>
      <c r="AN1619" s="31">
        <v>3490.8377701639006</v>
      </c>
      <c r="AO1619" s="31">
        <v>5460.0283071794338</v>
      </c>
      <c r="AP1619" s="31">
        <v>5.9577062784791464</v>
      </c>
      <c r="AQ1619" s="31">
        <v>9.3184636663391771</v>
      </c>
      <c r="AR1619" s="31">
        <v>0.10908303431071784</v>
      </c>
    </row>
    <row r="1620" spans="1:44" hidden="1" x14ac:dyDescent="0.5">
      <c r="A1620" s="31">
        <v>1619</v>
      </c>
      <c r="B1620" s="52">
        <v>118</v>
      </c>
      <c r="C1620" s="225" t="s">
        <v>43</v>
      </c>
      <c r="D1620" s="43">
        <v>-53.8142</v>
      </c>
      <c r="E1620" s="43">
        <v>-37.994300000000003</v>
      </c>
      <c r="F1620">
        <v>14</v>
      </c>
      <c r="G1620">
        <f t="shared" si="21"/>
        <v>22530.815999999999</v>
      </c>
      <c r="H1620" s="32" t="s">
        <v>611</v>
      </c>
      <c r="I1620">
        <v>211</v>
      </c>
      <c r="J1620">
        <v>0</v>
      </c>
      <c r="K1620" s="26">
        <v>2018</v>
      </c>
      <c r="L1620" t="s">
        <v>30</v>
      </c>
      <c r="M1620" s="32">
        <v>80</v>
      </c>
      <c r="N1620">
        <v>9.0254600000000007</v>
      </c>
      <c r="O1620">
        <v>2</v>
      </c>
      <c r="P1620" t="s">
        <v>35</v>
      </c>
      <c r="Q1620">
        <v>93</v>
      </c>
      <c r="R1620" t="s">
        <v>13</v>
      </c>
      <c r="S1620" t="s">
        <v>14</v>
      </c>
      <c r="T1620" t="s">
        <v>14</v>
      </c>
      <c r="U1620" s="34">
        <v>0</v>
      </c>
      <c r="V1620" s="34">
        <v>2</v>
      </c>
      <c r="W1620" s="25">
        <v>1</v>
      </c>
      <c r="X1620" s="25">
        <v>2</v>
      </c>
      <c r="Y1620">
        <v>1.3919760750000001</v>
      </c>
      <c r="Z1620" t="s">
        <v>657</v>
      </c>
      <c r="AA1620" t="s">
        <v>622</v>
      </c>
      <c r="AB1620">
        <v>1</v>
      </c>
      <c r="AC1620">
        <v>0.22574287800000001</v>
      </c>
      <c r="AF1620" t="s">
        <v>524</v>
      </c>
      <c r="AG1620" s="32" t="s">
        <v>2699</v>
      </c>
      <c r="AH1620" s="32" t="s">
        <v>2181</v>
      </c>
      <c r="AI1620" s="32" t="s">
        <v>2700</v>
      </c>
      <c r="AJ1620" s="31" t="s">
        <v>3454</v>
      </c>
      <c r="AK1620" s="31">
        <v>0.39</v>
      </c>
      <c r="AL1620" s="31">
        <v>88.039722420000004</v>
      </c>
      <c r="AM1620" s="31">
        <v>137.70315558000001</v>
      </c>
      <c r="AN1620" s="31">
        <v>854.40751947614331</v>
      </c>
      <c r="AO1620" s="31">
        <v>1336.3809920011472</v>
      </c>
      <c r="AP1620" s="31">
        <v>1.1893148254108881</v>
      </c>
      <c r="AQ1620" s="31">
        <v>1.8602103679503632</v>
      </c>
      <c r="AR1620" s="31">
        <v>0.10799558715683447</v>
      </c>
    </row>
    <row r="1621" spans="1:44" hidden="1" x14ac:dyDescent="0.5">
      <c r="A1621" s="31">
        <v>1620</v>
      </c>
      <c r="B1621" s="52">
        <v>118</v>
      </c>
      <c r="C1621" s="225" t="s">
        <v>43</v>
      </c>
      <c r="D1621" s="43">
        <v>-54.461599999999997</v>
      </c>
      <c r="E1621" s="43">
        <v>-35.852400000000003</v>
      </c>
      <c r="F1621">
        <v>6.1</v>
      </c>
      <c r="G1621">
        <f t="shared" si="21"/>
        <v>9816.9984000000004</v>
      </c>
      <c r="H1621" s="32" t="s">
        <v>611</v>
      </c>
      <c r="I1621">
        <v>223</v>
      </c>
      <c r="J1621">
        <v>0</v>
      </c>
      <c r="K1621" s="26">
        <v>2018</v>
      </c>
      <c r="L1621" t="s">
        <v>30</v>
      </c>
      <c r="M1621" s="32">
        <v>80</v>
      </c>
      <c r="N1621">
        <v>9.0254600000000007</v>
      </c>
      <c r="O1621">
        <v>2</v>
      </c>
      <c r="P1621" t="s">
        <v>35</v>
      </c>
      <c r="Q1621">
        <v>93</v>
      </c>
      <c r="R1621" t="s">
        <v>13</v>
      </c>
      <c r="S1621" t="s">
        <v>14</v>
      </c>
      <c r="T1621" t="s">
        <v>14</v>
      </c>
      <c r="U1621" s="34">
        <v>0</v>
      </c>
      <c r="V1621" s="34">
        <v>2</v>
      </c>
      <c r="W1621" s="25">
        <v>1</v>
      </c>
      <c r="X1621" s="25">
        <v>2</v>
      </c>
      <c r="Y1621">
        <v>1.7066694790000001</v>
      </c>
      <c r="Z1621" t="s">
        <v>1112</v>
      </c>
      <c r="AA1621" t="s">
        <v>622</v>
      </c>
      <c r="AB1621">
        <v>1</v>
      </c>
      <c r="AC1621">
        <v>4.8412698409999999</v>
      </c>
      <c r="AF1621" t="s">
        <v>524</v>
      </c>
      <c r="AG1621" s="32" t="s">
        <v>2701</v>
      </c>
      <c r="AH1621" s="32" t="s">
        <v>2181</v>
      </c>
      <c r="AI1621" s="32" t="s">
        <v>2702</v>
      </c>
      <c r="AJ1621" s="31" t="s">
        <v>3455</v>
      </c>
      <c r="AK1621" s="31">
        <v>0.39</v>
      </c>
      <c r="AL1621" s="31">
        <v>1888.0952379900002</v>
      </c>
      <c r="AM1621" s="31">
        <v>2953.1746030100003</v>
      </c>
      <c r="AN1621" s="31">
        <v>18323.578544805623</v>
      </c>
      <c r="AO1621" s="31">
        <v>28659.956185465206</v>
      </c>
      <c r="AP1621" s="31">
        <v>31.272292248478994</v>
      </c>
      <c r="AQ1621" s="31">
        <v>48.913072491210734</v>
      </c>
      <c r="AR1621" s="31">
        <v>0.10670495082571675</v>
      </c>
    </row>
    <row r="1622" spans="1:44" hidden="1" x14ac:dyDescent="0.5">
      <c r="A1622" s="31">
        <v>1621</v>
      </c>
      <c r="B1622" s="52">
        <v>118</v>
      </c>
      <c r="C1622" s="225" t="s">
        <v>43</v>
      </c>
      <c r="D1622" s="43">
        <v>-54.457599999999999</v>
      </c>
      <c r="E1622" s="43">
        <v>-35.844499999999996</v>
      </c>
      <c r="F1622">
        <v>6.6</v>
      </c>
      <c r="G1622">
        <f t="shared" si="21"/>
        <v>10621.670399999999</v>
      </c>
      <c r="H1622" s="32" t="s">
        <v>611</v>
      </c>
      <c r="I1622">
        <v>226</v>
      </c>
      <c r="J1622">
        <v>0</v>
      </c>
      <c r="K1622" s="26">
        <v>2018</v>
      </c>
      <c r="L1622" t="s">
        <v>30</v>
      </c>
      <c r="M1622" s="32">
        <v>80</v>
      </c>
      <c r="N1622">
        <v>9.0254600000000007</v>
      </c>
      <c r="O1622">
        <v>2</v>
      </c>
      <c r="P1622" t="s">
        <v>35</v>
      </c>
      <c r="Q1622">
        <v>93</v>
      </c>
      <c r="R1622" t="s">
        <v>13</v>
      </c>
      <c r="S1622" t="s">
        <v>14</v>
      </c>
      <c r="T1622" t="s">
        <v>14</v>
      </c>
      <c r="U1622" s="34">
        <v>0</v>
      </c>
      <c r="V1622" s="34">
        <v>2</v>
      </c>
      <c r="W1622" s="25">
        <v>1</v>
      </c>
      <c r="X1622" s="25">
        <v>2</v>
      </c>
      <c r="Y1622">
        <v>1.7066694790000001</v>
      </c>
      <c r="Z1622" t="s">
        <v>1112</v>
      </c>
      <c r="AA1622" t="s">
        <v>622</v>
      </c>
      <c r="AB1622">
        <v>1</v>
      </c>
      <c r="AC1622">
        <v>0.44610855100000002</v>
      </c>
      <c r="AF1622" t="s">
        <v>524</v>
      </c>
      <c r="AG1622" s="32" t="s">
        <v>2703</v>
      </c>
      <c r="AH1622" s="32" t="s">
        <v>2181</v>
      </c>
      <c r="AI1622" s="32" t="s">
        <v>2704</v>
      </c>
      <c r="AJ1622" s="31" t="s">
        <v>3456</v>
      </c>
      <c r="AK1622" s="31">
        <v>0.39</v>
      </c>
      <c r="AL1622" s="31">
        <v>173.98233489000003</v>
      </c>
      <c r="AM1622" s="31">
        <v>272.12621610999997</v>
      </c>
      <c r="AN1622" s="31">
        <v>1688.4630153293547</v>
      </c>
      <c r="AO1622" s="31">
        <v>2640.9293316689896</v>
      </c>
      <c r="AP1622" s="31">
        <v>2.8816482946829192</v>
      </c>
      <c r="AQ1622" s="31">
        <v>4.5071934865553329</v>
      </c>
      <c r="AR1622" s="31">
        <v>0.10638470900762094</v>
      </c>
    </row>
    <row r="1623" spans="1:44" hidden="1" x14ac:dyDescent="0.5">
      <c r="A1623" s="31">
        <v>1622</v>
      </c>
      <c r="B1623" s="52">
        <v>118</v>
      </c>
      <c r="C1623" s="225" t="s">
        <v>43</v>
      </c>
      <c r="D1623" s="43">
        <v>-54.436199999999999</v>
      </c>
      <c r="E1623" s="43">
        <v>-37.351599999999998</v>
      </c>
      <c r="F1623">
        <v>11</v>
      </c>
      <c r="G1623">
        <f t="shared" si="21"/>
        <v>17702.784</v>
      </c>
      <c r="H1623" s="32" t="s">
        <v>611</v>
      </c>
      <c r="I1623">
        <v>256</v>
      </c>
      <c r="J1623">
        <v>0</v>
      </c>
      <c r="K1623" s="26">
        <v>2018</v>
      </c>
      <c r="L1623" t="s">
        <v>30</v>
      </c>
      <c r="M1623" s="32">
        <v>80</v>
      </c>
      <c r="N1623">
        <v>9.0254600000000007</v>
      </c>
      <c r="O1623">
        <v>2</v>
      </c>
      <c r="P1623" t="s">
        <v>35</v>
      </c>
      <c r="Q1623">
        <v>93</v>
      </c>
      <c r="R1623" t="s">
        <v>13</v>
      </c>
      <c r="S1623" t="s">
        <v>14</v>
      </c>
      <c r="T1623" t="s">
        <v>14</v>
      </c>
      <c r="U1623" s="34">
        <v>0</v>
      </c>
      <c r="V1623" s="34">
        <v>2</v>
      </c>
      <c r="W1623" s="25">
        <v>1</v>
      </c>
      <c r="X1623" s="25">
        <v>2</v>
      </c>
      <c r="Y1623">
        <v>1.3919760750000001</v>
      </c>
      <c r="Z1623" t="s">
        <v>657</v>
      </c>
      <c r="AA1623" t="s">
        <v>622</v>
      </c>
      <c r="AB1623">
        <v>1</v>
      </c>
      <c r="AC1623">
        <v>3.6544866260000002</v>
      </c>
      <c r="AF1623" t="s">
        <v>524</v>
      </c>
      <c r="AG1623" s="32" t="s">
        <v>2705</v>
      </c>
      <c r="AH1623" s="32" t="s">
        <v>2181</v>
      </c>
      <c r="AI1623" s="32" t="s">
        <v>2706</v>
      </c>
      <c r="AJ1623" s="31" t="s">
        <v>3457</v>
      </c>
      <c r="AK1623" s="31">
        <v>0.39</v>
      </c>
      <c r="AL1623" s="31">
        <v>1425.2497841400002</v>
      </c>
      <c r="AM1623" s="31">
        <v>2229.2368418599999</v>
      </c>
      <c r="AN1623" s="31">
        <v>13831.757975015276</v>
      </c>
      <c r="AO1623" s="31">
        <v>21634.288114767482</v>
      </c>
      <c r="AP1623" s="31">
        <v>19.253476176411716</v>
      </c>
      <c r="AQ1623" s="31">
        <v>30.11441145541319</v>
      </c>
      <c r="AR1623" s="31">
        <v>0.10323467859265663</v>
      </c>
    </row>
    <row r="1624" spans="1:44" hidden="1" x14ac:dyDescent="0.5">
      <c r="A1624" s="31">
        <v>1623</v>
      </c>
      <c r="B1624" s="52">
        <v>118</v>
      </c>
      <c r="C1624" s="225" t="s">
        <v>43</v>
      </c>
      <c r="D1624" s="43">
        <v>-54.854500000000002</v>
      </c>
      <c r="E1624" s="43">
        <v>-35.911099999999998</v>
      </c>
      <c r="F1624">
        <v>1.1299999999999999</v>
      </c>
      <c r="G1624">
        <f t="shared" si="21"/>
        <v>1818.55872</v>
      </c>
      <c r="H1624" s="32" t="s">
        <v>611</v>
      </c>
      <c r="I1624">
        <v>318</v>
      </c>
      <c r="J1624">
        <v>0</v>
      </c>
      <c r="K1624" s="26">
        <v>2018</v>
      </c>
      <c r="L1624" t="s">
        <v>30</v>
      </c>
      <c r="M1624" s="32">
        <v>80</v>
      </c>
      <c r="N1624">
        <v>9.0254600000000007</v>
      </c>
      <c r="O1624">
        <v>2</v>
      </c>
      <c r="P1624" t="s">
        <v>35</v>
      </c>
      <c r="Q1624">
        <v>93</v>
      </c>
      <c r="R1624" t="s">
        <v>13</v>
      </c>
      <c r="S1624" t="s">
        <v>14</v>
      </c>
      <c r="T1624" t="s">
        <v>14</v>
      </c>
      <c r="U1624" s="34">
        <v>0</v>
      </c>
      <c r="V1624" s="34">
        <v>2</v>
      </c>
      <c r="W1624" s="25">
        <v>1</v>
      </c>
      <c r="X1624" s="25">
        <v>2</v>
      </c>
      <c r="Y1624">
        <v>1.7066694790000001</v>
      </c>
      <c r="Z1624" t="s">
        <v>1112</v>
      </c>
      <c r="AA1624" t="s">
        <v>622</v>
      </c>
      <c r="AB1624">
        <v>1</v>
      </c>
      <c r="AC1624">
        <v>0.35893355199999999</v>
      </c>
      <c r="AF1624" t="s">
        <v>524</v>
      </c>
      <c r="AG1624" s="32" t="s">
        <v>2707</v>
      </c>
      <c r="AH1624" s="32" t="s">
        <v>2181</v>
      </c>
      <c r="AI1624" s="32" t="s">
        <v>2708</v>
      </c>
      <c r="AJ1624" s="31" t="s">
        <v>3458</v>
      </c>
      <c r="AK1624" s="31">
        <v>0.39</v>
      </c>
      <c r="AL1624" s="31">
        <v>139.98408527999999</v>
      </c>
      <c r="AM1624" s="31">
        <v>218.94946671999998</v>
      </c>
      <c r="AN1624" s="31">
        <v>1358.5169487432568</v>
      </c>
      <c r="AO1624" s="31">
        <v>2124.8598429061199</v>
      </c>
      <c r="AP1624" s="31">
        <v>2.3185394131243235</v>
      </c>
      <c r="AQ1624" s="31">
        <v>3.6264334410406098</v>
      </c>
      <c r="AR1624" s="31">
        <v>9.7017073481188695E-2</v>
      </c>
    </row>
    <row r="1625" spans="1:44" hidden="1" x14ac:dyDescent="0.5">
      <c r="A1625" s="31">
        <v>1624</v>
      </c>
      <c r="B1625" s="52">
        <v>118</v>
      </c>
      <c r="C1625" s="225" t="s">
        <v>43</v>
      </c>
      <c r="D1625" s="43">
        <v>-54.902500000000003</v>
      </c>
      <c r="E1625" s="43">
        <v>-35.944299999999998</v>
      </c>
      <c r="F1625">
        <v>2</v>
      </c>
      <c r="G1625">
        <f t="shared" si="21"/>
        <v>3218.6880000000001</v>
      </c>
      <c r="H1625" s="32" t="s">
        <v>611</v>
      </c>
      <c r="I1625">
        <v>320</v>
      </c>
      <c r="J1625">
        <v>0</v>
      </c>
      <c r="K1625" s="26">
        <v>2018</v>
      </c>
      <c r="L1625" t="s">
        <v>30</v>
      </c>
      <c r="M1625" s="32">
        <v>80</v>
      </c>
      <c r="N1625">
        <v>9.0254600000000007</v>
      </c>
      <c r="O1625">
        <v>2</v>
      </c>
      <c r="P1625" t="s">
        <v>35</v>
      </c>
      <c r="Q1625">
        <v>93</v>
      </c>
      <c r="R1625" t="s">
        <v>13</v>
      </c>
      <c r="S1625" t="s">
        <v>14</v>
      </c>
      <c r="T1625" t="s">
        <v>14</v>
      </c>
      <c r="U1625" s="34">
        <v>0</v>
      </c>
      <c r="V1625" s="34">
        <v>2</v>
      </c>
      <c r="W1625" s="25">
        <v>1</v>
      </c>
      <c r="X1625" s="25">
        <v>2</v>
      </c>
      <c r="Y1625">
        <v>1.7066694790000001</v>
      </c>
      <c r="Z1625" t="s">
        <v>1112</v>
      </c>
      <c r="AA1625" t="s">
        <v>622</v>
      </c>
      <c r="AB1625">
        <v>1</v>
      </c>
      <c r="AC1625">
        <v>0.52083333300000001</v>
      </c>
      <c r="AF1625" t="s">
        <v>524</v>
      </c>
      <c r="AG1625" s="32" t="s">
        <v>2709</v>
      </c>
      <c r="AH1625" s="32" t="s">
        <v>2181</v>
      </c>
      <c r="AI1625" s="32" t="s">
        <v>2710</v>
      </c>
      <c r="AJ1625" s="31" t="s">
        <v>3459</v>
      </c>
      <c r="AK1625" s="31">
        <v>0.39</v>
      </c>
      <c r="AL1625" s="31">
        <v>203.12499987000001</v>
      </c>
      <c r="AM1625" s="31">
        <v>317.70833313000003</v>
      </c>
      <c r="AN1625" s="31">
        <v>1971.2866250824629</v>
      </c>
      <c r="AO1625" s="31">
        <v>3083.2944648725702</v>
      </c>
      <c r="AP1625" s="31">
        <v>3.3643347173891556</v>
      </c>
      <c r="AQ1625" s="31">
        <v>5.2621645579676537</v>
      </c>
      <c r="AR1625" s="31">
        <v>9.6822865151608387E-2</v>
      </c>
    </row>
    <row r="1626" spans="1:44" hidden="1" x14ac:dyDescent="0.5">
      <c r="A1626" s="31">
        <v>1625</v>
      </c>
      <c r="B1626" s="52">
        <v>118</v>
      </c>
      <c r="C1626" s="225" t="s">
        <v>43</v>
      </c>
      <c r="D1626" s="43">
        <v>-54.385899999999999</v>
      </c>
      <c r="E1626" s="43">
        <v>-37.512799999999999</v>
      </c>
      <c r="F1626">
        <v>8.8000000000000007</v>
      </c>
      <c r="G1626">
        <f t="shared" si="21"/>
        <v>14162.227200000001</v>
      </c>
      <c r="H1626" s="32" t="s">
        <v>611</v>
      </c>
      <c r="I1626">
        <v>358</v>
      </c>
      <c r="J1626">
        <v>0</v>
      </c>
      <c r="K1626" s="26">
        <v>2018</v>
      </c>
      <c r="L1626" t="s">
        <v>30</v>
      </c>
      <c r="M1626" s="32">
        <v>80</v>
      </c>
      <c r="N1626">
        <v>9.0254600000000007</v>
      </c>
      <c r="O1626">
        <v>2</v>
      </c>
      <c r="P1626" t="s">
        <v>35</v>
      </c>
      <c r="Q1626">
        <v>93</v>
      </c>
      <c r="R1626" t="s">
        <v>13</v>
      </c>
      <c r="S1626" t="s">
        <v>14</v>
      </c>
      <c r="T1626" t="s">
        <v>14</v>
      </c>
      <c r="U1626" s="34">
        <v>0</v>
      </c>
      <c r="V1626" s="34">
        <v>2</v>
      </c>
      <c r="W1626" s="25">
        <v>1</v>
      </c>
      <c r="X1626" s="25">
        <v>2</v>
      </c>
      <c r="Y1626">
        <v>1.3919760750000001</v>
      </c>
      <c r="Z1626" t="s">
        <v>657</v>
      </c>
      <c r="AA1626" t="s">
        <v>622</v>
      </c>
      <c r="AB1626">
        <v>1</v>
      </c>
      <c r="AC1626">
        <v>0.858755767</v>
      </c>
      <c r="AF1626" t="s">
        <v>524</v>
      </c>
      <c r="AG1626" s="32" t="s">
        <v>2711</v>
      </c>
      <c r="AH1626" s="32" t="s">
        <v>2181</v>
      </c>
      <c r="AI1626" s="32" t="s">
        <v>2712</v>
      </c>
      <c r="AJ1626" s="31" t="s">
        <v>3460</v>
      </c>
      <c r="AK1626" s="31">
        <v>0.39</v>
      </c>
      <c r="AL1626" s="31">
        <v>334.91474913000002</v>
      </c>
      <c r="AM1626" s="31">
        <v>523.84101786999997</v>
      </c>
      <c r="AN1626" s="31">
        <v>3250.27921686328</v>
      </c>
      <c r="AO1626" s="31">
        <v>5083.7700571451296</v>
      </c>
      <c r="AP1626" s="31">
        <v>4.5243109069434224</v>
      </c>
      <c r="AQ1626" s="31">
        <v>7.076486290347404</v>
      </c>
      <c r="AR1626" s="31">
        <v>9.3205892622663836E-2</v>
      </c>
    </row>
    <row r="1627" spans="1:44" hidden="1" x14ac:dyDescent="0.5">
      <c r="A1627" s="31">
        <v>1626</v>
      </c>
      <c r="B1627" s="52">
        <v>118</v>
      </c>
      <c r="C1627" s="225" t="s">
        <v>43</v>
      </c>
      <c r="D1627" s="43">
        <v>-53.770200000000003</v>
      </c>
      <c r="E1627" s="43">
        <v>-38.1402</v>
      </c>
      <c r="F1627">
        <v>18</v>
      </c>
      <c r="G1627">
        <f t="shared" si="21"/>
        <v>28968.192000000003</v>
      </c>
      <c r="H1627" s="32" t="s">
        <v>611</v>
      </c>
      <c r="I1627">
        <v>367</v>
      </c>
      <c r="J1627">
        <v>0</v>
      </c>
      <c r="K1627" s="26">
        <v>2018</v>
      </c>
      <c r="L1627" t="s">
        <v>30</v>
      </c>
      <c r="M1627" s="32">
        <v>80</v>
      </c>
      <c r="N1627">
        <v>9.0254600000000007</v>
      </c>
      <c r="O1627">
        <v>2</v>
      </c>
      <c r="P1627" t="s">
        <v>35</v>
      </c>
      <c r="Q1627">
        <v>93</v>
      </c>
      <c r="R1627" t="s">
        <v>13</v>
      </c>
      <c r="S1627" t="s">
        <v>14</v>
      </c>
      <c r="T1627" t="s">
        <v>14</v>
      </c>
      <c r="U1627" s="34">
        <v>0</v>
      </c>
      <c r="V1627" s="34">
        <v>2</v>
      </c>
      <c r="W1627" s="25">
        <v>1</v>
      </c>
      <c r="X1627" s="25">
        <v>2</v>
      </c>
      <c r="Y1627">
        <v>1.3919760750000001</v>
      </c>
      <c r="Z1627" t="s">
        <v>657</v>
      </c>
      <c r="AA1627" t="s">
        <v>622</v>
      </c>
      <c r="AB1627">
        <v>1</v>
      </c>
      <c r="AC1627">
        <v>8.5034014000000005E-2</v>
      </c>
      <c r="AF1627" t="s">
        <v>524</v>
      </c>
      <c r="AG1627" s="32" t="s">
        <v>2713</v>
      </c>
      <c r="AH1627" s="32" t="s">
        <v>2181</v>
      </c>
      <c r="AI1627" s="32" t="s">
        <v>2714</v>
      </c>
      <c r="AJ1627" s="31" t="s">
        <v>3461</v>
      </c>
      <c r="AK1627" s="31">
        <v>0.39</v>
      </c>
      <c r="AL1627" s="31">
        <v>33.163265459999998</v>
      </c>
      <c r="AM1627" s="31">
        <v>51.870748540000001</v>
      </c>
      <c r="AN1627" s="31">
        <v>321.84271599850706</v>
      </c>
      <c r="AO1627" s="31">
        <v>503.39501733099831</v>
      </c>
      <c r="AP1627" s="31">
        <v>0.4479973605829416</v>
      </c>
      <c r="AQ1627" s="31">
        <v>0.70071382039896013</v>
      </c>
      <c r="AR1627" s="31">
        <v>9.2369222915007904E-2</v>
      </c>
    </row>
    <row r="1628" spans="1:44" hidden="1" x14ac:dyDescent="0.5">
      <c r="A1628" s="31">
        <v>1205</v>
      </c>
      <c r="B1628" s="31">
        <v>83</v>
      </c>
      <c r="C1628" s="225" t="s">
        <v>32</v>
      </c>
      <c r="D1628" s="44">
        <v>34.287132999999997</v>
      </c>
      <c r="E1628" s="45">
        <v>-120.035583</v>
      </c>
      <c r="F1628">
        <v>11.5</v>
      </c>
      <c r="G1628">
        <f t="shared" si="21"/>
        <v>18507.456000000002</v>
      </c>
      <c r="H1628" s="32" t="s">
        <v>611</v>
      </c>
      <c r="I1628">
        <v>580</v>
      </c>
      <c r="J1628">
        <v>74.068332303951195</v>
      </c>
      <c r="K1628" s="26">
        <v>2010</v>
      </c>
      <c r="L1628" t="s">
        <v>30</v>
      </c>
      <c r="M1628" s="32">
        <v>104</v>
      </c>
      <c r="N1628">
        <v>11.913003570000001</v>
      </c>
      <c r="P1628" t="s">
        <v>17</v>
      </c>
      <c r="Q1628">
        <v>100</v>
      </c>
      <c r="R1628" t="s">
        <v>13</v>
      </c>
      <c r="S1628" t="s">
        <v>14</v>
      </c>
      <c r="T1628" t="s">
        <v>14</v>
      </c>
      <c r="U1628" s="34">
        <v>10</v>
      </c>
      <c r="V1628" s="34">
        <v>10.5</v>
      </c>
      <c r="W1628" s="25">
        <v>10.25</v>
      </c>
      <c r="X1628" s="25">
        <v>0.5</v>
      </c>
      <c r="Y1628">
        <v>0.58806967600000004</v>
      </c>
      <c r="Z1628" t="s">
        <v>1125</v>
      </c>
      <c r="AA1628" t="s">
        <v>622</v>
      </c>
      <c r="AB1628">
        <v>1</v>
      </c>
      <c r="AC1628">
        <v>4612.8616000000002</v>
      </c>
      <c r="AF1628" t="s">
        <v>521</v>
      </c>
      <c r="AG1628" s="32" t="s">
        <v>2293</v>
      </c>
      <c r="AH1628" s="32" t="s">
        <v>2294</v>
      </c>
      <c r="AI1628" s="32" t="s">
        <v>2295</v>
      </c>
      <c r="AJ1628" s="31" t="s">
        <v>3247</v>
      </c>
      <c r="AK1628" s="31">
        <v>0.45941547399999999</v>
      </c>
      <c r="AL1628" s="31">
        <v>720.73772375925</v>
      </c>
      <c r="AM1628" s="31">
        <v>848.07692125910648</v>
      </c>
      <c r="AN1628" s="31">
        <v>8586.151076177619</v>
      </c>
      <c r="AO1628" s="31">
        <v>10103.143390594345</v>
      </c>
      <c r="AP1628" s="31">
        <v>5.0492550814548238</v>
      </c>
      <c r="AQ1628" s="31">
        <v>5.9413522602883591</v>
      </c>
      <c r="AR1628" s="31">
        <v>7.4618537027130172E-2</v>
      </c>
    </row>
    <row r="1629" spans="1:44" hidden="1" x14ac:dyDescent="0.5">
      <c r="A1629" s="31">
        <v>1206</v>
      </c>
      <c r="B1629" s="31">
        <v>83</v>
      </c>
      <c r="C1629" s="225" t="s">
        <v>32</v>
      </c>
      <c r="D1629" s="44">
        <v>34.287132999999997</v>
      </c>
      <c r="E1629" s="45">
        <v>-120.035583</v>
      </c>
      <c r="F1629">
        <v>11.5</v>
      </c>
      <c r="G1629">
        <f t="shared" si="21"/>
        <v>18507.456000000002</v>
      </c>
      <c r="H1629" s="32" t="s">
        <v>611</v>
      </c>
      <c r="I1629">
        <v>580</v>
      </c>
      <c r="J1629">
        <v>74.068332303951195</v>
      </c>
      <c r="K1629" s="26">
        <v>2010</v>
      </c>
      <c r="L1629" t="s">
        <v>30</v>
      </c>
      <c r="M1629" s="32">
        <v>104</v>
      </c>
      <c r="N1629">
        <v>11.913003570000001</v>
      </c>
      <c r="P1629" t="s">
        <v>17</v>
      </c>
      <c r="Q1629">
        <v>100</v>
      </c>
      <c r="R1629" t="s">
        <v>13</v>
      </c>
      <c r="S1629" t="s">
        <v>14</v>
      </c>
      <c r="T1629" t="s">
        <v>14</v>
      </c>
      <c r="U1629" s="34">
        <v>3.5</v>
      </c>
      <c r="V1629" s="34">
        <v>4</v>
      </c>
      <c r="W1629" s="25">
        <v>3.75</v>
      </c>
      <c r="X1629" s="25">
        <v>0.5</v>
      </c>
      <c r="Y1629">
        <v>0.58806967600000004</v>
      </c>
      <c r="Z1629" t="s">
        <v>1125</v>
      </c>
      <c r="AA1629" t="s">
        <v>622</v>
      </c>
      <c r="AB1629">
        <v>1</v>
      </c>
      <c r="AC1629">
        <v>5082.6908000000003</v>
      </c>
      <c r="AF1629" t="s">
        <v>521</v>
      </c>
      <c r="AG1629" s="32" t="s">
        <v>2296</v>
      </c>
      <c r="AH1629" s="32" t="s">
        <v>2297</v>
      </c>
      <c r="AI1629" s="32" t="s">
        <v>2298</v>
      </c>
      <c r="AJ1629" s="31" t="s">
        <v>3248</v>
      </c>
      <c r="AK1629" s="31">
        <v>0.40769873299999998</v>
      </c>
      <c r="AL1629" s="31">
        <v>704.74866634366515</v>
      </c>
      <c r="AM1629" s="31">
        <v>1023.8528948087586</v>
      </c>
      <c r="AN1629" s="31">
        <v>8395.6733781048224</v>
      </c>
      <c r="AO1629" s="31">
        <v>12197.163191011576</v>
      </c>
      <c r="AP1629" s="31">
        <v>4.9372409232639285</v>
      </c>
      <c r="AQ1629" s="31">
        <v>7.1727818058573041</v>
      </c>
      <c r="AR1629" s="31">
        <v>7.4618537027130172E-2</v>
      </c>
    </row>
    <row r="1630" spans="1:44" hidden="1" x14ac:dyDescent="0.5">
      <c r="A1630" s="31">
        <v>1207</v>
      </c>
      <c r="B1630" s="31">
        <v>83</v>
      </c>
      <c r="C1630" s="225" t="s">
        <v>32</v>
      </c>
      <c r="D1630" s="44">
        <v>34.287132999999997</v>
      </c>
      <c r="E1630" s="45">
        <v>-120.035583</v>
      </c>
      <c r="F1630">
        <v>11.5</v>
      </c>
      <c r="G1630">
        <f t="shared" si="21"/>
        <v>18507.456000000002</v>
      </c>
      <c r="H1630" s="32" t="s">
        <v>611</v>
      </c>
      <c r="I1630">
        <v>580</v>
      </c>
      <c r="J1630">
        <v>74.068332303951195</v>
      </c>
      <c r="K1630" s="26">
        <v>2010</v>
      </c>
      <c r="L1630" t="s">
        <v>30</v>
      </c>
      <c r="M1630" s="32">
        <v>104</v>
      </c>
      <c r="N1630">
        <v>11.913003570000001</v>
      </c>
      <c r="P1630" t="s">
        <v>17</v>
      </c>
      <c r="Q1630">
        <v>100</v>
      </c>
      <c r="R1630" t="s">
        <v>13</v>
      </c>
      <c r="S1630" t="s">
        <v>14</v>
      </c>
      <c r="T1630" t="s">
        <v>14</v>
      </c>
      <c r="U1630" s="34">
        <v>3</v>
      </c>
      <c r="V1630" s="34">
        <v>3.5</v>
      </c>
      <c r="W1630" s="25">
        <v>3.25</v>
      </c>
      <c r="X1630" s="25">
        <v>0.5</v>
      </c>
      <c r="Y1630">
        <v>0.58806967600000004</v>
      </c>
      <c r="Z1630" t="s">
        <v>1125</v>
      </c>
      <c r="AA1630" t="s">
        <v>622</v>
      </c>
      <c r="AB1630">
        <v>1</v>
      </c>
      <c r="AC1630">
        <v>7557.4956000000002</v>
      </c>
      <c r="AF1630" t="s">
        <v>521</v>
      </c>
      <c r="AG1630" s="32" t="s">
        <v>2299</v>
      </c>
      <c r="AH1630" s="32" t="s">
        <v>2300</v>
      </c>
      <c r="AI1630" s="32" t="s">
        <v>2301</v>
      </c>
      <c r="AJ1630" s="31" t="s">
        <v>3249</v>
      </c>
      <c r="AK1630" s="31">
        <v>0.76753981800000004</v>
      </c>
      <c r="AL1630" s="31">
        <v>1972.7862306437989</v>
      </c>
      <c r="AM1630" s="31">
        <v>597.48593554080776</v>
      </c>
      <c r="AN1630" s="31">
        <v>23501.809408506422</v>
      </c>
      <c r="AO1630" s="31">
        <v>7117.8520831224332</v>
      </c>
      <c r="AP1630" s="31">
        <v>13.820701444274123</v>
      </c>
      <c r="AQ1630" s="31">
        <v>4.1857929683377346</v>
      </c>
      <c r="AR1630" s="31">
        <v>7.4618537027130172E-2</v>
      </c>
    </row>
    <row r="1631" spans="1:44" hidden="1" x14ac:dyDescent="0.5">
      <c r="A1631" s="31">
        <v>1208</v>
      </c>
      <c r="B1631" s="31">
        <v>83</v>
      </c>
      <c r="C1631" s="225" t="s">
        <v>32</v>
      </c>
      <c r="D1631" s="44">
        <v>34.287132999999997</v>
      </c>
      <c r="E1631" s="45">
        <v>-120.035583</v>
      </c>
      <c r="F1631">
        <v>11.5</v>
      </c>
      <c r="G1631">
        <f t="shared" si="21"/>
        <v>18507.456000000002</v>
      </c>
      <c r="H1631" s="32" t="s">
        <v>611</v>
      </c>
      <c r="I1631">
        <v>580</v>
      </c>
      <c r="J1631">
        <v>74.068332303951195</v>
      </c>
      <c r="K1631" s="26">
        <v>2010</v>
      </c>
      <c r="L1631" t="s">
        <v>30</v>
      </c>
      <c r="M1631" s="32">
        <v>104</v>
      </c>
      <c r="N1631">
        <v>11.913003570000001</v>
      </c>
      <c r="P1631" t="s">
        <v>17</v>
      </c>
      <c r="Q1631">
        <v>100</v>
      </c>
      <c r="R1631" t="s">
        <v>13</v>
      </c>
      <c r="S1631" t="s">
        <v>14</v>
      </c>
      <c r="T1631" t="s">
        <v>14</v>
      </c>
      <c r="U1631" s="34">
        <v>2</v>
      </c>
      <c r="V1631" s="34">
        <v>2.5</v>
      </c>
      <c r="W1631" s="25">
        <v>2.25</v>
      </c>
      <c r="X1631" s="25">
        <v>0.5</v>
      </c>
      <c r="Y1631">
        <v>0.58806967600000004</v>
      </c>
      <c r="Z1631" t="s">
        <v>1125</v>
      </c>
      <c r="AA1631" t="s">
        <v>622</v>
      </c>
      <c r="AB1631">
        <v>1</v>
      </c>
      <c r="AC1631">
        <v>8426.3703999999998</v>
      </c>
      <c r="AF1631" t="s">
        <v>521</v>
      </c>
      <c r="AG1631" s="32" t="s">
        <v>2302</v>
      </c>
      <c r="AH1631" s="32" t="s">
        <v>2303</v>
      </c>
      <c r="AI1631" s="32" t="s">
        <v>2304</v>
      </c>
      <c r="AJ1631" s="31" t="s">
        <v>3250</v>
      </c>
      <c r="AK1631" s="31">
        <v>0.47042584300000001</v>
      </c>
      <c r="AL1631" s="31">
        <v>1348.1335836980809</v>
      </c>
      <c r="AM1631" s="31">
        <v>1517.6392129254261</v>
      </c>
      <c r="AN1631" s="31">
        <v>16060.320195432132</v>
      </c>
      <c r="AO1631" s="31">
        <v>18079.641361552593</v>
      </c>
      <c r="AP1631" s="31">
        <v>9.4445872937840321</v>
      </c>
      <c r="AQ1631" s="31">
        <v>10.632088837684433</v>
      </c>
      <c r="AR1631" s="31">
        <v>7.4618537027130172E-2</v>
      </c>
    </row>
    <row r="1632" spans="1:44" hidden="1" x14ac:dyDescent="0.5">
      <c r="A1632" s="31">
        <v>1547</v>
      </c>
      <c r="B1632" s="52">
        <v>115</v>
      </c>
      <c r="C1632" s="225" t="s">
        <v>20</v>
      </c>
      <c r="D1632" s="41">
        <v>36.787638999999999</v>
      </c>
      <c r="E1632" s="43">
        <v>-2.5889169999999999</v>
      </c>
      <c r="F1632">
        <v>0.04</v>
      </c>
      <c r="G1632">
        <f t="shared" si="21"/>
        <v>64.373760000000004</v>
      </c>
      <c r="H1632" s="32" t="s">
        <v>57</v>
      </c>
      <c r="I1632">
        <v>1.5</v>
      </c>
      <c r="J1632">
        <v>70.177194315602605</v>
      </c>
      <c r="K1632" s="26">
        <v>2017</v>
      </c>
      <c r="L1632" t="s">
        <v>30</v>
      </c>
      <c r="M1632" s="32">
        <v>100</v>
      </c>
      <c r="N1632">
        <v>11.428783320000001</v>
      </c>
      <c r="O1632">
        <v>5</v>
      </c>
      <c r="P1632" t="s">
        <v>15</v>
      </c>
      <c r="Q1632">
        <v>97</v>
      </c>
      <c r="R1632" t="s">
        <v>13</v>
      </c>
      <c r="S1632" t="s">
        <v>14</v>
      </c>
      <c r="T1632" t="s">
        <v>14</v>
      </c>
      <c r="U1632" s="34">
        <v>9</v>
      </c>
      <c r="V1632" s="34">
        <v>10</v>
      </c>
      <c r="W1632" s="25">
        <v>9.5</v>
      </c>
      <c r="X1632" s="25">
        <v>1</v>
      </c>
      <c r="Y1632" s="244">
        <v>0.627337917333333</v>
      </c>
      <c r="Z1632" t="s">
        <v>716</v>
      </c>
      <c r="AA1632" t="s">
        <v>655</v>
      </c>
      <c r="AB1632">
        <v>1</v>
      </c>
      <c r="AC1632">
        <v>0</v>
      </c>
      <c r="AF1632" t="s">
        <v>532</v>
      </c>
      <c r="AG1632" s="32">
        <v>0</v>
      </c>
      <c r="AH1632" s="32" t="s">
        <v>1201</v>
      </c>
      <c r="AI1632" s="32">
        <v>0</v>
      </c>
      <c r="AJ1632" s="31">
        <v>0</v>
      </c>
      <c r="AK1632" s="31">
        <v>0.1</v>
      </c>
      <c r="AL1632" s="31">
        <v>0</v>
      </c>
      <c r="AM1632" s="31">
        <v>0</v>
      </c>
      <c r="AN1632" s="31">
        <v>0</v>
      </c>
      <c r="AO1632" s="31">
        <v>0</v>
      </c>
      <c r="AP1632" s="31">
        <v>0</v>
      </c>
      <c r="AQ1632" s="31">
        <v>0</v>
      </c>
      <c r="AR1632" s="31">
        <v>0.20269999999999999</v>
      </c>
    </row>
    <row r="1633" spans="1:44" hidden="1" x14ac:dyDescent="0.5">
      <c r="A1633" s="31">
        <v>1548</v>
      </c>
      <c r="B1633" s="52">
        <v>115</v>
      </c>
      <c r="C1633" s="225" t="s">
        <v>20</v>
      </c>
      <c r="D1633" s="41">
        <v>36.787638999999999</v>
      </c>
      <c r="E1633" s="43">
        <v>-2.5889169999999999</v>
      </c>
      <c r="F1633">
        <v>0.04</v>
      </c>
      <c r="G1633">
        <f t="shared" si="21"/>
        <v>64.373760000000004</v>
      </c>
      <c r="H1633" s="32" t="s">
        <v>57</v>
      </c>
      <c r="I1633">
        <v>1.5</v>
      </c>
      <c r="J1633">
        <v>70.177194315602605</v>
      </c>
      <c r="K1633" s="26">
        <v>2017</v>
      </c>
      <c r="L1633" t="s">
        <v>30</v>
      </c>
      <c r="M1633" s="32">
        <v>100</v>
      </c>
      <c r="N1633">
        <v>11.428783320000001</v>
      </c>
      <c r="O1633">
        <v>5</v>
      </c>
      <c r="P1633" t="s">
        <v>15</v>
      </c>
      <c r="Q1633">
        <v>97</v>
      </c>
      <c r="R1633" t="s">
        <v>13</v>
      </c>
      <c r="S1633" t="s">
        <v>14</v>
      </c>
      <c r="T1633" t="s">
        <v>14</v>
      </c>
      <c r="U1633" s="34">
        <v>10</v>
      </c>
      <c r="V1633" s="34">
        <v>11</v>
      </c>
      <c r="W1633" s="25">
        <v>10.5</v>
      </c>
      <c r="X1633" s="25">
        <v>1</v>
      </c>
      <c r="Y1633" s="244">
        <v>0.627337917333333</v>
      </c>
      <c r="Z1633" t="s">
        <v>716</v>
      </c>
      <c r="AA1633" t="s">
        <v>655</v>
      </c>
      <c r="AB1633">
        <v>1</v>
      </c>
      <c r="AC1633">
        <v>0</v>
      </c>
      <c r="AF1633" t="s">
        <v>532</v>
      </c>
      <c r="AG1633" s="32">
        <v>0</v>
      </c>
      <c r="AH1633" s="32" t="s">
        <v>1201</v>
      </c>
      <c r="AI1633" s="32">
        <v>0</v>
      </c>
      <c r="AJ1633" s="31">
        <v>0</v>
      </c>
      <c r="AK1633" s="31">
        <v>0.1</v>
      </c>
      <c r="AL1633" s="31">
        <v>0</v>
      </c>
      <c r="AM1633" s="31">
        <v>0</v>
      </c>
      <c r="AN1633" s="31">
        <v>0</v>
      </c>
      <c r="AO1633" s="31">
        <v>0</v>
      </c>
      <c r="AP1633" s="31">
        <v>0</v>
      </c>
      <c r="AQ1633" s="31">
        <v>0</v>
      </c>
      <c r="AR1633" s="31">
        <v>0.20269999999999999</v>
      </c>
    </row>
    <row r="1634" spans="1:44" hidden="1" x14ac:dyDescent="0.5">
      <c r="A1634" s="31">
        <v>1549</v>
      </c>
      <c r="B1634" s="52">
        <v>115</v>
      </c>
      <c r="C1634" s="225" t="s">
        <v>20</v>
      </c>
      <c r="D1634" s="41">
        <v>36.787638999999999</v>
      </c>
      <c r="E1634" s="43">
        <v>-2.5889169999999999</v>
      </c>
      <c r="F1634">
        <v>0.04</v>
      </c>
      <c r="G1634">
        <f t="shared" si="21"/>
        <v>64.373760000000004</v>
      </c>
      <c r="H1634" s="32" t="s">
        <v>57</v>
      </c>
      <c r="I1634">
        <v>1.5</v>
      </c>
      <c r="J1634">
        <v>70.177194315602605</v>
      </c>
      <c r="K1634" s="26">
        <v>2017</v>
      </c>
      <c r="L1634" t="s">
        <v>30</v>
      </c>
      <c r="M1634" s="32">
        <v>100</v>
      </c>
      <c r="N1634">
        <v>11.428783320000001</v>
      </c>
      <c r="O1634">
        <v>5</v>
      </c>
      <c r="P1634" t="s">
        <v>15</v>
      </c>
      <c r="Q1634">
        <v>97</v>
      </c>
      <c r="R1634" t="s">
        <v>13</v>
      </c>
      <c r="S1634" t="s">
        <v>14</v>
      </c>
      <c r="T1634" t="s">
        <v>14</v>
      </c>
      <c r="U1634" s="34">
        <v>11</v>
      </c>
      <c r="V1634" s="34">
        <v>12</v>
      </c>
      <c r="W1634" s="25">
        <v>11.5</v>
      </c>
      <c r="X1634" s="25">
        <v>1</v>
      </c>
      <c r="Y1634" s="244">
        <v>0.627337917333333</v>
      </c>
      <c r="Z1634" t="s">
        <v>716</v>
      </c>
      <c r="AA1634" t="s">
        <v>655</v>
      </c>
      <c r="AB1634">
        <v>1</v>
      </c>
      <c r="AC1634">
        <v>0</v>
      </c>
      <c r="AF1634" t="s">
        <v>532</v>
      </c>
      <c r="AG1634" s="32">
        <v>0</v>
      </c>
      <c r="AH1634" s="32" t="s">
        <v>1201</v>
      </c>
      <c r="AI1634" s="32">
        <v>0</v>
      </c>
      <c r="AJ1634" s="31">
        <v>0</v>
      </c>
      <c r="AK1634" s="31">
        <v>0.1</v>
      </c>
      <c r="AL1634" s="31">
        <v>0</v>
      </c>
      <c r="AM1634" s="31">
        <v>0</v>
      </c>
      <c r="AN1634" s="31">
        <v>0</v>
      </c>
      <c r="AO1634" s="31">
        <v>0</v>
      </c>
      <c r="AP1634" s="31">
        <v>0</v>
      </c>
      <c r="AQ1634" s="31">
        <v>0</v>
      </c>
      <c r="AR1634" s="31">
        <v>0.20269999999999999</v>
      </c>
    </row>
    <row r="1635" spans="1:44" hidden="1" x14ac:dyDescent="0.5">
      <c r="A1635" s="31">
        <v>1550</v>
      </c>
      <c r="B1635" s="52">
        <v>115</v>
      </c>
      <c r="C1635" s="225" t="s">
        <v>20</v>
      </c>
      <c r="D1635" s="41">
        <v>36.787638999999999</v>
      </c>
      <c r="E1635" s="43">
        <v>-2.5889169999999999</v>
      </c>
      <c r="F1635">
        <v>0.04</v>
      </c>
      <c r="G1635">
        <f t="shared" si="21"/>
        <v>64.373760000000004</v>
      </c>
      <c r="H1635" s="32" t="s">
        <v>57</v>
      </c>
      <c r="I1635">
        <v>1.5</v>
      </c>
      <c r="J1635">
        <v>70.177194315602605</v>
      </c>
      <c r="K1635" s="26">
        <v>2017</v>
      </c>
      <c r="L1635" t="s">
        <v>30</v>
      </c>
      <c r="M1635" s="32">
        <v>100</v>
      </c>
      <c r="N1635">
        <v>11.428783320000001</v>
      </c>
      <c r="O1635">
        <v>5</v>
      </c>
      <c r="P1635" t="s">
        <v>15</v>
      </c>
      <c r="Q1635">
        <v>97</v>
      </c>
      <c r="R1635" t="s">
        <v>13</v>
      </c>
      <c r="S1635" t="s">
        <v>14</v>
      </c>
      <c r="T1635" t="s">
        <v>14</v>
      </c>
      <c r="U1635" s="34">
        <v>12</v>
      </c>
      <c r="V1635" s="34">
        <v>13</v>
      </c>
      <c r="W1635" s="25">
        <v>12.5</v>
      </c>
      <c r="X1635" s="25">
        <v>1</v>
      </c>
      <c r="Y1635" s="244">
        <v>0.627337917333333</v>
      </c>
      <c r="Z1635" t="s">
        <v>716</v>
      </c>
      <c r="AA1635" t="s">
        <v>655</v>
      </c>
      <c r="AB1635">
        <v>1</v>
      </c>
      <c r="AC1635">
        <v>206</v>
      </c>
      <c r="AF1635" t="s">
        <v>532</v>
      </c>
      <c r="AG1635" s="32">
        <v>206</v>
      </c>
      <c r="AH1635" s="32" t="s">
        <v>1201</v>
      </c>
      <c r="AI1635" s="32" t="s">
        <v>2652</v>
      </c>
      <c r="AJ1635" s="31" t="s">
        <v>3424</v>
      </c>
      <c r="AK1635" s="31">
        <v>0.1</v>
      </c>
      <c r="AL1635" s="31">
        <v>20.6</v>
      </c>
      <c r="AM1635" s="31">
        <v>185.4</v>
      </c>
      <c r="AN1635" s="31">
        <v>242.71436741443301</v>
      </c>
      <c r="AO1635" s="31">
        <v>2184.4293067298972</v>
      </c>
      <c r="AP1635" s="31">
        <v>0.15226392576064779</v>
      </c>
      <c r="AQ1635" s="31">
        <v>1.3703753318458303</v>
      </c>
      <c r="AR1635" s="31">
        <v>0.20269999999999999</v>
      </c>
    </row>
    <row r="1636" spans="1:44" hidden="1" x14ac:dyDescent="0.5">
      <c r="A1636" s="31">
        <v>1551</v>
      </c>
      <c r="B1636" s="52">
        <v>115</v>
      </c>
      <c r="C1636" s="225" t="s">
        <v>20</v>
      </c>
      <c r="D1636" s="41">
        <v>36.787638999999999</v>
      </c>
      <c r="E1636" s="43">
        <v>-2.5889169999999999</v>
      </c>
      <c r="F1636">
        <v>0.04</v>
      </c>
      <c r="G1636">
        <f t="shared" si="21"/>
        <v>64.373760000000004</v>
      </c>
      <c r="H1636" s="32" t="s">
        <v>57</v>
      </c>
      <c r="I1636">
        <v>1.5</v>
      </c>
      <c r="J1636">
        <v>70.177194315602605</v>
      </c>
      <c r="K1636" s="26">
        <v>2017</v>
      </c>
      <c r="L1636" t="s">
        <v>30</v>
      </c>
      <c r="M1636" s="32">
        <v>100</v>
      </c>
      <c r="N1636">
        <v>11.428783320000001</v>
      </c>
      <c r="O1636">
        <v>5</v>
      </c>
      <c r="P1636" t="s">
        <v>15</v>
      </c>
      <c r="Q1636">
        <v>97</v>
      </c>
      <c r="R1636" t="s">
        <v>13</v>
      </c>
      <c r="S1636" t="s">
        <v>14</v>
      </c>
      <c r="T1636" t="s">
        <v>14</v>
      </c>
      <c r="U1636" s="34">
        <v>13</v>
      </c>
      <c r="V1636" s="34">
        <v>14</v>
      </c>
      <c r="W1636" s="25">
        <v>13.5</v>
      </c>
      <c r="X1636" s="25">
        <v>1</v>
      </c>
      <c r="Y1636" s="244">
        <v>0.627337917333333</v>
      </c>
      <c r="Z1636" t="s">
        <v>716</v>
      </c>
      <c r="AA1636" t="s">
        <v>655</v>
      </c>
      <c r="AB1636">
        <v>1</v>
      </c>
      <c r="AC1636">
        <v>78</v>
      </c>
      <c r="AF1636" t="s">
        <v>532</v>
      </c>
      <c r="AG1636" s="32">
        <v>78</v>
      </c>
      <c r="AH1636" s="32" t="s">
        <v>1201</v>
      </c>
      <c r="AI1636" s="32" t="s">
        <v>2653</v>
      </c>
      <c r="AJ1636" s="31" t="s">
        <v>3425</v>
      </c>
      <c r="AK1636" s="31">
        <v>0.1</v>
      </c>
      <c r="AL1636" s="31">
        <v>7.8000000000000007</v>
      </c>
      <c r="AM1636" s="31">
        <v>70.2</v>
      </c>
      <c r="AN1636" s="31">
        <v>91.901556593814448</v>
      </c>
      <c r="AO1636" s="31">
        <v>827.11400934433004</v>
      </c>
      <c r="AP1636" s="31">
        <v>5.7653331113254991E-2</v>
      </c>
      <c r="AQ1636" s="31">
        <v>0.51887998001929492</v>
      </c>
      <c r="AR1636" s="31">
        <v>0.20269999999999999</v>
      </c>
    </row>
    <row r="1637" spans="1:44" hidden="1" x14ac:dyDescent="0.5">
      <c r="A1637" s="31">
        <v>1552</v>
      </c>
      <c r="B1637" s="52">
        <v>115</v>
      </c>
      <c r="C1637" s="225" t="s">
        <v>20</v>
      </c>
      <c r="D1637" s="41">
        <v>36.787638999999999</v>
      </c>
      <c r="E1637" s="43">
        <v>-2.5889169999999999</v>
      </c>
      <c r="F1637">
        <v>0.04</v>
      </c>
      <c r="G1637">
        <f t="shared" si="21"/>
        <v>64.373760000000004</v>
      </c>
      <c r="H1637" s="32" t="s">
        <v>57</v>
      </c>
      <c r="I1637">
        <v>1.5</v>
      </c>
      <c r="J1637">
        <v>70.177194315602605</v>
      </c>
      <c r="K1637" s="26">
        <v>2017</v>
      </c>
      <c r="L1637" t="s">
        <v>30</v>
      </c>
      <c r="M1637" s="32">
        <v>100</v>
      </c>
      <c r="N1637">
        <v>11.428783320000001</v>
      </c>
      <c r="O1637">
        <v>5</v>
      </c>
      <c r="P1637" t="s">
        <v>15</v>
      </c>
      <c r="Q1637">
        <v>97</v>
      </c>
      <c r="R1637" t="s">
        <v>13</v>
      </c>
      <c r="S1637" t="s">
        <v>14</v>
      </c>
      <c r="T1637" t="s">
        <v>14</v>
      </c>
      <c r="U1637" s="34">
        <v>14</v>
      </c>
      <c r="V1637" s="34">
        <v>15</v>
      </c>
      <c r="W1637" s="25">
        <v>14.5</v>
      </c>
      <c r="X1637" s="25">
        <v>1</v>
      </c>
      <c r="Y1637" s="244">
        <v>0.627337917333333</v>
      </c>
      <c r="Z1637" t="s">
        <v>716</v>
      </c>
      <c r="AA1637" t="s">
        <v>655</v>
      </c>
      <c r="AB1637">
        <v>1</v>
      </c>
      <c r="AC1637">
        <v>35</v>
      </c>
      <c r="AF1637" t="s">
        <v>532</v>
      </c>
      <c r="AG1637" s="32">
        <v>35</v>
      </c>
      <c r="AH1637" s="32" t="s">
        <v>1201</v>
      </c>
      <c r="AI1637" s="32" t="s">
        <v>2654</v>
      </c>
      <c r="AJ1637" s="31" t="s">
        <v>3426</v>
      </c>
      <c r="AK1637" s="31">
        <v>0.1</v>
      </c>
      <c r="AL1637" s="31">
        <v>3.5</v>
      </c>
      <c r="AM1637" s="31">
        <v>31.5</v>
      </c>
      <c r="AN1637" s="31">
        <v>41.237877958762887</v>
      </c>
      <c r="AO1637" s="31">
        <v>371.14090162886606</v>
      </c>
      <c r="AP1637" s="31">
        <v>2.5870084473896469E-2</v>
      </c>
      <c r="AQ1637" s="31">
        <v>0.23283076026506824</v>
      </c>
      <c r="AR1637" s="31">
        <v>0.20269999999999999</v>
      </c>
    </row>
    <row r="1638" spans="1:44" hidden="1" x14ac:dyDescent="0.5">
      <c r="A1638" s="31">
        <v>1418</v>
      </c>
      <c r="B1638" s="31">
        <v>101</v>
      </c>
      <c r="C1638" s="225" t="s">
        <v>20</v>
      </c>
      <c r="D1638" s="41">
        <v>36.761052999999997</v>
      </c>
      <c r="E1638" s="43">
        <v>27.731611000000001</v>
      </c>
      <c r="F1638">
        <v>0</v>
      </c>
      <c r="G1638">
        <f t="shared" si="21"/>
        <v>0</v>
      </c>
      <c r="H1638" s="31" t="s">
        <v>10</v>
      </c>
      <c r="I1638">
        <v>0</v>
      </c>
      <c r="J1638">
        <v>80.083657042694796</v>
      </c>
      <c r="K1638" s="26">
        <v>2018</v>
      </c>
      <c r="L1638" t="s">
        <v>11</v>
      </c>
      <c r="M1638" s="32">
        <v>1000</v>
      </c>
      <c r="N1638">
        <v>130.61708849999999</v>
      </c>
      <c r="O1638">
        <v>5</v>
      </c>
      <c r="P1638" t="s">
        <v>12</v>
      </c>
      <c r="Q1638">
        <v>89</v>
      </c>
      <c r="R1638" t="s">
        <v>13</v>
      </c>
      <c r="S1638" t="s">
        <v>14</v>
      </c>
      <c r="T1638" t="s">
        <v>14</v>
      </c>
      <c r="U1638" s="240">
        <v>0</v>
      </c>
      <c r="V1638" s="240">
        <v>4</v>
      </c>
      <c r="W1638" s="25">
        <v>2</v>
      </c>
      <c r="X1638" s="25">
        <v>4</v>
      </c>
      <c r="Y1638" s="244">
        <v>1.0419307790000001</v>
      </c>
      <c r="Z1638" t="s">
        <v>785</v>
      </c>
      <c r="AA1638" t="s">
        <v>632</v>
      </c>
      <c r="AB1638">
        <v>5</v>
      </c>
      <c r="AC1638">
        <v>1372.5</v>
      </c>
      <c r="AD1638">
        <v>422.4</v>
      </c>
      <c r="AF1638" t="s">
        <v>532</v>
      </c>
      <c r="AG1638" s="32">
        <v>1372.5</v>
      </c>
      <c r="AH1638" s="32">
        <v>0.06</v>
      </c>
      <c r="AI1638" s="32">
        <v>82.35</v>
      </c>
      <c r="AJ1638" s="31">
        <v>1290.1500000000001</v>
      </c>
      <c r="AK1638" s="31">
        <v>0.06</v>
      </c>
      <c r="AL1638" s="31">
        <v>82.35</v>
      </c>
      <c r="AM1638" s="31">
        <v>1290.1500000000001</v>
      </c>
      <c r="AN1638" s="31">
        <v>12085.749705589888</v>
      </c>
      <c r="AO1638" s="31">
        <v>189343.41205424161</v>
      </c>
      <c r="AP1638" s="31">
        <v>12.592514605544292</v>
      </c>
      <c r="AQ1638" s="31">
        <v>197.28272882019397</v>
      </c>
      <c r="AR1638" s="31">
        <v>0.13341858489683281</v>
      </c>
    </row>
    <row r="1639" spans="1:44" hidden="1" x14ac:dyDescent="0.5">
      <c r="A1639" s="31">
        <v>522</v>
      </c>
      <c r="B1639" s="31">
        <v>35</v>
      </c>
      <c r="C1639" s="225" t="s">
        <v>20</v>
      </c>
      <c r="D1639" s="39">
        <v>36.76</v>
      </c>
      <c r="E1639" s="48">
        <v>15.1</v>
      </c>
      <c r="F1639">
        <v>0</v>
      </c>
      <c r="G1639">
        <f t="shared" si="21"/>
        <v>0</v>
      </c>
      <c r="H1639" s="32" t="s">
        <v>10</v>
      </c>
      <c r="I1639">
        <v>0</v>
      </c>
      <c r="J1639">
        <v>252.922156648373</v>
      </c>
      <c r="K1639" s="26">
        <v>2015</v>
      </c>
      <c r="L1639" t="s">
        <v>11</v>
      </c>
      <c r="M1639" s="32">
        <v>300</v>
      </c>
      <c r="N1639">
        <v>36.542166029999997</v>
      </c>
      <c r="O1639">
        <v>5</v>
      </c>
      <c r="P1639" t="s">
        <v>12</v>
      </c>
      <c r="Q1639">
        <v>83</v>
      </c>
      <c r="R1639" t="s">
        <v>13</v>
      </c>
      <c r="S1639" t="s">
        <v>14</v>
      </c>
      <c r="T1639" t="s">
        <v>14</v>
      </c>
      <c r="U1639" s="34">
        <v>0</v>
      </c>
      <c r="V1639" s="34">
        <v>5</v>
      </c>
      <c r="W1639" s="25">
        <v>2.5</v>
      </c>
      <c r="X1639" s="25">
        <v>5</v>
      </c>
      <c r="Y1639" s="244">
        <v>1.0353001390000001</v>
      </c>
      <c r="Z1639" t="s">
        <v>1103</v>
      </c>
      <c r="AA1639" t="s">
        <v>622</v>
      </c>
      <c r="AB1639">
        <v>5</v>
      </c>
      <c r="AC1639">
        <v>160</v>
      </c>
      <c r="AD1639">
        <v>31</v>
      </c>
      <c r="AE1639" t="s">
        <v>525</v>
      </c>
      <c r="AF1639" t="s">
        <v>532</v>
      </c>
      <c r="AG1639" s="32">
        <v>160</v>
      </c>
      <c r="AH1639" s="32" t="s">
        <v>1541</v>
      </c>
      <c r="AI1639" s="32" t="s">
        <v>1544</v>
      </c>
      <c r="AJ1639" s="31" t="s">
        <v>2927</v>
      </c>
      <c r="AK1639" s="31">
        <v>0.98699999999999999</v>
      </c>
      <c r="AL1639" s="31">
        <v>157.91999999999999</v>
      </c>
      <c r="AM1639" s="31">
        <v>2.0800000000000125</v>
      </c>
      <c r="AN1639" s="31">
        <v>6952.697421033251</v>
      </c>
      <c r="AO1639" s="31">
        <v>91.575548605301762</v>
      </c>
      <c r="AP1639" s="31">
        <v>7.1981286064206662</v>
      </c>
      <c r="AQ1639" s="31">
        <v>9.4808178200070176E-2</v>
      </c>
      <c r="AR1639" s="31">
        <v>0.13341858489683281</v>
      </c>
    </row>
    <row r="1640" spans="1:44" hidden="1" x14ac:dyDescent="0.5">
      <c r="A1640" s="31">
        <v>1415</v>
      </c>
      <c r="B1640" s="31">
        <v>101</v>
      </c>
      <c r="C1640" s="225" t="s">
        <v>20</v>
      </c>
      <c r="D1640" s="41">
        <v>36.757098999999997</v>
      </c>
      <c r="E1640" s="43">
        <v>27.885978000000001</v>
      </c>
      <c r="F1640">
        <v>0</v>
      </c>
      <c r="G1640">
        <f t="shared" si="21"/>
        <v>0</v>
      </c>
      <c r="H1640" s="31" t="s">
        <v>10</v>
      </c>
      <c r="I1640">
        <v>0</v>
      </c>
      <c r="J1640">
        <v>76.728810056083901</v>
      </c>
      <c r="K1640" s="26">
        <v>2018</v>
      </c>
      <c r="L1640" t="s">
        <v>11</v>
      </c>
      <c r="M1640" s="32">
        <v>1000</v>
      </c>
      <c r="N1640">
        <v>130.61708849999999</v>
      </c>
      <c r="O1640">
        <v>5</v>
      </c>
      <c r="P1640" t="s">
        <v>12</v>
      </c>
      <c r="Q1640">
        <v>89</v>
      </c>
      <c r="R1640" t="s">
        <v>13</v>
      </c>
      <c r="S1640" t="s">
        <v>14</v>
      </c>
      <c r="T1640" t="s">
        <v>14</v>
      </c>
      <c r="U1640" s="240">
        <v>0</v>
      </c>
      <c r="V1640" s="240">
        <v>4</v>
      </c>
      <c r="W1640" s="25">
        <v>2</v>
      </c>
      <c r="X1640" s="25">
        <v>4</v>
      </c>
      <c r="Y1640" s="244">
        <v>1.0419307790000001</v>
      </c>
      <c r="Z1640" t="s">
        <v>785</v>
      </c>
      <c r="AA1640" t="s">
        <v>632</v>
      </c>
      <c r="AB1640">
        <v>5</v>
      </c>
      <c r="AC1640">
        <v>2073.3000000000002</v>
      </c>
      <c r="AD1640">
        <v>648.6</v>
      </c>
      <c r="AF1640" t="s">
        <v>532</v>
      </c>
      <c r="AG1640" s="32">
        <v>2073.3000000000002</v>
      </c>
      <c r="AH1640" s="32">
        <v>0.06</v>
      </c>
      <c r="AI1640" s="32">
        <v>124.39800000000001</v>
      </c>
      <c r="AJ1640" s="31">
        <v>1948.9020000000003</v>
      </c>
      <c r="AK1640" s="31">
        <v>0.06</v>
      </c>
      <c r="AL1640" s="31">
        <v>124.39800000000001</v>
      </c>
      <c r="AM1640" s="31">
        <v>1948.9020000000003</v>
      </c>
      <c r="AN1640" s="31">
        <v>18256.746713733708</v>
      </c>
      <c r="AO1640" s="31">
        <v>286022.36518182809</v>
      </c>
      <c r="AP1640" s="31">
        <v>19.022266325446253</v>
      </c>
      <c r="AQ1640" s="31">
        <v>298.01550576532463</v>
      </c>
      <c r="AR1640" s="31">
        <v>0.13341858489683281</v>
      </c>
    </row>
    <row r="1641" spans="1:44" hidden="1" x14ac:dyDescent="0.5">
      <c r="A1641" s="31">
        <v>1417</v>
      </c>
      <c r="B1641" s="31">
        <v>101</v>
      </c>
      <c r="C1641" s="225" t="s">
        <v>20</v>
      </c>
      <c r="D1641" s="41">
        <v>36.750737999999998</v>
      </c>
      <c r="E1641" s="43">
        <v>27.919173000000001</v>
      </c>
      <c r="F1641">
        <v>0</v>
      </c>
      <c r="G1641">
        <f t="shared" si="21"/>
        <v>0</v>
      </c>
      <c r="H1641" s="31" t="s">
        <v>10</v>
      </c>
      <c r="I1641">
        <v>0</v>
      </c>
      <c r="J1641">
        <v>75.478651837772901</v>
      </c>
      <c r="K1641" s="26">
        <v>2018</v>
      </c>
      <c r="L1641" t="s">
        <v>11</v>
      </c>
      <c r="M1641" s="32">
        <v>1000</v>
      </c>
      <c r="N1641">
        <v>130.61708849999999</v>
      </c>
      <c r="O1641">
        <v>5</v>
      </c>
      <c r="P1641" t="s">
        <v>12</v>
      </c>
      <c r="Q1641">
        <v>89</v>
      </c>
      <c r="R1641" t="s">
        <v>13</v>
      </c>
      <c r="S1641" t="s">
        <v>14</v>
      </c>
      <c r="T1641" t="s">
        <v>14</v>
      </c>
      <c r="U1641" s="240">
        <v>0</v>
      </c>
      <c r="V1641" s="240">
        <v>4</v>
      </c>
      <c r="W1641" s="25">
        <v>2</v>
      </c>
      <c r="X1641" s="25">
        <v>4</v>
      </c>
      <c r="Y1641" s="244">
        <v>1.0419307790000001</v>
      </c>
      <c r="Z1641" t="s">
        <v>785</v>
      </c>
      <c r="AA1641" t="s">
        <v>632</v>
      </c>
      <c r="AB1641">
        <v>5</v>
      </c>
      <c r="AC1641">
        <v>6.23</v>
      </c>
      <c r="AD1641">
        <v>144.30000000000001</v>
      </c>
      <c r="AF1641" t="s">
        <v>532</v>
      </c>
      <c r="AG1641" s="32">
        <v>6.2</v>
      </c>
      <c r="AH1641" s="32">
        <v>0.06</v>
      </c>
      <c r="AI1641" s="32">
        <v>0.372</v>
      </c>
      <c r="AJ1641" s="31">
        <v>5.8280000000000003</v>
      </c>
      <c r="AK1641" s="31">
        <v>0.06</v>
      </c>
      <c r="AL1641" s="31">
        <v>0.372</v>
      </c>
      <c r="AM1641" s="31">
        <v>5.8280000000000003</v>
      </c>
      <c r="AN1641" s="31">
        <v>54.595007777528096</v>
      </c>
      <c r="AO1641" s="31">
        <v>855.32178851460662</v>
      </c>
      <c r="AP1641" s="31">
        <v>5.6884218983150915E-2</v>
      </c>
      <c r="AQ1641" s="31">
        <v>0.89118609740269739</v>
      </c>
      <c r="AR1641" s="31">
        <v>0.13341858489683281</v>
      </c>
    </row>
    <row r="1642" spans="1:44" hidden="1" x14ac:dyDescent="0.5">
      <c r="A1642" s="31">
        <v>836</v>
      </c>
      <c r="B1642" s="31">
        <v>60</v>
      </c>
      <c r="C1642" s="225" t="s">
        <v>20</v>
      </c>
      <c r="D1642" s="44">
        <v>36.707357999999999</v>
      </c>
      <c r="E1642" s="45">
        <v>-3.352617</v>
      </c>
      <c r="F1642">
        <v>1.1599999999999999</v>
      </c>
      <c r="G1642">
        <f t="shared" si="21"/>
        <v>1866.8390399999998</v>
      </c>
      <c r="H1642" s="32" t="s">
        <v>614</v>
      </c>
      <c r="I1642">
        <v>68</v>
      </c>
      <c r="J1642">
        <v>117.606073197423</v>
      </c>
      <c r="K1642" s="26">
        <v>2015</v>
      </c>
      <c r="L1642" t="s">
        <v>30</v>
      </c>
      <c r="M1642" s="32">
        <v>38</v>
      </c>
      <c r="N1642">
        <v>4.1059253030000002</v>
      </c>
      <c r="O1642">
        <v>4.9329999999999998</v>
      </c>
      <c r="P1642" t="s">
        <v>12</v>
      </c>
      <c r="Q1642">
        <v>89</v>
      </c>
      <c r="R1642" t="s">
        <v>13</v>
      </c>
      <c r="S1642" t="s">
        <v>14</v>
      </c>
      <c r="T1642" t="s">
        <v>14</v>
      </c>
      <c r="U1642" s="34">
        <v>0</v>
      </c>
      <c r="V1642" s="34">
        <v>1.5</v>
      </c>
      <c r="W1642" s="25">
        <v>0.75</v>
      </c>
      <c r="X1642" s="25">
        <v>1.5</v>
      </c>
      <c r="Y1642" s="244">
        <v>1.3089407900000001</v>
      </c>
      <c r="Z1642" t="s">
        <v>1103</v>
      </c>
      <c r="AA1642" t="s">
        <v>622</v>
      </c>
      <c r="AB1642">
        <v>3</v>
      </c>
      <c r="AC1642">
        <v>81.400000000000006</v>
      </c>
      <c r="AD1642">
        <v>41.3</v>
      </c>
      <c r="AE1642" t="s">
        <v>519</v>
      </c>
      <c r="AF1642" t="s">
        <v>532</v>
      </c>
      <c r="AG1642" s="32" t="s">
        <v>2049</v>
      </c>
      <c r="AH1642" s="32" t="s">
        <v>2050</v>
      </c>
      <c r="AI1642" s="32" t="s">
        <v>2051</v>
      </c>
      <c r="AJ1642" s="31" t="s">
        <v>3152</v>
      </c>
      <c r="AK1642" s="31">
        <v>0.733415233</v>
      </c>
      <c r="AL1642" s="31">
        <v>59.699999966200004</v>
      </c>
      <c r="AM1642" s="31">
        <v>21.700000033800002</v>
      </c>
      <c r="AN1642" s="31">
        <v>275.4199330902469</v>
      </c>
      <c r="AO1642" s="31">
        <v>100.11076316166326</v>
      </c>
      <c r="AP1642" s="31">
        <v>0.36050838480089498</v>
      </c>
      <c r="AQ1642" s="31">
        <v>0.13103906142033042</v>
      </c>
      <c r="AR1642" s="31">
        <v>0.12463159986839294</v>
      </c>
    </row>
    <row r="1643" spans="1:44" hidden="1" x14ac:dyDescent="0.5">
      <c r="A1643" s="31">
        <v>841</v>
      </c>
      <c r="B1643" s="31">
        <v>60</v>
      </c>
      <c r="C1643" s="225" t="s">
        <v>20</v>
      </c>
      <c r="D1643" s="44">
        <v>36.702235999999999</v>
      </c>
      <c r="E1643" s="45">
        <v>-2.5757430000000001</v>
      </c>
      <c r="F1643">
        <v>4.01</v>
      </c>
      <c r="G1643">
        <f t="shared" si="21"/>
        <v>6453.4694399999998</v>
      </c>
      <c r="H1643" s="32" t="s">
        <v>614</v>
      </c>
      <c r="I1643">
        <v>153</v>
      </c>
      <c r="J1643">
        <v>75.516326772908101</v>
      </c>
      <c r="K1643" s="26">
        <v>2015</v>
      </c>
      <c r="L1643" t="s">
        <v>30</v>
      </c>
      <c r="M1643" s="32">
        <v>38</v>
      </c>
      <c r="N1643">
        <v>4.1059253030000002</v>
      </c>
      <c r="O1643">
        <v>4.9329999999999998</v>
      </c>
      <c r="P1643" t="s">
        <v>12</v>
      </c>
      <c r="Q1643">
        <v>89</v>
      </c>
      <c r="R1643" t="s">
        <v>13</v>
      </c>
      <c r="S1643" t="s">
        <v>14</v>
      </c>
      <c r="T1643" t="s">
        <v>14</v>
      </c>
      <c r="U1643" s="34">
        <v>0</v>
      </c>
      <c r="V1643" s="34">
        <v>1.5</v>
      </c>
      <c r="W1643" s="25">
        <v>0.75</v>
      </c>
      <c r="X1643" s="25">
        <v>1.5</v>
      </c>
      <c r="Y1643" s="244">
        <v>1.109218437</v>
      </c>
      <c r="Z1643" t="s">
        <v>1103</v>
      </c>
      <c r="AA1643" t="s">
        <v>622</v>
      </c>
      <c r="AB1643">
        <v>3</v>
      </c>
      <c r="AC1643">
        <v>81.8</v>
      </c>
      <c r="AD1643">
        <v>20.2</v>
      </c>
      <c r="AE1643" t="s">
        <v>519</v>
      </c>
      <c r="AF1643" t="s">
        <v>532</v>
      </c>
      <c r="AG1643" s="32" t="s">
        <v>2062</v>
      </c>
      <c r="AH1643" s="32" t="s">
        <v>2063</v>
      </c>
      <c r="AI1643" s="32" t="s">
        <v>2064</v>
      </c>
      <c r="AJ1643" s="31" t="s">
        <v>3156</v>
      </c>
      <c r="AK1643" s="31">
        <v>0.92787286099999999</v>
      </c>
      <c r="AL1643" s="31">
        <v>75.900000029799997</v>
      </c>
      <c r="AM1643" s="31">
        <v>5.8999999701999997</v>
      </c>
      <c r="AN1643" s="31">
        <v>350.15700069669282</v>
      </c>
      <c r="AO1643" s="31">
        <v>27.219055241958905</v>
      </c>
      <c r="AP1643" s="31">
        <v>0.38840060101739349</v>
      </c>
      <c r="AQ1643" s="31">
        <v>3.0191877912102316E-2</v>
      </c>
      <c r="AR1643" s="31">
        <v>0.11445716114540856</v>
      </c>
    </row>
    <row r="1644" spans="1:44" hidden="1" x14ac:dyDescent="0.5">
      <c r="A1644" s="31">
        <v>1416</v>
      </c>
      <c r="B1644" s="31">
        <v>101</v>
      </c>
      <c r="C1644" s="225" t="s">
        <v>20</v>
      </c>
      <c r="D1644" s="41">
        <v>36.681108999999999</v>
      </c>
      <c r="E1644" s="43">
        <v>27.558039999999998</v>
      </c>
      <c r="F1644">
        <v>0</v>
      </c>
      <c r="G1644">
        <f t="shared" si="21"/>
        <v>0</v>
      </c>
      <c r="H1644" s="31" t="s">
        <v>10</v>
      </c>
      <c r="I1644">
        <v>0</v>
      </c>
      <c r="J1644">
        <v>84.872386266712894</v>
      </c>
      <c r="K1644" s="26">
        <v>2018</v>
      </c>
      <c r="L1644" t="s">
        <v>11</v>
      </c>
      <c r="M1644" s="32">
        <v>1000</v>
      </c>
      <c r="N1644">
        <v>130.61708849999999</v>
      </c>
      <c r="O1644">
        <v>5</v>
      </c>
      <c r="P1644" t="s">
        <v>12</v>
      </c>
      <c r="Q1644">
        <v>89</v>
      </c>
      <c r="R1644" t="s">
        <v>13</v>
      </c>
      <c r="S1644" t="s">
        <v>14</v>
      </c>
      <c r="T1644" t="s">
        <v>14</v>
      </c>
      <c r="U1644" s="240">
        <v>0</v>
      </c>
      <c r="V1644" s="240">
        <v>4</v>
      </c>
      <c r="W1644" s="25">
        <v>2</v>
      </c>
      <c r="X1644" s="25">
        <v>4</v>
      </c>
      <c r="Y1644" s="244">
        <v>1.0419307790000001</v>
      </c>
      <c r="Z1644" t="s">
        <v>785</v>
      </c>
      <c r="AA1644" t="s">
        <v>632</v>
      </c>
      <c r="AB1644">
        <v>5</v>
      </c>
      <c r="AC1644">
        <v>593.29999999999995</v>
      </c>
      <c r="AD1644">
        <v>283.10000000000002</v>
      </c>
      <c r="AF1644" t="s">
        <v>532</v>
      </c>
      <c r="AG1644" s="32">
        <v>593.29999999999995</v>
      </c>
      <c r="AH1644" s="32">
        <v>0.06</v>
      </c>
      <c r="AI1644" s="32">
        <v>35.597999999999999</v>
      </c>
      <c r="AJ1644" s="31">
        <v>557.702</v>
      </c>
      <c r="AK1644" s="31">
        <v>0.06</v>
      </c>
      <c r="AL1644" s="31">
        <v>35.597999999999999</v>
      </c>
      <c r="AM1644" s="31">
        <v>557.702</v>
      </c>
      <c r="AN1644" s="31">
        <v>5224.3900184528084</v>
      </c>
      <c r="AO1644" s="31">
        <v>81848.776955760666</v>
      </c>
      <c r="AP1644" s="31">
        <v>5.4434527617263599</v>
      </c>
      <c r="AQ1644" s="31">
        <v>85.280759933712972</v>
      </c>
      <c r="AR1644" s="31">
        <v>0.13341858489683281</v>
      </c>
    </row>
    <row r="1645" spans="1:44" hidden="1" x14ac:dyDescent="0.5">
      <c r="A1645" s="31">
        <v>837</v>
      </c>
      <c r="B1645" s="31">
        <v>60</v>
      </c>
      <c r="C1645" s="225" t="s">
        <v>20</v>
      </c>
      <c r="D1645" s="44">
        <v>36.634028999999998</v>
      </c>
      <c r="E1645" s="45">
        <v>-4.4473459999999996</v>
      </c>
      <c r="F1645">
        <v>4.3</v>
      </c>
      <c r="G1645">
        <f t="shared" si="21"/>
        <v>6920.1791999999996</v>
      </c>
      <c r="H1645" s="32" t="s">
        <v>614</v>
      </c>
      <c r="I1645">
        <v>81</v>
      </c>
      <c r="J1645">
        <v>168.18506630580899</v>
      </c>
      <c r="K1645" s="26">
        <v>2015</v>
      </c>
      <c r="L1645" t="s">
        <v>30</v>
      </c>
      <c r="M1645" s="32">
        <v>38</v>
      </c>
      <c r="N1645">
        <v>4.1059253030000002</v>
      </c>
      <c r="O1645">
        <v>4.9329999999999998</v>
      </c>
      <c r="P1645" t="s">
        <v>12</v>
      </c>
      <c r="Q1645">
        <v>89</v>
      </c>
      <c r="R1645" t="s">
        <v>13</v>
      </c>
      <c r="S1645" t="s">
        <v>14</v>
      </c>
      <c r="T1645" t="s">
        <v>14</v>
      </c>
      <c r="U1645" s="34">
        <v>0</v>
      </c>
      <c r="V1645" s="34">
        <v>1.5</v>
      </c>
      <c r="W1645" s="25">
        <v>0.75</v>
      </c>
      <c r="X1645" s="25">
        <v>1.5</v>
      </c>
      <c r="Y1645" s="244">
        <v>1.173715329</v>
      </c>
      <c r="Z1645" t="s">
        <v>1103</v>
      </c>
      <c r="AA1645" t="s">
        <v>622</v>
      </c>
      <c r="AB1645">
        <v>3</v>
      </c>
      <c r="AC1645">
        <v>280.3</v>
      </c>
      <c r="AD1645">
        <v>164.9</v>
      </c>
      <c r="AE1645" t="s">
        <v>519</v>
      </c>
      <c r="AF1645" t="s">
        <v>532</v>
      </c>
      <c r="AG1645" s="32" t="s">
        <v>2052</v>
      </c>
      <c r="AH1645" s="32" t="s">
        <v>2053</v>
      </c>
      <c r="AI1645" s="32" t="s">
        <v>2054</v>
      </c>
      <c r="AJ1645" s="31" t="s">
        <v>3153</v>
      </c>
      <c r="AK1645" s="31">
        <v>0.91865858</v>
      </c>
      <c r="AL1645" s="31">
        <v>257.49999997399999</v>
      </c>
      <c r="AM1645" s="31">
        <v>22.800000026000021</v>
      </c>
      <c r="AN1645" s="31">
        <v>1187.9502982199394</v>
      </c>
      <c r="AO1645" s="31">
        <v>105.18550226421814</v>
      </c>
      <c r="AP1645" s="31">
        <v>1.3943154751108644</v>
      </c>
      <c r="AQ1645" s="31">
        <v>0.12345783639607705</v>
      </c>
      <c r="AR1645" s="31">
        <v>0.12301883502906454</v>
      </c>
    </row>
    <row r="1646" spans="1:44" hidden="1" x14ac:dyDescent="0.5">
      <c r="A1646" s="31">
        <v>708</v>
      </c>
      <c r="B1646" s="31">
        <v>53</v>
      </c>
      <c r="C1646" s="225" t="s">
        <v>20</v>
      </c>
      <c r="D1646" s="35">
        <v>36.598424999999999</v>
      </c>
      <c r="E1646" s="33">
        <v>-4.3320340000000002</v>
      </c>
      <c r="F1646">
        <v>10.119999999999999</v>
      </c>
      <c r="G1646">
        <f t="shared" si="21"/>
        <v>16286.56128</v>
      </c>
      <c r="H1646" s="32" t="s">
        <v>611</v>
      </c>
      <c r="I1646">
        <v>900</v>
      </c>
      <c r="J1646">
        <v>192.19100285353699</v>
      </c>
      <c r="K1646" s="27">
        <v>2012</v>
      </c>
      <c r="L1646" t="s">
        <v>30</v>
      </c>
      <c r="M1646" s="32">
        <v>32</v>
      </c>
      <c r="N1646">
        <v>3.4233292909999999</v>
      </c>
      <c r="P1646" t="s">
        <v>12</v>
      </c>
      <c r="Q1646">
        <v>89</v>
      </c>
      <c r="R1646" t="s">
        <v>13</v>
      </c>
      <c r="S1646" t="s">
        <v>14</v>
      </c>
      <c r="T1646" t="s">
        <v>14</v>
      </c>
      <c r="U1646" s="34">
        <v>0</v>
      </c>
      <c r="V1646" s="34">
        <v>1</v>
      </c>
      <c r="W1646" s="25">
        <v>0.5</v>
      </c>
      <c r="X1646" s="25">
        <v>1</v>
      </c>
      <c r="Y1646" s="244">
        <v>0.95073045300000003</v>
      </c>
      <c r="Z1646" t="s">
        <v>1103</v>
      </c>
      <c r="AA1646" t="s">
        <v>622</v>
      </c>
      <c r="AB1646">
        <v>1</v>
      </c>
      <c r="AC1646">
        <v>10</v>
      </c>
      <c r="AF1646" t="s">
        <v>528</v>
      </c>
      <c r="AG1646" s="32" t="s">
        <v>1810</v>
      </c>
      <c r="AH1646" s="32" t="s">
        <v>671</v>
      </c>
      <c r="AI1646" s="32" t="s">
        <v>1129</v>
      </c>
      <c r="AJ1646" s="31" t="s">
        <v>1130</v>
      </c>
      <c r="AK1646" s="31">
        <v>0.59524549999999998</v>
      </c>
      <c r="AL1646" s="31">
        <v>125.21856181670032</v>
      </c>
      <c r="AM1646" s="31">
        <v>85.146005100143782</v>
      </c>
      <c r="AN1646" s="31">
        <v>481.64536004944313</v>
      </c>
      <c r="AO1646" s="31">
        <v>327.50877895613212</v>
      </c>
      <c r="AP1646" s="31">
        <v>0.45791491134515522</v>
      </c>
      <c r="AQ1646" s="31">
        <v>0.31137256977844036</v>
      </c>
      <c r="AR1646" s="31">
        <v>5.4151230534896996E-2</v>
      </c>
    </row>
    <row r="1647" spans="1:44" hidden="1" x14ac:dyDescent="0.5">
      <c r="A1647" s="31">
        <v>834</v>
      </c>
      <c r="B1647" s="31">
        <v>60</v>
      </c>
      <c r="C1647" s="225" t="s">
        <v>20</v>
      </c>
      <c r="D1647" s="44">
        <v>36.164841000000003</v>
      </c>
      <c r="E1647" s="45">
        <v>-5.4124660000000002</v>
      </c>
      <c r="F1647">
        <v>1.18</v>
      </c>
      <c r="G1647">
        <f t="shared" si="21"/>
        <v>1899.02592</v>
      </c>
      <c r="H1647" s="32" t="s">
        <v>614</v>
      </c>
      <c r="I1647">
        <v>154</v>
      </c>
      <c r="J1647">
        <v>261.07713620490102</v>
      </c>
      <c r="K1647" s="26">
        <v>2015</v>
      </c>
      <c r="L1647" t="s">
        <v>30</v>
      </c>
      <c r="M1647" s="32">
        <v>38</v>
      </c>
      <c r="N1647">
        <v>4.1059253030000002</v>
      </c>
      <c r="O1647">
        <v>4.9329999999999998</v>
      </c>
      <c r="P1647" t="s">
        <v>12</v>
      </c>
      <c r="Q1647">
        <v>89</v>
      </c>
      <c r="R1647" t="s">
        <v>13</v>
      </c>
      <c r="S1647" t="s">
        <v>14</v>
      </c>
      <c r="T1647" t="s">
        <v>14</v>
      </c>
      <c r="U1647" s="34">
        <v>0</v>
      </c>
      <c r="V1647" s="34">
        <v>1.5</v>
      </c>
      <c r="W1647" s="25">
        <v>0.75</v>
      </c>
      <c r="X1647" s="25">
        <v>1.5</v>
      </c>
      <c r="Y1647" s="244">
        <v>1.3400348390000001</v>
      </c>
      <c r="Z1647" t="s">
        <v>1103</v>
      </c>
      <c r="AA1647" t="s">
        <v>622</v>
      </c>
      <c r="AB1647">
        <v>3</v>
      </c>
      <c r="AC1647">
        <v>111.3</v>
      </c>
      <c r="AD1647">
        <v>15.9</v>
      </c>
      <c r="AE1647" t="s">
        <v>519</v>
      </c>
      <c r="AF1647" t="s">
        <v>532</v>
      </c>
      <c r="AG1647" s="32" t="s">
        <v>2043</v>
      </c>
      <c r="AH1647" s="32" t="s">
        <v>2044</v>
      </c>
      <c r="AI1647" s="32" t="s">
        <v>2045</v>
      </c>
      <c r="AJ1647" s="31" t="s">
        <v>3150</v>
      </c>
      <c r="AK1647" s="31">
        <v>0.85714285700000004</v>
      </c>
      <c r="AL1647" s="31">
        <v>95.399999984100006</v>
      </c>
      <c r="AM1647" s="31">
        <v>15.900000015899991</v>
      </c>
      <c r="AN1647" s="31">
        <v>440.11828521451218</v>
      </c>
      <c r="AO1647" s="31">
        <v>73.353047621330532</v>
      </c>
      <c r="AP1647" s="31">
        <v>0.58977383546838491</v>
      </c>
      <c r="AQ1647" s="31">
        <v>9.8295639359409007E-2</v>
      </c>
      <c r="AR1647" s="31">
        <v>0.11434254384832396</v>
      </c>
    </row>
    <row r="1648" spans="1:44" hidden="1" x14ac:dyDescent="0.5">
      <c r="A1648" s="31">
        <v>319</v>
      </c>
      <c r="B1648" s="31">
        <v>22</v>
      </c>
      <c r="C1648" s="225" t="s">
        <v>20</v>
      </c>
      <c r="D1648" s="35">
        <v>34.409999999999997</v>
      </c>
      <c r="E1648" s="33">
        <v>14.975</v>
      </c>
      <c r="F1648">
        <v>0</v>
      </c>
      <c r="G1648">
        <f t="shared" si="21"/>
        <v>0</v>
      </c>
      <c r="H1648" s="32" t="s">
        <v>614</v>
      </c>
      <c r="I1648">
        <v>30</v>
      </c>
      <c r="J1648">
        <v>0</v>
      </c>
      <c r="K1648" s="26">
        <v>2015</v>
      </c>
      <c r="L1648" t="s">
        <v>11</v>
      </c>
      <c r="M1648" s="32">
        <v>63</v>
      </c>
      <c r="N1648">
        <v>7.0097463050000002</v>
      </c>
      <c r="P1648" t="s">
        <v>12</v>
      </c>
      <c r="Q1648">
        <v>89</v>
      </c>
      <c r="R1648" t="s">
        <v>13</v>
      </c>
      <c r="S1648" t="s">
        <v>16</v>
      </c>
      <c r="T1648" t="s">
        <v>14</v>
      </c>
      <c r="U1648" s="34">
        <v>0</v>
      </c>
      <c r="V1648" s="34">
        <v>5</v>
      </c>
      <c r="W1648" s="25">
        <v>2.5</v>
      </c>
      <c r="X1648" s="25">
        <v>5</v>
      </c>
      <c r="Y1648" s="244">
        <v>1.0353001390000001</v>
      </c>
      <c r="Z1648" t="s">
        <v>1103</v>
      </c>
      <c r="AA1648" t="s">
        <v>622</v>
      </c>
      <c r="AB1648">
        <v>3</v>
      </c>
      <c r="AC1648">
        <v>534.79999999999995</v>
      </c>
      <c r="AD1648">
        <v>24.3</v>
      </c>
      <c r="AF1648" t="s">
        <v>532</v>
      </c>
      <c r="AG1648" s="32" t="s">
        <v>1327</v>
      </c>
      <c r="AH1648" s="32" t="s">
        <v>1328</v>
      </c>
      <c r="AI1648" s="32" t="s">
        <v>1329</v>
      </c>
      <c r="AJ1648" s="31" t="s">
        <v>2803</v>
      </c>
      <c r="AK1648" s="31">
        <v>0.62</v>
      </c>
      <c r="AL1648" s="31">
        <v>331.57599999999996</v>
      </c>
      <c r="AM1648" s="31">
        <v>203.22399999999999</v>
      </c>
      <c r="AN1648" s="31">
        <v>2611.5321807041346</v>
      </c>
      <c r="AO1648" s="31">
        <v>1600.6164978509212</v>
      </c>
      <c r="AP1648" s="31">
        <v>2.7037196296859638</v>
      </c>
      <c r="AQ1648" s="31">
        <v>1.6571184827107519</v>
      </c>
      <c r="AR1648" s="31">
        <v>0.12946808670713136</v>
      </c>
    </row>
    <row r="1649" spans="1:44" hidden="1" x14ac:dyDescent="0.5">
      <c r="A1649" s="31">
        <v>706</v>
      </c>
      <c r="B1649" s="31">
        <v>53</v>
      </c>
      <c r="C1649" s="225" t="s">
        <v>20</v>
      </c>
      <c r="D1649" s="35">
        <v>34.190871999999999</v>
      </c>
      <c r="E1649" s="33">
        <v>26.892458000000001</v>
      </c>
      <c r="F1649">
        <v>66.61</v>
      </c>
      <c r="G1649">
        <f t="shared" si="21"/>
        <v>107198.40384</v>
      </c>
      <c r="H1649" s="32" t="s">
        <v>612</v>
      </c>
      <c r="I1649">
        <v>3500</v>
      </c>
      <c r="J1649">
        <v>0</v>
      </c>
      <c r="K1649" s="27">
        <v>2012</v>
      </c>
      <c r="L1649" t="s">
        <v>30</v>
      </c>
      <c r="M1649" s="32">
        <v>32</v>
      </c>
      <c r="N1649">
        <v>3.4233292909999999</v>
      </c>
      <c r="P1649" t="s">
        <v>12</v>
      </c>
      <c r="Q1649">
        <v>89</v>
      </c>
      <c r="R1649" t="s">
        <v>13</v>
      </c>
      <c r="S1649" t="s">
        <v>14</v>
      </c>
      <c r="T1649" t="s">
        <v>14</v>
      </c>
      <c r="U1649" s="34">
        <v>0</v>
      </c>
      <c r="V1649" s="34">
        <v>1</v>
      </c>
      <c r="W1649" s="25">
        <v>0.5</v>
      </c>
      <c r="X1649" s="25">
        <v>1</v>
      </c>
      <c r="Y1649" s="244">
        <v>1.055652067</v>
      </c>
      <c r="Z1649" t="s">
        <v>819</v>
      </c>
      <c r="AA1649" t="s">
        <v>640</v>
      </c>
      <c r="AB1649">
        <v>1</v>
      </c>
      <c r="AC1649">
        <v>15</v>
      </c>
      <c r="AF1649" t="s">
        <v>528</v>
      </c>
      <c r="AG1649" s="32" t="s">
        <v>1808</v>
      </c>
      <c r="AH1649" s="32" t="s">
        <v>671</v>
      </c>
      <c r="AI1649" s="32" t="s">
        <v>1129</v>
      </c>
      <c r="AJ1649" s="31" t="s">
        <v>1130</v>
      </c>
      <c r="AK1649" s="31">
        <v>0.59524549999999998</v>
      </c>
      <c r="AL1649" s="31">
        <v>169.15957026208332</v>
      </c>
      <c r="AM1649" s="31">
        <v>115.02497252250441</v>
      </c>
      <c r="AN1649" s="31">
        <v>650.66169857433977</v>
      </c>
      <c r="AO1649" s="31">
        <v>442.43635689074097</v>
      </c>
      <c r="AP1649" s="31">
        <v>0.68687236701773269</v>
      </c>
      <c r="AQ1649" s="31">
        <v>0.46705885466766039</v>
      </c>
      <c r="AR1649" s="31">
        <v>4.0021773520052773E-3</v>
      </c>
    </row>
    <row r="1650" spans="1:44" hidden="1" x14ac:dyDescent="0.5">
      <c r="A1650" s="31">
        <v>521</v>
      </c>
      <c r="B1650" s="31">
        <v>35</v>
      </c>
      <c r="C1650" s="225" t="s">
        <v>20</v>
      </c>
      <c r="D1650" s="39">
        <v>33.049999999999997</v>
      </c>
      <c r="E1650" s="40">
        <v>-16.34</v>
      </c>
      <c r="F1650">
        <v>0</v>
      </c>
      <c r="G1650">
        <f t="shared" si="21"/>
        <v>0</v>
      </c>
      <c r="H1650" s="32" t="s">
        <v>10</v>
      </c>
      <c r="I1650">
        <v>0</v>
      </c>
      <c r="J1650">
        <v>318.13551016610199</v>
      </c>
      <c r="K1650" s="26">
        <v>2015</v>
      </c>
      <c r="L1650" t="s">
        <v>11</v>
      </c>
      <c r="M1650" s="32">
        <v>300</v>
      </c>
      <c r="N1650">
        <v>36.542166029999997</v>
      </c>
      <c r="O1650">
        <v>5</v>
      </c>
      <c r="P1650" t="s">
        <v>12</v>
      </c>
      <c r="Q1650">
        <v>83</v>
      </c>
      <c r="R1650" t="s">
        <v>13</v>
      </c>
      <c r="S1650" t="s">
        <v>14</v>
      </c>
      <c r="T1650" t="s">
        <v>14</v>
      </c>
      <c r="U1650" s="34">
        <v>0</v>
      </c>
      <c r="V1650" s="34">
        <v>5</v>
      </c>
      <c r="W1650" s="25">
        <v>2.5</v>
      </c>
      <c r="X1650" s="25">
        <v>5</v>
      </c>
      <c r="Y1650" s="244">
        <v>1.1444976769999999</v>
      </c>
      <c r="Z1650" t="s">
        <v>1113</v>
      </c>
      <c r="AA1650" t="s">
        <v>622</v>
      </c>
      <c r="AB1650">
        <v>5</v>
      </c>
      <c r="AC1650">
        <v>92</v>
      </c>
      <c r="AD1650">
        <v>15</v>
      </c>
      <c r="AE1650" t="s">
        <v>525</v>
      </c>
      <c r="AF1650" t="s">
        <v>532</v>
      </c>
      <c r="AG1650" s="32">
        <v>92</v>
      </c>
      <c r="AH1650" s="32" t="s">
        <v>1541</v>
      </c>
      <c r="AI1650" s="32" t="s">
        <v>1543</v>
      </c>
      <c r="AJ1650" s="31" t="s">
        <v>2926</v>
      </c>
      <c r="AK1650" s="31">
        <v>0.98699999999999999</v>
      </c>
      <c r="AL1650" s="31">
        <v>90.804000000000002</v>
      </c>
      <c r="AM1650" s="31">
        <v>1.195999999999998</v>
      </c>
      <c r="AN1650" s="31">
        <v>3997.8010170941202</v>
      </c>
      <c r="AO1650" s="31">
        <v>52.655940448048099</v>
      </c>
      <c r="AP1650" s="31">
        <v>4.5754739771724573</v>
      </c>
      <c r="AQ1650" s="31">
        <v>6.0264601523041382E-2</v>
      </c>
      <c r="AR1650" s="31">
        <v>0.13341858489683281</v>
      </c>
    </row>
  </sheetData>
  <autoFilter ref="A1:AR1650" xr:uid="{F93EFD56-A7F1-4811-AAE1-A3B932280193}">
    <filterColumn colId="3">
      <customFilters and="1">
        <customFilter operator="greaterThan" val="0"/>
        <customFilter operator="lessThan" val="15"/>
      </customFilters>
    </filterColumn>
    <filterColumn colId="4">
      <customFilters and="1">
        <customFilter operator="greaterThan" val="70"/>
        <customFilter operator="lessThan" val="120"/>
      </customFilters>
    </filterColumn>
    <sortState xmlns:xlrd2="http://schemas.microsoft.com/office/spreadsheetml/2017/richdata2" ref="A803:AR828">
      <sortCondition ref="I1:I1650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1048-9C05-6242-9BF8-28B6842B792F}">
  <dimension ref="A1:Y998"/>
  <sheetViews>
    <sheetView tabSelected="1" topLeftCell="A72" zoomScale="66" workbookViewId="0">
      <selection activeCell="D100" sqref="D100"/>
    </sheetView>
  </sheetViews>
  <sheetFormatPr baseColWidth="10" defaultColWidth="14.5" defaultRowHeight="15.75" x14ac:dyDescent="0.5"/>
  <cols>
    <col min="1" max="1" width="10.8125" customWidth="1"/>
    <col min="2" max="2" width="25.5" customWidth="1"/>
    <col min="3" max="3" width="12.1875" customWidth="1"/>
    <col min="4" max="4" width="78.3125" customWidth="1"/>
    <col min="5" max="5" width="39.1875" customWidth="1"/>
    <col min="6" max="6" width="45.8125" customWidth="1"/>
    <col min="7" max="7" width="78.3125" customWidth="1"/>
  </cols>
  <sheetData>
    <row r="1" spans="1:24" ht="15.75" customHeight="1" x14ac:dyDescent="0.5">
      <c r="A1" s="8" t="s">
        <v>61</v>
      </c>
      <c r="B1" s="9" t="s">
        <v>62</v>
      </c>
      <c r="C1" s="8" t="s">
        <v>63</v>
      </c>
      <c r="D1" s="9" t="s">
        <v>64</v>
      </c>
      <c r="E1" s="9" t="s">
        <v>65</v>
      </c>
      <c r="F1" s="9" t="s">
        <v>66</v>
      </c>
      <c r="G1" s="9" t="s">
        <v>67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5.75" customHeight="1" x14ac:dyDescent="0.5">
      <c r="A2" s="86">
        <v>116</v>
      </c>
      <c r="B2" s="87" t="s">
        <v>597</v>
      </c>
      <c r="C2" s="86">
        <v>2021</v>
      </c>
      <c r="D2" s="66" t="s">
        <v>596</v>
      </c>
      <c r="E2" s="66" t="s">
        <v>594</v>
      </c>
      <c r="F2" s="85" t="s">
        <v>598</v>
      </c>
      <c r="G2" s="8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5.75" customHeight="1" x14ac:dyDescent="0.5">
      <c r="A3" s="104">
        <v>74</v>
      </c>
      <c r="B3" s="105" t="s">
        <v>382</v>
      </c>
      <c r="C3" s="60">
        <v>2020</v>
      </c>
      <c r="D3" s="105" t="s">
        <v>383</v>
      </c>
      <c r="E3" s="105" t="s">
        <v>70</v>
      </c>
      <c r="F3" s="106" t="s">
        <v>384</v>
      </c>
      <c r="G3" s="65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5.75" customHeight="1" x14ac:dyDescent="0.5">
      <c r="A4" s="223">
        <v>75</v>
      </c>
      <c r="B4" s="105" t="s">
        <v>385</v>
      </c>
      <c r="C4" s="107">
        <v>2020</v>
      </c>
      <c r="D4" s="105" t="s">
        <v>386</v>
      </c>
      <c r="E4" s="105" t="s">
        <v>70</v>
      </c>
      <c r="F4" s="106" t="s">
        <v>387</v>
      </c>
      <c r="G4" s="65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15.75" customHeight="1" x14ac:dyDescent="0.5">
      <c r="A5" s="223">
        <v>76</v>
      </c>
      <c r="B5" s="105" t="s">
        <v>388</v>
      </c>
      <c r="C5" s="107">
        <v>2020</v>
      </c>
      <c r="D5" s="105" t="s">
        <v>389</v>
      </c>
      <c r="E5" s="105" t="s">
        <v>390</v>
      </c>
      <c r="F5" s="76" t="s">
        <v>391</v>
      </c>
      <c r="G5" s="6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s="59" customFormat="1" ht="15.75" customHeight="1" x14ac:dyDescent="0.5">
      <c r="A6" s="222">
        <v>1</v>
      </c>
      <c r="B6" s="61" t="s">
        <v>68</v>
      </c>
      <c r="C6" s="62">
        <v>2019</v>
      </c>
      <c r="D6" s="63" t="s">
        <v>69</v>
      </c>
      <c r="E6" s="64" t="s">
        <v>70</v>
      </c>
      <c r="F6" s="65" t="s">
        <v>71</v>
      </c>
      <c r="G6" s="194" t="s">
        <v>72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spans="1:24" s="84" customFormat="1" ht="15.75" customHeight="1" x14ac:dyDescent="0.5">
      <c r="A7" s="60">
        <v>2</v>
      </c>
      <c r="B7" s="61" t="s">
        <v>73</v>
      </c>
      <c r="C7" s="62">
        <v>2019</v>
      </c>
      <c r="D7" s="63" t="s">
        <v>74</v>
      </c>
      <c r="E7" s="64" t="s">
        <v>75</v>
      </c>
      <c r="F7" s="65" t="s">
        <v>76</v>
      </c>
      <c r="G7" s="65" t="s">
        <v>77</v>
      </c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</row>
    <row r="8" spans="1:24" s="67" customFormat="1" ht="15.75" customHeight="1" x14ac:dyDescent="0.5">
      <c r="A8" s="104">
        <v>72</v>
      </c>
      <c r="B8" s="87" t="s">
        <v>374</v>
      </c>
      <c r="C8" s="62">
        <v>2019</v>
      </c>
      <c r="D8" s="63" t="s">
        <v>375</v>
      </c>
      <c r="E8" s="64" t="s">
        <v>89</v>
      </c>
      <c r="F8" s="125" t="s">
        <v>376</v>
      </c>
      <c r="G8" s="76" t="s">
        <v>377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</row>
    <row r="9" spans="1:24" s="59" customFormat="1" ht="15.75" customHeight="1" x14ac:dyDescent="0.5">
      <c r="A9" s="104">
        <v>84</v>
      </c>
      <c r="B9" s="87" t="s">
        <v>417</v>
      </c>
      <c r="C9" s="86">
        <v>2019</v>
      </c>
      <c r="D9" s="63" t="s">
        <v>418</v>
      </c>
      <c r="E9" s="61" t="s">
        <v>89</v>
      </c>
      <c r="F9" s="121" t="s">
        <v>419</v>
      </c>
      <c r="G9" s="121" t="s">
        <v>420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spans="1:24" s="100" customFormat="1" ht="15.75" customHeight="1" x14ac:dyDescent="0.5">
      <c r="A10" s="104">
        <v>87</v>
      </c>
      <c r="B10" s="87" t="s">
        <v>429</v>
      </c>
      <c r="C10" s="86">
        <v>2019</v>
      </c>
      <c r="D10" s="66" t="s">
        <v>430</v>
      </c>
      <c r="E10" s="61" t="s">
        <v>75</v>
      </c>
      <c r="F10" s="121" t="s">
        <v>431</v>
      </c>
      <c r="G10" s="87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</row>
    <row r="11" spans="1:24" s="100" customFormat="1" ht="15.75" customHeight="1" x14ac:dyDescent="0.5">
      <c r="A11" s="104">
        <v>100</v>
      </c>
      <c r="B11" s="105" t="s">
        <v>471</v>
      </c>
      <c r="C11" s="107">
        <v>2019</v>
      </c>
      <c r="D11" s="105" t="s">
        <v>472</v>
      </c>
      <c r="E11" s="105" t="s">
        <v>70</v>
      </c>
      <c r="F11" s="121" t="s">
        <v>473</v>
      </c>
      <c r="G11" s="87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</row>
    <row r="12" spans="1:24" s="100" customFormat="1" ht="15.75" customHeight="1" x14ac:dyDescent="0.5">
      <c r="A12" s="60">
        <v>5</v>
      </c>
      <c r="B12" s="74" t="s">
        <v>87</v>
      </c>
      <c r="C12" s="60">
        <v>2018</v>
      </c>
      <c r="D12" s="65" t="s">
        <v>88</v>
      </c>
      <c r="E12" s="75" t="s">
        <v>89</v>
      </c>
      <c r="F12" s="65" t="s">
        <v>90</v>
      </c>
      <c r="G12" s="76" t="s">
        <v>91</v>
      </c>
      <c r="H12" s="99"/>
      <c r="I12" s="99" t="s">
        <v>3474</v>
      </c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</row>
    <row r="13" spans="1:24" s="67" customFormat="1" ht="15.75" customHeight="1" x14ac:dyDescent="0.5">
      <c r="A13" s="60">
        <v>55</v>
      </c>
      <c r="B13" s="147" t="s">
        <v>305</v>
      </c>
      <c r="C13" s="60">
        <v>2017</v>
      </c>
      <c r="D13" s="65" t="s">
        <v>306</v>
      </c>
      <c r="E13" s="75" t="s">
        <v>307</v>
      </c>
      <c r="F13" s="76" t="s">
        <v>308</v>
      </c>
      <c r="G13" s="76" t="s">
        <v>309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</row>
    <row r="14" spans="1:24" s="67" customFormat="1" ht="15.75" customHeight="1" x14ac:dyDescent="0.5">
      <c r="A14" s="60">
        <v>16</v>
      </c>
      <c r="B14" s="147" t="s">
        <v>138</v>
      </c>
      <c r="C14" s="60">
        <v>2014</v>
      </c>
      <c r="D14" s="63" t="s">
        <v>139</v>
      </c>
      <c r="E14" s="75" t="s">
        <v>89</v>
      </c>
      <c r="F14" s="65" t="s">
        <v>140</v>
      </c>
      <c r="G14" s="76" t="s">
        <v>141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</row>
    <row r="15" spans="1:24" s="136" customFormat="1" ht="15.75" customHeight="1" x14ac:dyDescent="0.5">
      <c r="A15" s="224">
        <v>6</v>
      </c>
      <c r="B15" s="214" t="s">
        <v>92</v>
      </c>
      <c r="C15" s="213">
        <v>2018</v>
      </c>
      <c r="D15" s="215" t="s">
        <v>93</v>
      </c>
      <c r="E15" s="216" t="s">
        <v>75</v>
      </c>
      <c r="F15" s="215" t="s">
        <v>94</v>
      </c>
      <c r="G15" s="217" t="s">
        <v>95</v>
      </c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</row>
    <row r="16" spans="1:24" s="136" customFormat="1" ht="15.75" customHeight="1" x14ac:dyDescent="0.5">
      <c r="A16" s="222">
        <v>51</v>
      </c>
      <c r="B16" s="220" t="s">
        <v>287</v>
      </c>
      <c r="C16" s="62">
        <v>2019</v>
      </c>
      <c r="D16" s="63" t="s">
        <v>288</v>
      </c>
      <c r="E16" s="64" t="s">
        <v>89</v>
      </c>
      <c r="F16" s="76" t="s">
        <v>289</v>
      </c>
      <c r="G16" s="76" t="s">
        <v>290</v>
      </c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</row>
    <row r="17" spans="1:24" s="136" customFormat="1" ht="15.75" customHeight="1" x14ac:dyDescent="0.5">
      <c r="A17" s="104">
        <v>102</v>
      </c>
      <c r="B17" s="105" t="s">
        <v>477</v>
      </c>
      <c r="C17" s="107">
        <v>2019</v>
      </c>
      <c r="D17" s="105" t="s">
        <v>478</v>
      </c>
      <c r="E17" s="105" t="s">
        <v>70</v>
      </c>
      <c r="F17" s="121" t="s">
        <v>479</v>
      </c>
      <c r="G17" s="87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</row>
    <row r="18" spans="1:24" s="149" customFormat="1" ht="15.75" customHeight="1" x14ac:dyDescent="0.5">
      <c r="A18" s="245" t="s">
        <v>3485</v>
      </c>
      <c r="B18" s="67" t="s">
        <v>3482</v>
      </c>
      <c r="C18" s="62">
        <v>2022</v>
      </c>
      <c r="D18" s="65" t="s">
        <v>3483</v>
      </c>
      <c r="E18" s="67"/>
      <c r="F18" s="246" t="s">
        <v>3484</v>
      </c>
      <c r="G18" s="67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</row>
    <row r="19" spans="1:24" s="136" customFormat="1" ht="15.75" customHeight="1" x14ac:dyDescent="0.5">
      <c r="A19" s="251" t="s">
        <v>3485</v>
      </c>
      <c r="B19" s="218" t="s">
        <v>3531</v>
      </c>
      <c r="C19" s="251">
        <v>2023</v>
      </c>
      <c r="D19" s="253" t="s">
        <v>3532</v>
      </c>
      <c r="E19" s="252"/>
      <c r="F19" s="254" t="s">
        <v>3533</v>
      </c>
      <c r="G19" s="218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</row>
    <row r="20" spans="1:24" s="136" customFormat="1" ht="15.75" customHeight="1" x14ac:dyDescent="0.5">
      <c r="A20" s="223">
        <v>69</v>
      </c>
      <c r="B20" s="87" t="s">
        <v>362</v>
      </c>
      <c r="C20" s="62">
        <v>2019</v>
      </c>
      <c r="D20" s="63" t="s">
        <v>363</v>
      </c>
      <c r="E20" s="64" t="s">
        <v>70</v>
      </c>
      <c r="F20" s="76" t="s">
        <v>364</v>
      </c>
      <c r="G20" s="76" t="s">
        <v>365</v>
      </c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</row>
    <row r="21" spans="1:24" s="136" customFormat="1" ht="15.75" customHeight="1" x14ac:dyDescent="0.5">
      <c r="A21" s="128">
        <v>20</v>
      </c>
      <c r="B21" s="129" t="s">
        <v>155</v>
      </c>
      <c r="C21" s="130">
        <v>2018</v>
      </c>
      <c r="D21" s="131" t="s">
        <v>156</v>
      </c>
      <c r="E21" s="132" t="s">
        <v>89</v>
      </c>
      <c r="F21" s="133" t="s">
        <v>157</v>
      </c>
      <c r="G21" s="134" t="s">
        <v>158</v>
      </c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</row>
    <row r="22" spans="1:24" s="136" customFormat="1" ht="16.5" customHeight="1" x14ac:dyDescent="0.5">
      <c r="A22" s="128">
        <v>28</v>
      </c>
      <c r="B22" s="137" t="s">
        <v>192</v>
      </c>
      <c r="C22" s="128">
        <v>2018</v>
      </c>
      <c r="D22" s="133" t="s">
        <v>193</v>
      </c>
      <c r="E22" s="132" t="s">
        <v>70</v>
      </c>
      <c r="F22" s="134" t="s">
        <v>194</v>
      </c>
      <c r="G22" s="134" t="s">
        <v>195</v>
      </c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</row>
    <row r="23" spans="1:24" s="136" customFormat="1" ht="19.899999999999999" customHeight="1" x14ac:dyDescent="0.5">
      <c r="A23" s="128">
        <v>31</v>
      </c>
      <c r="B23" s="137" t="s">
        <v>204</v>
      </c>
      <c r="C23" s="128">
        <v>2018</v>
      </c>
      <c r="D23" s="133" t="s">
        <v>205</v>
      </c>
      <c r="E23" s="132" t="s">
        <v>89</v>
      </c>
      <c r="F23" s="134" t="s">
        <v>206</v>
      </c>
      <c r="G23" s="134" t="s">
        <v>207</v>
      </c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</row>
    <row r="24" spans="1:24" s="136" customFormat="1" ht="15.75" customHeight="1" x14ac:dyDescent="0.5">
      <c r="A24" s="128">
        <v>32</v>
      </c>
      <c r="B24" s="137" t="s">
        <v>208</v>
      </c>
      <c r="C24" s="128">
        <v>2018</v>
      </c>
      <c r="D24" s="133" t="s">
        <v>209</v>
      </c>
      <c r="E24" s="132" t="s">
        <v>75</v>
      </c>
      <c r="F24" s="134" t="s">
        <v>210</v>
      </c>
      <c r="G24" s="134" t="s">
        <v>211</v>
      </c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</row>
    <row r="25" spans="1:24" s="136" customFormat="1" ht="15.75" customHeight="1" x14ac:dyDescent="0.5">
      <c r="A25" s="128">
        <v>33</v>
      </c>
      <c r="B25" s="137" t="s">
        <v>212</v>
      </c>
      <c r="C25" s="128">
        <v>2018</v>
      </c>
      <c r="D25" s="133" t="s">
        <v>213</v>
      </c>
      <c r="E25" s="132" t="s">
        <v>70</v>
      </c>
      <c r="F25" s="134" t="s">
        <v>214</v>
      </c>
      <c r="G25" s="134" t="s">
        <v>215</v>
      </c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</row>
    <row r="26" spans="1:24" s="136" customFormat="1" ht="15.75" customHeight="1" x14ac:dyDescent="0.5">
      <c r="A26" s="128">
        <v>35</v>
      </c>
      <c r="B26" s="137" t="s">
        <v>220</v>
      </c>
      <c r="C26" s="130">
        <v>2017</v>
      </c>
      <c r="D26" s="133" t="s">
        <v>221</v>
      </c>
      <c r="E26" s="132" t="s">
        <v>89</v>
      </c>
      <c r="F26" s="134" t="s">
        <v>222</v>
      </c>
      <c r="G26" s="134" t="s">
        <v>223</v>
      </c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</row>
    <row r="27" spans="1:24" ht="15.75" customHeight="1" x14ac:dyDescent="0.5">
      <c r="A27" s="128">
        <v>43</v>
      </c>
      <c r="B27" s="129" t="s">
        <v>254</v>
      </c>
      <c r="C27" s="130">
        <v>2016</v>
      </c>
      <c r="D27" s="131" t="s">
        <v>255</v>
      </c>
      <c r="E27" s="150" t="s">
        <v>89</v>
      </c>
      <c r="F27" s="134" t="s">
        <v>256</v>
      </c>
      <c r="G27" s="134" t="s">
        <v>257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s="136" customFormat="1" ht="15.75" customHeight="1" x14ac:dyDescent="0.5">
      <c r="A28" s="128">
        <v>44</v>
      </c>
      <c r="B28" s="129" t="s">
        <v>258</v>
      </c>
      <c r="C28" s="130">
        <v>2016</v>
      </c>
      <c r="D28" s="133" t="s">
        <v>259</v>
      </c>
      <c r="E28" s="150" t="s">
        <v>89</v>
      </c>
      <c r="F28" s="134" t="s">
        <v>260</v>
      </c>
      <c r="G28" s="134" t="s">
        <v>261</v>
      </c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</row>
    <row r="29" spans="1:24" s="136" customFormat="1" ht="15.75" customHeight="1" x14ac:dyDescent="0.5">
      <c r="A29" s="128">
        <v>45</v>
      </c>
      <c r="B29" s="151" t="s">
        <v>262</v>
      </c>
      <c r="C29" s="130">
        <v>2016</v>
      </c>
      <c r="D29" s="131" t="s">
        <v>263</v>
      </c>
      <c r="E29" s="150" t="s">
        <v>75</v>
      </c>
      <c r="F29" s="134" t="s">
        <v>264</v>
      </c>
      <c r="G29" s="134" t="s">
        <v>265</v>
      </c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</row>
    <row r="30" spans="1:24" s="136" customFormat="1" ht="15.75" customHeight="1" x14ac:dyDescent="0.5">
      <c r="A30" s="128">
        <v>47</v>
      </c>
      <c r="B30" s="137" t="s">
        <v>271</v>
      </c>
      <c r="C30" s="130">
        <v>2015</v>
      </c>
      <c r="D30" s="133" t="s">
        <v>272</v>
      </c>
      <c r="E30" s="132" t="s">
        <v>89</v>
      </c>
      <c r="F30" s="134" t="s">
        <v>273</v>
      </c>
      <c r="G30" s="134" t="s">
        <v>274</v>
      </c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</row>
    <row r="31" spans="1:24" s="136" customFormat="1" ht="15.75" customHeight="1" x14ac:dyDescent="0.5">
      <c r="A31" s="128">
        <v>49</v>
      </c>
      <c r="B31" s="129" t="s">
        <v>279</v>
      </c>
      <c r="C31" s="130">
        <v>2014</v>
      </c>
      <c r="D31" s="131" t="s">
        <v>280</v>
      </c>
      <c r="E31" s="150" t="s">
        <v>75</v>
      </c>
      <c r="F31" s="134" t="s">
        <v>281</v>
      </c>
      <c r="G31" s="134" t="s">
        <v>282</v>
      </c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</row>
    <row r="32" spans="1:24" s="136" customFormat="1" ht="15.75" customHeight="1" x14ac:dyDescent="0.5">
      <c r="A32" s="128">
        <v>63</v>
      </c>
      <c r="B32" s="152" t="s">
        <v>339</v>
      </c>
      <c r="C32" s="130">
        <v>2013</v>
      </c>
      <c r="D32" s="131" t="s">
        <v>340</v>
      </c>
      <c r="E32" s="150" t="s">
        <v>307</v>
      </c>
      <c r="F32" s="134" t="s">
        <v>341</v>
      </c>
      <c r="G32" s="134" t="s">
        <v>342</v>
      </c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</row>
    <row r="33" spans="1:24" s="136" customFormat="1" ht="15.75" customHeight="1" x14ac:dyDescent="0.5">
      <c r="A33" s="128">
        <v>40</v>
      </c>
      <c r="B33" s="137" t="s">
        <v>242</v>
      </c>
      <c r="C33" s="130">
        <v>2017</v>
      </c>
      <c r="D33" s="133" t="s">
        <v>243</v>
      </c>
      <c r="E33" s="132" t="s">
        <v>89</v>
      </c>
      <c r="F33" s="134" t="s">
        <v>244</v>
      </c>
      <c r="G33" s="134" t="s">
        <v>245</v>
      </c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</row>
    <row r="34" spans="1:24" s="136" customFormat="1" ht="15.75" customHeight="1" x14ac:dyDescent="0.5">
      <c r="A34" s="128">
        <v>41</v>
      </c>
      <c r="B34" s="129" t="s">
        <v>246</v>
      </c>
      <c r="C34" s="130">
        <v>2017</v>
      </c>
      <c r="D34" s="131" t="s">
        <v>247</v>
      </c>
      <c r="E34" s="150" t="s">
        <v>89</v>
      </c>
      <c r="F34" s="134" t="s">
        <v>248</v>
      </c>
      <c r="G34" s="134" t="s">
        <v>249</v>
      </c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</row>
    <row r="35" spans="1:24" s="136" customFormat="1" ht="15.75" customHeight="1" x14ac:dyDescent="0.5">
      <c r="A35" s="128">
        <v>42</v>
      </c>
      <c r="B35" s="137" t="s">
        <v>250</v>
      </c>
      <c r="C35" s="130">
        <v>2017</v>
      </c>
      <c r="D35" s="133" t="s">
        <v>251</v>
      </c>
      <c r="E35" s="132" t="s">
        <v>89</v>
      </c>
      <c r="F35" s="134" t="s">
        <v>252</v>
      </c>
      <c r="G35" s="134" t="s">
        <v>253</v>
      </c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</row>
    <row r="36" spans="1:24" s="136" customFormat="1" ht="15.75" customHeight="1" x14ac:dyDescent="0.5">
      <c r="A36" s="169">
        <v>77</v>
      </c>
      <c r="B36" s="170" t="s">
        <v>392</v>
      </c>
      <c r="C36" s="130">
        <v>2019</v>
      </c>
      <c r="D36" s="131" t="s">
        <v>393</v>
      </c>
      <c r="E36" s="150" t="s">
        <v>231</v>
      </c>
      <c r="F36" s="134" t="s">
        <v>394</v>
      </c>
      <c r="G36" s="134" t="s">
        <v>395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</row>
    <row r="37" spans="1:24" s="136" customFormat="1" ht="15.75" customHeight="1" x14ac:dyDescent="0.5">
      <c r="A37" s="169">
        <v>90</v>
      </c>
      <c r="B37" s="170" t="s">
        <v>439</v>
      </c>
      <c r="C37" s="171">
        <v>2019</v>
      </c>
      <c r="D37" s="135" t="s">
        <v>440</v>
      </c>
      <c r="E37" s="135" t="s">
        <v>89</v>
      </c>
      <c r="F37" s="172" t="s">
        <v>441</v>
      </c>
      <c r="G37" s="170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</row>
    <row r="38" spans="1:24" s="136" customFormat="1" ht="15.75" customHeight="1" x14ac:dyDescent="0.5">
      <c r="A38" s="169">
        <v>93</v>
      </c>
      <c r="B38" s="166" t="s">
        <v>448</v>
      </c>
      <c r="C38" s="173">
        <v>2019</v>
      </c>
      <c r="D38" s="166" t="s">
        <v>449</v>
      </c>
      <c r="E38" s="166" t="s">
        <v>89</v>
      </c>
      <c r="F38" s="172" t="s">
        <v>450</v>
      </c>
      <c r="G38" s="172" t="s">
        <v>451</v>
      </c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</row>
    <row r="39" spans="1:24" s="136" customFormat="1" ht="15.75" customHeight="1" x14ac:dyDescent="0.5">
      <c r="A39" s="169">
        <v>94</v>
      </c>
      <c r="B39" s="170" t="s">
        <v>452</v>
      </c>
      <c r="C39" s="171">
        <v>2019</v>
      </c>
      <c r="D39" s="135" t="s">
        <v>453</v>
      </c>
      <c r="E39" s="135" t="s">
        <v>89</v>
      </c>
      <c r="F39" s="172" t="s">
        <v>454</v>
      </c>
      <c r="G39" s="170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</row>
    <row r="40" spans="1:24" s="59" customFormat="1" ht="15.75" customHeight="1" x14ac:dyDescent="0.5">
      <c r="A40" s="169">
        <v>95</v>
      </c>
      <c r="B40" s="170" t="s">
        <v>455</v>
      </c>
      <c r="C40" s="171">
        <v>2019</v>
      </c>
      <c r="D40" s="135" t="s">
        <v>456</v>
      </c>
      <c r="E40" s="135" t="s">
        <v>89</v>
      </c>
      <c r="F40" s="172" t="s">
        <v>457</v>
      </c>
      <c r="G40" s="170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 spans="1:24" ht="15.75" customHeight="1" x14ac:dyDescent="0.5">
      <c r="A41" s="169">
        <v>106</v>
      </c>
      <c r="B41" s="166" t="s">
        <v>489</v>
      </c>
      <c r="C41" s="173">
        <v>2019</v>
      </c>
      <c r="D41" s="166" t="s">
        <v>490</v>
      </c>
      <c r="E41" s="166" t="s">
        <v>89</v>
      </c>
      <c r="F41" s="172" t="s">
        <v>491</v>
      </c>
      <c r="G41" s="17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5.75" customHeight="1" x14ac:dyDescent="0.5">
      <c r="A42" s="169">
        <v>107</v>
      </c>
      <c r="B42" s="167" t="s">
        <v>492</v>
      </c>
      <c r="C42" s="173">
        <v>2019</v>
      </c>
      <c r="D42" s="167" t="s">
        <v>493</v>
      </c>
      <c r="E42" s="167" t="s">
        <v>494</v>
      </c>
      <c r="F42" s="174" t="s">
        <v>495</v>
      </c>
      <c r="G42" s="175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s="59" customFormat="1" ht="15.75" customHeight="1" x14ac:dyDescent="0.5">
      <c r="A43" s="128">
        <v>62</v>
      </c>
      <c r="B43" s="129" t="s">
        <v>335</v>
      </c>
      <c r="C43" s="130">
        <v>2018</v>
      </c>
      <c r="D43" s="131" t="s">
        <v>336</v>
      </c>
      <c r="E43" s="150" t="s">
        <v>70</v>
      </c>
      <c r="F43" s="133" t="s">
        <v>337</v>
      </c>
      <c r="G43" s="134" t="s">
        <v>338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 s="164" customFormat="1" ht="15.75" customHeight="1" x14ac:dyDescent="0.5">
      <c r="A44" s="128">
        <v>46</v>
      </c>
      <c r="B44" s="137" t="s">
        <v>266</v>
      </c>
      <c r="C44" s="130">
        <v>2016</v>
      </c>
      <c r="D44" s="133" t="s">
        <v>267</v>
      </c>
      <c r="E44" s="132" t="s">
        <v>268</v>
      </c>
      <c r="F44" s="134" t="s">
        <v>269</v>
      </c>
      <c r="G44" s="134" t="s">
        <v>270</v>
      </c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</row>
    <row r="45" spans="1:24" s="164" customFormat="1" ht="15.75" customHeight="1" x14ac:dyDescent="0.5">
      <c r="A45" s="128">
        <v>64</v>
      </c>
      <c r="B45" s="176" t="s">
        <v>343</v>
      </c>
      <c r="C45" s="128">
        <v>2015</v>
      </c>
      <c r="D45" s="133" t="s">
        <v>344</v>
      </c>
      <c r="E45" s="132" t="s">
        <v>345</v>
      </c>
      <c r="F45" s="134" t="s">
        <v>346</v>
      </c>
      <c r="G45" s="134" t="s">
        <v>347</v>
      </c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</row>
    <row r="46" spans="1:24" s="164" customFormat="1" ht="15.75" customHeight="1" x14ac:dyDescent="0.5">
      <c r="A46" s="169">
        <v>103</v>
      </c>
      <c r="B46" s="166" t="s">
        <v>480</v>
      </c>
      <c r="C46" s="173">
        <v>2019</v>
      </c>
      <c r="D46" s="166" t="s">
        <v>481</v>
      </c>
      <c r="E46" s="166" t="s">
        <v>89</v>
      </c>
      <c r="F46" s="170"/>
      <c r="G46" s="170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</row>
    <row r="47" spans="1:24" s="164" customFormat="1" ht="15.75" customHeight="1" x14ac:dyDescent="0.5">
      <c r="A47" s="169">
        <v>101</v>
      </c>
      <c r="B47" s="166" t="s">
        <v>474</v>
      </c>
      <c r="C47" s="173">
        <v>2019</v>
      </c>
      <c r="D47" s="166" t="s">
        <v>475</v>
      </c>
      <c r="E47" s="166" t="s">
        <v>89</v>
      </c>
      <c r="F47" s="172" t="s">
        <v>476</v>
      </c>
      <c r="G47" s="170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</row>
    <row r="48" spans="1:24" s="200" customFormat="1" ht="15.75" customHeight="1" x14ac:dyDescent="0.5">
      <c r="A48" s="128">
        <v>52</v>
      </c>
      <c r="B48" s="152" t="s">
        <v>291</v>
      </c>
      <c r="C48" s="130">
        <v>2018</v>
      </c>
      <c r="D48" s="131" t="s">
        <v>292</v>
      </c>
      <c r="E48" s="132" t="s">
        <v>75</v>
      </c>
      <c r="F48" s="134" t="s">
        <v>293</v>
      </c>
      <c r="G48" s="134" t="s">
        <v>294</v>
      </c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</row>
    <row r="49" spans="1:25" s="100" customFormat="1" ht="15.75" customHeight="1" x14ac:dyDescent="0.5">
      <c r="A49" s="128">
        <v>48</v>
      </c>
      <c r="B49" s="137" t="s">
        <v>275</v>
      </c>
      <c r="C49" s="130">
        <v>2015</v>
      </c>
      <c r="D49" s="133" t="s">
        <v>276</v>
      </c>
      <c r="E49" s="132" t="s">
        <v>89</v>
      </c>
      <c r="F49" s="134" t="s">
        <v>277</v>
      </c>
      <c r="G49" s="134" t="s">
        <v>278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</row>
    <row r="50" spans="1:25" s="136" customFormat="1" ht="15.75" customHeight="1" x14ac:dyDescent="0.5">
      <c r="A50" s="169">
        <v>68</v>
      </c>
      <c r="B50" s="170" t="s">
        <v>357</v>
      </c>
      <c r="C50" s="130">
        <v>2020</v>
      </c>
      <c r="D50" s="131" t="s">
        <v>358</v>
      </c>
      <c r="E50" s="150" t="s">
        <v>359</v>
      </c>
      <c r="F50" s="134" t="s">
        <v>360</v>
      </c>
      <c r="G50" s="134" t="s">
        <v>361</v>
      </c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49"/>
    </row>
    <row r="51" spans="1:25" s="164" customFormat="1" ht="15.75" customHeight="1" x14ac:dyDescent="0.5">
      <c r="A51" s="128">
        <v>34</v>
      </c>
      <c r="B51" s="129" t="s">
        <v>216</v>
      </c>
      <c r="C51" s="130">
        <v>2017</v>
      </c>
      <c r="D51" s="131" t="s">
        <v>217</v>
      </c>
      <c r="E51" s="150" t="s">
        <v>89</v>
      </c>
      <c r="F51" s="134" t="s">
        <v>218</v>
      </c>
      <c r="G51" s="134" t="s">
        <v>219</v>
      </c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</row>
    <row r="52" spans="1:25" s="100" customFormat="1" ht="15.75" customHeight="1" x14ac:dyDescent="0.5">
      <c r="A52" s="158">
        <v>10</v>
      </c>
      <c r="B52" s="159" t="s">
        <v>110</v>
      </c>
      <c r="C52" s="158">
        <v>2017</v>
      </c>
      <c r="D52" s="160" t="s">
        <v>111</v>
      </c>
      <c r="E52" s="161" t="s">
        <v>112</v>
      </c>
      <c r="F52" s="160" t="s">
        <v>113</v>
      </c>
      <c r="G52" s="162" t="s">
        <v>114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</row>
    <row r="53" spans="1:25" s="200" customFormat="1" ht="15.75" customHeight="1" x14ac:dyDescent="0.5">
      <c r="A53" s="177">
        <v>113</v>
      </c>
      <c r="B53" s="178" t="s">
        <v>512</v>
      </c>
      <c r="C53" s="177">
        <v>2020</v>
      </c>
      <c r="D53" s="163" t="s">
        <v>513</v>
      </c>
      <c r="E53" s="178" t="s">
        <v>514</v>
      </c>
      <c r="F53" s="179" t="s">
        <v>515</v>
      </c>
      <c r="G53" s="17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</row>
    <row r="54" spans="1:25" s="100" customFormat="1" ht="15.75" customHeight="1" x14ac:dyDescent="0.5">
      <c r="A54" s="180">
        <v>117</v>
      </c>
      <c r="B54" s="178" t="s">
        <v>600</v>
      </c>
      <c r="C54" s="180">
        <v>2020</v>
      </c>
      <c r="D54" s="163" t="s">
        <v>599</v>
      </c>
      <c r="E54" s="181" t="s">
        <v>89</v>
      </c>
      <c r="F54" s="182" t="s">
        <v>601</v>
      </c>
      <c r="G54" s="178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</row>
    <row r="55" spans="1:25" s="100" customFormat="1" ht="15.75" customHeight="1" x14ac:dyDescent="0.5">
      <c r="A55" s="180">
        <v>118</v>
      </c>
      <c r="B55" s="178" t="s">
        <v>604</v>
      </c>
      <c r="C55" s="180">
        <v>2020</v>
      </c>
      <c r="D55" s="163" t="s">
        <v>603</v>
      </c>
      <c r="E55" s="163" t="s">
        <v>605</v>
      </c>
      <c r="F55" s="182" t="s">
        <v>606</v>
      </c>
      <c r="G55" s="178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</row>
    <row r="56" spans="1:25" s="187" customFormat="1" ht="15.75" customHeight="1" x14ac:dyDescent="0.5">
      <c r="A56" s="180">
        <v>119</v>
      </c>
      <c r="B56" s="178" t="s">
        <v>608</v>
      </c>
      <c r="C56" s="180">
        <v>2020</v>
      </c>
      <c r="D56" s="163" t="s">
        <v>607</v>
      </c>
      <c r="E56" s="163" t="s">
        <v>609</v>
      </c>
      <c r="F56" s="182" t="s">
        <v>610</v>
      </c>
      <c r="G56" s="178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</row>
    <row r="57" spans="1:25" s="219" customFormat="1" ht="15.75" customHeight="1" x14ac:dyDescent="0.5">
      <c r="A57" s="158">
        <v>24</v>
      </c>
      <c r="B57" s="183" t="s">
        <v>172</v>
      </c>
      <c r="C57" s="158">
        <v>2018</v>
      </c>
      <c r="D57" s="160" t="s">
        <v>173</v>
      </c>
      <c r="E57" s="161" t="s">
        <v>174</v>
      </c>
      <c r="F57" s="160" t="s">
        <v>175</v>
      </c>
      <c r="G57" s="162" t="s">
        <v>176</v>
      </c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</row>
    <row r="58" spans="1:25" s="67" customFormat="1" ht="15.75" customHeight="1" x14ac:dyDescent="0.5">
      <c r="A58" s="158">
        <v>53</v>
      </c>
      <c r="B58" s="184" t="s">
        <v>295</v>
      </c>
      <c r="C58" s="185">
        <v>2014</v>
      </c>
      <c r="D58" s="168" t="s">
        <v>296</v>
      </c>
      <c r="E58" s="186" t="s">
        <v>297</v>
      </c>
      <c r="F58" s="160" t="s">
        <v>298</v>
      </c>
      <c r="G58" s="160" t="s">
        <v>299</v>
      </c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</row>
    <row r="59" spans="1:25" s="100" customFormat="1" ht="15.75" customHeight="1" x14ac:dyDescent="0.5">
      <c r="A59" s="158">
        <v>19</v>
      </c>
      <c r="B59" s="159" t="s">
        <v>151</v>
      </c>
      <c r="C59" s="185">
        <v>2013</v>
      </c>
      <c r="D59" s="168" t="s">
        <v>152</v>
      </c>
      <c r="E59" s="161" t="s">
        <v>75</v>
      </c>
      <c r="F59" s="160" t="s">
        <v>153</v>
      </c>
      <c r="G59" s="162" t="s">
        <v>154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</row>
    <row r="60" spans="1:25" s="136" customFormat="1" ht="15.75" customHeight="1" x14ac:dyDescent="0.5">
      <c r="A60" s="158">
        <v>54</v>
      </c>
      <c r="B60" s="159" t="s">
        <v>300</v>
      </c>
      <c r="C60" s="158">
        <v>2015</v>
      </c>
      <c r="D60" s="160" t="s">
        <v>301</v>
      </c>
      <c r="E60" s="161" t="s">
        <v>302</v>
      </c>
      <c r="F60" s="162" t="s">
        <v>303</v>
      </c>
      <c r="G60" s="162" t="s">
        <v>304</v>
      </c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</row>
    <row r="61" spans="1:25" s="67" customFormat="1" ht="15.75" customHeight="1" x14ac:dyDescent="0.5">
      <c r="A61" s="180" t="s">
        <v>3485</v>
      </c>
      <c r="B61" s="178" t="s">
        <v>3487</v>
      </c>
      <c r="C61" s="180">
        <v>2022</v>
      </c>
      <c r="D61" s="163" t="s">
        <v>3486</v>
      </c>
      <c r="E61" s="163"/>
      <c r="F61" s="247" t="s">
        <v>3488</v>
      </c>
      <c r="G61" s="178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</row>
    <row r="62" spans="1:25" s="200" customFormat="1" ht="15.75" customHeight="1" x14ac:dyDescent="0.5">
      <c r="A62" s="180" t="s">
        <v>3485</v>
      </c>
      <c r="B62" s="178" t="s">
        <v>3490</v>
      </c>
      <c r="C62" s="180">
        <v>2022</v>
      </c>
      <c r="D62" s="163" t="s">
        <v>3489</v>
      </c>
      <c r="E62" s="163"/>
      <c r="F62" s="247" t="s">
        <v>3491</v>
      </c>
      <c r="G62" s="17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</row>
    <row r="63" spans="1:25" s="100" customFormat="1" ht="15.75" customHeight="1" x14ac:dyDescent="0.5">
      <c r="A63" s="195">
        <v>89</v>
      </c>
      <c r="B63" s="196" t="s">
        <v>435</v>
      </c>
      <c r="C63" s="197">
        <v>2019</v>
      </c>
      <c r="D63" s="198" t="s">
        <v>436</v>
      </c>
      <c r="E63" s="198" t="s">
        <v>437</v>
      </c>
      <c r="F63" s="199" t="s">
        <v>438</v>
      </c>
      <c r="G63" s="196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</row>
    <row r="64" spans="1:25" s="187" customFormat="1" ht="15.75" customHeight="1" x14ac:dyDescent="0.5">
      <c r="A64" s="195">
        <v>85</v>
      </c>
      <c r="B64" s="196" t="s">
        <v>421</v>
      </c>
      <c r="C64" s="197">
        <v>2020</v>
      </c>
      <c r="D64" s="198" t="s">
        <v>422</v>
      </c>
      <c r="E64" s="206" t="s">
        <v>70</v>
      </c>
      <c r="F64" s="199" t="s">
        <v>423</v>
      </c>
      <c r="G64" s="199" t="s">
        <v>424</v>
      </c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</row>
    <row r="65" spans="1:24" s="187" customFormat="1" ht="15.75" customHeight="1" x14ac:dyDescent="0.5">
      <c r="A65" s="201">
        <v>13</v>
      </c>
      <c r="B65" s="202" t="s">
        <v>125</v>
      </c>
      <c r="C65" s="201">
        <v>2017</v>
      </c>
      <c r="D65" s="203" t="s">
        <v>126</v>
      </c>
      <c r="E65" s="204" t="s">
        <v>75</v>
      </c>
      <c r="F65" s="203" t="s">
        <v>127</v>
      </c>
      <c r="G65" s="205" t="s">
        <v>128</v>
      </c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</row>
    <row r="66" spans="1:24" s="187" customFormat="1" ht="15.75" customHeight="1" x14ac:dyDescent="0.5">
      <c r="A66" s="201">
        <v>21</v>
      </c>
      <c r="B66" s="206" t="s">
        <v>159</v>
      </c>
      <c r="C66" s="209">
        <v>2017</v>
      </c>
      <c r="D66" s="210" t="s">
        <v>160</v>
      </c>
      <c r="E66" s="211" t="s">
        <v>161</v>
      </c>
      <c r="F66" s="205" t="s">
        <v>162</v>
      </c>
      <c r="G66" s="205" t="s">
        <v>163</v>
      </c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</row>
    <row r="67" spans="1:24" s="187" customFormat="1" ht="15.75" customHeight="1" x14ac:dyDescent="0.5">
      <c r="A67" s="201">
        <v>61</v>
      </c>
      <c r="B67" s="212" t="s">
        <v>331</v>
      </c>
      <c r="C67" s="209">
        <v>2015</v>
      </c>
      <c r="D67" s="210" t="s">
        <v>332</v>
      </c>
      <c r="E67" s="211" t="s">
        <v>307</v>
      </c>
      <c r="F67" s="205" t="s">
        <v>333</v>
      </c>
      <c r="G67" s="205" t="s">
        <v>334</v>
      </c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</row>
    <row r="68" spans="1:24" ht="16.5" customHeight="1" x14ac:dyDescent="0.5">
      <c r="A68" s="197" t="s">
        <v>3485</v>
      </c>
      <c r="B68" s="196" t="s">
        <v>3534</v>
      </c>
      <c r="C68" s="197">
        <v>2022</v>
      </c>
      <c r="D68" s="198" t="s">
        <v>3504</v>
      </c>
      <c r="E68" s="198"/>
      <c r="F68" s="250" t="s">
        <v>3505</v>
      </c>
      <c r="G68" s="196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5.75" customHeight="1" x14ac:dyDescent="0.5">
      <c r="A69" s="195">
        <v>108</v>
      </c>
      <c r="B69" s="257" t="s">
        <v>496</v>
      </c>
      <c r="C69" s="258">
        <v>2020</v>
      </c>
      <c r="D69" s="257" t="s">
        <v>497</v>
      </c>
      <c r="E69" s="257" t="s">
        <v>70</v>
      </c>
      <c r="F69" s="259" t="s">
        <v>498</v>
      </c>
      <c r="G69" s="26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5.75" customHeight="1" x14ac:dyDescent="0.5">
      <c r="A70" s="195">
        <v>109</v>
      </c>
      <c r="B70" s="261" t="s">
        <v>499</v>
      </c>
      <c r="C70" s="258">
        <v>2020</v>
      </c>
      <c r="D70" s="261" t="s">
        <v>500</v>
      </c>
      <c r="E70" s="261" t="s">
        <v>70</v>
      </c>
      <c r="F70" s="199" t="s">
        <v>501</v>
      </c>
      <c r="G70" s="196"/>
      <c r="U70" s="10"/>
      <c r="V70" s="10"/>
      <c r="W70" s="10"/>
      <c r="X70" s="10"/>
    </row>
    <row r="71" spans="1:24" s="59" customFormat="1" ht="15.75" customHeight="1" x14ac:dyDescent="0.5">
      <c r="A71" s="195">
        <v>79</v>
      </c>
      <c r="B71" s="196" t="s">
        <v>399</v>
      </c>
      <c r="C71" s="209">
        <v>2019</v>
      </c>
      <c r="D71" s="210" t="s">
        <v>400</v>
      </c>
      <c r="E71" s="211" t="s">
        <v>89</v>
      </c>
      <c r="F71" s="199" t="s">
        <v>401</v>
      </c>
      <c r="G71" s="196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spans="1:24" s="67" customFormat="1" ht="15.75" customHeight="1" x14ac:dyDescent="0.5">
      <c r="A72" s="201">
        <v>58</v>
      </c>
      <c r="B72" s="206" t="s">
        <v>318</v>
      </c>
      <c r="C72" s="209">
        <v>2017</v>
      </c>
      <c r="D72" s="203" t="s">
        <v>319</v>
      </c>
      <c r="E72" s="211" t="s">
        <v>320</v>
      </c>
      <c r="F72" s="203" t="s">
        <v>321</v>
      </c>
      <c r="G72" s="203" t="s">
        <v>322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</row>
    <row r="73" spans="1:24" s="136" customFormat="1" ht="15.75" customHeight="1" x14ac:dyDescent="0.5">
      <c r="A73" s="140">
        <v>39</v>
      </c>
      <c r="B73" s="141" t="s">
        <v>238</v>
      </c>
      <c r="C73" s="142">
        <v>2017</v>
      </c>
      <c r="D73" s="143" t="s">
        <v>239</v>
      </c>
      <c r="E73" s="144" t="s">
        <v>231</v>
      </c>
      <c r="F73" s="143" t="s">
        <v>240</v>
      </c>
      <c r="G73" s="145" t="s">
        <v>241</v>
      </c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</row>
    <row r="74" spans="1:24" s="200" customFormat="1" ht="15.75" customHeight="1" x14ac:dyDescent="0.5">
      <c r="A74" s="153">
        <v>112</v>
      </c>
      <c r="B74" s="154" t="s">
        <v>510</v>
      </c>
      <c r="C74" s="155">
        <v>2020</v>
      </c>
      <c r="D74" s="154" t="s">
        <v>511</v>
      </c>
      <c r="E74" s="154" t="s">
        <v>390</v>
      </c>
      <c r="F74" s="156"/>
      <c r="G74" s="156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</row>
    <row r="75" spans="1:24" s="200" customFormat="1" ht="15.75" customHeight="1" x14ac:dyDescent="0.5">
      <c r="A75" s="140">
        <v>60</v>
      </c>
      <c r="B75" s="157" t="s">
        <v>327</v>
      </c>
      <c r="C75" s="140">
        <v>2019</v>
      </c>
      <c r="D75" s="143" t="s">
        <v>328</v>
      </c>
      <c r="E75" s="144" t="s">
        <v>329</v>
      </c>
      <c r="F75" s="143"/>
      <c r="G75" s="145" t="s">
        <v>330</v>
      </c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</row>
    <row r="76" spans="1:24" s="200" customFormat="1" ht="15.75" customHeight="1" x14ac:dyDescent="0.5">
      <c r="A76" s="153">
        <v>110</v>
      </c>
      <c r="B76" s="154" t="s">
        <v>502</v>
      </c>
      <c r="C76" s="155">
        <v>2019</v>
      </c>
      <c r="D76" s="154" t="s">
        <v>503</v>
      </c>
      <c r="E76" s="154" t="s">
        <v>504</v>
      </c>
      <c r="F76" s="156" t="s">
        <v>505</v>
      </c>
      <c r="G76" s="156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</row>
    <row r="77" spans="1:24" ht="15.75" customHeight="1" x14ac:dyDescent="0.5">
      <c r="A77" s="80">
        <v>115</v>
      </c>
      <c r="B77" s="81" t="s">
        <v>593</v>
      </c>
      <c r="C77" s="80">
        <v>2021</v>
      </c>
      <c r="D77" s="82" t="s">
        <v>592</v>
      </c>
      <c r="E77" s="82" t="s">
        <v>594</v>
      </c>
      <c r="F77" s="83" t="s">
        <v>595</v>
      </c>
      <c r="G77" s="8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5.75" customHeight="1" x14ac:dyDescent="0.5">
      <c r="A78" s="223">
        <v>91</v>
      </c>
      <c r="B78" s="103" t="s">
        <v>442</v>
      </c>
      <c r="C78" s="127">
        <v>2019</v>
      </c>
      <c r="D78" s="99" t="s">
        <v>443</v>
      </c>
      <c r="E78" s="99" t="s">
        <v>75</v>
      </c>
      <c r="F78" s="123" t="s">
        <v>444</v>
      </c>
      <c r="G78" s="103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t="15.75" customHeight="1" x14ac:dyDescent="0.5">
      <c r="A79" s="222">
        <v>30</v>
      </c>
      <c r="B79" s="138" t="s">
        <v>200</v>
      </c>
      <c r="C79" s="68">
        <v>2018</v>
      </c>
      <c r="D79" s="73" t="s">
        <v>201</v>
      </c>
      <c r="E79" s="139" t="s">
        <v>70</v>
      </c>
      <c r="F79" s="102" t="s">
        <v>202</v>
      </c>
      <c r="G79" s="102" t="s">
        <v>203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s="136" customFormat="1" ht="15.75" customHeight="1" x14ac:dyDescent="0.5">
      <c r="A80" s="96">
        <v>81</v>
      </c>
      <c r="B80" s="103" t="s">
        <v>406</v>
      </c>
      <c r="C80" s="127">
        <v>2019</v>
      </c>
      <c r="D80" s="101" t="s">
        <v>407</v>
      </c>
      <c r="E80" s="69" t="s">
        <v>70</v>
      </c>
      <c r="F80" s="188" t="s">
        <v>408</v>
      </c>
      <c r="G80" s="103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</row>
    <row r="81" spans="1:24" s="100" customFormat="1" ht="15.75" customHeight="1" x14ac:dyDescent="0.5">
      <c r="A81" s="96">
        <v>66</v>
      </c>
      <c r="B81" s="97" t="s">
        <v>349</v>
      </c>
      <c r="C81" s="68">
        <v>2020</v>
      </c>
      <c r="D81" s="73" t="s">
        <v>350</v>
      </c>
      <c r="E81" s="97" t="s">
        <v>70</v>
      </c>
      <c r="F81" s="98" t="s">
        <v>351</v>
      </c>
      <c r="G81" s="98" t="s">
        <v>352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</row>
    <row r="82" spans="1:24" ht="15.75" customHeight="1" x14ac:dyDescent="0.5">
      <c r="A82" s="223">
        <v>67</v>
      </c>
      <c r="B82" s="97" t="s">
        <v>353</v>
      </c>
      <c r="C82" s="70">
        <v>2020</v>
      </c>
      <c r="D82" s="101" t="s">
        <v>354</v>
      </c>
      <c r="E82" s="97" t="s">
        <v>70</v>
      </c>
      <c r="F82" s="102" t="s">
        <v>355</v>
      </c>
      <c r="G82" s="102" t="s">
        <v>356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s="100" customFormat="1" ht="15.75" customHeight="1" x14ac:dyDescent="0.5">
      <c r="A83" s="267">
        <v>98</v>
      </c>
      <c r="B83" s="97" t="s">
        <v>464</v>
      </c>
      <c r="C83" s="122">
        <v>2020</v>
      </c>
      <c r="D83" s="97" t="s">
        <v>465</v>
      </c>
      <c r="E83" s="99" t="s">
        <v>89</v>
      </c>
      <c r="F83" s="123" t="s">
        <v>466</v>
      </c>
      <c r="G83" s="103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</row>
    <row r="84" spans="1:24" s="84" customFormat="1" ht="15.75" customHeight="1" x14ac:dyDescent="0.5">
      <c r="A84" s="68">
        <v>3</v>
      </c>
      <c r="B84" s="69" t="s">
        <v>78</v>
      </c>
      <c r="C84" s="70">
        <v>2019</v>
      </c>
      <c r="D84" s="71" t="s">
        <v>79</v>
      </c>
      <c r="E84" s="72" t="s">
        <v>75</v>
      </c>
      <c r="F84" s="73" t="s">
        <v>80</v>
      </c>
      <c r="G84" s="73" t="s">
        <v>81</v>
      </c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</row>
    <row r="85" spans="1:24" s="136" customFormat="1" ht="15.75" customHeight="1" x14ac:dyDescent="0.5">
      <c r="A85" s="96">
        <v>83</v>
      </c>
      <c r="B85" s="103" t="s">
        <v>413</v>
      </c>
      <c r="C85" s="127">
        <v>2019</v>
      </c>
      <c r="D85" s="73" t="s">
        <v>414</v>
      </c>
      <c r="E85" s="69" t="s">
        <v>415</v>
      </c>
      <c r="F85" s="103" t="s">
        <v>416</v>
      </c>
      <c r="G85" s="103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 spans="1:24" s="200" customFormat="1" ht="15.75" customHeight="1" x14ac:dyDescent="0.5">
      <c r="A86" s="266">
        <v>9</v>
      </c>
      <c r="B86" s="138" t="s">
        <v>105</v>
      </c>
      <c r="C86" s="68">
        <v>2017</v>
      </c>
      <c r="D86" s="73" t="s">
        <v>106</v>
      </c>
      <c r="E86" s="139" t="s">
        <v>107</v>
      </c>
      <c r="F86" s="73" t="s">
        <v>108</v>
      </c>
      <c r="G86" s="102" t="s">
        <v>109</v>
      </c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</row>
    <row r="87" spans="1:24" ht="15.75" customHeight="1" x14ac:dyDescent="0.5">
      <c r="A87" s="266">
        <v>22</v>
      </c>
      <c r="B87" s="69" t="s">
        <v>164</v>
      </c>
      <c r="C87" s="70">
        <v>2016</v>
      </c>
      <c r="D87" s="101" t="s">
        <v>165</v>
      </c>
      <c r="E87" s="72" t="s">
        <v>89</v>
      </c>
      <c r="F87" s="73" t="s">
        <v>166</v>
      </c>
      <c r="G87" s="102" t="s">
        <v>167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s="59" customFormat="1" ht="15.75" customHeight="1" x14ac:dyDescent="0.5">
      <c r="A88" s="266">
        <v>26</v>
      </c>
      <c r="B88" s="138" t="s">
        <v>182</v>
      </c>
      <c r="C88" s="68">
        <v>2016</v>
      </c>
      <c r="D88" s="73" t="s">
        <v>183</v>
      </c>
      <c r="E88" s="139" t="s">
        <v>184</v>
      </c>
      <c r="F88" s="102" t="s">
        <v>185</v>
      </c>
      <c r="G88" s="102" t="s">
        <v>186</v>
      </c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spans="1:24" s="59" customFormat="1" ht="15.75" customHeight="1" x14ac:dyDescent="0.5">
      <c r="A89" s="266">
        <v>29</v>
      </c>
      <c r="B89" s="138" t="s">
        <v>196</v>
      </c>
      <c r="C89" s="68">
        <v>2013</v>
      </c>
      <c r="D89" s="73" t="s">
        <v>197</v>
      </c>
      <c r="E89" s="139" t="s">
        <v>89</v>
      </c>
      <c r="F89" s="102" t="s">
        <v>198</v>
      </c>
      <c r="G89" s="102" t="s">
        <v>199</v>
      </c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spans="1:24" ht="15.75" customHeight="1" x14ac:dyDescent="0.5">
      <c r="A90" s="96">
        <v>88</v>
      </c>
      <c r="B90" s="103" t="s">
        <v>432</v>
      </c>
      <c r="C90" s="127">
        <v>2019</v>
      </c>
      <c r="D90" s="99" t="s">
        <v>433</v>
      </c>
      <c r="E90" s="99" t="s">
        <v>89</v>
      </c>
      <c r="F90" s="188" t="s">
        <v>434</v>
      </c>
      <c r="G90" s="103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s="100" customFormat="1" ht="15.75" customHeight="1" x14ac:dyDescent="0.5">
      <c r="A91" s="267">
        <v>82</v>
      </c>
      <c r="B91" s="103" t="s">
        <v>409</v>
      </c>
      <c r="C91" s="127">
        <v>2019</v>
      </c>
      <c r="D91" s="101" t="s">
        <v>410</v>
      </c>
      <c r="E91" s="69" t="s">
        <v>89</v>
      </c>
      <c r="F91" s="188" t="s">
        <v>411</v>
      </c>
      <c r="G91" s="188" t="s">
        <v>412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</row>
    <row r="92" spans="1:24" ht="15.75" customHeight="1" x14ac:dyDescent="0.5">
      <c r="A92" s="96">
        <v>96</v>
      </c>
      <c r="B92" s="103" t="s">
        <v>458</v>
      </c>
      <c r="C92" s="127">
        <v>2019</v>
      </c>
      <c r="D92" s="99" t="s">
        <v>459</v>
      </c>
      <c r="E92" s="99" t="s">
        <v>70</v>
      </c>
      <c r="F92" s="188" t="s">
        <v>460</v>
      </c>
      <c r="G92" s="103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15.75" customHeight="1" x14ac:dyDescent="0.5">
      <c r="A93" s="68">
        <v>36</v>
      </c>
      <c r="B93" s="138" t="s">
        <v>224</v>
      </c>
      <c r="C93" s="70">
        <v>2017</v>
      </c>
      <c r="D93" s="73" t="s">
        <v>225</v>
      </c>
      <c r="E93" s="139" t="s">
        <v>226</v>
      </c>
      <c r="F93" s="102" t="s">
        <v>227</v>
      </c>
      <c r="G93" s="102" t="s">
        <v>228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s="59" customFormat="1" ht="15.75" customHeight="1" x14ac:dyDescent="0.5">
      <c r="A94" s="127" t="s">
        <v>3485</v>
      </c>
      <c r="B94" s="103" t="s">
        <v>3493</v>
      </c>
      <c r="C94" s="127">
        <v>2024</v>
      </c>
      <c r="D94" s="99" t="s">
        <v>3492</v>
      </c>
      <c r="E94" s="248" t="s">
        <v>3495</v>
      </c>
      <c r="F94" s="249" t="s">
        <v>3494</v>
      </c>
      <c r="G94" s="103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spans="1:24" ht="15.75" customHeight="1" x14ac:dyDescent="0.5">
      <c r="A95" s="276" t="s">
        <v>3485</v>
      </c>
      <c r="B95" s="103" t="s">
        <v>3497</v>
      </c>
      <c r="C95" s="127">
        <v>2022</v>
      </c>
      <c r="D95" s="99" t="s">
        <v>3496</v>
      </c>
      <c r="E95" s="99" t="s">
        <v>3498</v>
      </c>
      <c r="F95" s="103" t="s">
        <v>3499</v>
      </c>
      <c r="G95" s="103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s="30" customFormat="1" ht="15.75" customHeight="1" x14ac:dyDescent="0.5">
      <c r="A96" s="127" t="s">
        <v>3485</v>
      </c>
      <c r="B96" s="103" t="s">
        <v>3503</v>
      </c>
      <c r="C96" s="127">
        <v>2023</v>
      </c>
      <c r="D96" s="99" t="s">
        <v>3500</v>
      </c>
      <c r="E96" s="248" t="s">
        <v>3501</v>
      </c>
      <c r="F96" s="103" t="s">
        <v>3502</v>
      </c>
      <c r="G96" s="103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</row>
    <row r="97" spans="1:25" ht="15.75" customHeight="1" x14ac:dyDescent="0.5">
      <c r="A97" s="127" t="s">
        <v>3485</v>
      </c>
      <c r="B97" s="103" t="s">
        <v>3507</v>
      </c>
      <c r="C97" s="127">
        <v>2025</v>
      </c>
      <c r="D97" s="99" t="s">
        <v>3506</v>
      </c>
      <c r="E97" s="248" t="s">
        <v>3509</v>
      </c>
      <c r="F97" s="249" t="s">
        <v>3508</v>
      </c>
      <c r="G97" s="103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5" ht="15.75" customHeight="1" x14ac:dyDescent="0.5">
      <c r="A98" s="127" t="s">
        <v>3485</v>
      </c>
      <c r="B98" s="103" t="s">
        <v>3512</v>
      </c>
      <c r="C98" s="127">
        <v>2024</v>
      </c>
      <c r="D98" s="99" t="s">
        <v>3510</v>
      </c>
      <c r="E98" s="248" t="s">
        <v>3511</v>
      </c>
      <c r="F98" s="249" t="s">
        <v>3513</v>
      </c>
      <c r="G98" s="103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5" ht="15.75" customHeight="1" x14ac:dyDescent="0.5">
      <c r="A99" s="276" t="s">
        <v>3485</v>
      </c>
      <c r="B99" s="103" t="s">
        <v>3516</v>
      </c>
      <c r="C99" s="127">
        <v>2021</v>
      </c>
      <c r="D99" s="99" t="s">
        <v>3515</v>
      </c>
      <c r="E99" s="99" t="s">
        <v>3514</v>
      </c>
      <c r="F99" s="249" t="s">
        <v>3517</v>
      </c>
      <c r="G99" s="103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5" s="59" customFormat="1" ht="15.75" customHeight="1" x14ac:dyDescent="0.5">
      <c r="A100" s="127" t="s">
        <v>3485</v>
      </c>
      <c r="B100" s="103" t="s">
        <v>3521</v>
      </c>
      <c r="C100" s="127">
        <v>2024</v>
      </c>
      <c r="D100" s="99" t="s">
        <v>3518</v>
      </c>
      <c r="E100" s="99" t="s">
        <v>3519</v>
      </c>
      <c r="F100" s="123" t="s">
        <v>3520</v>
      </c>
      <c r="G100" s="103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spans="1:25" s="67" customFormat="1" ht="15.75" customHeight="1" x14ac:dyDescent="0.5">
      <c r="A101" s="127" t="s">
        <v>3485</v>
      </c>
      <c r="B101" s="103" t="s">
        <v>3525</v>
      </c>
      <c r="C101" s="127">
        <v>2021</v>
      </c>
      <c r="D101" s="99" t="s">
        <v>3522</v>
      </c>
      <c r="E101" s="248" t="s">
        <v>3524</v>
      </c>
      <c r="F101" s="249" t="s">
        <v>3523</v>
      </c>
      <c r="G101" s="103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</row>
    <row r="102" spans="1:25" s="59" customFormat="1" ht="15.75" customHeight="1" x14ac:dyDescent="0.5">
      <c r="A102" s="127" t="s">
        <v>3485</v>
      </c>
      <c r="B102" s="103" t="s">
        <v>3530</v>
      </c>
      <c r="C102" s="127">
        <v>2025</v>
      </c>
      <c r="D102" s="99" t="s">
        <v>3526</v>
      </c>
      <c r="E102" s="99" t="s">
        <v>3527</v>
      </c>
      <c r="F102" s="103" t="s">
        <v>3528</v>
      </c>
      <c r="G102" s="249" t="s">
        <v>3529</v>
      </c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spans="1:25" s="59" customFormat="1" ht="15.75" customHeight="1" x14ac:dyDescent="0.5">
      <c r="A103" s="262">
        <v>114</v>
      </c>
      <c r="B103" s="78" t="s">
        <v>574</v>
      </c>
      <c r="C103" s="77">
        <v>2021</v>
      </c>
      <c r="D103" s="58" t="s">
        <v>575</v>
      </c>
      <c r="E103" s="58" t="s">
        <v>576</v>
      </c>
      <c r="F103" s="79" t="s">
        <v>577</v>
      </c>
      <c r="G103" s="7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spans="1:25" s="100" customFormat="1" ht="15.75" customHeight="1" x14ac:dyDescent="0.5">
      <c r="A104" s="53">
        <v>65</v>
      </c>
      <c r="B104" s="92" t="s">
        <v>348</v>
      </c>
      <c r="C104" s="93">
        <v>2020</v>
      </c>
      <c r="D104" s="59" t="s">
        <v>516</v>
      </c>
      <c r="E104" s="94" t="s">
        <v>517</v>
      </c>
      <c r="F104" s="95" t="s">
        <v>678</v>
      </c>
      <c r="G104" s="95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</row>
    <row r="105" spans="1:25" s="100" customFormat="1" ht="15.75" customHeight="1" x14ac:dyDescent="0.5">
      <c r="A105" s="113">
        <v>78</v>
      </c>
      <c r="B105" s="78" t="s">
        <v>396</v>
      </c>
      <c r="C105" s="209">
        <v>2020</v>
      </c>
      <c r="D105" s="118" t="s">
        <v>397</v>
      </c>
      <c r="E105" s="94" t="s">
        <v>89</v>
      </c>
      <c r="F105" s="57" t="s">
        <v>398</v>
      </c>
      <c r="G105" s="55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</row>
    <row r="106" spans="1:25" s="100" customFormat="1" ht="15.4" customHeight="1" x14ac:dyDescent="0.5">
      <c r="A106" s="263">
        <v>86</v>
      </c>
      <c r="B106" s="109" t="s">
        <v>425</v>
      </c>
      <c r="C106" s="108">
        <v>2020</v>
      </c>
      <c r="D106" s="109" t="s">
        <v>426</v>
      </c>
      <c r="E106" s="110" t="s">
        <v>359</v>
      </c>
      <c r="F106" s="111" t="s">
        <v>427</v>
      </c>
      <c r="G106" s="112" t="s">
        <v>428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</row>
    <row r="107" spans="1:25" s="59" customFormat="1" ht="15.75" customHeight="1" x14ac:dyDescent="0.5">
      <c r="A107" s="113">
        <v>92</v>
      </c>
      <c r="B107" s="78" t="s">
        <v>445</v>
      </c>
      <c r="C107" s="173">
        <v>2020</v>
      </c>
      <c r="D107" s="58" t="s">
        <v>446</v>
      </c>
      <c r="E107" s="58" t="s">
        <v>70</v>
      </c>
      <c r="F107" s="116" t="s">
        <v>447</v>
      </c>
      <c r="G107" s="7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spans="1:25" ht="15.75" customHeight="1" x14ac:dyDescent="0.5">
      <c r="A108" s="113">
        <v>99</v>
      </c>
      <c r="B108" s="114" t="s">
        <v>467</v>
      </c>
      <c r="C108" s="264">
        <v>2020</v>
      </c>
      <c r="D108" s="114" t="s">
        <v>468</v>
      </c>
      <c r="E108" s="78" t="s">
        <v>469</v>
      </c>
      <c r="F108" s="116" t="s">
        <v>470</v>
      </c>
      <c r="G108" s="7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5" s="59" customFormat="1" ht="15.75" customHeight="1" x14ac:dyDescent="0.5">
      <c r="A109" s="53">
        <v>8</v>
      </c>
      <c r="B109" s="117" t="s">
        <v>100</v>
      </c>
      <c r="C109" s="265">
        <v>2019</v>
      </c>
      <c r="D109" s="55" t="s">
        <v>101</v>
      </c>
      <c r="E109" s="56" t="s">
        <v>102</v>
      </c>
      <c r="F109" s="55" t="s">
        <v>103</v>
      </c>
      <c r="G109" s="57" t="s">
        <v>104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spans="1:25" s="59" customFormat="1" ht="15.75" customHeight="1" x14ac:dyDescent="0.5">
      <c r="A110" s="266">
        <v>59</v>
      </c>
      <c r="B110" s="54" t="s">
        <v>323</v>
      </c>
      <c r="C110" s="53">
        <v>2019</v>
      </c>
      <c r="D110" s="55" t="s">
        <v>324</v>
      </c>
      <c r="E110" s="56" t="s">
        <v>307</v>
      </c>
      <c r="F110" s="57" t="s">
        <v>325</v>
      </c>
      <c r="G110" s="57" t="s">
        <v>326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spans="1:25" s="59" customFormat="1" ht="15.75" customHeight="1" x14ac:dyDescent="0.5">
      <c r="A111" s="113">
        <v>70</v>
      </c>
      <c r="B111" s="78" t="s">
        <v>366</v>
      </c>
      <c r="C111" s="209">
        <v>2019</v>
      </c>
      <c r="D111" s="118" t="s">
        <v>367</v>
      </c>
      <c r="E111" s="94" t="s">
        <v>89</v>
      </c>
      <c r="F111" s="57" t="s">
        <v>368</v>
      </c>
      <c r="G111" s="57" t="s">
        <v>369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spans="1:25" s="59" customFormat="1" ht="15.75" customHeight="1" x14ac:dyDescent="0.5">
      <c r="A112" s="113">
        <v>71</v>
      </c>
      <c r="B112" s="78" t="s">
        <v>370</v>
      </c>
      <c r="C112" s="119">
        <v>2019</v>
      </c>
      <c r="D112" s="118" t="s">
        <v>371</v>
      </c>
      <c r="E112" s="94" t="s">
        <v>89</v>
      </c>
      <c r="F112" s="124" t="s">
        <v>372</v>
      </c>
      <c r="G112" s="57" t="s">
        <v>373</v>
      </c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3"/>
    </row>
    <row r="113" spans="1:25" s="100" customFormat="1" ht="15.75" customHeight="1" x14ac:dyDescent="0.5">
      <c r="A113" s="223">
        <v>73</v>
      </c>
      <c r="B113" s="78" t="s">
        <v>378</v>
      </c>
      <c r="C113" s="119">
        <v>2019</v>
      </c>
      <c r="D113" s="118" t="s">
        <v>379</v>
      </c>
      <c r="E113" s="94" t="s">
        <v>380</v>
      </c>
      <c r="F113" s="126" t="s">
        <v>573</v>
      </c>
      <c r="G113" s="57" t="s">
        <v>381</v>
      </c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8"/>
    </row>
    <row r="114" spans="1:25" s="100" customFormat="1" ht="15.75" customHeight="1" x14ac:dyDescent="0.5">
      <c r="A114" s="223">
        <v>80</v>
      </c>
      <c r="B114" s="78" t="s">
        <v>402</v>
      </c>
      <c r="C114" s="119">
        <v>2019</v>
      </c>
      <c r="D114" s="118" t="s">
        <v>403</v>
      </c>
      <c r="E114" s="120" t="s">
        <v>89</v>
      </c>
      <c r="F114" s="116" t="s">
        <v>404</v>
      </c>
      <c r="G114" s="116" t="s">
        <v>405</v>
      </c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</row>
    <row r="115" spans="1:25" ht="15.75" customHeight="1" x14ac:dyDescent="0.5">
      <c r="A115" s="113">
        <v>105</v>
      </c>
      <c r="B115" s="114" t="s">
        <v>485</v>
      </c>
      <c r="C115" s="258">
        <v>2019</v>
      </c>
      <c r="D115" s="114" t="s">
        <v>486</v>
      </c>
      <c r="E115" s="114" t="s">
        <v>487</v>
      </c>
      <c r="F115" s="116" t="s">
        <v>488</v>
      </c>
      <c r="G115" s="7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5" s="136" customFormat="1" ht="15.75" customHeight="1" x14ac:dyDescent="0.5">
      <c r="A116" s="267">
        <v>111</v>
      </c>
      <c r="B116" s="114" t="s">
        <v>506</v>
      </c>
      <c r="C116" s="115">
        <v>2019</v>
      </c>
      <c r="D116" s="114" t="s">
        <v>507</v>
      </c>
      <c r="E116" s="114" t="s">
        <v>508</v>
      </c>
      <c r="F116" s="116" t="s">
        <v>509</v>
      </c>
      <c r="G116" s="78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</row>
    <row r="117" spans="1:25" s="67" customFormat="1" ht="15.75" customHeight="1" x14ac:dyDescent="0.5">
      <c r="A117" s="222">
        <v>4</v>
      </c>
      <c r="B117" s="54" t="s">
        <v>82</v>
      </c>
      <c r="C117" s="53">
        <v>2018</v>
      </c>
      <c r="D117" s="55" t="s">
        <v>83</v>
      </c>
      <c r="E117" s="56" t="s">
        <v>84</v>
      </c>
      <c r="F117" s="55" t="s">
        <v>85</v>
      </c>
      <c r="G117" s="57" t="s">
        <v>86</v>
      </c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</row>
    <row r="118" spans="1:25" ht="15.75" customHeight="1" x14ac:dyDescent="0.5">
      <c r="A118" s="266">
        <v>7</v>
      </c>
      <c r="B118" s="117" t="s">
        <v>96</v>
      </c>
      <c r="C118" s="53">
        <v>2018</v>
      </c>
      <c r="D118" s="55" t="s">
        <v>97</v>
      </c>
      <c r="E118" s="56" t="s">
        <v>89</v>
      </c>
      <c r="F118" s="55" t="s">
        <v>98</v>
      </c>
      <c r="G118" s="57" t="s">
        <v>99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5" s="200" customFormat="1" ht="15.75" customHeight="1" x14ac:dyDescent="0.5">
      <c r="A119" s="266">
        <v>17</v>
      </c>
      <c r="B119" s="54" t="s">
        <v>142</v>
      </c>
      <c r="C119" s="53">
        <v>2018</v>
      </c>
      <c r="D119" s="118" t="s">
        <v>143</v>
      </c>
      <c r="E119" s="56" t="s">
        <v>144</v>
      </c>
      <c r="F119" s="55" t="s">
        <v>145</v>
      </c>
      <c r="G119" s="57" t="s">
        <v>146</v>
      </c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</row>
    <row r="120" spans="1:25" s="100" customFormat="1" ht="15.75" customHeight="1" x14ac:dyDescent="0.5">
      <c r="A120" s="266">
        <v>11</v>
      </c>
      <c r="B120" s="117" t="s">
        <v>115</v>
      </c>
      <c r="C120" s="53">
        <v>2017</v>
      </c>
      <c r="D120" s="55" t="s">
        <v>116</v>
      </c>
      <c r="E120" s="56" t="s">
        <v>117</v>
      </c>
      <c r="F120" s="57" t="s">
        <v>118</v>
      </c>
      <c r="G120" s="57" t="s">
        <v>119</v>
      </c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</row>
    <row r="121" spans="1:25" ht="15.75" customHeight="1" x14ac:dyDescent="0.5">
      <c r="A121" s="53">
        <v>12</v>
      </c>
      <c r="B121" s="117" t="s">
        <v>120</v>
      </c>
      <c r="C121" s="53">
        <v>2017</v>
      </c>
      <c r="D121" s="55" t="s">
        <v>121</v>
      </c>
      <c r="E121" s="56" t="s">
        <v>122</v>
      </c>
      <c r="F121" s="57" t="s">
        <v>123</v>
      </c>
      <c r="G121" s="57" t="s">
        <v>124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5" s="164" customFormat="1" ht="15.75" customHeight="1" x14ac:dyDescent="0.5">
      <c r="A122" s="266">
        <v>14</v>
      </c>
      <c r="B122" s="117" t="s">
        <v>129</v>
      </c>
      <c r="C122" s="53">
        <v>2017</v>
      </c>
      <c r="D122" s="55" t="s">
        <v>130</v>
      </c>
      <c r="E122" s="56" t="s">
        <v>89</v>
      </c>
      <c r="F122" s="55" t="s">
        <v>131</v>
      </c>
      <c r="G122" s="57" t="s">
        <v>132</v>
      </c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</row>
    <row r="123" spans="1:25" s="200" customFormat="1" ht="15.75" customHeight="1" x14ac:dyDescent="0.5">
      <c r="A123" s="224">
        <v>15</v>
      </c>
      <c r="B123" s="120" t="s">
        <v>133</v>
      </c>
      <c r="C123" s="53">
        <v>2017</v>
      </c>
      <c r="D123" s="118" t="s">
        <v>134</v>
      </c>
      <c r="E123" s="56" t="s">
        <v>135</v>
      </c>
      <c r="F123" s="55" t="s">
        <v>136</v>
      </c>
      <c r="G123" s="57" t="s">
        <v>137</v>
      </c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</row>
    <row r="124" spans="1:25" s="67" customFormat="1" ht="18.75" customHeight="1" x14ac:dyDescent="0.5">
      <c r="A124" s="266">
        <v>37</v>
      </c>
      <c r="B124" s="117" t="s">
        <v>229</v>
      </c>
      <c r="C124" s="119">
        <v>2017</v>
      </c>
      <c r="D124" s="55" t="s">
        <v>230</v>
      </c>
      <c r="E124" s="56" t="s">
        <v>231</v>
      </c>
      <c r="F124" s="55" t="s">
        <v>232</v>
      </c>
      <c r="G124" s="57" t="s">
        <v>233</v>
      </c>
    </row>
    <row r="125" spans="1:25" s="164" customFormat="1" ht="15.75" customHeight="1" x14ac:dyDescent="0.5">
      <c r="A125" s="266">
        <v>50</v>
      </c>
      <c r="B125" s="120" t="s">
        <v>283</v>
      </c>
      <c r="C125" s="119">
        <v>2017</v>
      </c>
      <c r="D125" s="118" t="s">
        <v>284</v>
      </c>
      <c r="E125" s="94" t="s">
        <v>89</v>
      </c>
      <c r="F125" s="57" t="s">
        <v>285</v>
      </c>
      <c r="G125" s="57" t="s">
        <v>286</v>
      </c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</row>
    <row r="126" spans="1:25" s="164" customFormat="1" ht="15.75" customHeight="1" x14ac:dyDescent="0.5">
      <c r="A126" s="222">
        <v>56</v>
      </c>
      <c r="B126" s="120" t="s">
        <v>310</v>
      </c>
      <c r="C126" s="119">
        <v>2017</v>
      </c>
      <c r="D126" s="118" t="s">
        <v>311</v>
      </c>
      <c r="E126" s="94" t="s">
        <v>307</v>
      </c>
      <c r="F126" s="57" t="s">
        <v>312</v>
      </c>
      <c r="G126" s="57" t="s">
        <v>313</v>
      </c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</row>
    <row r="127" spans="1:25" s="100" customFormat="1" ht="15.75" customHeight="1" x14ac:dyDescent="0.5">
      <c r="A127" s="222">
        <v>57</v>
      </c>
      <c r="B127" s="54" t="s">
        <v>314</v>
      </c>
      <c r="C127" s="53">
        <v>2017</v>
      </c>
      <c r="D127" s="55" t="s">
        <v>315</v>
      </c>
      <c r="E127" s="56" t="s">
        <v>307</v>
      </c>
      <c r="F127" s="57" t="s">
        <v>316</v>
      </c>
      <c r="G127" s="57" t="s">
        <v>317</v>
      </c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</row>
    <row r="128" spans="1:25" s="100" customFormat="1" ht="15.75" customHeight="1" x14ac:dyDescent="0.5">
      <c r="A128" s="266">
        <v>27</v>
      </c>
      <c r="B128" s="117" t="s">
        <v>187</v>
      </c>
      <c r="C128" s="53">
        <v>2016</v>
      </c>
      <c r="D128" s="55" t="s">
        <v>188</v>
      </c>
      <c r="E128" s="56" t="s">
        <v>189</v>
      </c>
      <c r="F128" s="57" t="s">
        <v>190</v>
      </c>
      <c r="G128" s="57" t="s">
        <v>191</v>
      </c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</row>
    <row r="129" spans="1:24" s="100" customFormat="1" ht="15.75" customHeight="1" x14ac:dyDescent="0.5">
      <c r="A129" s="266">
        <v>18</v>
      </c>
      <c r="B129" s="78" t="s">
        <v>147</v>
      </c>
      <c r="C129" s="53">
        <v>2011</v>
      </c>
      <c r="D129" s="118" t="s">
        <v>148</v>
      </c>
      <c r="E129" s="56" t="s">
        <v>89</v>
      </c>
      <c r="F129" s="55" t="s">
        <v>149</v>
      </c>
      <c r="G129" s="57" t="s">
        <v>150</v>
      </c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</row>
    <row r="130" spans="1:24" s="200" customFormat="1" ht="15.75" customHeight="1" x14ac:dyDescent="0.5">
      <c r="A130" s="274" t="s">
        <v>3485</v>
      </c>
      <c r="B130" s="190"/>
      <c r="C130" s="189"/>
      <c r="D130" s="59" t="s">
        <v>3478</v>
      </c>
      <c r="E130" s="190"/>
      <c r="F130" s="59"/>
      <c r="G130" s="191" t="s">
        <v>3477</v>
      </c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</row>
    <row r="131" spans="1:24" s="100" customFormat="1" ht="15.75" customHeight="1" x14ac:dyDescent="0.5">
      <c r="A131" s="53">
        <v>25</v>
      </c>
      <c r="B131" s="117" t="s">
        <v>177</v>
      </c>
      <c r="C131" s="201">
        <v>2013</v>
      </c>
      <c r="D131" s="55" t="s">
        <v>178</v>
      </c>
      <c r="E131" s="56" t="s">
        <v>179</v>
      </c>
      <c r="F131" s="57" t="s">
        <v>180</v>
      </c>
      <c r="G131" s="57" t="s">
        <v>181</v>
      </c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</row>
    <row r="132" spans="1:24" s="100" customFormat="1" ht="15.75" customHeight="1" x14ac:dyDescent="0.5">
      <c r="A132" s="275" t="s">
        <v>3485</v>
      </c>
      <c r="B132" s="190"/>
      <c r="C132" s="189"/>
      <c r="D132" s="59" t="s">
        <v>3479</v>
      </c>
      <c r="E132" s="190"/>
      <c r="F132" s="59"/>
      <c r="G132" s="191" t="s">
        <v>3476</v>
      </c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</row>
    <row r="133" spans="1:24" s="100" customFormat="1" ht="15.75" customHeight="1" x14ac:dyDescent="0.5">
      <c r="A133" s="275" t="s">
        <v>3485</v>
      </c>
      <c r="B133" s="190"/>
      <c r="C133" s="189"/>
      <c r="D133" s="59" t="s">
        <v>3480</v>
      </c>
      <c r="E133" s="190"/>
      <c r="F133" s="59"/>
      <c r="G133" s="191" t="s">
        <v>3475</v>
      </c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</row>
    <row r="134" spans="1:24" s="100" customFormat="1" ht="15.75" customHeight="1" x14ac:dyDescent="0.5">
      <c r="A134" s="18">
        <v>97</v>
      </c>
      <c r="B134" s="3" t="s">
        <v>461</v>
      </c>
      <c r="C134" s="21">
        <v>2019</v>
      </c>
      <c r="D134" s="10" t="s">
        <v>462</v>
      </c>
      <c r="E134" s="10" t="s">
        <v>89</v>
      </c>
      <c r="F134" s="20" t="s">
        <v>463</v>
      </c>
      <c r="G134" s="3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</row>
    <row r="135" spans="1:24" s="219" customFormat="1" ht="15.75" customHeight="1" x14ac:dyDescent="0.5">
      <c r="A135" s="18">
        <v>104</v>
      </c>
      <c r="B135" s="2" t="s">
        <v>482</v>
      </c>
      <c r="C135" s="19">
        <v>2019</v>
      </c>
      <c r="D135" s="2" t="s">
        <v>483</v>
      </c>
      <c r="E135" s="2" t="s">
        <v>484</v>
      </c>
      <c r="F135" s="3"/>
      <c r="G135" s="3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</row>
    <row r="136" spans="1:24" s="100" customFormat="1" ht="15.75" customHeight="1" x14ac:dyDescent="0.5">
      <c r="A136" s="11">
        <v>23</v>
      </c>
      <c r="B136" s="17" t="s">
        <v>168</v>
      </c>
      <c r="C136" s="11">
        <v>2018</v>
      </c>
      <c r="D136" s="14" t="s">
        <v>169</v>
      </c>
      <c r="E136" s="13" t="s">
        <v>89</v>
      </c>
      <c r="F136" s="14" t="s">
        <v>170</v>
      </c>
      <c r="G136" s="16" t="s">
        <v>171</v>
      </c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</row>
    <row r="137" spans="1:24" s="100" customFormat="1" ht="15.75" customHeight="1" x14ac:dyDescent="0.5">
      <c r="A137" s="11">
        <v>38</v>
      </c>
      <c r="B137" s="17" t="s">
        <v>234</v>
      </c>
      <c r="C137" s="12">
        <v>2017</v>
      </c>
      <c r="D137" s="14" t="s">
        <v>235</v>
      </c>
      <c r="E137" s="15" t="s">
        <v>89</v>
      </c>
      <c r="F137" s="16" t="s">
        <v>236</v>
      </c>
      <c r="G137" s="16" t="s">
        <v>237</v>
      </c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</row>
    <row r="138" spans="1:24" ht="15.75" customHeight="1" x14ac:dyDescent="0.5">
      <c r="A138" s="21"/>
      <c r="B138" s="3"/>
      <c r="C138" s="21"/>
      <c r="D138" s="10"/>
      <c r="E138" s="10"/>
      <c r="F138" s="3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ht="15.75" customHeight="1" x14ac:dyDescent="0.5">
      <c r="A139" s="21"/>
      <c r="B139" s="3"/>
      <c r="C139" s="21"/>
      <c r="D139" s="10"/>
      <c r="E139" s="10"/>
      <c r="F139" s="3"/>
      <c r="G139" s="3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ht="15.75" customHeight="1" x14ac:dyDescent="0.5">
      <c r="A140" s="21"/>
      <c r="B140" s="3"/>
      <c r="C140" s="21"/>
      <c r="D140" s="10"/>
      <c r="E140" s="10"/>
      <c r="F140" s="3"/>
      <c r="G140" s="3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ht="15.75" customHeight="1" x14ac:dyDescent="0.5">
      <c r="A141" s="21"/>
      <c r="B141" s="3"/>
      <c r="C141" s="21"/>
      <c r="D141" s="10"/>
      <c r="E141" s="10"/>
      <c r="F141" s="3"/>
      <c r="G141" s="3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ht="15.75" customHeight="1" x14ac:dyDescent="0.5">
      <c r="A142" s="21"/>
      <c r="B142" s="3"/>
      <c r="C142" s="21"/>
      <c r="D142" s="10"/>
      <c r="E142" s="10"/>
      <c r="F142" s="3"/>
      <c r="G142" s="3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ht="15.75" customHeight="1" x14ac:dyDescent="0.5">
      <c r="A143" s="21"/>
      <c r="B143" s="3"/>
      <c r="C143" s="21"/>
      <c r="D143" s="10"/>
      <c r="E143" s="10"/>
      <c r="F143" s="3"/>
      <c r="G143" s="3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ht="15.75" customHeight="1" x14ac:dyDescent="0.5">
      <c r="A144" s="21"/>
      <c r="B144" s="3"/>
      <c r="C144" s="21"/>
      <c r="D144" s="10"/>
      <c r="E144" s="10"/>
      <c r="F144" s="3"/>
      <c r="G144" s="3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t="15.75" customHeight="1" x14ac:dyDescent="0.5">
      <c r="A145" s="21"/>
      <c r="B145" s="3"/>
      <c r="C145" s="21"/>
      <c r="D145" s="10"/>
      <c r="E145" s="10"/>
      <c r="F145" s="3"/>
      <c r="G145" s="3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ht="15.75" customHeight="1" x14ac:dyDescent="0.5">
      <c r="A146" s="21"/>
      <c r="B146" s="3"/>
      <c r="C146" s="21"/>
      <c r="D146" s="10"/>
      <c r="E146" s="10"/>
      <c r="F146" s="3"/>
      <c r="G146" s="3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t="15.75" customHeight="1" x14ac:dyDescent="0.5">
      <c r="A147" s="21"/>
      <c r="B147" s="3"/>
      <c r="C147" s="21"/>
      <c r="D147" s="10"/>
      <c r="E147" s="10"/>
      <c r="F147" s="3"/>
      <c r="G147" s="3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ht="15.75" customHeight="1" x14ac:dyDescent="0.5">
      <c r="A148" s="21"/>
      <c r="B148" s="3"/>
      <c r="C148" s="21"/>
      <c r="D148" s="10"/>
      <c r="E148" s="10"/>
      <c r="F148" s="3"/>
      <c r="G148" s="3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ht="15.75" customHeight="1" x14ac:dyDescent="0.5">
      <c r="A149" s="21"/>
      <c r="B149" s="3"/>
      <c r="C149" s="21"/>
      <c r="D149" s="10"/>
      <c r="E149" s="10"/>
      <c r="F149" s="3"/>
      <c r="G149" s="3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ht="15.75" customHeight="1" x14ac:dyDescent="0.5">
      <c r="A150" s="21"/>
      <c r="B150" s="3"/>
      <c r="C150" s="21"/>
      <c r="D150" s="10"/>
      <c r="E150" s="10"/>
      <c r="F150" s="3"/>
      <c r="G150" s="3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ht="15.75" customHeight="1" x14ac:dyDescent="0.5">
      <c r="A151" s="21"/>
      <c r="B151" s="3"/>
      <c r="C151" s="21"/>
      <c r="D151" s="10"/>
      <c r="E151" s="10"/>
      <c r="F151" s="3"/>
      <c r="G151" s="3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ht="15.75" customHeight="1" x14ac:dyDescent="0.5">
      <c r="A152" s="21"/>
      <c r="B152" s="3"/>
      <c r="C152" s="21"/>
      <c r="D152" s="10"/>
      <c r="E152" s="10"/>
      <c r="F152" s="3"/>
      <c r="G152" s="3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ht="15.75" customHeight="1" x14ac:dyDescent="0.5">
      <c r="A153" s="21"/>
      <c r="B153" s="3"/>
      <c r="C153" s="21"/>
      <c r="D153" s="10"/>
      <c r="E153" s="10"/>
      <c r="F153" s="3"/>
      <c r="G153" s="3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t="15.75" customHeight="1" x14ac:dyDescent="0.5">
      <c r="A154" s="21"/>
      <c r="B154" s="3"/>
      <c r="C154" s="21"/>
      <c r="D154" s="10"/>
      <c r="E154" s="10"/>
      <c r="F154" s="3"/>
      <c r="G154" s="3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ht="15.75" customHeight="1" x14ac:dyDescent="0.5">
      <c r="A155" s="21"/>
      <c r="B155" s="3"/>
      <c r="C155" s="21"/>
      <c r="D155" s="10"/>
      <c r="E155" s="10"/>
      <c r="F155" s="3"/>
      <c r="G155" s="3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ht="15.75" customHeight="1" x14ac:dyDescent="0.5">
      <c r="A156" s="21"/>
      <c r="B156" s="3"/>
      <c r="C156" s="21"/>
      <c r="D156" s="10"/>
      <c r="E156" s="10"/>
      <c r="F156" s="3"/>
      <c r="G156" s="3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ht="15.75" customHeight="1" x14ac:dyDescent="0.5">
      <c r="A157" s="21"/>
      <c r="B157" s="3"/>
      <c r="C157" s="21"/>
      <c r="D157" s="10"/>
      <c r="E157" s="10"/>
      <c r="F157" s="3"/>
      <c r="G157" s="3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ht="15.75" customHeight="1" x14ac:dyDescent="0.5">
      <c r="A158" s="21"/>
      <c r="B158" s="3"/>
      <c r="C158" s="21"/>
      <c r="D158" s="10"/>
      <c r="E158" s="10"/>
      <c r="F158" s="3"/>
      <c r="G158" s="3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ht="15.75" customHeight="1" x14ac:dyDescent="0.5">
      <c r="A159" s="21"/>
      <c r="B159" s="3"/>
      <c r="C159" s="21"/>
      <c r="D159" s="10"/>
      <c r="E159" s="10"/>
      <c r="F159" s="3"/>
      <c r="G159" s="3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ht="15.75" customHeight="1" x14ac:dyDescent="0.5">
      <c r="A160" s="21"/>
      <c r="B160" s="3"/>
      <c r="C160" s="21"/>
      <c r="D160" s="10"/>
      <c r="E160" s="10"/>
      <c r="F160" s="3"/>
      <c r="G160" s="3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ht="15.75" customHeight="1" x14ac:dyDescent="0.5">
      <c r="A161" s="21"/>
      <c r="B161" s="3"/>
      <c r="C161" s="21"/>
      <c r="D161" s="10"/>
      <c r="E161" s="10"/>
      <c r="F161" s="3"/>
      <c r="G161" s="3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ht="15.75" customHeight="1" x14ac:dyDescent="0.5">
      <c r="A162" s="21"/>
      <c r="B162" s="3"/>
      <c r="C162" s="21"/>
      <c r="D162" s="10"/>
      <c r="E162" s="10"/>
      <c r="F162" s="3"/>
      <c r="G162" s="3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t="15.75" customHeight="1" x14ac:dyDescent="0.5">
      <c r="A163" s="21"/>
      <c r="B163" s="3"/>
      <c r="C163" s="21"/>
      <c r="D163" s="10"/>
      <c r="E163" s="10"/>
      <c r="F163" s="3"/>
      <c r="G163" s="3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ht="15.75" customHeight="1" x14ac:dyDescent="0.5">
      <c r="A164" s="21"/>
      <c r="B164" s="3"/>
      <c r="C164" s="21"/>
      <c r="D164" s="10"/>
      <c r="E164" s="10"/>
      <c r="F164" s="3"/>
      <c r="G164" s="3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ht="15.75" customHeight="1" x14ac:dyDescent="0.5">
      <c r="A165" s="21"/>
      <c r="B165" s="3"/>
      <c r="C165" s="21"/>
      <c r="D165" s="10"/>
      <c r="E165" s="10"/>
      <c r="F165" s="3"/>
      <c r="G165" s="3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ht="15.75" customHeight="1" x14ac:dyDescent="0.5">
      <c r="A166" s="21"/>
      <c r="B166" s="3"/>
      <c r="C166" s="21"/>
      <c r="D166" s="10"/>
      <c r="E166" s="10"/>
      <c r="F166" s="3"/>
      <c r="G166" s="3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ht="15.75" customHeight="1" x14ac:dyDescent="0.5">
      <c r="A167" s="21"/>
      <c r="B167" s="3"/>
      <c r="C167" s="21"/>
      <c r="D167" s="10"/>
      <c r="E167" s="10"/>
      <c r="F167" s="3"/>
      <c r="G167" s="3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ht="15.75" customHeight="1" x14ac:dyDescent="0.5">
      <c r="A168" s="21"/>
      <c r="B168" s="3"/>
      <c r="C168" s="21"/>
      <c r="D168" s="10"/>
      <c r="E168" s="10"/>
      <c r="F168" s="3"/>
      <c r="G168" s="3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ht="15.75" customHeight="1" x14ac:dyDescent="0.5">
      <c r="A169" s="21"/>
      <c r="B169" s="3"/>
      <c r="C169" s="21"/>
      <c r="D169" s="10"/>
      <c r="E169" s="10"/>
      <c r="F169" s="3"/>
      <c r="G169" s="3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t="15.75" customHeight="1" x14ac:dyDescent="0.5">
      <c r="A170" s="21"/>
      <c r="B170" s="3"/>
      <c r="C170" s="21"/>
      <c r="D170" s="10"/>
      <c r="E170" s="10"/>
      <c r="F170" s="3"/>
      <c r="G170" s="3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ht="15.75" customHeight="1" x14ac:dyDescent="0.5">
      <c r="A171" s="21"/>
      <c r="B171" s="3"/>
      <c r="C171" s="21"/>
      <c r="D171" s="10"/>
      <c r="E171" s="10"/>
      <c r="F171" s="3"/>
      <c r="G171" s="3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ht="15.75" customHeight="1" x14ac:dyDescent="0.5">
      <c r="A172" s="21"/>
      <c r="B172" s="3"/>
      <c r="C172" s="21"/>
      <c r="D172" s="10"/>
      <c r="E172" s="10"/>
      <c r="F172" s="3"/>
      <c r="G172" s="3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ht="15.75" customHeight="1" x14ac:dyDescent="0.5">
      <c r="A173" s="21"/>
      <c r="B173" s="3"/>
      <c r="C173" s="21"/>
      <c r="D173" s="10"/>
      <c r="E173" s="10"/>
      <c r="F173" s="3"/>
      <c r="G173" s="3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ht="15.75" customHeight="1" x14ac:dyDescent="0.5">
      <c r="A174" s="21"/>
      <c r="B174" s="3"/>
      <c r="C174" s="21"/>
      <c r="D174" s="10"/>
      <c r="E174" s="10"/>
      <c r="F174" s="3"/>
      <c r="G174" s="3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ht="15.75" customHeight="1" x14ac:dyDescent="0.5">
      <c r="A175" s="21"/>
      <c r="B175" s="3"/>
      <c r="C175" s="21"/>
      <c r="D175" s="10"/>
      <c r="E175" s="10"/>
      <c r="F175" s="3"/>
      <c r="G175" s="3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ht="15.75" customHeight="1" x14ac:dyDescent="0.5">
      <c r="A176" s="21"/>
      <c r="B176" s="3"/>
      <c r="C176" s="21"/>
      <c r="D176" s="10"/>
      <c r="E176" s="10"/>
      <c r="F176" s="3"/>
      <c r="G176" s="3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ht="15.75" customHeight="1" x14ac:dyDescent="0.5">
      <c r="A177" s="21"/>
      <c r="B177" s="3"/>
      <c r="C177" s="21"/>
      <c r="D177" s="10"/>
      <c r="E177" s="10"/>
      <c r="F177" s="3"/>
      <c r="G177" s="3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ht="15.75" customHeight="1" x14ac:dyDescent="0.5">
      <c r="A178" s="21"/>
      <c r="B178" s="3"/>
      <c r="C178" s="21"/>
      <c r="D178" s="10"/>
      <c r="E178" s="10"/>
      <c r="F178" s="3"/>
      <c r="G178" s="3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ht="15.75" customHeight="1" x14ac:dyDescent="0.5">
      <c r="A179" s="21"/>
      <c r="B179" s="3"/>
      <c r="C179" s="21"/>
      <c r="D179" s="10"/>
      <c r="E179" s="10"/>
      <c r="F179" s="3"/>
      <c r="G179" s="3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t="15.75" customHeight="1" x14ac:dyDescent="0.5">
      <c r="A180" s="21"/>
      <c r="B180" s="3"/>
      <c r="C180" s="21"/>
      <c r="D180" s="10"/>
      <c r="E180" s="10"/>
      <c r="F180" s="3"/>
      <c r="G180" s="3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ht="15.75" customHeight="1" x14ac:dyDescent="0.5">
      <c r="A181" s="21"/>
      <c r="B181" s="3"/>
      <c r="C181" s="21"/>
      <c r="D181" s="10"/>
      <c r="E181" s="10"/>
      <c r="F181" s="3"/>
      <c r="G181" s="3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ht="15.75" customHeight="1" x14ac:dyDescent="0.5">
      <c r="A182" s="21"/>
      <c r="B182" s="3"/>
      <c r="C182" s="21"/>
      <c r="D182" s="10"/>
      <c r="E182" s="10"/>
      <c r="F182" s="3"/>
      <c r="G182" s="3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ht="15.75" customHeight="1" x14ac:dyDescent="0.5">
      <c r="A183" s="21"/>
      <c r="B183" s="3"/>
      <c r="C183" s="21"/>
      <c r="D183" s="10"/>
      <c r="E183" s="10"/>
      <c r="F183" s="3"/>
      <c r="G183" s="3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ht="15.75" customHeight="1" x14ac:dyDescent="0.5">
      <c r="A184" s="21"/>
      <c r="B184" s="3"/>
      <c r="C184" s="21"/>
      <c r="D184" s="10"/>
      <c r="E184" s="10"/>
      <c r="F184" s="3"/>
      <c r="G184" s="3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t="15.75" customHeight="1" x14ac:dyDescent="0.5">
      <c r="A185" s="21"/>
      <c r="B185" s="3"/>
      <c r="C185" s="21"/>
      <c r="D185" s="10"/>
      <c r="E185" s="10"/>
      <c r="F185" s="3"/>
      <c r="G185" s="3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t="15.75" customHeight="1" x14ac:dyDescent="0.5">
      <c r="A186" s="21"/>
      <c r="B186" s="3"/>
      <c r="C186" s="21"/>
      <c r="D186" s="10"/>
      <c r="E186" s="10"/>
      <c r="F186" s="3"/>
      <c r="G186" s="3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ht="15.75" customHeight="1" x14ac:dyDescent="0.5">
      <c r="A187" s="21"/>
      <c r="B187" s="3"/>
      <c r="C187" s="21"/>
      <c r="D187" s="10"/>
      <c r="E187" s="10"/>
      <c r="F187" s="3"/>
      <c r="G187" s="3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ht="15.75" customHeight="1" x14ac:dyDescent="0.5">
      <c r="A188" s="21"/>
      <c r="B188" s="3"/>
      <c r="C188" s="21"/>
      <c r="D188" s="10"/>
      <c r="E188" s="10"/>
      <c r="F188" s="3"/>
      <c r="G188" s="3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ht="15.75" customHeight="1" x14ac:dyDescent="0.5">
      <c r="A189" s="21"/>
      <c r="B189" s="3"/>
      <c r="C189" s="21"/>
      <c r="D189" s="10"/>
      <c r="E189" s="10"/>
      <c r="F189" s="3"/>
      <c r="G189" s="3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t="15.75" customHeight="1" x14ac:dyDescent="0.5">
      <c r="A190" s="21"/>
      <c r="B190" s="3"/>
      <c r="C190" s="21"/>
      <c r="D190" s="10"/>
      <c r="E190" s="10"/>
      <c r="F190" s="3"/>
      <c r="G190" s="3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ht="15.75" customHeight="1" x14ac:dyDescent="0.5">
      <c r="A191" s="21"/>
      <c r="B191" s="3"/>
      <c r="C191" s="21"/>
      <c r="D191" s="10"/>
      <c r="E191" s="10"/>
      <c r="F191" s="3"/>
      <c r="G191" s="3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ht="15.75" customHeight="1" x14ac:dyDescent="0.5">
      <c r="A192" s="21"/>
      <c r="B192" s="3"/>
      <c r="C192" s="21"/>
      <c r="D192" s="10"/>
      <c r="E192" s="10"/>
      <c r="F192" s="3"/>
      <c r="G192" s="3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ht="15.75" customHeight="1" x14ac:dyDescent="0.5">
      <c r="A193" s="21"/>
      <c r="B193" s="3"/>
      <c r="C193" s="21"/>
      <c r="D193" s="10"/>
      <c r="E193" s="10"/>
      <c r="F193" s="3"/>
      <c r="G193" s="3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ht="15.75" customHeight="1" x14ac:dyDescent="0.5">
      <c r="A194" s="21"/>
      <c r="B194" s="3"/>
      <c r="C194" s="21"/>
      <c r="D194" s="10"/>
      <c r="E194" s="10"/>
      <c r="F194" s="3"/>
      <c r="G194" s="3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ht="15.75" customHeight="1" x14ac:dyDescent="0.5">
      <c r="A195" s="21"/>
      <c r="B195" s="3"/>
      <c r="C195" s="21"/>
      <c r="D195" s="10"/>
      <c r="E195" s="10"/>
      <c r="F195" s="3"/>
      <c r="G195" s="3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ht="15.75" customHeight="1" x14ac:dyDescent="0.5">
      <c r="A196" s="21"/>
      <c r="B196" s="3"/>
      <c r="C196" s="21"/>
      <c r="D196" s="10"/>
      <c r="E196" s="10"/>
      <c r="F196" s="3"/>
      <c r="G196" s="3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t="15.75" customHeight="1" x14ac:dyDescent="0.5">
      <c r="A197" s="21"/>
      <c r="B197" s="3"/>
      <c r="C197" s="21"/>
      <c r="D197" s="10"/>
      <c r="E197" s="10"/>
      <c r="F197" s="3"/>
      <c r="G197" s="3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t="15.75" customHeight="1" x14ac:dyDescent="0.5">
      <c r="A198" s="21"/>
      <c r="B198" s="3"/>
      <c r="C198" s="21"/>
      <c r="D198" s="10"/>
      <c r="E198" s="10"/>
      <c r="F198" s="3"/>
      <c r="G198" s="3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ht="15.75" customHeight="1" x14ac:dyDescent="0.5">
      <c r="A199" s="21"/>
      <c r="B199" s="3"/>
      <c r="C199" s="21"/>
      <c r="D199" s="10"/>
      <c r="E199" s="10"/>
      <c r="F199" s="3"/>
      <c r="G199" s="3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t="15.75" customHeight="1" x14ac:dyDescent="0.5">
      <c r="A200" s="21"/>
      <c r="B200" s="3"/>
      <c r="C200" s="21"/>
      <c r="D200" s="10"/>
      <c r="E200" s="10"/>
      <c r="F200" s="3"/>
      <c r="G200" s="3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ht="15.75" customHeight="1" x14ac:dyDescent="0.5">
      <c r="A201" s="21"/>
      <c r="B201" s="3"/>
      <c r="C201" s="21"/>
      <c r="D201" s="10"/>
      <c r="E201" s="10"/>
      <c r="F201" s="3"/>
      <c r="G201" s="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ht="15.75" customHeight="1" x14ac:dyDescent="0.5">
      <c r="A202" s="21"/>
      <c r="B202" s="3"/>
      <c r="C202" s="21"/>
      <c r="D202" s="10"/>
      <c r="E202" s="10"/>
      <c r="F202" s="3"/>
      <c r="G202" s="3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ht="15.75" customHeight="1" x14ac:dyDescent="0.5">
      <c r="A203" s="21"/>
      <c r="B203" s="3"/>
      <c r="C203" s="21"/>
      <c r="D203" s="10"/>
      <c r="E203" s="10"/>
      <c r="F203" s="3"/>
      <c r="G203" s="3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ht="15.75" customHeight="1" x14ac:dyDescent="0.5">
      <c r="A204" s="21"/>
      <c r="B204" s="3"/>
      <c r="C204" s="21"/>
      <c r="D204" s="10"/>
      <c r="E204" s="10"/>
      <c r="F204" s="3"/>
      <c r="G204" s="3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ht="15.75" customHeight="1" x14ac:dyDescent="0.5">
      <c r="A205" s="21"/>
      <c r="B205" s="3"/>
      <c r="C205" s="21"/>
      <c r="D205" s="10"/>
      <c r="E205" s="10"/>
      <c r="F205" s="3"/>
      <c r="G205" s="3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ht="15.75" customHeight="1" x14ac:dyDescent="0.5">
      <c r="A206" s="21"/>
      <c r="B206" s="3"/>
      <c r="C206" s="21"/>
      <c r="D206" s="10"/>
      <c r="E206" s="10"/>
      <c r="F206" s="3"/>
      <c r="G206" s="3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ht="15.75" customHeight="1" x14ac:dyDescent="0.5">
      <c r="A207" s="21"/>
      <c r="B207" s="3"/>
      <c r="C207" s="21"/>
      <c r="D207" s="10"/>
      <c r="E207" s="10"/>
      <c r="F207" s="3"/>
      <c r="G207" s="3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ht="15.75" customHeight="1" x14ac:dyDescent="0.5">
      <c r="A208" s="21"/>
      <c r="B208" s="3"/>
      <c r="C208" s="21"/>
      <c r="D208" s="10"/>
      <c r="E208" s="10"/>
      <c r="F208" s="3"/>
      <c r="G208" s="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ht="15.75" customHeight="1" x14ac:dyDescent="0.5">
      <c r="A209" s="21"/>
      <c r="B209" s="3"/>
      <c r="C209" s="21"/>
      <c r="D209" s="10"/>
      <c r="E209" s="10"/>
      <c r="F209" s="3"/>
      <c r="G209" s="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ht="15.75" customHeight="1" x14ac:dyDescent="0.5">
      <c r="A210" s="21"/>
      <c r="B210" s="3"/>
      <c r="C210" s="21"/>
      <c r="D210" s="10"/>
      <c r="E210" s="10"/>
      <c r="F210" s="3"/>
      <c r="G210" s="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ht="15.75" customHeight="1" x14ac:dyDescent="0.5">
      <c r="A211" s="21"/>
      <c r="B211" s="3"/>
      <c r="C211" s="21"/>
      <c r="D211" s="10"/>
      <c r="E211" s="10"/>
      <c r="F211" s="3"/>
      <c r="G211" s="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ht="15.75" customHeight="1" x14ac:dyDescent="0.5">
      <c r="A212" s="21"/>
      <c r="B212" s="3"/>
      <c r="C212" s="21"/>
      <c r="D212" s="10"/>
      <c r="E212" s="10"/>
      <c r="F212" s="3"/>
      <c r="G212" s="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ht="15.75" customHeight="1" x14ac:dyDescent="0.5">
      <c r="A213" s="21"/>
      <c r="B213" s="3"/>
      <c r="C213" s="21"/>
      <c r="D213" s="10"/>
      <c r="E213" s="10"/>
      <c r="F213" s="3"/>
      <c r="G213" s="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ht="15.75" customHeight="1" x14ac:dyDescent="0.5">
      <c r="A214" s="21"/>
      <c r="B214" s="3"/>
      <c r="C214" s="21"/>
      <c r="D214" s="10"/>
      <c r="E214" s="10"/>
      <c r="F214" s="3"/>
      <c r="G214" s="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ht="15.75" customHeight="1" x14ac:dyDescent="0.5">
      <c r="A215" s="21"/>
      <c r="B215" s="3"/>
      <c r="C215" s="21"/>
      <c r="D215" s="10"/>
      <c r="E215" s="10"/>
      <c r="F215" s="3"/>
      <c r="G215" s="3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t="15.75" customHeight="1" x14ac:dyDescent="0.5">
      <c r="A216" s="21"/>
      <c r="B216" s="3"/>
      <c r="C216" s="21"/>
      <c r="D216" s="10"/>
      <c r="E216" s="10"/>
      <c r="F216" s="3"/>
      <c r="G216" s="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t="15.75" customHeight="1" x14ac:dyDescent="0.5">
      <c r="A217" s="21"/>
      <c r="B217" s="3"/>
      <c r="C217" s="21"/>
      <c r="D217" s="10"/>
      <c r="E217" s="10"/>
      <c r="F217" s="3"/>
      <c r="G217" s="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t="15.75" customHeight="1" x14ac:dyDescent="0.5">
      <c r="A218" s="21"/>
      <c r="B218" s="3"/>
      <c r="C218" s="21"/>
      <c r="D218" s="10"/>
      <c r="E218" s="10"/>
      <c r="F218" s="3"/>
      <c r="G218" s="3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ht="15.75" customHeight="1" x14ac:dyDescent="0.5">
      <c r="A219" s="21"/>
      <c r="B219" s="3"/>
      <c r="C219" s="21"/>
      <c r="D219" s="10"/>
      <c r="E219" s="10"/>
      <c r="F219" s="3"/>
      <c r="G219" s="3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ht="15.75" customHeight="1" x14ac:dyDescent="0.5">
      <c r="A220" s="21"/>
      <c r="B220" s="3"/>
      <c r="C220" s="21"/>
      <c r="D220" s="10"/>
      <c r="E220" s="10"/>
      <c r="F220" s="3"/>
      <c r="G220" s="3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t="15.75" customHeight="1" x14ac:dyDescent="0.5">
      <c r="A221" s="21"/>
      <c r="B221" s="3"/>
      <c r="C221" s="21"/>
      <c r="D221" s="10"/>
      <c r="E221" s="10"/>
      <c r="F221" s="3"/>
      <c r="G221" s="3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ht="15.75" customHeight="1" x14ac:dyDescent="0.5">
      <c r="A222" s="21"/>
      <c r="B222" s="3"/>
      <c r="C222" s="21"/>
      <c r="D222" s="10"/>
      <c r="E222" s="10"/>
      <c r="F222" s="3"/>
      <c r="G222" s="3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ht="15.75" customHeight="1" x14ac:dyDescent="0.5">
      <c r="A223" s="21"/>
      <c r="B223" s="3"/>
      <c r="C223" s="21"/>
      <c r="D223" s="10"/>
      <c r="E223" s="10"/>
      <c r="F223" s="3"/>
      <c r="G223" s="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ht="15.75" customHeight="1" x14ac:dyDescent="0.5">
      <c r="A224" s="21"/>
      <c r="B224" s="3"/>
      <c r="C224" s="21"/>
      <c r="D224" s="10"/>
      <c r="E224" s="10"/>
      <c r="F224" s="3"/>
      <c r="G224" s="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ht="15.75" customHeight="1" x14ac:dyDescent="0.5">
      <c r="A225" s="21"/>
      <c r="B225" s="3"/>
      <c r="C225" s="21"/>
      <c r="D225" s="10"/>
      <c r="E225" s="10"/>
      <c r="F225" s="3"/>
      <c r="G225" s="3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ht="15.75" customHeight="1" x14ac:dyDescent="0.5">
      <c r="A226" s="21"/>
      <c r="B226" s="3"/>
      <c r="C226" s="21"/>
      <c r="D226" s="10"/>
      <c r="E226" s="10"/>
      <c r="F226" s="3"/>
      <c r="G226" s="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ht="15.75" customHeight="1" x14ac:dyDescent="0.5">
      <c r="A227" s="21"/>
      <c r="B227" s="3"/>
      <c r="C227" s="21"/>
      <c r="D227" s="10"/>
      <c r="E227" s="10"/>
      <c r="F227" s="3"/>
      <c r="G227" s="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ht="15.75" customHeight="1" x14ac:dyDescent="0.5">
      <c r="A228" s="21"/>
      <c r="B228" s="3"/>
      <c r="C228" s="21"/>
      <c r="D228" s="10"/>
      <c r="E228" s="10"/>
      <c r="F228" s="3"/>
      <c r="G228" s="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ht="15.75" customHeight="1" x14ac:dyDescent="0.5">
      <c r="A229" s="21"/>
      <c r="B229" s="3"/>
      <c r="C229" s="21"/>
      <c r="D229" s="10"/>
      <c r="E229" s="10"/>
      <c r="F229" s="3"/>
      <c r="G229" s="3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ht="15.75" customHeight="1" x14ac:dyDescent="0.5">
      <c r="A230" s="21"/>
      <c r="B230" s="3"/>
      <c r="C230" s="21"/>
      <c r="D230" s="10"/>
      <c r="E230" s="10"/>
      <c r="F230" s="3"/>
      <c r="G230" s="3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ht="15.75" customHeight="1" x14ac:dyDescent="0.5">
      <c r="A231" s="21"/>
      <c r="B231" s="3"/>
      <c r="C231" s="21"/>
      <c r="D231" s="10"/>
      <c r="E231" s="10"/>
      <c r="F231" s="3"/>
      <c r="G231" s="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ht="15.75" customHeight="1" x14ac:dyDescent="0.5">
      <c r="A232" s="21"/>
      <c r="B232" s="3"/>
      <c r="C232" s="21"/>
      <c r="D232" s="10"/>
      <c r="E232" s="10"/>
      <c r="F232" s="3"/>
      <c r="G232" s="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t="15.75" customHeight="1" x14ac:dyDescent="0.5">
      <c r="A233" s="21"/>
      <c r="B233" s="3"/>
      <c r="C233" s="21"/>
      <c r="D233" s="10"/>
      <c r="E233" s="10"/>
      <c r="F233" s="3"/>
      <c r="G233" s="3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ht="15.75" customHeight="1" x14ac:dyDescent="0.5">
      <c r="A234" s="21"/>
      <c r="B234" s="3"/>
      <c r="C234" s="21"/>
      <c r="D234" s="10"/>
      <c r="E234" s="10"/>
      <c r="F234" s="3"/>
      <c r="G234" s="3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ht="15.75" customHeight="1" x14ac:dyDescent="0.5">
      <c r="A235" s="21"/>
      <c r="B235" s="3"/>
      <c r="C235" s="21"/>
      <c r="D235" s="10"/>
      <c r="E235" s="10"/>
      <c r="F235" s="3"/>
      <c r="G235" s="3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ht="15.75" customHeight="1" x14ac:dyDescent="0.5">
      <c r="A236" s="21"/>
      <c r="B236" s="3"/>
      <c r="C236" s="21"/>
      <c r="D236" s="10"/>
      <c r="E236" s="10"/>
      <c r="F236" s="3"/>
      <c r="G236" s="3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ht="15.75" customHeight="1" x14ac:dyDescent="0.5">
      <c r="A237" s="21"/>
      <c r="B237" s="3"/>
      <c r="C237" s="21"/>
      <c r="D237" s="10"/>
      <c r="E237" s="10"/>
      <c r="F237" s="3"/>
      <c r="G237" s="3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ht="15.75" customHeight="1" x14ac:dyDescent="0.5">
      <c r="A238" s="21"/>
      <c r="B238" s="3"/>
      <c r="C238" s="21"/>
      <c r="D238" s="10"/>
      <c r="E238" s="10"/>
      <c r="F238" s="3"/>
      <c r="G238" s="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t="15.75" customHeight="1" x14ac:dyDescent="0.5">
      <c r="A239" s="21"/>
      <c r="B239" s="3"/>
      <c r="C239" s="21"/>
      <c r="D239" s="10"/>
      <c r="E239" s="10"/>
      <c r="F239" s="3"/>
      <c r="G239" s="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ht="15.75" customHeight="1" x14ac:dyDescent="0.5">
      <c r="A240" s="21"/>
      <c r="B240" s="3"/>
      <c r="C240" s="21"/>
      <c r="D240" s="10"/>
      <c r="E240" s="10"/>
      <c r="F240" s="3"/>
      <c r="G240" s="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ht="15.75" customHeight="1" x14ac:dyDescent="0.5">
      <c r="A241" s="21"/>
      <c r="B241" s="3"/>
      <c r="C241" s="21"/>
      <c r="D241" s="10"/>
      <c r="E241" s="10"/>
      <c r="F241" s="3"/>
      <c r="G241" s="3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ht="15.75" customHeight="1" x14ac:dyDescent="0.5">
      <c r="A242" s="21"/>
      <c r="B242" s="3"/>
      <c r="C242" s="21"/>
      <c r="D242" s="10"/>
      <c r="E242" s="10"/>
      <c r="F242" s="3"/>
      <c r="G242" s="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ht="15.75" customHeight="1" x14ac:dyDescent="0.5">
      <c r="A243" s="21"/>
      <c r="B243" s="3"/>
      <c r="C243" s="21"/>
      <c r="D243" s="10"/>
      <c r="E243" s="10"/>
      <c r="F243" s="3"/>
      <c r="G243" s="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t="15.75" customHeight="1" x14ac:dyDescent="0.5">
      <c r="A244" s="21"/>
      <c r="B244" s="3"/>
      <c r="C244" s="21"/>
      <c r="D244" s="10"/>
      <c r="E244" s="10"/>
      <c r="F244" s="3"/>
      <c r="G244" s="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t="15.75" customHeight="1" x14ac:dyDescent="0.5">
      <c r="A245" s="21"/>
      <c r="B245" s="3"/>
      <c r="C245" s="21"/>
      <c r="D245" s="10"/>
      <c r="E245" s="10"/>
      <c r="F245" s="3"/>
      <c r="G245" s="3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t="15.75" customHeight="1" x14ac:dyDescent="0.5">
      <c r="A246" s="21"/>
      <c r="B246" s="3"/>
      <c r="C246" s="21"/>
      <c r="D246" s="10"/>
      <c r="E246" s="10"/>
      <c r="F246" s="3"/>
      <c r="G246" s="3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t="15.75" customHeight="1" x14ac:dyDescent="0.5">
      <c r="A247" s="21"/>
      <c r="B247" s="3"/>
      <c r="C247" s="21"/>
      <c r="D247" s="10"/>
      <c r="E247" s="10"/>
      <c r="F247" s="3"/>
      <c r="G247" s="3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ht="15.75" customHeight="1" x14ac:dyDescent="0.5">
      <c r="A248" s="21"/>
      <c r="B248" s="3"/>
      <c r="C248" s="21"/>
      <c r="D248" s="10"/>
      <c r="E248" s="10"/>
      <c r="F248" s="3"/>
      <c r="G248" s="3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ht="15.75" customHeight="1" x14ac:dyDescent="0.5">
      <c r="A249" s="21"/>
      <c r="B249" s="3"/>
      <c r="C249" s="21"/>
      <c r="D249" s="10"/>
      <c r="E249" s="10"/>
      <c r="F249" s="3"/>
      <c r="G249" s="3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ht="15.75" customHeight="1" x14ac:dyDescent="0.5">
      <c r="A250" s="21"/>
      <c r="B250" s="3"/>
      <c r="C250" s="21"/>
      <c r="D250" s="10"/>
      <c r="E250" s="10"/>
      <c r="F250" s="3"/>
      <c r="G250" s="3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ht="15.75" customHeight="1" x14ac:dyDescent="0.5">
      <c r="A251" s="21"/>
      <c r="B251" s="3"/>
      <c r="C251" s="21"/>
      <c r="D251" s="10"/>
      <c r="E251" s="10"/>
      <c r="F251" s="3"/>
      <c r="G251" s="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ht="15.75" customHeight="1" x14ac:dyDescent="0.5">
      <c r="A252" s="21"/>
      <c r="B252" s="3"/>
      <c r="C252" s="21"/>
      <c r="D252" s="10"/>
      <c r="E252" s="10"/>
      <c r="F252" s="3"/>
      <c r="G252" s="3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t="15.75" customHeight="1" x14ac:dyDescent="0.5">
      <c r="A253" s="21"/>
      <c r="B253" s="3"/>
      <c r="C253" s="21"/>
      <c r="D253" s="10"/>
      <c r="E253" s="10"/>
      <c r="F253" s="3"/>
      <c r="G253" s="3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t="15.75" customHeight="1" x14ac:dyDescent="0.5">
      <c r="A254" s="21"/>
      <c r="B254" s="3"/>
      <c r="C254" s="21"/>
      <c r="D254" s="10"/>
      <c r="E254" s="10"/>
      <c r="F254" s="3"/>
      <c r="G254" s="3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ht="15.75" customHeight="1" x14ac:dyDescent="0.5">
      <c r="A255" s="21"/>
      <c r="B255" s="3"/>
      <c r="C255" s="21"/>
      <c r="D255" s="10"/>
      <c r="E255" s="10"/>
      <c r="F255" s="3"/>
      <c r="G255" s="3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t="15.75" customHeight="1" x14ac:dyDescent="0.5">
      <c r="A256" s="21"/>
      <c r="B256" s="3"/>
      <c r="C256" s="21"/>
      <c r="D256" s="10"/>
      <c r="E256" s="10"/>
      <c r="F256" s="3"/>
      <c r="G256" s="3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ht="15.75" customHeight="1" x14ac:dyDescent="0.5">
      <c r="A257" s="21"/>
      <c r="B257" s="3"/>
      <c r="C257" s="21"/>
      <c r="D257" s="10"/>
      <c r="E257" s="10"/>
      <c r="F257" s="3"/>
      <c r="G257" s="3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ht="15.75" customHeight="1" x14ac:dyDescent="0.5">
      <c r="A258" s="21"/>
      <c r="B258" s="3"/>
      <c r="C258" s="21"/>
      <c r="D258" s="10"/>
      <c r="E258" s="10"/>
      <c r="F258" s="3"/>
      <c r="G258" s="3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ht="15.75" customHeight="1" x14ac:dyDescent="0.5">
      <c r="A259" s="21"/>
      <c r="B259" s="3"/>
      <c r="C259" s="21"/>
      <c r="D259" s="10"/>
      <c r="E259" s="10"/>
      <c r="F259" s="3"/>
      <c r="G259" s="3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ht="15.75" customHeight="1" x14ac:dyDescent="0.5">
      <c r="A260" s="21"/>
      <c r="B260" s="3"/>
      <c r="C260" s="21"/>
      <c r="D260" s="10"/>
      <c r="E260" s="10"/>
      <c r="F260" s="3"/>
      <c r="G260" s="3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ht="15.75" customHeight="1" x14ac:dyDescent="0.5">
      <c r="A261" s="21"/>
      <c r="B261" s="3"/>
      <c r="C261" s="21"/>
      <c r="D261" s="10"/>
      <c r="E261" s="10"/>
      <c r="F261" s="3"/>
      <c r="G261" s="3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ht="15.75" customHeight="1" x14ac:dyDescent="0.5">
      <c r="A262" s="21"/>
      <c r="B262" s="3"/>
      <c r="C262" s="21"/>
      <c r="D262" s="10"/>
      <c r="E262" s="10"/>
      <c r="F262" s="3"/>
      <c r="G262" s="3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t="15.75" customHeight="1" x14ac:dyDescent="0.5">
      <c r="A263" s="21"/>
      <c r="B263" s="3"/>
      <c r="C263" s="21"/>
      <c r="D263" s="10"/>
      <c r="E263" s="10"/>
      <c r="F263" s="3"/>
      <c r="G263" s="3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t="15.75" customHeight="1" x14ac:dyDescent="0.5">
      <c r="A264" s="21"/>
      <c r="B264" s="3"/>
      <c r="C264" s="21"/>
      <c r="D264" s="10"/>
      <c r="E264" s="10"/>
      <c r="F264" s="3"/>
      <c r="G264" s="3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ht="15.75" customHeight="1" x14ac:dyDescent="0.5">
      <c r="A265" s="23"/>
      <c r="C265" s="23"/>
      <c r="F265" s="2"/>
      <c r="G265" s="2"/>
    </row>
    <row r="266" spans="1:24" ht="15.75" customHeight="1" x14ac:dyDescent="0.5">
      <c r="A266" s="23"/>
      <c r="C266" s="23"/>
      <c r="F266" s="2"/>
      <c r="G266" s="2"/>
    </row>
    <row r="267" spans="1:24" ht="15.75" customHeight="1" x14ac:dyDescent="0.5">
      <c r="A267" s="23"/>
      <c r="C267" s="23"/>
      <c r="F267" s="2"/>
      <c r="G267" s="2"/>
    </row>
    <row r="268" spans="1:24" ht="15.75" customHeight="1" x14ac:dyDescent="0.5">
      <c r="A268" s="23"/>
      <c r="C268" s="23"/>
      <c r="F268" s="2"/>
      <c r="G268" s="2"/>
    </row>
    <row r="269" spans="1:24" ht="15.75" customHeight="1" x14ac:dyDescent="0.5">
      <c r="A269" s="23"/>
      <c r="C269" s="23"/>
      <c r="F269" s="2"/>
      <c r="G269" s="2"/>
    </row>
    <row r="270" spans="1:24" ht="15.75" customHeight="1" x14ac:dyDescent="0.5">
      <c r="A270" s="23"/>
      <c r="C270" s="23"/>
      <c r="F270" s="2"/>
      <c r="G270" s="2"/>
    </row>
    <row r="271" spans="1:24" ht="15.75" customHeight="1" x14ac:dyDescent="0.5">
      <c r="A271" s="23"/>
      <c r="C271" s="23"/>
      <c r="F271" s="2"/>
      <c r="G271" s="2"/>
    </row>
    <row r="272" spans="1:24" ht="15.75" customHeight="1" x14ac:dyDescent="0.5">
      <c r="A272" s="23"/>
      <c r="C272" s="23"/>
      <c r="F272" s="2"/>
      <c r="G272" s="2"/>
    </row>
    <row r="273" spans="1:7" ht="15.75" customHeight="1" x14ac:dyDescent="0.5">
      <c r="A273" s="23"/>
      <c r="C273" s="23"/>
      <c r="F273" s="2"/>
      <c r="G273" s="2"/>
    </row>
    <row r="274" spans="1:7" ht="15.75" customHeight="1" x14ac:dyDescent="0.5">
      <c r="A274" s="23"/>
      <c r="C274" s="23"/>
      <c r="F274" s="2"/>
      <c r="G274" s="2"/>
    </row>
    <row r="275" spans="1:7" ht="15.75" customHeight="1" x14ac:dyDescent="0.5">
      <c r="A275" s="23"/>
      <c r="C275" s="23"/>
      <c r="F275" s="2"/>
      <c r="G275" s="2"/>
    </row>
    <row r="276" spans="1:7" ht="15.75" customHeight="1" x14ac:dyDescent="0.5">
      <c r="A276" s="23"/>
      <c r="C276" s="23"/>
      <c r="F276" s="2"/>
      <c r="G276" s="2"/>
    </row>
    <row r="277" spans="1:7" ht="15.75" customHeight="1" x14ac:dyDescent="0.5">
      <c r="A277" s="23"/>
      <c r="C277" s="23"/>
      <c r="F277" s="2"/>
      <c r="G277" s="2"/>
    </row>
    <row r="278" spans="1:7" ht="15.75" customHeight="1" x14ac:dyDescent="0.5">
      <c r="A278" s="23"/>
      <c r="C278" s="23"/>
      <c r="F278" s="2"/>
      <c r="G278" s="2"/>
    </row>
    <row r="279" spans="1:7" ht="15.75" customHeight="1" x14ac:dyDescent="0.5">
      <c r="A279" s="23"/>
      <c r="C279" s="23"/>
      <c r="F279" s="2"/>
      <c r="G279" s="2"/>
    </row>
    <row r="280" spans="1:7" ht="15.75" customHeight="1" x14ac:dyDescent="0.5">
      <c r="A280" s="23"/>
      <c r="C280" s="23"/>
      <c r="F280" s="2"/>
      <c r="G280" s="2"/>
    </row>
    <row r="281" spans="1:7" ht="15.75" customHeight="1" x14ac:dyDescent="0.5">
      <c r="A281" s="23"/>
      <c r="C281" s="23"/>
      <c r="F281" s="2"/>
      <c r="G281" s="2"/>
    </row>
    <row r="282" spans="1:7" ht="15.75" customHeight="1" x14ac:dyDescent="0.5">
      <c r="A282" s="23"/>
      <c r="C282" s="23"/>
      <c r="F282" s="2"/>
      <c r="G282" s="2"/>
    </row>
    <row r="283" spans="1:7" ht="15.75" customHeight="1" x14ac:dyDescent="0.5">
      <c r="A283" s="23"/>
      <c r="C283" s="23"/>
      <c r="F283" s="2"/>
      <c r="G283" s="2"/>
    </row>
    <row r="284" spans="1:7" ht="15.75" customHeight="1" x14ac:dyDescent="0.5">
      <c r="A284" s="23"/>
      <c r="C284" s="23"/>
      <c r="F284" s="2"/>
      <c r="G284" s="2"/>
    </row>
    <row r="285" spans="1:7" ht="15.75" customHeight="1" x14ac:dyDescent="0.5">
      <c r="A285" s="23"/>
      <c r="C285" s="23"/>
      <c r="F285" s="2"/>
      <c r="G285" s="2"/>
    </row>
    <row r="286" spans="1:7" ht="15.75" customHeight="1" x14ac:dyDescent="0.5">
      <c r="A286" s="23"/>
      <c r="C286" s="23"/>
      <c r="F286" s="2"/>
      <c r="G286" s="2"/>
    </row>
    <row r="287" spans="1:7" ht="15.75" customHeight="1" x14ac:dyDescent="0.5">
      <c r="A287" s="23"/>
      <c r="C287" s="23"/>
      <c r="F287" s="2"/>
      <c r="G287" s="2"/>
    </row>
    <row r="288" spans="1:7" ht="15.75" customHeight="1" x14ac:dyDescent="0.5">
      <c r="A288" s="23"/>
      <c r="C288" s="23"/>
      <c r="F288" s="2"/>
      <c r="G288" s="2"/>
    </row>
    <row r="289" spans="1:7" ht="15.75" customHeight="1" x14ac:dyDescent="0.5">
      <c r="A289" s="23"/>
      <c r="C289" s="23"/>
      <c r="F289" s="2"/>
      <c r="G289" s="2"/>
    </row>
    <row r="290" spans="1:7" ht="15.75" customHeight="1" x14ac:dyDescent="0.5">
      <c r="A290" s="23"/>
      <c r="C290" s="23"/>
      <c r="F290" s="2"/>
      <c r="G290" s="2"/>
    </row>
    <row r="291" spans="1:7" ht="15.75" customHeight="1" x14ac:dyDescent="0.5">
      <c r="A291" s="23"/>
      <c r="C291" s="23"/>
      <c r="F291" s="2"/>
      <c r="G291" s="2"/>
    </row>
    <row r="292" spans="1:7" ht="15.75" customHeight="1" x14ac:dyDescent="0.5">
      <c r="A292" s="23"/>
      <c r="C292" s="23"/>
      <c r="F292" s="2"/>
      <c r="G292" s="2"/>
    </row>
    <row r="293" spans="1:7" ht="15.75" customHeight="1" x14ac:dyDescent="0.5">
      <c r="A293" s="23"/>
      <c r="C293" s="23"/>
      <c r="F293" s="2"/>
      <c r="G293" s="2"/>
    </row>
    <row r="294" spans="1:7" ht="15.75" customHeight="1" x14ac:dyDescent="0.5">
      <c r="A294" s="23"/>
      <c r="C294" s="23"/>
      <c r="F294" s="2"/>
      <c r="G294" s="2"/>
    </row>
    <row r="295" spans="1:7" ht="15.75" customHeight="1" x14ac:dyDescent="0.5">
      <c r="A295" s="23"/>
      <c r="C295" s="23"/>
      <c r="F295" s="2"/>
      <c r="G295" s="2"/>
    </row>
    <row r="296" spans="1:7" ht="15.75" customHeight="1" x14ac:dyDescent="0.5">
      <c r="A296" s="23"/>
      <c r="C296" s="23"/>
      <c r="F296" s="2"/>
      <c r="G296" s="2"/>
    </row>
    <row r="297" spans="1:7" ht="15.75" customHeight="1" x14ac:dyDescent="0.5">
      <c r="A297" s="23"/>
      <c r="C297" s="23"/>
      <c r="F297" s="2"/>
      <c r="G297" s="2"/>
    </row>
    <row r="298" spans="1:7" ht="15.75" customHeight="1" x14ac:dyDescent="0.5">
      <c r="A298" s="23"/>
      <c r="C298" s="23"/>
      <c r="F298" s="2"/>
      <c r="G298" s="2"/>
    </row>
    <row r="299" spans="1:7" ht="15.75" customHeight="1" x14ac:dyDescent="0.5">
      <c r="A299" s="23"/>
      <c r="C299" s="23"/>
      <c r="F299" s="2"/>
      <c r="G299" s="2"/>
    </row>
    <row r="300" spans="1:7" ht="15.75" customHeight="1" x14ac:dyDescent="0.5">
      <c r="A300" s="23"/>
      <c r="C300" s="23"/>
      <c r="F300" s="2"/>
      <c r="G300" s="2"/>
    </row>
    <row r="301" spans="1:7" ht="15.75" customHeight="1" x14ac:dyDescent="0.5">
      <c r="A301" s="23"/>
      <c r="C301" s="23"/>
      <c r="F301" s="2"/>
      <c r="G301" s="2"/>
    </row>
    <row r="302" spans="1:7" ht="15.75" customHeight="1" x14ac:dyDescent="0.5">
      <c r="A302" s="23"/>
      <c r="C302" s="23"/>
      <c r="F302" s="2"/>
      <c r="G302" s="2"/>
    </row>
    <row r="303" spans="1:7" ht="15.75" customHeight="1" x14ac:dyDescent="0.5">
      <c r="A303" s="23"/>
      <c r="C303" s="23"/>
      <c r="F303" s="2"/>
      <c r="G303" s="2"/>
    </row>
    <row r="304" spans="1:7" ht="15.75" customHeight="1" x14ac:dyDescent="0.5">
      <c r="A304" s="23"/>
      <c r="C304" s="23"/>
      <c r="F304" s="2"/>
      <c r="G304" s="2"/>
    </row>
    <row r="305" spans="1:7" ht="15.75" customHeight="1" x14ac:dyDescent="0.5">
      <c r="A305" s="23"/>
      <c r="C305" s="23"/>
      <c r="F305" s="2"/>
      <c r="G305" s="2"/>
    </row>
    <row r="306" spans="1:7" ht="15.75" customHeight="1" x14ac:dyDescent="0.5">
      <c r="A306" s="23"/>
      <c r="C306" s="23"/>
      <c r="F306" s="2"/>
      <c r="G306" s="2"/>
    </row>
    <row r="307" spans="1:7" ht="15.75" customHeight="1" x14ac:dyDescent="0.5">
      <c r="A307" s="23"/>
      <c r="C307" s="23"/>
      <c r="F307" s="2"/>
      <c r="G307" s="2"/>
    </row>
    <row r="308" spans="1:7" ht="15.75" customHeight="1" x14ac:dyDescent="0.5">
      <c r="A308" s="23"/>
      <c r="C308" s="23"/>
      <c r="F308" s="2"/>
      <c r="G308" s="2"/>
    </row>
    <row r="309" spans="1:7" ht="15.75" customHeight="1" x14ac:dyDescent="0.5">
      <c r="A309" s="23"/>
      <c r="C309" s="23"/>
      <c r="F309" s="2"/>
      <c r="G309" s="2"/>
    </row>
    <row r="310" spans="1:7" ht="15.75" customHeight="1" x14ac:dyDescent="0.5">
      <c r="A310" s="23"/>
      <c r="C310" s="23"/>
      <c r="F310" s="2"/>
      <c r="G310" s="2"/>
    </row>
    <row r="311" spans="1:7" ht="15.75" customHeight="1" x14ac:dyDescent="0.5">
      <c r="A311" s="23"/>
      <c r="C311" s="23"/>
      <c r="F311" s="2"/>
      <c r="G311" s="2"/>
    </row>
    <row r="312" spans="1:7" ht="15.75" customHeight="1" x14ac:dyDescent="0.5">
      <c r="A312" s="23"/>
      <c r="C312" s="23"/>
      <c r="F312" s="2"/>
      <c r="G312" s="2"/>
    </row>
    <row r="313" spans="1:7" ht="15.75" customHeight="1" x14ac:dyDescent="0.5">
      <c r="A313" s="23"/>
      <c r="C313" s="23"/>
      <c r="F313" s="2"/>
      <c r="G313" s="2"/>
    </row>
    <row r="314" spans="1:7" ht="15.75" customHeight="1" x14ac:dyDescent="0.5">
      <c r="A314" s="23"/>
      <c r="C314" s="23"/>
      <c r="F314" s="2"/>
      <c r="G314" s="2"/>
    </row>
    <row r="315" spans="1:7" ht="15.75" customHeight="1" x14ac:dyDescent="0.5">
      <c r="A315" s="23"/>
      <c r="C315" s="23"/>
      <c r="F315" s="2"/>
      <c r="G315" s="2"/>
    </row>
    <row r="316" spans="1:7" ht="15.75" customHeight="1" x14ac:dyDescent="0.5">
      <c r="A316" s="23"/>
      <c r="C316" s="23"/>
      <c r="F316" s="2"/>
      <c r="G316" s="2"/>
    </row>
    <row r="317" spans="1:7" ht="15.75" customHeight="1" x14ac:dyDescent="0.5">
      <c r="A317" s="23"/>
      <c r="C317" s="23"/>
      <c r="F317" s="2"/>
      <c r="G317" s="2"/>
    </row>
    <row r="318" spans="1:7" ht="15.75" customHeight="1" x14ac:dyDescent="0.5">
      <c r="A318" s="23"/>
      <c r="C318" s="23"/>
      <c r="F318" s="2"/>
      <c r="G318" s="2"/>
    </row>
    <row r="319" spans="1:7" ht="15.75" customHeight="1" x14ac:dyDescent="0.5">
      <c r="A319" s="23"/>
      <c r="C319" s="23"/>
      <c r="F319" s="2"/>
      <c r="G319" s="2"/>
    </row>
    <row r="320" spans="1:7" ht="15.75" customHeight="1" x14ac:dyDescent="0.5">
      <c r="A320" s="23"/>
      <c r="C320" s="23"/>
      <c r="F320" s="2"/>
      <c r="G320" s="2"/>
    </row>
    <row r="321" spans="1:7" ht="15.75" customHeight="1" x14ac:dyDescent="0.5">
      <c r="A321" s="23"/>
      <c r="C321" s="23"/>
      <c r="F321" s="2"/>
      <c r="G321" s="2"/>
    </row>
    <row r="322" spans="1:7" ht="15.75" customHeight="1" x14ac:dyDescent="0.5">
      <c r="A322" s="23"/>
      <c r="C322" s="23"/>
      <c r="F322" s="2"/>
      <c r="G322" s="2"/>
    </row>
    <row r="323" spans="1:7" ht="15.75" customHeight="1" x14ac:dyDescent="0.5">
      <c r="A323" s="23"/>
      <c r="C323" s="23"/>
      <c r="F323" s="2"/>
      <c r="G323" s="2"/>
    </row>
    <row r="324" spans="1:7" ht="15.75" customHeight="1" x14ac:dyDescent="0.5">
      <c r="A324" s="23"/>
      <c r="C324" s="23"/>
      <c r="F324" s="2"/>
      <c r="G324" s="2"/>
    </row>
    <row r="325" spans="1:7" ht="15.75" customHeight="1" x14ac:dyDescent="0.5">
      <c r="A325" s="23"/>
      <c r="C325" s="23"/>
      <c r="F325" s="2"/>
      <c r="G325" s="2"/>
    </row>
    <row r="326" spans="1:7" ht="15.75" customHeight="1" x14ac:dyDescent="0.5">
      <c r="A326" s="23"/>
      <c r="C326" s="23"/>
      <c r="F326" s="2"/>
      <c r="G326" s="2"/>
    </row>
    <row r="327" spans="1:7" ht="15.75" customHeight="1" x14ac:dyDescent="0.5">
      <c r="A327" s="23"/>
      <c r="C327" s="23"/>
      <c r="F327" s="2"/>
      <c r="G327" s="2"/>
    </row>
    <row r="328" spans="1:7" ht="15.75" customHeight="1" x14ac:dyDescent="0.5">
      <c r="A328" s="23"/>
      <c r="C328" s="23"/>
      <c r="F328" s="2"/>
      <c r="G328" s="2"/>
    </row>
    <row r="329" spans="1:7" ht="15.75" customHeight="1" x14ac:dyDescent="0.5">
      <c r="A329" s="23"/>
      <c r="C329" s="23"/>
      <c r="F329" s="2"/>
      <c r="G329" s="2"/>
    </row>
    <row r="330" spans="1:7" ht="15.75" customHeight="1" x14ac:dyDescent="0.5">
      <c r="A330" s="23"/>
      <c r="C330" s="23"/>
      <c r="F330" s="2"/>
      <c r="G330" s="2"/>
    </row>
    <row r="331" spans="1:7" ht="15.75" customHeight="1" x14ac:dyDescent="0.5">
      <c r="A331" s="23"/>
      <c r="C331" s="23"/>
      <c r="F331" s="2"/>
      <c r="G331" s="2"/>
    </row>
    <row r="332" spans="1:7" ht="15.75" customHeight="1" x14ac:dyDescent="0.5">
      <c r="A332" s="23"/>
      <c r="C332" s="23"/>
      <c r="F332" s="2"/>
      <c r="G332" s="2"/>
    </row>
    <row r="333" spans="1:7" ht="15.75" customHeight="1" x14ac:dyDescent="0.5">
      <c r="A333" s="23"/>
      <c r="C333" s="23"/>
      <c r="F333" s="2"/>
      <c r="G333" s="2"/>
    </row>
    <row r="334" spans="1:7" ht="15.75" customHeight="1" x14ac:dyDescent="0.5">
      <c r="A334" s="23"/>
      <c r="C334" s="23"/>
      <c r="F334" s="2"/>
      <c r="G334" s="2"/>
    </row>
    <row r="335" spans="1:7" ht="15.75" customHeight="1" x14ac:dyDescent="0.5">
      <c r="A335" s="23"/>
      <c r="C335" s="23"/>
      <c r="F335" s="2"/>
      <c r="G335" s="2"/>
    </row>
    <row r="336" spans="1:7" ht="15.75" customHeight="1" x14ac:dyDescent="0.5">
      <c r="A336" s="23"/>
      <c r="C336" s="23"/>
      <c r="F336" s="2"/>
      <c r="G336" s="2"/>
    </row>
    <row r="337" spans="1:7" ht="15.75" customHeight="1" x14ac:dyDescent="0.5">
      <c r="A337" s="23"/>
      <c r="C337" s="23"/>
      <c r="F337" s="2"/>
      <c r="G337" s="2"/>
    </row>
    <row r="338" spans="1:7" ht="15.75" customHeight="1" x14ac:dyDescent="0.5">
      <c r="A338" s="23"/>
      <c r="C338" s="23"/>
      <c r="F338" s="2"/>
      <c r="G338" s="2"/>
    </row>
    <row r="339" spans="1:7" ht="15.75" customHeight="1" x14ac:dyDescent="0.5">
      <c r="A339" s="23"/>
      <c r="C339" s="23"/>
      <c r="F339" s="2"/>
      <c r="G339" s="2"/>
    </row>
    <row r="340" spans="1:7" ht="15.75" customHeight="1" x14ac:dyDescent="0.5">
      <c r="A340" s="23"/>
      <c r="C340" s="23"/>
      <c r="F340" s="2"/>
      <c r="G340" s="2"/>
    </row>
    <row r="341" spans="1:7" ht="15.75" customHeight="1" x14ac:dyDescent="0.5">
      <c r="A341" s="23"/>
      <c r="C341" s="23"/>
      <c r="F341" s="2"/>
      <c r="G341" s="2"/>
    </row>
    <row r="342" spans="1:7" ht="15.75" customHeight="1" x14ac:dyDescent="0.5">
      <c r="A342" s="23"/>
      <c r="C342" s="23"/>
      <c r="F342" s="2"/>
      <c r="G342" s="2"/>
    </row>
    <row r="343" spans="1:7" ht="15.75" customHeight="1" x14ac:dyDescent="0.5">
      <c r="A343" s="23"/>
      <c r="C343" s="23"/>
      <c r="F343" s="2"/>
      <c r="G343" s="2"/>
    </row>
    <row r="344" spans="1:7" ht="15.75" customHeight="1" x14ac:dyDescent="0.5">
      <c r="A344" s="23"/>
      <c r="C344" s="23"/>
      <c r="F344" s="2"/>
      <c r="G344" s="2"/>
    </row>
    <row r="345" spans="1:7" ht="15.75" customHeight="1" x14ac:dyDescent="0.5">
      <c r="A345" s="23"/>
      <c r="C345" s="23"/>
      <c r="F345" s="2"/>
      <c r="G345" s="2"/>
    </row>
    <row r="346" spans="1:7" ht="15.75" customHeight="1" x14ac:dyDescent="0.5">
      <c r="A346" s="23"/>
      <c r="C346" s="23"/>
      <c r="F346" s="2"/>
      <c r="G346" s="2"/>
    </row>
    <row r="347" spans="1:7" ht="15.75" customHeight="1" x14ac:dyDescent="0.5">
      <c r="A347" s="23"/>
      <c r="C347" s="23"/>
      <c r="F347" s="2"/>
      <c r="G347" s="2"/>
    </row>
    <row r="348" spans="1:7" ht="15.75" customHeight="1" x14ac:dyDescent="0.5">
      <c r="A348" s="23"/>
      <c r="C348" s="23"/>
      <c r="F348" s="2"/>
      <c r="G348" s="2"/>
    </row>
    <row r="349" spans="1:7" ht="15.75" customHeight="1" x14ac:dyDescent="0.5">
      <c r="A349" s="23"/>
      <c r="C349" s="23"/>
      <c r="F349" s="2"/>
      <c r="G349" s="2"/>
    </row>
    <row r="350" spans="1:7" ht="15.75" customHeight="1" x14ac:dyDescent="0.5">
      <c r="A350" s="23"/>
      <c r="C350" s="23"/>
      <c r="F350" s="2"/>
      <c r="G350" s="2"/>
    </row>
    <row r="351" spans="1:7" ht="15.75" customHeight="1" x14ac:dyDescent="0.5">
      <c r="A351" s="23"/>
      <c r="C351" s="23"/>
      <c r="F351" s="2"/>
      <c r="G351" s="2"/>
    </row>
    <row r="352" spans="1:7" ht="15.75" customHeight="1" x14ac:dyDescent="0.5">
      <c r="A352" s="23"/>
      <c r="C352" s="23"/>
      <c r="F352" s="2"/>
      <c r="G352" s="2"/>
    </row>
    <row r="353" spans="1:7" ht="15.75" customHeight="1" x14ac:dyDescent="0.5">
      <c r="A353" s="23"/>
      <c r="C353" s="23"/>
      <c r="F353" s="2"/>
      <c r="G353" s="2"/>
    </row>
    <row r="354" spans="1:7" ht="15.75" customHeight="1" x14ac:dyDescent="0.5">
      <c r="A354" s="23"/>
      <c r="C354" s="23"/>
      <c r="F354" s="2"/>
      <c r="G354" s="2"/>
    </row>
    <row r="355" spans="1:7" ht="15.75" customHeight="1" x14ac:dyDescent="0.5">
      <c r="A355" s="23"/>
      <c r="C355" s="23"/>
      <c r="F355" s="2"/>
      <c r="G355" s="2"/>
    </row>
    <row r="356" spans="1:7" ht="15.75" customHeight="1" x14ac:dyDescent="0.5">
      <c r="A356" s="23"/>
      <c r="C356" s="23"/>
      <c r="F356" s="2"/>
      <c r="G356" s="2"/>
    </row>
    <row r="357" spans="1:7" ht="15.75" customHeight="1" x14ac:dyDescent="0.5">
      <c r="A357" s="23"/>
      <c r="C357" s="23"/>
      <c r="F357" s="2"/>
      <c r="G357" s="2"/>
    </row>
    <row r="358" spans="1:7" ht="15.75" customHeight="1" x14ac:dyDescent="0.5">
      <c r="A358" s="23"/>
      <c r="C358" s="23"/>
      <c r="F358" s="2"/>
      <c r="G358" s="2"/>
    </row>
    <row r="359" spans="1:7" ht="15.75" customHeight="1" x14ac:dyDescent="0.5">
      <c r="A359" s="23"/>
      <c r="C359" s="23"/>
      <c r="F359" s="2"/>
      <c r="G359" s="2"/>
    </row>
    <row r="360" spans="1:7" ht="15.75" customHeight="1" x14ac:dyDescent="0.5">
      <c r="A360" s="23"/>
      <c r="C360" s="23"/>
      <c r="F360" s="2"/>
      <c r="G360" s="2"/>
    </row>
    <row r="361" spans="1:7" ht="15.75" customHeight="1" x14ac:dyDescent="0.5">
      <c r="A361" s="23"/>
      <c r="C361" s="23"/>
      <c r="F361" s="2"/>
      <c r="G361" s="2"/>
    </row>
    <row r="362" spans="1:7" ht="15.75" customHeight="1" x14ac:dyDescent="0.5">
      <c r="A362" s="23"/>
      <c r="C362" s="23"/>
      <c r="F362" s="2"/>
      <c r="G362" s="2"/>
    </row>
    <row r="363" spans="1:7" ht="15.75" customHeight="1" x14ac:dyDescent="0.5">
      <c r="A363" s="23"/>
      <c r="C363" s="23"/>
      <c r="F363" s="2"/>
      <c r="G363" s="2"/>
    </row>
    <row r="364" spans="1:7" ht="15.75" customHeight="1" x14ac:dyDescent="0.5">
      <c r="A364" s="23"/>
      <c r="C364" s="23"/>
      <c r="F364" s="2"/>
      <c r="G364" s="2"/>
    </row>
    <row r="365" spans="1:7" ht="15.75" customHeight="1" x14ac:dyDescent="0.5">
      <c r="A365" s="23"/>
      <c r="C365" s="23"/>
      <c r="F365" s="2"/>
      <c r="G365" s="2"/>
    </row>
    <row r="366" spans="1:7" ht="15.75" customHeight="1" x14ac:dyDescent="0.5">
      <c r="A366" s="23"/>
      <c r="C366" s="23"/>
      <c r="F366" s="2"/>
      <c r="G366" s="2"/>
    </row>
    <row r="367" spans="1:7" ht="15.75" customHeight="1" x14ac:dyDescent="0.5">
      <c r="A367" s="23"/>
      <c r="C367" s="23"/>
      <c r="F367" s="2"/>
      <c r="G367" s="2"/>
    </row>
    <row r="368" spans="1:7" ht="15.75" customHeight="1" x14ac:dyDescent="0.5">
      <c r="A368" s="23"/>
      <c r="C368" s="23"/>
      <c r="F368" s="2"/>
      <c r="G368" s="2"/>
    </row>
    <row r="369" spans="1:7" ht="15.75" customHeight="1" x14ac:dyDescent="0.5">
      <c r="A369" s="23"/>
      <c r="C369" s="23"/>
      <c r="F369" s="2"/>
      <c r="G369" s="2"/>
    </row>
    <row r="370" spans="1:7" ht="15.75" customHeight="1" x14ac:dyDescent="0.5">
      <c r="A370" s="23"/>
      <c r="C370" s="23"/>
      <c r="F370" s="2"/>
      <c r="G370" s="2"/>
    </row>
    <row r="371" spans="1:7" ht="15.75" customHeight="1" x14ac:dyDescent="0.5">
      <c r="A371" s="23"/>
      <c r="C371" s="23"/>
      <c r="F371" s="2"/>
      <c r="G371" s="2"/>
    </row>
    <row r="372" spans="1:7" ht="15.75" customHeight="1" x14ac:dyDescent="0.5">
      <c r="A372" s="23"/>
      <c r="C372" s="23"/>
      <c r="F372" s="2"/>
      <c r="G372" s="2"/>
    </row>
    <row r="373" spans="1:7" ht="15.75" customHeight="1" x14ac:dyDescent="0.5">
      <c r="A373" s="23"/>
      <c r="C373" s="23"/>
      <c r="F373" s="2"/>
      <c r="G373" s="2"/>
    </row>
    <row r="374" spans="1:7" ht="15.75" customHeight="1" x14ac:dyDescent="0.5">
      <c r="A374" s="23"/>
      <c r="C374" s="23"/>
      <c r="F374" s="2"/>
      <c r="G374" s="2"/>
    </row>
    <row r="375" spans="1:7" ht="15.75" customHeight="1" x14ac:dyDescent="0.5">
      <c r="A375" s="23"/>
      <c r="C375" s="23"/>
      <c r="F375" s="2"/>
      <c r="G375" s="2"/>
    </row>
    <row r="376" spans="1:7" ht="15.75" customHeight="1" x14ac:dyDescent="0.5">
      <c r="A376" s="23"/>
      <c r="C376" s="23"/>
      <c r="F376" s="2"/>
      <c r="G376" s="2"/>
    </row>
    <row r="377" spans="1:7" ht="15.75" customHeight="1" x14ac:dyDescent="0.5">
      <c r="A377" s="23"/>
      <c r="C377" s="23"/>
      <c r="F377" s="2"/>
      <c r="G377" s="2"/>
    </row>
    <row r="378" spans="1:7" ht="15.75" customHeight="1" x14ac:dyDescent="0.5">
      <c r="A378" s="23"/>
      <c r="C378" s="23"/>
      <c r="F378" s="2"/>
      <c r="G378" s="2"/>
    </row>
    <row r="379" spans="1:7" ht="15.75" customHeight="1" x14ac:dyDescent="0.5">
      <c r="A379" s="23"/>
      <c r="C379" s="23"/>
      <c r="F379" s="2"/>
      <c r="G379" s="2"/>
    </row>
    <row r="380" spans="1:7" ht="15.75" customHeight="1" x14ac:dyDescent="0.5">
      <c r="A380" s="23"/>
      <c r="C380" s="23"/>
      <c r="F380" s="2"/>
      <c r="G380" s="2"/>
    </row>
    <row r="381" spans="1:7" ht="15.75" customHeight="1" x14ac:dyDescent="0.5">
      <c r="A381" s="23"/>
      <c r="C381" s="23"/>
      <c r="F381" s="2"/>
      <c r="G381" s="2"/>
    </row>
    <row r="382" spans="1:7" ht="15.75" customHeight="1" x14ac:dyDescent="0.5">
      <c r="A382" s="23"/>
      <c r="C382" s="23"/>
      <c r="F382" s="2"/>
      <c r="G382" s="2"/>
    </row>
    <row r="383" spans="1:7" ht="15.75" customHeight="1" x14ac:dyDescent="0.5">
      <c r="A383" s="23"/>
      <c r="C383" s="23"/>
      <c r="F383" s="2"/>
      <c r="G383" s="2"/>
    </row>
    <row r="384" spans="1:7" ht="15.75" customHeight="1" x14ac:dyDescent="0.5">
      <c r="A384" s="23"/>
      <c r="C384" s="23"/>
      <c r="F384" s="2"/>
      <c r="G384" s="2"/>
    </row>
    <row r="385" spans="1:7" ht="15.75" customHeight="1" x14ac:dyDescent="0.5">
      <c r="A385" s="23"/>
      <c r="C385" s="23"/>
      <c r="F385" s="2"/>
      <c r="G385" s="2"/>
    </row>
    <row r="386" spans="1:7" ht="15.75" customHeight="1" x14ac:dyDescent="0.5">
      <c r="A386" s="23"/>
      <c r="C386" s="23"/>
      <c r="F386" s="2"/>
      <c r="G386" s="2"/>
    </row>
    <row r="387" spans="1:7" ht="15.75" customHeight="1" x14ac:dyDescent="0.5">
      <c r="A387" s="23"/>
      <c r="C387" s="23"/>
      <c r="F387" s="2"/>
      <c r="G387" s="2"/>
    </row>
    <row r="388" spans="1:7" ht="15.75" customHeight="1" x14ac:dyDescent="0.5">
      <c r="A388" s="23"/>
      <c r="C388" s="23"/>
      <c r="F388" s="2"/>
      <c r="G388" s="2"/>
    </row>
    <row r="389" spans="1:7" ht="15.75" customHeight="1" x14ac:dyDescent="0.5">
      <c r="A389" s="23"/>
      <c r="C389" s="23"/>
      <c r="F389" s="2"/>
      <c r="G389" s="2"/>
    </row>
    <row r="390" spans="1:7" ht="15.75" customHeight="1" x14ac:dyDescent="0.5">
      <c r="A390" s="23"/>
      <c r="C390" s="23"/>
      <c r="F390" s="2"/>
      <c r="G390" s="2"/>
    </row>
    <row r="391" spans="1:7" ht="15.75" customHeight="1" x14ac:dyDescent="0.5">
      <c r="A391" s="23"/>
      <c r="C391" s="23"/>
      <c r="F391" s="2"/>
      <c r="G391" s="2"/>
    </row>
    <row r="392" spans="1:7" ht="15.75" customHeight="1" x14ac:dyDescent="0.5">
      <c r="A392" s="23"/>
      <c r="C392" s="23"/>
      <c r="F392" s="2"/>
      <c r="G392" s="2"/>
    </row>
    <row r="393" spans="1:7" ht="15.75" customHeight="1" x14ac:dyDescent="0.5">
      <c r="A393" s="23"/>
      <c r="C393" s="23"/>
      <c r="F393" s="2"/>
      <c r="G393" s="2"/>
    </row>
    <row r="394" spans="1:7" ht="15.75" customHeight="1" x14ac:dyDescent="0.5">
      <c r="A394" s="23"/>
      <c r="C394" s="23"/>
      <c r="F394" s="2"/>
      <c r="G394" s="2"/>
    </row>
    <row r="395" spans="1:7" ht="15.75" customHeight="1" x14ac:dyDescent="0.5">
      <c r="A395" s="23"/>
      <c r="C395" s="23"/>
      <c r="F395" s="2"/>
      <c r="G395" s="2"/>
    </row>
    <row r="396" spans="1:7" ht="15.75" customHeight="1" x14ac:dyDescent="0.5">
      <c r="A396" s="23"/>
      <c r="C396" s="23"/>
      <c r="F396" s="2"/>
      <c r="G396" s="2"/>
    </row>
    <row r="397" spans="1:7" ht="15.75" customHeight="1" x14ac:dyDescent="0.5">
      <c r="A397" s="23"/>
      <c r="C397" s="23"/>
      <c r="F397" s="2"/>
      <c r="G397" s="2"/>
    </row>
    <row r="398" spans="1:7" ht="15.75" customHeight="1" x14ac:dyDescent="0.5">
      <c r="A398" s="23"/>
      <c r="C398" s="23"/>
      <c r="F398" s="2"/>
      <c r="G398" s="2"/>
    </row>
    <row r="399" spans="1:7" ht="15.75" customHeight="1" x14ac:dyDescent="0.5">
      <c r="A399" s="23"/>
      <c r="C399" s="23"/>
      <c r="F399" s="2"/>
      <c r="G399" s="2"/>
    </row>
    <row r="400" spans="1:7" ht="15.75" customHeight="1" x14ac:dyDescent="0.5">
      <c r="A400" s="23"/>
      <c r="C400" s="23"/>
      <c r="F400" s="2"/>
      <c r="G400" s="2"/>
    </row>
    <row r="401" spans="1:7" ht="15.75" customHeight="1" x14ac:dyDescent="0.5">
      <c r="A401" s="23"/>
      <c r="C401" s="23"/>
      <c r="F401" s="2"/>
      <c r="G401" s="2"/>
    </row>
    <row r="402" spans="1:7" ht="15.75" customHeight="1" x14ac:dyDescent="0.5">
      <c r="A402" s="23"/>
      <c r="C402" s="23"/>
      <c r="F402" s="2"/>
      <c r="G402" s="2"/>
    </row>
    <row r="403" spans="1:7" ht="15.75" customHeight="1" x14ac:dyDescent="0.5">
      <c r="A403" s="23"/>
      <c r="C403" s="23"/>
      <c r="F403" s="2"/>
      <c r="G403" s="2"/>
    </row>
    <row r="404" spans="1:7" ht="15.75" customHeight="1" x14ac:dyDescent="0.5">
      <c r="A404" s="23"/>
      <c r="C404" s="23"/>
      <c r="F404" s="2"/>
      <c r="G404" s="2"/>
    </row>
    <row r="405" spans="1:7" ht="15.75" customHeight="1" x14ac:dyDescent="0.5">
      <c r="A405" s="23"/>
      <c r="C405" s="23"/>
      <c r="F405" s="2"/>
      <c r="G405" s="2"/>
    </row>
    <row r="406" spans="1:7" ht="15.75" customHeight="1" x14ac:dyDescent="0.5">
      <c r="A406" s="23"/>
      <c r="C406" s="23"/>
      <c r="F406" s="2"/>
      <c r="G406" s="2"/>
    </row>
    <row r="407" spans="1:7" ht="15.75" customHeight="1" x14ac:dyDescent="0.5">
      <c r="A407" s="23"/>
      <c r="C407" s="23"/>
      <c r="F407" s="2"/>
      <c r="G407" s="2"/>
    </row>
    <row r="408" spans="1:7" ht="15.75" customHeight="1" x14ac:dyDescent="0.5">
      <c r="A408" s="23"/>
      <c r="C408" s="23"/>
      <c r="F408" s="2"/>
      <c r="G408" s="2"/>
    </row>
    <row r="409" spans="1:7" ht="15.75" customHeight="1" x14ac:dyDescent="0.5">
      <c r="A409" s="23"/>
      <c r="C409" s="23"/>
      <c r="F409" s="2"/>
      <c r="G409" s="2"/>
    </row>
    <row r="410" spans="1:7" ht="15.75" customHeight="1" x14ac:dyDescent="0.5">
      <c r="A410" s="23"/>
      <c r="C410" s="23"/>
      <c r="F410" s="2"/>
      <c r="G410" s="2"/>
    </row>
    <row r="411" spans="1:7" ht="15.75" customHeight="1" x14ac:dyDescent="0.5">
      <c r="A411" s="23"/>
      <c r="C411" s="23"/>
      <c r="F411" s="2"/>
      <c r="G411" s="2"/>
    </row>
    <row r="412" spans="1:7" ht="15.75" customHeight="1" x14ac:dyDescent="0.5">
      <c r="A412" s="23"/>
      <c r="C412" s="23"/>
      <c r="F412" s="2"/>
      <c r="G412" s="2"/>
    </row>
    <row r="413" spans="1:7" ht="15.75" customHeight="1" x14ac:dyDescent="0.5">
      <c r="A413" s="23"/>
      <c r="C413" s="23"/>
      <c r="F413" s="2"/>
      <c r="G413" s="2"/>
    </row>
    <row r="414" spans="1:7" ht="15.75" customHeight="1" x14ac:dyDescent="0.5">
      <c r="A414" s="23"/>
      <c r="C414" s="23"/>
      <c r="F414" s="2"/>
      <c r="G414" s="2"/>
    </row>
    <row r="415" spans="1:7" ht="15.75" customHeight="1" x14ac:dyDescent="0.5">
      <c r="A415" s="23"/>
      <c r="C415" s="23"/>
      <c r="F415" s="2"/>
      <c r="G415" s="2"/>
    </row>
    <row r="416" spans="1:7" ht="15.75" customHeight="1" x14ac:dyDescent="0.5">
      <c r="A416" s="23"/>
      <c r="C416" s="23"/>
      <c r="F416" s="2"/>
      <c r="G416" s="2"/>
    </row>
    <row r="417" spans="1:7" ht="15.75" customHeight="1" x14ac:dyDescent="0.5">
      <c r="A417" s="23"/>
      <c r="C417" s="23"/>
      <c r="F417" s="2"/>
      <c r="G417" s="2"/>
    </row>
    <row r="418" spans="1:7" ht="15.75" customHeight="1" x14ac:dyDescent="0.5">
      <c r="A418" s="23"/>
      <c r="C418" s="23"/>
      <c r="F418" s="2"/>
      <c r="G418" s="2"/>
    </row>
    <row r="419" spans="1:7" ht="15.75" customHeight="1" x14ac:dyDescent="0.5">
      <c r="A419" s="23"/>
      <c r="C419" s="23"/>
      <c r="F419" s="2"/>
      <c r="G419" s="2"/>
    </row>
    <row r="420" spans="1:7" ht="15.75" customHeight="1" x14ac:dyDescent="0.5">
      <c r="A420" s="23"/>
      <c r="C420" s="23"/>
      <c r="F420" s="2"/>
      <c r="G420" s="2"/>
    </row>
    <row r="421" spans="1:7" ht="15.75" customHeight="1" x14ac:dyDescent="0.5">
      <c r="A421" s="23"/>
      <c r="C421" s="23"/>
      <c r="F421" s="2"/>
      <c r="G421" s="2"/>
    </row>
    <row r="422" spans="1:7" ht="15.75" customHeight="1" x14ac:dyDescent="0.5">
      <c r="A422" s="23"/>
      <c r="C422" s="23"/>
      <c r="F422" s="2"/>
      <c r="G422" s="2"/>
    </row>
    <row r="423" spans="1:7" ht="15.75" customHeight="1" x14ac:dyDescent="0.5">
      <c r="A423" s="23"/>
      <c r="C423" s="23"/>
      <c r="F423" s="2"/>
      <c r="G423" s="2"/>
    </row>
    <row r="424" spans="1:7" ht="15.75" customHeight="1" x14ac:dyDescent="0.5">
      <c r="A424" s="23"/>
      <c r="C424" s="23"/>
      <c r="F424" s="2"/>
      <c r="G424" s="2"/>
    </row>
    <row r="425" spans="1:7" ht="15.75" customHeight="1" x14ac:dyDescent="0.5">
      <c r="A425" s="23"/>
      <c r="C425" s="23"/>
      <c r="F425" s="2"/>
      <c r="G425" s="2"/>
    </row>
    <row r="426" spans="1:7" ht="15.75" customHeight="1" x14ac:dyDescent="0.5">
      <c r="A426" s="23"/>
      <c r="C426" s="23"/>
      <c r="F426" s="2"/>
      <c r="G426" s="2"/>
    </row>
    <row r="427" spans="1:7" ht="15.75" customHeight="1" x14ac:dyDescent="0.5">
      <c r="A427" s="23"/>
      <c r="C427" s="23"/>
      <c r="F427" s="2"/>
      <c r="G427" s="2"/>
    </row>
    <row r="428" spans="1:7" ht="15.75" customHeight="1" x14ac:dyDescent="0.5">
      <c r="A428" s="23"/>
      <c r="C428" s="23"/>
      <c r="F428" s="2"/>
      <c r="G428" s="2"/>
    </row>
    <row r="429" spans="1:7" ht="15.75" customHeight="1" x14ac:dyDescent="0.5">
      <c r="A429" s="23"/>
      <c r="C429" s="23"/>
      <c r="F429" s="2"/>
      <c r="G429" s="2"/>
    </row>
    <row r="430" spans="1:7" ht="15.75" customHeight="1" x14ac:dyDescent="0.5">
      <c r="A430" s="23"/>
      <c r="C430" s="23"/>
      <c r="F430" s="2"/>
      <c r="G430" s="2"/>
    </row>
    <row r="431" spans="1:7" ht="15.75" customHeight="1" x14ac:dyDescent="0.5">
      <c r="A431" s="23"/>
      <c r="C431" s="23"/>
      <c r="F431" s="2"/>
      <c r="G431" s="2"/>
    </row>
    <row r="432" spans="1:7" ht="15.75" customHeight="1" x14ac:dyDescent="0.5">
      <c r="A432" s="23"/>
      <c r="C432" s="23"/>
      <c r="F432" s="2"/>
      <c r="G432" s="2"/>
    </row>
    <row r="433" spans="1:7" ht="15.75" customHeight="1" x14ac:dyDescent="0.5">
      <c r="A433" s="23"/>
      <c r="C433" s="23"/>
      <c r="F433" s="2"/>
      <c r="G433" s="2"/>
    </row>
    <row r="434" spans="1:7" ht="15.75" customHeight="1" x14ac:dyDescent="0.5">
      <c r="A434" s="23"/>
      <c r="C434" s="23"/>
      <c r="F434" s="2"/>
      <c r="G434" s="2"/>
    </row>
    <row r="435" spans="1:7" ht="15.75" customHeight="1" x14ac:dyDescent="0.5">
      <c r="A435" s="23"/>
      <c r="C435" s="23"/>
      <c r="F435" s="2"/>
      <c r="G435" s="2"/>
    </row>
    <row r="436" spans="1:7" ht="15.75" customHeight="1" x14ac:dyDescent="0.5">
      <c r="A436" s="23"/>
      <c r="C436" s="23"/>
      <c r="F436" s="2"/>
      <c r="G436" s="2"/>
    </row>
    <row r="437" spans="1:7" ht="15.75" customHeight="1" x14ac:dyDescent="0.5">
      <c r="A437" s="23"/>
      <c r="C437" s="23"/>
      <c r="F437" s="2"/>
      <c r="G437" s="2"/>
    </row>
    <row r="438" spans="1:7" ht="15.75" customHeight="1" x14ac:dyDescent="0.5">
      <c r="A438" s="23"/>
      <c r="C438" s="23"/>
      <c r="F438" s="2"/>
      <c r="G438" s="2"/>
    </row>
    <row r="439" spans="1:7" ht="15.75" customHeight="1" x14ac:dyDescent="0.5">
      <c r="A439" s="23"/>
      <c r="C439" s="23"/>
      <c r="F439" s="2"/>
      <c r="G439" s="2"/>
    </row>
    <row r="440" spans="1:7" ht="15.75" customHeight="1" x14ac:dyDescent="0.5">
      <c r="A440" s="23"/>
      <c r="C440" s="23"/>
      <c r="F440" s="2"/>
      <c r="G440" s="2"/>
    </row>
    <row r="441" spans="1:7" ht="15.75" customHeight="1" x14ac:dyDescent="0.5">
      <c r="A441" s="23"/>
      <c r="C441" s="23"/>
      <c r="F441" s="2"/>
      <c r="G441" s="2"/>
    </row>
    <row r="442" spans="1:7" ht="15.75" customHeight="1" x14ac:dyDescent="0.5">
      <c r="A442" s="23"/>
      <c r="C442" s="23"/>
      <c r="F442" s="2"/>
      <c r="G442" s="2"/>
    </row>
    <row r="443" spans="1:7" ht="15.75" customHeight="1" x14ac:dyDescent="0.5">
      <c r="A443" s="23"/>
      <c r="C443" s="23"/>
      <c r="F443" s="2"/>
      <c r="G443" s="2"/>
    </row>
    <row r="444" spans="1:7" ht="15.75" customHeight="1" x14ac:dyDescent="0.5">
      <c r="A444" s="23"/>
      <c r="C444" s="23"/>
      <c r="F444" s="2"/>
      <c r="G444" s="2"/>
    </row>
    <row r="445" spans="1:7" ht="15.75" customHeight="1" x14ac:dyDescent="0.5">
      <c r="A445" s="23"/>
      <c r="C445" s="23"/>
      <c r="F445" s="2"/>
      <c r="G445" s="2"/>
    </row>
    <row r="446" spans="1:7" ht="15.75" customHeight="1" x14ac:dyDescent="0.5">
      <c r="A446" s="23"/>
      <c r="C446" s="23"/>
      <c r="F446" s="2"/>
      <c r="G446" s="2"/>
    </row>
    <row r="447" spans="1:7" ht="15.75" customHeight="1" x14ac:dyDescent="0.5">
      <c r="A447" s="23"/>
      <c r="C447" s="23"/>
      <c r="F447" s="2"/>
      <c r="G447" s="2"/>
    </row>
    <row r="448" spans="1:7" ht="15.75" customHeight="1" x14ac:dyDescent="0.5">
      <c r="A448" s="23"/>
      <c r="C448" s="23"/>
      <c r="F448" s="2"/>
      <c r="G448" s="2"/>
    </row>
    <row r="449" spans="1:7" ht="15.75" customHeight="1" x14ac:dyDescent="0.5">
      <c r="A449" s="23"/>
      <c r="C449" s="23"/>
      <c r="F449" s="2"/>
      <c r="G449" s="2"/>
    </row>
    <row r="450" spans="1:7" ht="15.75" customHeight="1" x14ac:dyDescent="0.5">
      <c r="A450" s="23"/>
      <c r="C450" s="23"/>
      <c r="F450" s="2"/>
      <c r="G450" s="2"/>
    </row>
    <row r="451" spans="1:7" ht="15.75" customHeight="1" x14ac:dyDescent="0.5">
      <c r="A451" s="23"/>
      <c r="C451" s="23"/>
      <c r="F451" s="2"/>
      <c r="G451" s="2"/>
    </row>
    <row r="452" spans="1:7" ht="15.75" customHeight="1" x14ac:dyDescent="0.5">
      <c r="A452" s="23"/>
      <c r="C452" s="23"/>
      <c r="F452" s="2"/>
      <c r="G452" s="2"/>
    </row>
    <row r="453" spans="1:7" ht="15.75" customHeight="1" x14ac:dyDescent="0.5">
      <c r="A453" s="23"/>
      <c r="C453" s="23"/>
      <c r="F453" s="2"/>
      <c r="G453" s="2"/>
    </row>
    <row r="454" spans="1:7" ht="15.75" customHeight="1" x14ac:dyDescent="0.5">
      <c r="A454" s="23"/>
      <c r="C454" s="23"/>
      <c r="F454" s="2"/>
      <c r="G454" s="2"/>
    </row>
    <row r="455" spans="1:7" ht="15.75" customHeight="1" x14ac:dyDescent="0.5">
      <c r="A455" s="23"/>
      <c r="C455" s="23"/>
      <c r="F455" s="2"/>
      <c r="G455" s="2"/>
    </row>
    <row r="456" spans="1:7" ht="15.75" customHeight="1" x14ac:dyDescent="0.5">
      <c r="A456" s="23"/>
      <c r="C456" s="23"/>
      <c r="F456" s="2"/>
      <c r="G456" s="2"/>
    </row>
    <row r="457" spans="1:7" ht="15.75" customHeight="1" x14ac:dyDescent="0.5">
      <c r="A457" s="23"/>
      <c r="C457" s="23"/>
      <c r="F457" s="2"/>
      <c r="G457" s="2"/>
    </row>
    <row r="458" spans="1:7" ht="15.75" customHeight="1" x14ac:dyDescent="0.5">
      <c r="A458" s="23"/>
      <c r="C458" s="23"/>
      <c r="F458" s="2"/>
      <c r="G458" s="2"/>
    </row>
    <row r="459" spans="1:7" ht="15.75" customHeight="1" x14ac:dyDescent="0.5">
      <c r="A459" s="23"/>
      <c r="C459" s="23"/>
      <c r="F459" s="2"/>
      <c r="G459" s="2"/>
    </row>
    <row r="460" spans="1:7" ht="15.75" customHeight="1" x14ac:dyDescent="0.5">
      <c r="A460" s="23"/>
      <c r="C460" s="23"/>
      <c r="F460" s="2"/>
      <c r="G460" s="2"/>
    </row>
    <row r="461" spans="1:7" ht="15.75" customHeight="1" x14ac:dyDescent="0.5">
      <c r="A461" s="23"/>
      <c r="C461" s="23"/>
      <c r="F461" s="2"/>
      <c r="G461" s="2"/>
    </row>
    <row r="462" spans="1:7" ht="15.75" customHeight="1" x14ac:dyDescent="0.5">
      <c r="A462" s="23"/>
      <c r="C462" s="23"/>
      <c r="F462" s="2"/>
      <c r="G462" s="2"/>
    </row>
    <row r="463" spans="1:7" ht="15.75" customHeight="1" x14ac:dyDescent="0.5">
      <c r="A463" s="23"/>
      <c r="C463" s="23"/>
      <c r="F463" s="2"/>
      <c r="G463" s="2"/>
    </row>
    <row r="464" spans="1:7" ht="15.75" customHeight="1" x14ac:dyDescent="0.5">
      <c r="A464" s="23"/>
      <c r="C464" s="23"/>
      <c r="F464" s="2"/>
      <c r="G464" s="2"/>
    </row>
    <row r="465" spans="1:7" ht="15.75" customHeight="1" x14ac:dyDescent="0.5">
      <c r="A465" s="23"/>
      <c r="C465" s="23"/>
      <c r="F465" s="2"/>
      <c r="G465" s="2"/>
    </row>
    <row r="466" spans="1:7" ht="15.75" customHeight="1" x14ac:dyDescent="0.5">
      <c r="A466" s="23"/>
      <c r="C466" s="23"/>
      <c r="F466" s="2"/>
      <c r="G466" s="2"/>
    </row>
    <row r="467" spans="1:7" ht="15.75" customHeight="1" x14ac:dyDescent="0.5">
      <c r="A467" s="23"/>
      <c r="C467" s="23"/>
      <c r="F467" s="2"/>
      <c r="G467" s="2"/>
    </row>
    <row r="468" spans="1:7" ht="15.75" customHeight="1" x14ac:dyDescent="0.5">
      <c r="A468" s="23"/>
      <c r="C468" s="23"/>
      <c r="F468" s="2"/>
      <c r="G468" s="2"/>
    </row>
    <row r="469" spans="1:7" ht="15.75" customHeight="1" x14ac:dyDescent="0.5">
      <c r="A469" s="23"/>
      <c r="C469" s="23"/>
      <c r="F469" s="2"/>
      <c r="G469" s="2"/>
    </row>
    <row r="470" spans="1:7" ht="15.75" customHeight="1" x14ac:dyDescent="0.5">
      <c r="A470" s="23"/>
      <c r="C470" s="23"/>
      <c r="F470" s="2"/>
      <c r="G470" s="2"/>
    </row>
    <row r="471" spans="1:7" ht="15.75" customHeight="1" x14ac:dyDescent="0.5">
      <c r="A471" s="23"/>
      <c r="C471" s="23"/>
      <c r="F471" s="2"/>
      <c r="G471" s="2"/>
    </row>
    <row r="472" spans="1:7" ht="15.75" customHeight="1" x14ac:dyDescent="0.5">
      <c r="A472" s="23"/>
      <c r="C472" s="23"/>
      <c r="F472" s="2"/>
      <c r="G472" s="2"/>
    </row>
    <row r="473" spans="1:7" ht="15.75" customHeight="1" x14ac:dyDescent="0.5">
      <c r="A473" s="23"/>
      <c r="C473" s="23"/>
      <c r="F473" s="2"/>
      <c r="G473" s="2"/>
    </row>
    <row r="474" spans="1:7" ht="15.75" customHeight="1" x14ac:dyDescent="0.5">
      <c r="A474" s="23"/>
      <c r="C474" s="23"/>
      <c r="F474" s="2"/>
      <c r="G474" s="2"/>
    </row>
    <row r="475" spans="1:7" ht="15.75" customHeight="1" x14ac:dyDescent="0.5">
      <c r="A475" s="23"/>
      <c r="C475" s="23"/>
      <c r="F475" s="2"/>
      <c r="G475" s="2"/>
    </row>
    <row r="476" spans="1:7" ht="15.75" customHeight="1" x14ac:dyDescent="0.5">
      <c r="A476" s="23"/>
      <c r="C476" s="23"/>
      <c r="F476" s="2"/>
      <c r="G476" s="2"/>
    </row>
    <row r="477" spans="1:7" ht="15.75" customHeight="1" x14ac:dyDescent="0.5">
      <c r="A477" s="23"/>
      <c r="C477" s="23"/>
      <c r="F477" s="2"/>
      <c r="G477" s="2"/>
    </row>
    <row r="478" spans="1:7" ht="15.75" customHeight="1" x14ac:dyDescent="0.5">
      <c r="A478" s="23"/>
      <c r="C478" s="23"/>
      <c r="F478" s="2"/>
      <c r="G478" s="2"/>
    </row>
    <row r="479" spans="1:7" ht="15.75" customHeight="1" x14ac:dyDescent="0.5">
      <c r="A479" s="23"/>
      <c r="C479" s="23"/>
      <c r="F479" s="2"/>
      <c r="G479" s="2"/>
    </row>
    <row r="480" spans="1:7" ht="15.75" customHeight="1" x14ac:dyDescent="0.5">
      <c r="A480" s="23"/>
      <c r="C480" s="23"/>
      <c r="F480" s="2"/>
      <c r="G480" s="2"/>
    </row>
    <row r="481" spans="1:7" ht="15.75" customHeight="1" x14ac:dyDescent="0.5">
      <c r="A481" s="23"/>
      <c r="C481" s="23"/>
      <c r="F481" s="2"/>
      <c r="G481" s="2"/>
    </row>
    <row r="482" spans="1:7" ht="15.75" customHeight="1" x14ac:dyDescent="0.5">
      <c r="A482" s="23"/>
      <c r="C482" s="23"/>
      <c r="F482" s="2"/>
      <c r="G482" s="2"/>
    </row>
    <row r="483" spans="1:7" ht="15.75" customHeight="1" x14ac:dyDescent="0.5">
      <c r="A483" s="23"/>
      <c r="C483" s="23"/>
      <c r="F483" s="2"/>
      <c r="G483" s="2"/>
    </row>
    <row r="484" spans="1:7" ht="15.75" customHeight="1" x14ac:dyDescent="0.5">
      <c r="A484" s="23"/>
      <c r="C484" s="23"/>
      <c r="F484" s="2"/>
      <c r="G484" s="2"/>
    </row>
    <row r="485" spans="1:7" ht="15.75" customHeight="1" x14ac:dyDescent="0.5">
      <c r="A485" s="23"/>
      <c r="C485" s="23"/>
      <c r="F485" s="2"/>
      <c r="G485" s="2"/>
    </row>
    <row r="486" spans="1:7" ht="15.75" customHeight="1" x14ac:dyDescent="0.5">
      <c r="A486" s="23"/>
      <c r="C486" s="23"/>
      <c r="F486" s="2"/>
      <c r="G486" s="2"/>
    </row>
    <row r="487" spans="1:7" ht="15.75" customHeight="1" x14ac:dyDescent="0.5">
      <c r="A487" s="23"/>
      <c r="C487" s="23"/>
      <c r="F487" s="2"/>
      <c r="G487" s="2"/>
    </row>
    <row r="488" spans="1:7" ht="15.75" customHeight="1" x14ac:dyDescent="0.5">
      <c r="A488" s="23"/>
      <c r="C488" s="23"/>
      <c r="F488" s="2"/>
      <c r="G488" s="2"/>
    </row>
    <row r="489" spans="1:7" ht="15.75" customHeight="1" x14ac:dyDescent="0.5">
      <c r="A489" s="23"/>
      <c r="C489" s="23"/>
      <c r="F489" s="2"/>
      <c r="G489" s="2"/>
    </row>
    <row r="490" spans="1:7" ht="15.75" customHeight="1" x14ac:dyDescent="0.5">
      <c r="A490" s="23"/>
      <c r="C490" s="23"/>
      <c r="F490" s="2"/>
      <c r="G490" s="2"/>
    </row>
    <row r="491" spans="1:7" ht="15.75" customHeight="1" x14ac:dyDescent="0.5">
      <c r="A491" s="23"/>
      <c r="C491" s="23"/>
      <c r="F491" s="2"/>
      <c r="G491" s="2"/>
    </row>
    <row r="492" spans="1:7" ht="15.75" customHeight="1" x14ac:dyDescent="0.5">
      <c r="A492" s="23"/>
      <c r="C492" s="23"/>
      <c r="F492" s="2"/>
      <c r="G492" s="2"/>
    </row>
    <row r="493" spans="1:7" ht="15.75" customHeight="1" x14ac:dyDescent="0.5">
      <c r="A493" s="23"/>
      <c r="C493" s="23"/>
      <c r="F493" s="2"/>
      <c r="G493" s="2"/>
    </row>
    <row r="494" spans="1:7" ht="15.75" customHeight="1" x14ac:dyDescent="0.5">
      <c r="A494" s="23"/>
      <c r="C494" s="23"/>
      <c r="F494" s="2"/>
      <c r="G494" s="2"/>
    </row>
    <row r="495" spans="1:7" ht="15.75" customHeight="1" x14ac:dyDescent="0.5">
      <c r="A495" s="23"/>
      <c r="C495" s="23"/>
      <c r="F495" s="2"/>
      <c r="G495" s="2"/>
    </row>
    <row r="496" spans="1:7" ht="15.75" customHeight="1" x14ac:dyDescent="0.5">
      <c r="A496" s="23"/>
      <c r="C496" s="23"/>
      <c r="F496" s="2"/>
      <c r="G496" s="2"/>
    </row>
    <row r="497" spans="1:7" ht="15.75" customHeight="1" x14ac:dyDescent="0.5">
      <c r="A497" s="23"/>
      <c r="C497" s="23"/>
      <c r="F497" s="2"/>
      <c r="G497" s="2"/>
    </row>
    <row r="498" spans="1:7" ht="15.75" customHeight="1" x14ac:dyDescent="0.5">
      <c r="A498" s="23"/>
      <c r="C498" s="23"/>
      <c r="F498" s="2"/>
      <c r="G498" s="2"/>
    </row>
    <row r="499" spans="1:7" ht="15.75" customHeight="1" x14ac:dyDescent="0.5">
      <c r="A499" s="23"/>
      <c r="C499" s="23"/>
      <c r="F499" s="2"/>
      <c r="G499" s="2"/>
    </row>
    <row r="500" spans="1:7" ht="15.75" customHeight="1" x14ac:dyDescent="0.5">
      <c r="A500" s="23"/>
      <c r="C500" s="23"/>
      <c r="F500" s="2"/>
      <c r="G500" s="2"/>
    </row>
    <row r="501" spans="1:7" ht="15.75" customHeight="1" x14ac:dyDescent="0.5">
      <c r="A501" s="23"/>
      <c r="C501" s="23"/>
      <c r="F501" s="2"/>
      <c r="G501" s="2"/>
    </row>
    <row r="502" spans="1:7" ht="15.75" customHeight="1" x14ac:dyDescent="0.5">
      <c r="A502" s="23"/>
      <c r="C502" s="23"/>
      <c r="F502" s="2"/>
      <c r="G502" s="2"/>
    </row>
    <row r="503" spans="1:7" ht="15.75" customHeight="1" x14ac:dyDescent="0.5">
      <c r="A503" s="23"/>
      <c r="C503" s="23"/>
      <c r="F503" s="2"/>
      <c r="G503" s="2"/>
    </row>
    <row r="504" spans="1:7" ht="15.75" customHeight="1" x14ac:dyDescent="0.5">
      <c r="A504" s="23"/>
      <c r="C504" s="23"/>
      <c r="F504" s="2"/>
      <c r="G504" s="2"/>
    </row>
    <row r="505" spans="1:7" ht="15.75" customHeight="1" x14ac:dyDescent="0.5">
      <c r="A505" s="23"/>
      <c r="C505" s="23"/>
      <c r="F505" s="2"/>
      <c r="G505" s="2"/>
    </row>
    <row r="506" spans="1:7" ht="15.75" customHeight="1" x14ac:dyDescent="0.5">
      <c r="A506" s="23"/>
      <c r="C506" s="23"/>
      <c r="F506" s="2"/>
      <c r="G506" s="2"/>
    </row>
    <row r="507" spans="1:7" ht="15.75" customHeight="1" x14ac:dyDescent="0.5">
      <c r="A507" s="23"/>
      <c r="C507" s="23"/>
      <c r="F507" s="2"/>
      <c r="G507" s="2"/>
    </row>
    <row r="508" spans="1:7" ht="15.75" customHeight="1" x14ac:dyDescent="0.5">
      <c r="A508" s="23"/>
      <c r="C508" s="23"/>
      <c r="F508" s="2"/>
      <c r="G508" s="2"/>
    </row>
    <row r="509" spans="1:7" ht="15.75" customHeight="1" x14ac:dyDescent="0.5">
      <c r="A509" s="23"/>
      <c r="C509" s="23"/>
      <c r="F509" s="2"/>
      <c r="G509" s="2"/>
    </row>
    <row r="510" spans="1:7" ht="15.75" customHeight="1" x14ac:dyDescent="0.5">
      <c r="A510" s="23"/>
      <c r="C510" s="23"/>
      <c r="F510" s="2"/>
      <c r="G510" s="2"/>
    </row>
    <row r="511" spans="1:7" ht="15.75" customHeight="1" x14ac:dyDescent="0.5">
      <c r="A511" s="23"/>
      <c r="C511" s="23"/>
      <c r="F511" s="2"/>
      <c r="G511" s="2"/>
    </row>
    <row r="512" spans="1:7" ht="15.75" customHeight="1" x14ac:dyDescent="0.5">
      <c r="A512" s="23"/>
      <c r="C512" s="23"/>
      <c r="F512" s="2"/>
      <c r="G512" s="2"/>
    </row>
    <row r="513" spans="1:7" ht="15.75" customHeight="1" x14ac:dyDescent="0.5">
      <c r="A513" s="23"/>
      <c r="C513" s="23"/>
      <c r="F513" s="2"/>
      <c r="G513" s="2"/>
    </row>
    <row r="514" spans="1:7" ht="15.75" customHeight="1" x14ac:dyDescent="0.5">
      <c r="A514" s="23"/>
      <c r="C514" s="23"/>
      <c r="F514" s="2"/>
      <c r="G514" s="2"/>
    </row>
    <row r="515" spans="1:7" ht="15.75" customHeight="1" x14ac:dyDescent="0.5">
      <c r="A515" s="23"/>
      <c r="C515" s="23"/>
      <c r="F515" s="2"/>
      <c r="G515" s="2"/>
    </row>
    <row r="516" spans="1:7" ht="15.75" customHeight="1" x14ac:dyDescent="0.5">
      <c r="A516" s="23"/>
      <c r="C516" s="23"/>
      <c r="F516" s="2"/>
      <c r="G516" s="2"/>
    </row>
    <row r="517" spans="1:7" ht="15.75" customHeight="1" x14ac:dyDescent="0.5">
      <c r="A517" s="23"/>
      <c r="C517" s="23"/>
      <c r="F517" s="2"/>
      <c r="G517" s="2"/>
    </row>
    <row r="518" spans="1:7" ht="15.75" customHeight="1" x14ac:dyDescent="0.5">
      <c r="A518" s="23"/>
      <c r="C518" s="23"/>
      <c r="F518" s="2"/>
      <c r="G518" s="2"/>
    </row>
    <row r="519" spans="1:7" ht="15.75" customHeight="1" x14ac:dyDescent="0.5">
      <c r="A519" s="23"/>
      <c r="C519" s="23"/>
      <c r="F519" s="2"/>
      <c r="G519" s="2"/>
    </row>
    <row r="520" spans="1:7" ht="15.75" customHeight="1" x14ac:dyDescent="0.5">
      <c r="A520" s="23"/>
      <c r="C520" s="23"/>
      <c r="F520" s="2"/>
      <c r="G520" s="2"/>
    </row>
    <row r="521" spans="1:7" ht="15.75" customHeight="1" x14ac:dyDescent="0.5">
      <c r="A521" s="23"/>
      <c r="C521" s="23"/>
      <c r="F521" s="2"/>
      <c r="G521" s="2"/>
    </row>
    <row r="522" spans="1:7" ht="15.75" customHeight="1" x14ac:dyDescent="0.5">
      <c r="A522" s="23"/>
      <c r="C522" s="23"/>
      <c r="F522" s="2"/>
      <c r="G522" s="2"/>
    </row>
    <row r="523" spans="1:7" ht="15.75" customHeight="1" x14ac:dyDescent="0.5">
      <c r="A523" s="23"/>
      <c r="C523" s="23"/>
      <c r="F523" s="2"/>
      <c r="G523" s="2"/>
    </row>
    <row r="524" spans="1:7" ht="15.75" customHeight="1" x14ac:dyDescent="0.5">
      <c r="A524" s="23"/>
      <c r="C524" s="23"/>
      <c r="F524" s="2"/>
      <c r="G524" s="2"/>
    </row>
    <row r="525" spans="1:7" ht="15.75" customHeight="1" x14ac:dyDescent="0.5">
      <c r="A525" s="23"/>
      <c r="C525" s="23"/>
      <c r="F525" s="2"/>
      <c r="G525" s="2"/>
    </row>
    <row r="526" spans="1:7" ht="15.75" customHeight="1" x14ac:dyDescent="0.5">
      <c r="A526" s="23"/>
      <c r="C526" s="23"/>
      <c r="F526" s="2"/>
      <c r="G526" s="2"/>
    </row>
    <row r="527" spans="1:7" ht="15.75" customHeight="1" x14ac:dyDescent="0.5">
      <c r="A527" s="23"/>
      <c r="C527" s="23"/>
      <c r="F527" s="2"/>
      <c r="G527" s="2"/>
    </row>
    <row r="528" spans="1:7" ht="15.75" customHeight="1" x14ac:dyDescent="0.5">
      <c r="A528" s="23"/>
      <c r="C528" s="23"/>
      <c r="F528" s="2"/>
      <c r="G528" s="2"/>
    </row>
    <row r="529" spans="1:7" ht="15.75" customHeight="1" x14ac:dyDescent="0.5">
      <c r="A529" s="23"/>
      <c r="C529" s="23"/>
      <c r="F529" s="2"/>
      <c r="G529" s="2"/>
    </row>
    <row r="530" spans="1:7" ht="15.75" customHeight="1" x14ac:dyDescent="0.5">
      <c r="A530" s="23"/>
      <c r="C530" s="23"/>
      <c r="F530" s="2"/>
      <c r="G530" s="2"/>
    </row>
    <row r="531" spans="1:7" ht="15.75" customHeight="1" x14ac:dyDescent="0.5">
      <c r="A531" s="23"/>
      <c r="C531" s="23"/>
      <c r="F531" s="2"/>
      <c r="G531" s="2"/>
    </row>
    <row r="532" spans="1:7" ht="15.75" customHeight="1" x14ac:dyDescent="0.5">
      <c r="A532" s="23"/>
      <c r="C532" s="23"/>
      <c r="F532" s="2"/>
      <c r="G532" s="2"/>
    </row>
    <row r="533" spans="1:7" ht="15.75" customHeight="1" x14ac:dyDescent="0.5">
      <c r="A533" s="23"/>
      <c r="C533" s="23"/>
      <c r="F533" s="2"/>
      <c r="G533" s="2"/>
    </row>
    <row r="534" spans="1:7" ht="15.75" customHeight="1" x14ac:dyDescent="0.5">
      <c r="A534" s="23"/>
      <c r="C534" s="23"/>
      <c r="F534" s="2"/>
      <c r="G534" s="2"/>
    </row>
    <row r="535" spans="1:7" ht="15.75" customHeight="1" x14ac:dyDescent="0.5">
      <c r="A535" s="23"/>
      <c r="C535" s="23"/>
      <c r="F535" s="2"/>
      <c r="G535" s="2"/>
    </row>
    <row r="536" spans="1:7" ht="15.75" customHeight="1" x14ac:dyDescent="0.5">
      <c r="A536" s="23"/>
      <c r="C536" s="23"/>
      <c r="F536" s="2"/>
      <c r="G536" s="2"/>
    </row>
    <row r="537" spans="1:7" ht="15.75" customHeight="1" x14ac:dyDescent="0.5">
      <c r="A537" s="23"/>
      <c r="C537" s="23"/>
      <c r="F537" s="2"/>
      <c r="G537" s="2"/>
    </row>
    <row r="538" spans="1:7" ht="15.75" customHeight="1" x14ac:dyDescent="0.5">
      <c r="A538" s="23"/>
      <c r="C538" s="23"/>
      <c r="F538" s="2"/>
      <c r="G538" s="2"/>
    </row>
    <row r="539" spans="1:7" ht="15.75" customHeight="1" x14ac:dyDescent="0.5">
      <c r="A539" s="23"/>
      <c r="C539" s="23"/>
      <c r="F539" s="2"/>
      <c r="G539" s="2"/>
    </row>
    <row r="540" spans="1:7" ht="15.75" customHeight="1" x14ac:dyDescent="0.5">
      <c r="A540" s="23"/>
      <c r="C540" s="23"/>
      <c r="F540" s="2"/>
      <c r="G540" s="2"/>
    </row>
    <row r="541" spans="1:7" ht="15.75" customHeight="1" x14ac:dyDescent="0.5">
      <c r="A541" s="23"/>
      <c r="C541" s="23"/>
      <c r="F541" s="2"/>
      <c r="G541" s="2"/>
    </row>
    <row r="542" spans="1:7" ht="15.75" customHeight="1" x14ac:dyDescent="0.5">
      <c r="A542" s="23"/>
      <c r="C542" s="23"/>
      <c r="F542" s="2"/>
      <c r="G542" s="2"/>
    </row>
    <row r="543" spans="1:7" ht="15.75" customHeight="1" x14ac:dyDescent="0.5">
      <c r="A543" s="23"/>
      <c r="C543" s="23"/>
      <c r="F543" s="2"/>
      <c r="G543" s="2"/>
    </row>
    <row r="544" spans="1:7" ht="15.75" customHeight="1" x14ac:dyDescent="0.5">
      <c r="A544" s="23"/>
      <c r="C544" s="23"/>
      <c r="F544" s="2"/>
      <c r="G544" s="2"/>
    </row>
    <row r="545" spans="1:7" ht="15.75" customHeight="1" x14ac:dyDescent="0.5">
      <c r="A545" s="23"/>
      <c r="C545" s="23"/>
      <c r="F545" s="2"/>
      <c r="G545" s="2"/>
    </row>
    <row r="546" spans="1:7" ht="15.75" customHeight="1" x14ac:dyDescent="0.5">
      <c r="A546" s="23"/>
      <c r="C546" s="23"/>
      <c r="F546" s="2"/>
      <c r="G546" s="2"/>
    </row>
    <row r="547" spans="1:7" ht="15.75" customHeight="1" x14ac:dyDescent="0.5">
      <c r="A547" s="23"/>
      <c r="C547" s="23"/>
      <c r="F547" s="2"/>
      <c r="G547" s="2"/>
    </row>
    <row r="548" spans="1:7" ht="15.75" customHeight="1" x14ac:dyDescent="0.5">
      <c r="A548" s="23"/>
      <c r="C548" s="23"/>
      <c r="F548" s="2"/>
      <c r="G548" s="2"/>
    </row>
    <row r="549" spans="1:7" ht="15.75" customHeight="1" x14ac:dyDescent="0.5">
      <c r="A549" s="23"/>
      <c r="C549" s="23"/>
      <c r="F549" s="2"/>
      <c r="G549" s="2"/>
    </row>
    <row r="550" spans="1:7" ht="15.75" customHeight="1" x14ac:dyDescent="0.5">
      <c r="A550" s="23"/>
      <c r="C550" s="23"/>
      <c r="F550" s="2"/>
      <c r="G550" s="2"/>
    </row>
    <row r="551" spans="1:7" ht="15.75" customHeight="1" x14ac:dyDescent="0.5">
      <c r="A551" s="23"/>
      <c r="C551" s="23"/>
      <c r="F551" s="2"/>
      <c r="G551" s="2"/>
    </row>
    <row r="552" spans="1:7" ht="15.75" customHeight="1" x14ac:dyDescent="0.5">
      <c r="A552" s="23"/>
      <c r="C552" s="23"/>
      <c r="F552" s="2"/>
      <c r="G552" s="2"/>
    </row>
    <row r="553" spans="1:7" ht="15.75" customHeight="1" x14ac:dyDescent="0.5">
      <c r="A553" s="23"/>
      <c r="C553" s="23"/>
      <c r="F553" s="2"/>
      <c r="G553" s="2"/>
    </row>
    <row r="554" spans="1:7" ht="15.75" customHeight="1" x14ac:dyDescent="0.5">
      <c r="A554" s="23"/>
      <c r="C554" s="23"/>
      <c r="F554" s="2"/>
      <c r="G554" s="2"/>
    </row>
    <row r="555" spans="1:7" ht="15.75" customHeight="1" x14ac:dyDescent="0.5">
      <c r="A555" s="23"/>
      <c r="C555" s="23"/>
      <c r="F555" s="2"/>
      <c r="G555" s="2"/>
    </row>
    <row r="556" spans="1:7" ht="15.75" customHeight="1" x14ac:dyDescent="0.5">
      <c r="A556" s="23"/>
      <c r="C556" s="23"/>
      <c r="F556" s="2"/>
      <c r="G556" s="2"/>
    </row>
    <row r="557" spans="1:7" ht="15.75" customHeight="1" x14ac:dyDescent="0.5">
      <c r="A557" s="23"/>
      <c r="C557" s="23"/>
      <c r="F557" s="2"/>
      <c r="G557" s="2"/>
    </row>
    <row r="558" spans="1:7" ht="15.75" customHeight="1" x14ac:dyDescent="0.5">
      <c r="A558" s="23"/>
      <c r="C558" s="23"/>
      <c r="F558" s="2"/>
      <c r="G558" s="2"/>
    </row>
    <row r="559" spans="1:7" ht="15.75" customHeight="1" x14ac:dyDescent="0.5">
      <c r="A559" s="23"/>
      <c r="C559" s="23"/>
      <c r="F559" s="2"/>
      <c r="G559" s="2"/>
    </row>
    <row r="560" spans="1:7" ht="15.75" customHeight="1" x14ac:dyDescent="0.5">
      <c r="A560" s="23"/>
      <c r="C560" s="23"/>
      <c r="F560" s="2"/>
      <c r="G560" s="2"/>
    </row>
    <row r="561" spans="1:7" ht="15.75" customHeight="1" x14ac:dyDescent="0.5">
      <c r="A561" s="23"/>
      <c r="C561" s="23"/>
      <c r="F561" s="2"/>
      <c r="G561" s="2"/>
    </row>
    <row r="562" spans="1:7" ht="15.75" customHeight="1" x14ac:dyDescent="0.5">
      <c r="A562" s="23"/>
      <c r="C562" s="23"/>
      <c r="F562" s="2"/>
      <c r="G562" s="2"/>
    </row>
    <row r="563" spans="1:7" ht="15.75" customHeight="1" x14ac:dyDescent="0.5">
      <c r="A563" s="23"/>
      <c r="C563" s="23"/>
      <c r="F563" s="2"/>
      <c r="G563" s="2"/>
    </row>
    <row r="564" spans="1:7" ht="15.75" customHeight="1" x14ac:dyDescent="0.5">
      <c r="A564" s="23"/>
      <c r="C564" s="23"/>
      <c r="F564" s="2"/>
      <c r="G564" s="2"/>
    </row>
    <row r="565" spans="1:7" ht="15.75" customHeight="1" x14ac:dyDescent="0.5">
      <c r="A565" s="23"/>
      <c r="C565" s="23"/>
      <c r="F565" s="2"/>
      <c r="G565" s="2"/>
    </row>
    <row r="566" spans="1:7" ht="15.75" customHeight="1" x14ac:dyDescent="0.5">
      <c r="A566" s="23"/>
      <c r="C566" s="23"/>
      <c r="F566" s="2"/>
      <c r="G566" s="2"/>
    </row>
    <row r="567" spans="1:7" ht="15.75" customHeight="1" x14ac:dyDescent="0.5">
      <c r="A567" s="23"/>
      <c r="C567" s="23"/>
      <c r="F567" s="2"/>
      <c r="G567" s="2"/>
    </row>
    <row r="568" spans="1:7" ht="15.75" customHeight="1" x14ac:dyDescent="0.5">
      <c r="A568" s="23"/>
      <c r="C568" s="23"/>
      <c r="F568" s="2"/>
      <c r="G568" s="2"/>
    </row>
    <row r="569" spans="1:7" ht="15.75" customHeight="1" x14ac:dyDescent="0.5">
      <c r="A569" s="23"/>
      <c r="C569" s="23"/>
      <c r="F569" s="2"/>
      <c r="G569" s="2"/>
    </row>
    <row r="570" spans="1:7" ht="15.75" customHeight="1" x14ac:dyDescent="0.5">
      <c r="A570" s="23"/>
      <c r="C570" s="23"/>
      <c r="F570" s="2"/>
      <c r="G570" s="2"/>
    </row>
    <row r="571" spans="1:7" ht="15.75" customHeight="1" x14ac:dyDescent="0.5">
      <c r="A571" s="23"/>
      <c r="C571" s="23"/>
      <c r="F571" s="2"/>
      <c r="G571" s="2"/>
    </row>
    <row r="572" spans="1:7" ht="15.75" customHeight="1" x14ac:dyDescent="0.5">
      <c r="A572" s="23"/>
      <c r="C572" s="23"/>
      <c r="F572" s="2"/>
      <c r="G572" s="2"/>
    </row>
    <row r="573" spans="1:7" ht="15.75" customHeight="1" x14ac:dyDescent="0.5">
      <c r="A573" s="23"/>
      <c r="C573" s="23"/>
      <c r="F573" s="2"/>
      <c r="G573" s="2"/>
    </row>
    <row r="574" spans="1:7" ht="15.75" customHeight="1" x14ac:dyDescent="0.5">
      <c r="A574" s="23"/>
      <c r="C574" s="23"/>
      <c r="F574" s="2"/>
      <c r="G574" s="2"/>
    </row>
    <row r="575" spans="1:7" ht="15.75" customHeight="1" x14ac:dyDescent="0.5">
      <c r="A575" s="23"/>
      <c r="C575" s="23"/>
      <c r="F575" s="2"/>
      <c r="G575" s="2"/>
    </row>
    <row r="576" spans="1:7" ht="15.75" customHeight="1" x14ac:dyDescent="0.5">
      <c r="A576" s="23"/>
      <c r="C576" s="23"/>
      <c r="F576" s="2"/>
      <c r="G576" s="2"/>
    </row>
    <row r="577" spans="1:7" ht="15.75" customHeight="1" x14ac:dyDescent="0.5">
      <c r="A577" s="23"/>
      <c r="C577" s="23"/>
      <c r="F577" s="2"/>
      <c r="G577" s="2"/>
    </row>
    <row r="578" spans="1:7" ht="15.75" customHeight="1" x14ac:dyDescent="0.5">
      <c r="A578" s="23"/>
      <c r="C578" s="23"/>
      <c r="F578" s="2"/>
      <c r="G578" s="2"/>
    </row>
    <row r="579" spans="1:7" ht="15.75" customHeight="1" x14ac:dyDescent="0.5">
      <c r="A579" s="23"/>
      <c r="C579" s="23"/>
      <c r="F579" s="2"/>
      <c r="G579" s="2"/>
    </row>
    <row r="580" spans="1:7" ht="15.75" customHeight="1" x14ac:dyDescent="0.5">
      <c r="A580" s="23"/>
      <c r="C580" s="23"/>
      <c r="F580" s="2"/>
      <c r="G580" s="2"/>
    </row>
    <row r="581" spans="1:7" ht="15.75" customHeight="1" x14ac:dyDescent="0.5">
      <c r="A581" s="23"/>
      <c r="C581" s="23"/>
      <c r="F581" s="2"/>
      <c r="G581" s="2"/>
    </row>
    <row r="582" spans="1:7" ht="15.75" customHeight="1" x14ac:dyDescent="0.5">
      <c r="A582" s="23"/>
      <c r="C582" s="23"/>
      <c r="F582" s="2"/>
      <c r="G582" s="2"/>
    </row>
    <row r="583" spans="1:7" ht="15.75" customHeight="1" x14ac:dyDescent="0.5">
      <c r="A583" s="23"/>
      <c r="C583" s="23"/>
      <c r="F583" s="2"/>
      <c r="G583" s="2"/>
    </row>
    <row r="584" spans="1:7" ht="15.75" customHeight="1" x14ac:dyDescent="0.5">
      <c r="A584" s="23"/>
      <c r="C584" s="23"/>
      <c r="F584" s="2"/>
      <c r="G584" s="2"/>
    </row>
    <row r="585" spans="1:7" ht="15.75" customHeight="1" x14ac:dyDescent="0.5">
      <c r="A585" s="23"/>
      <c r="C585" s="23"/>
      <c r="F585" s="2"/>
      <c r="G585" s="2"/>
    </row>
    <row r="586" spans="1:7" ht="15.75" customHeight="1" x14ac:dyDescent="0.5">
      <c r="A586" s="23"/>
      <c r="C586" s="23"/>
      <c r="F586" s="2"/>
      <c r="G586" s="2"/>
    </row>
    <row r="587" spans="1:7" ht="15.75" customHeight="1" x14ac:dyDescent="0.5">
      <c r="A587" s="23"/>
      <c r="C587" s="23"/>
      <c r="F587" s="2"/>
      <c r="G587" s="2"/>
    </row>
    <row r="588" spans="1:7" ht="15.75" customHeight="1" x14ac:dyDescent="0.5">
      <c r="A588" s="23"/>
      <c r="C588" s="23"/>
      <c r="F588" s="2"/>
      <c r="G588" s="2"/>
    </row>
    <row r="589" spans="1:7" ht="15.75" customHeight="1" x14ac:dyDescent="0.5">
      <c r="A589" s="23"/>
      <c r="C589" s="23"/>
      <c r="F589" s="2"/>
      <c r="G589" s="2"/>
    </row>
    <row r="590" spans="1:7" ht="15.75" customHeight="1" x14ac:dyDescent="0.5">
      <c r="A590" s="23"/>
      <c r="C590" s="23"/>
      <c r="F590" s="2"/>
      <c r="G590" s="2"/>
    </row>
    <row r="591" spans="1:7" ht="15.75" customHeight="1" x14ac:dyDescent="0.5">
      <c r="A591" s="23"/>
      <c r="C591" s="23"/>
      <c r="F591" s="2"/>
      <c r="G591" s="2"/>
    </row>
    <row r="592" spans="1:7" ht="15.75" customHeight="1" x14ac:dyDescent="0.5">
      <c r="A592" s="23"/>
      <c r="C592" s="23"/>
      <c r="F592" s="2"/>
      <c r="G592" s="2"/>
    </row>
    <row r="593" spans="1:7" ht="15.75" customHeight="1" x14ac:dyDescent="0.5">
      <c r="A593" s="23"/>
      <c r="C593" s="23"/>
      <c r="F593" s="2"/>
      <c r="G593" s="2"/>
    </row>
    <row r="594" spans="1:7" ht="15.75" customHeight="1" x14ac:dyDescent="0.5">
      <c r="A594" s="23"/>
      <c r="C594" s="23"/>
      <c r="F594" s="2"/>
      <c r="G594" s="2"/>
    </row>
    <row r="595" spans="1:7" ht="15.75" customHeight="1" x14ac:dyDescent="0.5">
      <c r="A595" s="23"/>
      <c r="C595" s="23"/>
      <c r="F595" s="2"/>
      <c r="G595" s="2"/>
    </row>
    <row r="596" spans="1:7" ht="15.75" customHeight="1" x14ac:dyDescent="0.5">
      <c r="A596" s="23"/>
      <c r="C596" s="23"/>
      <c r="F596" s="2"/>
      <c r="G596" s="2"/>
    </row>
    <row r="597" spans="1:7" ht="15.75" customHeight="1" x14ac:dyDescent="0.5">
      <c r="A597" s="23"/>
      <c r="C597" s="23"/>
      <c r="F597" s="2"/>
      <c r="G597" s="2"/>
    </row>
    <row r="598" spans="1:7" ht="15.75" customHeight="1" x14ac:dyDescent="0.5">
      <c r="A598" s="23"/>
      <c r="C598" s="23"/>
      <c r="F598" s="2"/>
      <c r="G598" s="2"/>
    </row>
    <row r="599" spans="1:7" ht="15.75" customHeight="1" x14ac:dyDescent="0.5">
      <c r="A599" s="23"/>
      <c r="C599" s="23"/>
      <c r="F599" s="2"/>
      <c r="G599" s="2"/>
    </row>
    <row r="600" spans="1:7" ht="15.75" customHeight="1" x14ac:dyDescent="0.5">
      <c r="A600" s="23"/>
      <c r="C600" s="23"/>
      <c r="F600" s="2"/>
      <c r="G600" s="2"/>
    </row>
    <row r="601" spans="1:7" ht="15.75" customHeight="1" x14ac:dyDescent="0.5">
      <c r="A601" s="23"/>
      <c r="C601" s="23"/>
      <c r="F601" s="2"/>
      <c r="G601" s="2"/>
    </row>
    <row r="602" spans="1:7" ht="15.75" customHeight="1" x14ac:dyDescent="0.5">
      <c r="A602" s="23"/>
      <c r="C602" s="23"/>
      <c r="F602" s="2"/>
      <c r="G602" s="2"/>
    </row>
    <row r="603" spans="1:7" ht="15.75" customHeight="1" x14ac:dyDescent="0.5">
      <c r="A603" s="23"/>
      <c r="C603" s="23"/>
      <c r="F603" s="2"/>
      <c r="G603" s="2"/>
    </row>
    <row r="604" spans="1:7" ht="15.75" customHeight="1" x14ac:dyDescent="0.5">
      <c r="A604" s="23"/>
      <c r="C604" s="23"/>
      <c r="F604" s="2"/>
      <c r="G604" s="2"/>
    </row>
    <row r="605" spans="1:7" ht="15.75" customHeight="1" x14ac:dyDescent="0.5">
      <c r="A605" s="23"/>
      <c r="C605" s="23"/>
      <c r="F605" s="2"/>
      <c r="G605" s="2"/>
    </row>
    <row r="606" spans="1:7" ht="15.75" customHeight="1" x14ac:dyDescent="0.5">
      <c r="A606" s="23"/>
      <c r="C606" s="23"/>
      <c r="F606" s="2"/>
      <c r="G606" s="2"/>
    </row>
    <row r="607" spans="1:7" ht="15.75" customHeight="1" x14ac:dyDescent="0.5">
      <c r="A607" s="23"/>
      <c r="C607" s="23"/>
      <c r="F607" s="2"/>
      <c r="G607" s="2"/>
    </row>
    <row r="608" spans="1:7" ht="15.75" customHeight="1" x14ac:dyDescent="0.5">
      <c r="A608" s="23"/>
      <c r="C608" s="23"/>
      <c r="F608" s="2"/>
      <c r="G608" s="2"/>
    </row>
    <row r="609" spans="1:7" ht="15.75" customHeight="1" x14ac:dyDescent="0.5">
      <c r="A609" s="23"/>
      <c r="C609" s="23"/>
      <c r="F609" s="2"/>
      <c r="G609" s="2"/>
    </row>
    <row r="610" spans="1:7" ht="15.75" customHeight="1" x14ac:dyDescent="0.5">
      <c r="A610" s="23"/>
      <c r="C610" s="23"/>
      <c r="F610" s="2"/>
      <c r="G610" s="2"/>
    </row>
    <row r="611" spans="1:7" ht="15.75" customHeight="1" x14ac:dyDescent="0.5">
      <c r="A611" s="23"/>
      <c r="C611" s="23"/>
      <c r="F611" s="2"/>
      <c r="G611" s="2"/>
    </row>
    <row r="612" spans="1:7" ht="15.75" customHeight="1" x14ac:dyDescent="0.5">
      <c r="A612" s="23"/>
      <c r="C612" s="23"/>
      <c r="F612" s="2"/>
      <c r="G612" s="2"/>
    </row>
    <row r="613" spans="1:7" ht="15.75" customHeight="1" x14ac:dyDescent="0.5">
      <c r="A613" s="23"/>
      <c r="C613" s="23"/>
      <c r="F613" s="2"/>
      <c r="G613" s="2"/>
    </row>
    <row r="614" spans="1:7" ht="15.75" customHeight="1" x14ac:dyDescent="0.5">
      <c r="A614" s="23"/>
      <c r="C614" s="23"/>
      <c r="F614" s="2"/>
      <c r="G614" s="2"/>
    </row>
    <row r="615" spans="1:7" ht="15.75" customHeight="1" x14ac:dyDescent="0.5">
      <c r="A615" s="23"/>
      <c r="C615" s="23"/>
      <c r="F615" s="2"/>
      <c r="G615" s="2"/>
    </row>
    <row r="616" spans="1:7" ht="15.75" customHeight="1" x14ac:dyDescent="0.5">
      <c r="A616" s="23"/>
      <c r="C616" s="23"/>
      <c r="F616" s="2"/>
      <c r="G616" s="2"/>
    </row>
    <row r="617" spans="1:7" ht="15.75" customHeight="1" x14ac:dyDescent="0.5">
      <c r="A617" s="23"/>
      <c r="C617" s="23"/>
      <c r="F617" s="2"/>
      <c r="G617" s="2"/>
    </row>
    <row r="618" spans="1:7" ht="15.75" customHeight="1" x14ac:dyDescent="0.5">
      <c r="A618" s="23"/>
      <c r="C618" s="23"/>
      <c r="F618" s="2"/>
      <c r="G618" s="2"/>
    </row>
    <row r="619" spans="1:7" ht="15.75" customHeight="1" x14ac:dyDescent="0.5">
      <c r="A619" s="23"/>
      <c r="C619" s="23"/>
      <c r="F619" s="2"/>
      <c r="G619" s="2"/>
    </row>
    <row r="620" spans="1:7" ht="15.75" customHeight="1" x14ac:dyDescent="0.5">
      <c r="A620" s="23"/>
      <c r="C620" s="23"/>
      <c r="F620" s="2"/>
      <c r="G620" s="2"/>
    </row>
    <row r="621" spans="1:7" ht="15.75" customHeight="1" x14ac:dyDescent="0.5">
      <c r="A621" s="23"/>
      <c r="C621" s="23"/>
      <c r="F621" s="2"/>
      <c r="G621" s="2"/>
    </row>
    <row r="622" spans="1:7" ht="15.75" customHeight="1" x14ac:dyDescent="0.5">
      <c r="A622" s="23"/>
      <c r="C622" s="23"/>
      <c r="F622" s="2"/>
      <c r="G622" s="2"/>
    </row>
    <row r="623" spans="1:7" ht="15.75" customHeight="1" x14ac:dyDescent="0.5">
      <c r="A623" s="23"/>
      <c r="C623" s="23"/>
      <c r="F623" s="2"/>
      <c r="G623" s="2"/>
    </row>
    <row r="624" spans="1:7" ht="15.75" customHeight="1" x14ac:dyDescent="0.5">
      <c r="A624" s="23"/>
      <c r="C624" s="23"/>
      <c r="F624" s="2"/>
      <c r="G624" s="2"/>
    </row>
    <row r="625" spans="1:7" ht="15.75" customHeight="1" x14ac:dyDescent="0.5">
      <c r="A625" s="23"/>
      <c r="C625" s="23"/>
      <c r="F625" s="2"/>
      <c r="G625" s="2"/>
    </row>
    <row r="626" spans="1:7" ht="15.75" customHeight="1" x14ac:dyDescent="0.5">
      <c r="A626" s="23"/>
      <c r="C626" s="23"/>
      <c r="F626" s="2"/>
      <c r="G626" s="2"/>
    </row>
    <row r="627" spans="1:7" ht="15.75" customHeight="1" x14ac:dyDescent="0.5">
      <c r="A627" s="23"/>
      <c r="C627" s="23"/>
      <c r="F627" s="2"/>
      <c r="G627" s="2"/>
    </row>
    <row r="628" spans="1:7" ht="15.75" customHeight="1" x14ac:dyDescent="0.5">
      <c r="A628" s="23"/>
      <c r="C628" s="23"/>
      <c r="F628" s="2"/>
      <c r="G628" s="2"/>
    </row>
    <row r="629" spans="1:7" ht="15.75" customHeight="1" x14ac:dyDescent="0.5">
      <c r="A629" s="23"/>
      <c r="C629" s="23"/>
      <c r="F629" s="2"/>
      <c r="G629" s="2"/>
    </row>
    <row r="630" spans="1:7" ht="15.75" customHeight="1" x14ac:dyDescent="0.5">
      <c r="A630" s="23"/>
      <c r="C630" s="23"/>
      <c r="F630" s="2"/>
      <c r="G630" s="2"/>
    </row>
    <row r="631" spans="1:7" ht="15.75" customHeight="1" x14ac:dyDescent="0.5">
      <c r="A631" s="23"/>
      <c r="C631" s="23"/>
      <c r="F631" s="2"/>
      <c r="G631" s="2"/>
    </row>
    <row r="632" spans="1:7" ht="15.75" customHeight="1" x14ac:dyDescent="0.5">
      <c r="A632" s="23"/>
      <c r="C632" s="23"/>
      <c r="F632" s="2"/>
      <c r="G632" s="2"/>
    </row>
    <row r="633" spans="1:7" ht="15.75" customHeight="1" x14ac:dyDescent="0.5">
      <c r="A633" s="23"/>
      <c r="C633" s="23"/>
      <c r="F633" s="2"/>
      <c r="G633" s="2"/>
    </row>
    <row r="634" spans="1:7" ht="15.75" customHeight="1" x14ac:dyDescent="0.5">
      <c r="A634" s="23"/>
      <c r="C634" s="23"/>
      <c r="F634" s="2"/>
      <c r="G634" s="2"/>
    </row>
    <row r="635" spans="1:7" ht="15.75" customHeight="1" x14ac:dyDescent="0.5">
      <c r="A635" s="23"/>
      <c r="C635" s="23"/>
      <c r="F635" s="2"/>
      <c r="G635" s="2"/>
    </row>
    <row r="636" spans="1:7" ht="15.75" customHeight="1" x14ac:dyDescent="0.5">
      <c r="A636" s="23"/>
      <c r="C636" s="23"/>
      <c r="F636" s="2"/>
      <c r="G636" s="2"/>
    </row>
    <row r="637" spans="1:7" ht="15.75" customHeight="1" x14ac:dyDescent="0.5">
      <c r="A637" s="23"/>
      <c r="C637" s="23"/>
      <c r="F637" s="2"/>
      <c r="G637" s="2"/>
    </row>
    <row r="638" spans="1:7" ht="15.75" customHeight="1" x14ac:dyDescent="0.5">
      <c r="A638" s="23"/>
      <c r="C638" s="23"/>
      <c r="F638" s="2"/>
      <c r="G638" s="2"/>
    </row>
    <row r="639" spans="1:7" ht="15.75" customHeight="1" x14ac:dyDescent="0.5">
      <c r="A639" s="23"/>
      <c r="C639" s="23"/>
      <c r="F639" s="2"/>
      <c r="G639" s="2"/>
    </row>
    <row r="640" spans="1:7" ht="15.75" customHeight="1" x14ac:dyDescent="0.5">
      <c r="A640" s="23"/>
      <c r="C640" s="23"/>
      <c r="F640" s="2"/>
      <c r="G640" s="2"/>
    </row>
    <row r="641" spans="1:7" ht="15.75" customHeight="1" x14ac:dyDescent="0.5">
      <c r="A641" s="23"/>
      <c r="C641" s="23"/>
      <c r="F641" s="2"/>
      <c r="G641" s="2"/>
    </row>
    <row r="642" spans="1:7" ht="15.75" customHeight="1" x14ac:dyDescent="0.5">
      <c r="A642" s="23"/>
      <c r="C642" s="23"/>
      <c r="F642" s="2"/>
      <c r="G642" s="2"/>
    </row>
    <row r="643" spans="1:7" ht="15.75" customHeight="1" x14ac:dyDescent="0.5">
      <c r="A643" s="23"/>
      <c r="C643" s="23"/>
      <c r="F643" s="2"/>
      <c r="G643" s="2"/>
    </row>
    <row r="644" spans="1:7" ht="15.75" customHeight="1" x14ac:dyDescent="0.5">
      <c r="A644" s="23"/>
      <c r="C644" s="23"/>
      <c r="F644" s="2"/>
      <c r="G644" s="2"/>
    </row>
    <row r="645" spans="1:7" ht="15.75" customHeight="1" x14ac:dyDescent="0.5">
      <c r="A645" s="23"/>
      <c r="C645" s="23"/>
      <c r="F645" s="2"/>
      <c r="G645" s="2"/>
    </row>
    <row r="646" spans="1:7" ht="15.75" customHeight="1" x14ac:dyDescent="0.5">
      <c r="A646" s="23"/>
      <c r="C646" s="23"/>
      <c r="F646" s="2"/>
      <c r="G646" s="2"/>
    </row>
    <row r="647" spans="1:7" ht="15.75" customHeight="1" x14ac:dyDescent="0.5">
      <c r="A647" s="23"/>
      <c r="C647" s="23"/>
      <c r="F647" s="2"/>
      <c r="G647" s="2"/>
    </row>
    <row r="648" spans="1:7" ht="15.75" customHeight="1" x14ac:dyDescent="0.5">
      <c r="A648" s="23"/>
      <c r="C648" s="23"/>
      <c r="F648" s="2"/>
      <c r="G648" s="2"/>
    </row>
    <row r="649" spans="1:7" ht="15.75" customHeight="1" x14ac:dyDescent="0.5">
      <c r="A649" s="23"/>
      <c r="C649" s="23"/>
      <c r="F649" s="2"/>
      <c r="G649" s="2"/>
    </row>
    <row r="650" spans="1:7" ht="15.75" customHeight="1" x14ac:dyDescent="0.5">
      <c r="A650" s="23"/>
      <c r="C650" s="23"/>
      <c r="F650" s="2"/>
      <c r="G650" s="2"/>
    </row>
    <row r="651" spans="1:7" ht="15.75" customHeight="1" x14ac:dyDescent="0.5">
      <c r="A651" s="23"/>
      <c r="C651" s="23"/>
      <c r="F651" s="2"/>
      <c r="G651" s="2"/>
    </row>
    <row r="652" spans="1:7" ht="15.75" customHeight="1" x14ac:dyDescent="0.5">
      <c r="A652" s="23"/>
      <c r="C652" s="23"/>
      <c r="F652" s="2"/>
      <c r="G652" s="2"/>
    </row>
    <row r="653" spans="1:7" ht="15.75" customHeight="1" x14ac:dyDescent="0.5">
      <c r="A653" s="23"/>
      <c r="C653" s="23"/>
      <c r="F653" s="2"/>
      <c r="G653" s="2"/>
    </row>
    <row r="654" spans="1:7" ht="15.75" customHeight="1" x14ac:dyDescent="0.5">
      <c r="A654" s="23"/>
      <c r="C654" s="23"/>
      <c r="F654" s="2"/>
      <c r="G654" s="2"/>
    </row>
    <row r="655" spans="1:7" ht="15.75" customHeight="1" x14ac:dyDescent="0.5">
      <c r="A655" s="23"/>
      <c r="C655" s="23"/>
      <c r="F655" s="2"/>
      <c r="G655" s="2"/>
    </row>
    <row r="656" spans="1:7" ht="15.75" customHeight="1" x14ac:dyDescent="0.5">
      <c r="A656" s="23"/>
      <c r="C656" s="23"/>
      <c r="F656" s="2"/>
      <c r="G656" s="2"/>
    </row>
    <row r="657" spans="1:7" ht="15.75" customHeight="1" x14ac:dyDescent="0.5">
      <c r="A657" s="23"/>
      <c r="C657" s="23"/>
      <c r="F657" s="2"/>
      <c r="G657" s="2"/>
    </row>
    <row r="658" spans="1:7" ht="15.75" customHeight="1" x14ac:dyDescent="0.5">
      <c r="A658" s="23"/>
      <c r="C658" s="23"/>
      <c r="F658" s="2"/>
      <c r="G658" s="2"/>
    </row>
    <row r="659" spans="1:7" ht="15.75" customHeight="1" x14ac:dyDescent="0.5">
      <c r="A659" s="23"/>
      <c r="C659" s="23"/>
      <c r="F659" s="2"/>
      <c r="G659" s="2"/>
    </row>
    <row r="660" spans="1:7" ht="15.75" customHeight="1" x14ac:dyDescent="0.5">
      <c r="A660" s="23"/>
      <c r="C660" s="23"/>
      <c r="F660" s="2"/>
      <c r="G660" s="2"/>
    </row>
    <row r="661" spans="1:7" ht="15.75" customHeight="1" x14ac:dyDescent="0.5">
      <c r="A661" s="23"/>
      <c r="C661" s="23"/>
      <c r="F661" s="2"/>
      <c r="G661" s="2"/>
    </row>
    <row r="662" spans="1:7" ht="15.75" customHeight="1" x14ac:dyDescent="0.5">
      <c r="A662" s="23"/>
      <c r="C662" s="23"/>
      <c r="F662" s="2"/>
      <c r="G662" s="2"/>
    </row>
    <row r="663" spans="1:7" ht="15.75" customHeight="1" x14ac:dyDescent="0.5">
      <c r="A663" s="23"/>
      <c r="C663" s="23"/>
      <c r="F663" s="2"/>
      <c r="G663" s="2"/>
    </row>
    <row r="664" spans="1:7" ht="15.75" customHeight="1" x14ac:dyDescent="0.5">
      <c r="A664" s="23"/>
      <c r="C664" s="23"/>
      <c r="F664" s="2"/>
      <c r="G664" s="2"/>
    </row>
    <row r="665" spans="1:7" ht="15.75" customHeight="1" x14ac:dyDescent="0.5">
      <c r="A665" s="23"/>
      <c r="C665" s="23"/>
      <c r="F665" s="2"/>
      <c r="G665" s="2"/>
    </row>
    <row r="666" spans="1:7" ht="15.75" customHeight="1" x14ac:dyDescent="0.5">
      <c r="A666" s="23"/>
      <c r="C666" s="23"/>
      <c r="F666" s="2"/>
      <c r="G666" s="2"/>
    </row>
    <row r="667" spans="1:7" ht="15.75" customHeight="1" x14ac:dyDescent="0.5">
      <c r="A667" s="23"/>
      <c r="C667" s="23"/>
      <c r="F667" s="2"/>
      <c r="G667" s="2"/>
    </row>
    <row r="668" spans="1:7" ht="15.75" customHeight="1" x14ac:dyDescent="0.5">
      <c r="A668" s="23"/>
      <c r="C668" s="23"/>
      <c r="F668" s="2"/>
      <c r="G668" s="2"/>
    </row>
    <row r="669" spans="1:7" ht="15.75" customHeight="1" x14ac:dyDescent="0.5">
      <c r="A669" s="23"/>
      <c r="C669" s="23"/>
      <c r="F669" s="2"/>
      <c r="G669" s="2"/>
    </row>
    <row r="670" spans="1:7" ht="15.75" customHeight="1" x14ac:dyDescent="0.5">
      <c r="A670" s="23"/>
      <c r="C670" s="23"/>
      <c r="F670" s="2"/>
      <c r="G670" s="2"/>
    </row>
    <row r="671" spans="1:7" ht="15.75" customHeight="1" x14ac:dyDescent="0.5">
      <c r="A671" s="23"/>
      <c r="C671" s="23"/>
      <c r="F671" s="2"/>
      <c r="G671" s="2"/>
    </row>
    <row r="672" spans="1:7" ht="15.75" customHeight="1" x14ac:dyDescent="0.5">
      <c r="A672" s="23"/>
      <c r="C672" s="23"/>
      <c r="F672" s="2"/>
      <c r="G672" s="2"/>
    </row>
    <row r="673" spans="1:7" ht="15.75" customHeight="1" x14ac:dyDescent="0.5">
      <c r="A673" s="23"/>
      <c r="C673" s="23"/>
      <c r="F673" s="2"/>
      <c r="G673" s="2"/>
    </row>
    <row r="674" spans="1:7" ht="15.75" customHeight="1" x14ac:dyDescent="0.5">
      <c r="A674" s="23"/>
      <c r="C674" s="23"/>
      <c r="F674" s="2"/>
      <c r="G674" s="2"/>
    </row>
    <row r="675" spans="1:7" ht="15.75" customHeight="1" x14ac:dyDescent="0.5">
      <c r="A675" s="23"/>
      <c r="C675" s="23"/>
      <c r="F675" s="2"/>
      <c r="G675" s="2"/>
    </row>
    <row r="676" spans="1:7" ht="15.75" customHeight="1" x14ac:dyDescent="0.5">
      <c r="A676" s="23"/>
      <c r="C676" s="23"/>
      <c r="F676" s="2"/>
      <c r="G676" s="2"/>
    </row>
    <row r="677" spans="1:7" ht="15.75" customHeight="1" x14ac:dyDescent="0.5">
      <c r="A677" s="23"/>
      <c r="C677" s="23"/>
      <c r="F677" s="2"/>
      <c r="G677" s="2"/>
    </row>
    <row r="678" spans="1:7" ht="15.75" customHeight="1" x14ac:dyDescent="0.5">
      <c r="A678" s="23"/>
      <c r="C678" s="23"/>
      <c r="F678" s="2"/>
      <c r="G678" s="2"/>
    </row>
    <row r="679" spans="1:7" ht="15.75" customHeight="1" x14ac:dyDescent="0.5">
      <c r="A679" s="23"/>
      <c r="C679" s="23"/>
      <c r="F679" s="2"/>
      <c r="G679" s="2"/>
    </row>
    <row r="680" spans="1:7" ht="15.75" customHeight="1" x14ac:dyDescent="0.5">
      <c r="A680" s="23"/>
      <c r="C680" s="23"/>
      <c r="F680" s="2"/>
      <c r="G680" s="2"/>
    </row>
    <row r="681" spans="1:7" ht="15.75" customHeight="1" x14ac:dyDescent="0.5">
      <c r="A681" s="23"/>
      <c r="C681" s="23"/>
      <c r="F681" s="2"/>
      <c r="G681" s="2"/>
    </row>
    <row r="682" spans="1:7" ht="15.75" customHeight="1" x14ac:dyDescent="0.5">
      <c r="A682" s="23"/>
      <c r="C682" s="23"/>
      <c r="F682" s="2"/>
      <c r="G682" s="2"/>
    </row>
    <row r="683" spans="1:7" ht="15.75" customHeight="1" x14ac:dyDescent="0.5">
      <c r="A683" s="23"/>
      <c r="C683" s="23"/>
      <c r="F683" s="2"/>
      <c r="G683" s="2"/>
    </row>
    <row r="684" spans="1:7" ht="15.75" customHeight="1" x14ac:dyDescent="0.5">
      <c r="A684" s="23"/>
      <c r="C684" s="23"/>
      <c r="F684" s="2"/>
      <c r="G684" s="2"/>
    </row>
    <row r="685" spans="1:7" ht="15.75" customHeight="1" x14ac:dyDescent="0.5">
      <c r="A685" s="23"/>
      <c r="C685" s="23"/>
      <c r="F685" s="2"/>
      <c r="G685" s="2"/>
    </row>
    <row r="686" spans="1:7" ht="15.75" customHeight="1" x14ac:dyDescent="0.5">
      <c r="A686" s="23"/>
      <c r="C686" s="23"/>
      <c r="F686" s="2"/>
      <c r="G686" s="2"/>
    </row>
    <row r="687" spans="1:7" ht="15.75" customHeight="1" x14ac:dyDescent="0.5">
      <c r="A687" s="23"/>
      <c r="C687" s="23"/>
      <c r="F687" s="2"/>
      <c r="G687" s="2"/>
    </row>
    <row r="688" spans="1:7" ht="15.75" customHeight="1" x14ac:dyDescent="0.5">
      <c r="A688" s="23"/>
      <c r="C688" s="23"/>
      <c r="F688" s="2"/>
      <c r="G688" s="2"/>
    </row>
    <row r="689" spans="1:7" ht="15.75" customHeight="1" x14ac:dyDescent="0.5">
      <c r="A689" s="23"/>
      <c r="C689" s="23"/>
      <c r="F689" s="2"/>
      <c r="G689" s="2"/>
    </row>
    <row r="690" spans="1:7" ht="15.75" customHeight="1" x14ac:dyDescent="0.5">
      <c r="A690" s="23"/>
      <c r="C690" s="23"/>
      <c r="F690" s="2"/>
      <c r="G690" s="2"/>
    </row>
    <row r="691" spans="1:7" ht="15.75" customHeight="1" x14ac:dyDescent="0.5">
      <c r="A691" s="23"/>
      <c r="C691" s="23"/>
      <c r="F691" s="2"/>
      <c r="G691" s="2"/>
    </row>
    <row r="692" spans="1:7" ht="15.75" customHeight="1" x14ac:dyDescent="0.5">
      <c r="A692" s="23"/>
      <c r="C692" s="23"/>
      <c r="F692" s="2"/>
      <c r="G692" s="2"/>
    </row>
    <row r="693" spans="1:7" ht="15.75" customHeight="1" x14ac:dyDescent="0.5">
      <c r="A693" s="23"/>
      <c r="C693" s="23"/>
      <c r="F693" s="2"/>
      <c r="G693" s="2"/>
    </row>
    <row r="694" spans="1:7" ht="15.75" customHeight="1" x14ac:dyDescent="0.5">
      <c r="A694" s="23"/>
      <c r="C694" s="23"/>
      <c r="F694" s="2"/>
      <c r="G694" s="2"/>
    </row>
    <row r="695" spans="1:7" ht="15.75" customHeight="1" x14ac:dyDescent="0.5">
      <c r="A695" s="23"/>
      <c r="C695" s="23"/>
      <c r="F695" s="2"/>
      <c r="G695" s="2"/>
    </row>
    <row r="696" spans="1:7" ht="15.75" customHeight="1" x14ac:dyDescent="0.5">
      <c r="A696" s="23"/>
      <c r="C696" s="23"/>
      <c r="F696" s="2"/>
      <c r="G696" s="2"/>
    </row>
    <row r="697" spans="1:7" ht="15.75" customHeight="1" x14ac:dyDescent="0.5">
      <c r="A697" s="23"/>
      <c r="C697" s="23"/>
      <c r="F697" s="2"/>
      <c r="G697" s="2"/>
    </row>
    <row r="698" spans="1:7" ht="15.75" customHeight="1" x14ac:dyDescent="0.5">
      <c r="A698" s="23"/>
      <c r="C698" s="23"/>
      <c r="F698" s="2"/>
      <c r="G698" s="2"/>
    </row>
    <row r="699" spans="1:7" ht="15.75" customHeight="1" x14ac:dyDescent="0.5">
      <c r="A699" s="23"/>
      <c r="C699" s="23"/>
      <c r="F699" s="2"/>
      <c r="G699" s="2"/>
    </row>
    <row r="700" spans="1:7" ht="15.75" customHeight="1" x14ac:dyDescent="0.5">
      <c r="A700" s="23"/>
      <c r="C700" s="23"/>
      <c r="F700" s="2"/>
      <c r="G700" s="2"/>
    </row>
    <row r="701" spans="1:7" ht="15.75" customHeight="1" x14ac:dyDescent="0.5">
      <c r="A701" s="23"/>
      <c r="C701" s="23"/>
      <c r="F701" s="2"/>
      <c r="G701" s="2"/>
    </row>
    <row r="702" spans="1:7" ht="15.75" customHeight="1" x14ac:dyDescent="0.5">
      <c r="A702" s="23"/>
      <c r="C702" s="23"/>
      <c r="F702" s="2"/>
      <c r="G702" s="2"/>
    </row>
    <row r="703" spans="1:7" ht="15.75" customHeight="1" x14ac:dyDescent="0.5">
      <c r="A703" s="23"/>
      <c r="C703" s="23"/>
      <c r="F703" s="2"/>
      <c r="G703" s="2"/>
    </row>
    <row r="704" spans="1:7" ht="15.75" customHeight="1" x14ac:dyDescent="0.5">
      <c r="A704" s="23"/>
      <c r="C704" s="23"/>
      <c r="F704" s="2"/>
      <c r="G704" s="2"/>
    </row>
    <row r="705" spans="1:7" ht="15.75" customHeight="1" x14ac:dyDescent="0.5">
      <c r="A705" s="23"/>
      <c r="C705" s="23"/>
      <c r="F705" s="2"/>
      <c r="G705" s="2"/>
    </row>
    <row r="706" spans="1:7" ht="15.75" customHeight="1" x14ac:dyDescent="0.5">
      <c r="A706" s="23"/>
      <c r="C706" s="23"/>
      <c r="F706" s="2"/>
      <c r="G706" s="2"/>
    </row>
    <row r="707" spans="1:7" ht="15.75" customHeight="1" x14ac:dyDescent="0.5">
      <c r="A707" s="23"/>
      <c r="C707" s="23"/>
      <c r="F707" s="2"/>
      <c r="G707" s="2"/>
    </row>
    <row r="708" spans="1:7" ht="15.75" customHeight="1" x14ac:dyDescent="0.5">
      <c r="A708" s="23"/>
      <c r="C708" s="23"/>
      <c r="F708" s="2"/>
      <c r="G708" s="2"/>
    </row>
    <row r="709" spans="1:7" ht="15.75" customHeight="1" x14ac:dyDescent="0.5">
      <c r="A709" s="23"/>
      <c r="C709" s="23"/>
      <c r="F709" s="2"/>
      <c r="G709" s="2"/>
    </row>
    <row r="710" spans="1:7" ht="15.75" customHeight="1" x14ac:dyDescent="0.5">
      <c r="A710" s="23"/>
      <c r="C710" s="23"/>
      <c r="F710" s="2"/>
      <c r="G710" s="2"/>
    </row>
    <row r="711" spans="1:7" ht="15.75" customHeight="1" x14ac:dyDescent="0.5">
      <c r="A711" s="23"/>
      <c r="C711" s="23"/>
      <c r="F711" s="2"/>
      <c r="G711" s="2"/>
    </row>
    <row r="712" spans="1:7" ht="15.75" customHeight="1" x14ac:dyDescent="0.5">
      <c r="A712" s="23"/>
      <c r="C712" s="23"/>
      <c r="F712" s="2"/>
      <c r="G712" s="2"/>
    </row>
    <row r="713" spans="1:7" ht="15.75" customHeight="1" x14ac:dyDescent="0.5">
      <c r="A713" s="23"/>
      <c r="C713" s="23"/>
      <c r="F713" s="2"/>
      <c r="G713" s="2"/>
    </row>
    <row r="714" spans="1:7" ht="15.75" customHeight="1" x14ac:dyDescent="0.5">
      <c r="A714" s="23"/>
      <c r="C714" s="23"/>
      <c r="F714" s="2"/>
      <c r="G714" s="2"/>
    </row>
    <row r="715" spans="1:7" ht="15.75" customHeight="1" x14ac:dyDescent="0.5">
      <c r="A715" s="23"/>
      <c r="C715" s="23"/>
      <c r="F715" s="2"/>
      <c r="G715" s="2"/>
    </row>
    <row r="716" spans="1:7" ht="15.75" customHeight="1" x14ac:dyDescent="0.5">
      <c r="A716" s="23"/>
      <c r="C716" s="23"/>
      <c r="F716" s="2"/>
      <c r="G716" s="2"/>
    </row>
    <row r="717" spans="1:7" ht="15.75" customHeight="1" x14ac:dyDescent="0.5">
      <c r="A717" s="23"/>
      <c r="C717" s="23"/>
      <c r="F717" s="2"/>
      <c r="G717" s="2"/>
    </row>
    <row r="718" spans="1:7" ht="15.75" customHeight="1" x14ac:dyDescent="0.5">
      <c r="A718" s="23"/>
      <c r="C718" s="23"/>
      <c r="F718" s="2"/>
      <c r="G718" s="2"/>
    </row>
    <row r="719" spans="1:7" ht="15.75" customHeight="1" x14ac:dyDescent="0.5">
      <c r="A719" s="23"/>
      <c r="C719" s="23"/>
      <c r="F719" s="2"/>
      <c r="G719" s="2"/>
    </row>
    <row r="720" spans="1:7" ht="15.75" customHeight="1" x14ac:dyDescent="0.5">
      <c r="A720" s="23"/>
      <c r="C720" s="23"/>
      <c r="F720" s="2"/>
      <c r="G720" s="2"/>
    </row>
    <row r="721" spans="1:7" ht="15.75" customHeight="1" x14ac:dyDescent="0.5">
      <c r="A721" s="23"/>
      <c r="C721" s="23"/>
      <c r="F721" s="2"/>
      <c r="G721" s="2"/>
    </row>
    <row r="722" spans="1:7" ht="15.75" customHeight="1" x14ac:dyDescent="0.5">
      <c r="A722" s="23"/>
      <c r="C722" s="23"/>
      <c r="F722" s="2"/>
      <c r="G722" s="2"/>
    </row>
    <row r="723" spans="1:7" ht="15.75" customHeight="1" x14ac:dyDescent="0.5">
      <c r="A723" s="23"/>
      <c r="C723" s="23"/>
      <c r="F723" s="2"/>
      <c r="G723" s="2"/>
    </row>
    <row r="724" spans="1:7" ht="15.75" customHeight="1" x14ac:dyDescent="0.5">
      <c r="A724" s="23"/>
      <c r="C724" s="23"/>
      <c r="F724" s="2"/>
      <c r="G724" s="2"/>
    </row>
    <row r="725" spans="1:7" ht="15.75" customHeight="1" x14ac:dyDescent="0.5">
      <c r="A725" s="23"/>
      <c r="C725" s="23"/>
      <c r="F725" s="2"/>
      <c r="G725" s="2"/>
    </row>
    <row r="726" spans="1:7" ht="15.75" customHeight="1" x14ac:dyDescent="0.5">
      <c r="A726" s="23"/>
      <c r="C726" s="23"/>
      <c r="F726" s="2"/>
      <c r="G726" s="2"/>
    </row>
    <row r="727" spans="1:7" ht="15.75" customHeight="1" x14ac:dyDescent="0.5">
      <c r="A727" s="23"/>
      <c r="C727" s="23"/>
      <c r="F727" s="2"/>
      <c r="G727" s="2"/>
    </row>
    <row r="728" spans="1:7" ht="15.75" customHeight="1" x14ac:dyDescent="0.5">
      <c r="A728" s="23"/>
      <c r="C728" s="23"/>
      <c r="F728" s="2"/>
      <c r="G728" s="2"/>
    </row>
    <row r="729" spans="1:7" ht="15.75" customHeight="1" x14ac:dyDescent="0.5">
      <c r="A729" s="23"/>
      <c r="C729" s="23"/>
      <c r="F729" s="2"/>
      <c r="G729" s="2"/>
    </row>
    <row r="730" spans="1:7" ht="15.75" customHeight="1" x14ac:dyDescent="0.5">
      <c r="A730" s="23"/>
      <c r="C730" s="23"/>
      <c r="F730" s="2"/>
      <c r="G730" s="2"/>
    </row>
    <row r="731" spans="1:7" ht="15.75" customHeight="1" x14ac:dyDescent="0.5">
      <c r="A731" s="23"/>
      <c r="C731" s="23"/>
      <c r="F731" s="2"/>
      <c r="G731" s="2"/>
    </row>
    <row r="732" spans="1:7" ht="15.75" customHeight="1" x14ac:dyDescent="0.5">
      <c r="A732" s="23"/>
      <c r="C732" s="23"/>
      <c r="F732" s="2"/>
      <c r="G732" s="2"/>
    </row>
    <row r="733" spans="1:7" ht="15.75" customHeight="1" x14ac:dyDescent="0.5">
      <c r="A733" s="23"/>
      <c r="C733" s="23"/>
      <c r="F733" s="2"/>
      <c r="G733" s="2"/>
    </row>
    <row r="734" spans="1:7" ht="15.75" customHeight="1" x14ac:dyDescent="0.5">
      <c r="A734" s="23"/>
      <c r="C734" s="23"/>
      <c r="F734" s="2"/>
      <c r="G734" s="2"/>
    </row>
    <row r="735" spans="1:7" ht="15.75" customHeight="1" x14ac:dyDescent="0.5">
      <c r="A735" s="23"/>
      <c r="C735" s="23"/>
      <c r="F735" s="2"/>
      <c r="G735" s="2"/>
    </row>
    <row r="736" spans="1:7" ht="15.75" customHeight="1" x14ac:dyDescent="0.5">
      <c r="A736" s="23"/>
      <c r="C736" s="23"/>
      <c r="F736" s="2"/>
      <c r="G736" s="2"/>
    </row>
    <row r="737" spans="1:7" ht="15.75" customHeight="1" x14ac:dyDescent="0.5">
      <c r="A737" s="23"/>
      <c r="C737" s="23"/>
      <c r="F737" s="2"/>
      <c r="G737" s="2"/>
    </row>
    <row r="738" spans="1:7" ht="15.75" customHeight="1" x14ac:dyDescent="0.5">
      <c r="A738" s="23"/>
      <c r="C738" s="23"/>
      <c r="F738" s="2"/>
      <c r="G738" s="2"/>
    </row>
    <row r="739" spans="1:7" ht="15.75" customHeight="1" x14ac:dyDescent="0.5">
      <c r="A739" s="23"/>
      <c r="C739" s="23"/>
      <c r="F739" s="2"/>
      <c r="G739" s="2"/>
    </row>
    <row r="740" spans="1:7" ht="15.75" customHeight="1" x14ac:dyDescent="0.5">
      <c r="A740" s="23"/>
      <c r="C740" s="23"/>
      <c r="F740" s="2"/>
      <c r="G740" s="2"/>
    </row>
    <row r="741" spans="1:7" ht="15.75" customHeight="1" x14ac:dyDescent="0.5">
      <c r="A741" s="23"/>
      <c r="C741" s="23"/>
      <c r="F741" s="2"/>
      <c r="G741" s="2"/>
    </row>
    <row r="742" spans="1:7" ht="15.75" customHeight="1" x14ac:dyDescent="0.5">
      <c r="A742" s="23"/>
      <c r="C742" s="23"/>
      <c r="F742" s="2"/>
      <c r="G742" s="2"/>
    </row>
    <row r="743" spans="1:7" ht="15.75" customHeight="1" x14ac:dyDescent="0.5">
      <c r="A743" s="23"/>
      <c r="C743" s="23"/>
      <c r="F743" s="2"/>
      <c r="G743" s="2"/>
    </row>
    <row r="744" spans="1:7" ht="15.75" customHeight="1" x14ac:dyDescent="0.5">
      <c r="A744" s="23"/>
      <c r="C744" s="23"/>
      <c r="F744" s="2"/>
      <c r="G744" s="2"/>
    </row>
    <row r="745" spans="1:7" ht="15.75" customHeight="1" x14ac:dyDescent="0.5">
      <c r="A745" s="23"/>
      <c r="C745" s="23"/>
      <c r="F745" s="2"/>
      <c r="G745" s="2"/>
    </row>
    <row r="746" spans="1:7" ht="15.75" customHeight="1" x14ac:dyDescent="0.5">
      <c r="A746" s="23"/>
      <c r="C746" s="23"/>
      <c r="F746" s="2"/>
      <c r="G746" s="2"/>
    </row>
    <row r="747" spans="1:7" ht="15.75" customHeight="1" x14ac:dyDescent="0.5">
      <c r="A747" s="23"/>
      <c r="C747" s="23"/>
      <c r="F747" s="2"/>
      <c r="G747" s="2"/>
    </row>
    <row r="748" spans="1:7" ht="15.75" customHeight="1" x14ac:dyDescent="0.5">
      <c r="A748" s="23"/>
      <c r="C748" s="23"/>
      <c r="F748" s="2"/>
      <c r="G748" s="2"/>
    </row>
    <row r="749" spans="1:7" ht="15.75" customHeight="1" x14ac:dyDescent="0.5">
      <c r="A749" s="23"/>
      <c r="C749" s="23"/>
      <c r="F749" s="2"/>
      <c r="G749" s="2"/>
    </row>
    <row r="750" spans="1:7" ht="15.75" customHeight="1" x14ac:dyDescent="0.5">
      <c r="A750" s="23"/>
      <c r="C750" s="23"/>
      <c r="F750" s="2"/>
      <c r="G750" s="2"/>
    </row>
    <row r="751" spans="1:7" ht="15.75" customHeight="1" x14ac:dyDescent="0.5">
      <c r="A751" s="23"/>
      <c r="C751" s="23"/>
      <c r="F751" s="2"/>
      <c r="G751" s="2"/>
    </row>
    <row r="752" spans="1:7" ht="15.75" customHeight="1" x14ac:dyDescent="0.5">
      <c r="A752" s="23"/>
      <c r="C752" s="23"/>
      <c r="F752" s="2"/>
      <c r="G752" s="2"/>
    </row>
    <row r="753" spans="1:7" ht="15.75" customHeight="1" x14ac:dyDescent="0.5">
      <c r="A753" s="23"/>
      <c r="C753" s="23"/>
      <c r="F753" s="2"/>
      <c r="G753" s="2"/>
    </row>
    <row r="754" spans="1:7" ht="15.75" customHeight="1" x14ac:dyDescent="0.5">
      <c r="A754" s="23"/>
      <c r="C754" s="23"/>
      <c r="F754" s="2"/>
      <c r="G754" s="2"/>
    </row>
    <row r="755" spans="1:7" ht="15.75" customHeight="1" x14ac:dyDescent="0.5">
      <c r="A755" s="23"/>
      <c r="C755" s="23"/>
      <c r="F755" s="2"/>
      <c r="G755" s="2"/>
    </row>
    <row r="756" spans="1:7" ht="15.75" customHeight="1" x14ac:dyDescent="0.5">
      <c r="A756" s="23"/>
      <c r="C756" s="23"/>
      <c r="F756" s="2"/>
      <c r="G756" s="2"/>
    </row>
    <row r="757" spans="1:7" ht="15.75" customHeight="1" x14ac:dyDescent="0.5">
      <c r="A757" s="23"/>
      <c r="C757" s="23"/>
      <c r="F757" s="2"/>
      <c r="G757" s="2"/>
    </row>
    <row r="758" spans="1:7" ht="15.75" customHeight="1" x14ac:dyDescent="0.5">
      <c r="A758" s="23"/>
      <c r="C758" s="23"/>
      <c r="F758" s="2"/>
      <c r="G758" s="2"/>
    </row>
    <row r="759" spans="1:7" ht="15.75" customHeight="1" x14ac:dyDescent="0.5">
      <c r="A759" s="23"/>
      <c r="C759" s="23"/>
      <c r="F759" s="2"/>
      <c r="G759" s="2"/>
    </row>
    <row r="760" spans="1:7" ht="15.75" customHeight="1" x14ac:dyDescent="0.5">
      <c r="A760" s="23"/>
      <c r="C760" s="23"/>
      <c r="F760" s="2"/>
      <c r="G760" s="2"/>
    </row>
    <row r="761" spans="1:7" ht="15.75" customHeight="1" x14ac:dyDescent="0.5">
      <c r="A761" s="23"/>
      <c r="C761" s="23"/>
      <c r="F761" s="2"/>
      <c r="G761" s="2"/>
    </row>
    <row r="762" spans="1:7" ht="15.75" customHeight="1" x14ac:dyDescent="0.5">
      <c r="A762" s="23"/>
      <c r="C762" s="23"/>
      <c r="F762" s="2"/>
      <c r="G762" s="2"/>
    </row>
    <row r="763" spans="1:7" ht="15.75" customHeight="1" x14ac:dyDescent="0.5">
      <c r="A763" s="23"/>
      <c r="C763" s="23"/>
      <c r="F763" s="2"/>
      <c r="G763" s="2"/>
    </row>
    <row r="764" spans="1:7" ht="15.75" customHeight="1" x14ac:dyDescent="0.5">
      <c r="A764" s="23"/>
      <c r="C764" s="23"/>
      <c r="F764" s="2"/>
      <c r="G764" s="2"/>
    </row>
    <row r="765" spans="1:7" ht="15.75" customHeight="1" x14ac:dyDescent="0.5">
      <c r="A765" s="23"/>
      <c r="C765" s="23"/>
      <c r="F765" s="2"/>
      <c r="G765" s="2"/>
    </row>
    <row r="766" spans="1:7" ht="15.75" customHeight="1" x14ac:dyDescent="0.5">
      <c r="A766" s="23"/>
      <c r="C766" s="23"/>
      <c r="F766" s="2"/>
      <c r="G766" s="2"/>
    </row>
    <row r="767" spans="1:7" ht="15.75" customHeight="1" x14ac:dyDescent="0.5">
      <c r="A767" s="23"/>
      <c r="C767" s="23"/>
      <c r="F767" s="2"/>
      <c r="G767" s="2"/>
    </row>
    <row r="768" spans="1:7" ht="15.75" customHeight="1" x14ac:dyDescent="0.5">
      <c r="A768" s="23"/>
      <c r="C768" s="23"/>
      <c r="F768" s="2"/>
      <c r="G768" s="2"/>
    </row>
    <row r="769" spans="1:7" ht="15.75" customHeight="1" x14ac:dyDescent="0.5">
      <c r="A769" s="23"/>
      <c r="C769" s="23"/>
      <c r="F769" s="2"/>
      <c r="G769" s="2"/>
    </row>
    <row r="770" spans="1:7" ht="15.75" customHeight="1" x14ac:dyDescent="0.5">
      <c r="A770" s="23"/>
      <c r="C770" s="23"/>
      <c r="F770" s="2"/>
      <c r="G770" s="2"/>
    </row>
    <row r="771" spans="1:7" ht="15.75" customHeight="1" x14ac:dyDescent="0.5">
      <c r="A771" s="23"/>
      <c r="C771" s="23"/>
      <c r="F771" s="2"/>
      <c r="G771" s="2"/>
    </row>
    <row r="772" spans="1:7" ht="15.75" customHeight="1" x14ac:dyDescent="0.5">
      <c r="A772" s="23"/>
      <c r="C772" s="23"/>
      <c r="F772" s="2"/>
      <c r="G772" s="2"/>
    </row>
    <row r="773" spans="1:7" ht="15.75" customHeight="1" x14ac:dyDescent="0.5">
      <c r="A773" s="23"/>
      <c r="C773" s="23"/>
      <c r="F773" s="2"/>
      <c r="G773" s="2"/>
    </row>
    <row r="774" spans="1:7" ht="15.75" customHeight="1" x14ac:dyDescent="0.5">
      <c r="A774" s="23"/>
      <c r="C774" s="23"/>
      <c r="F774" s="2"/>
      <c r="G774" s="2"/>
    </row>
    <row r="775" spans="1:7" ht="15.75" customHeight="1" x14ac:dyDescent="0.5">
      <c r="A775" s="23"/>
      <c r="C775" s="23"/>
      <c r="F775" s="2"/>
      <c r="G775" s="2"/>
    </row>
    <row r="776" spans="1:7" ht="15.75" customHeight="1" x14ac:dyDescent="0.5">
      <c r="A776" s="23"/>
      <c r="C776" s="23"/>
      <c r="F776" s="2"/>
      <c r="G776" s="2"/>
    </row>
    <row r="777" spans="1:7" ht="15.75" customHeight="1" x14ac:dyDescent="0.5">
      <c r="A777" s="23"/>
      <c r="C777" s="23"/>
      <c r="F777" s="2"/>
      <c r="G777" s="2"/>
    </row>
    <row r="778" spans="1:7" ht="15.75" customHeight="1" x14ac:dyDescent="0.5">
      <c r="A778" s="23"/>
      <c r="C778" s="23"/>
      <c r="F778" s="2"/>
      <c r="G778" s="2"/>
    </row>
    <row r="779" spans="1:7" ht="15.75" customHeight="1" x14ac:dyDescent="0.5">
      <c r="A779" s="23"/>
      <c r="C779" s="23"/>
      <c r="F779" s="2"/>
      <c r="G779" s="2"/>
    </row>
    <row r="780" spans="1:7" ht="15.75" customHeight="1" x14ac:dyDescent="0.5">
      <c r="A780" s="23"/>
      <c r="C780" s="23"/>
      <c r="F780" s="2"/>
      <c r="G780" s="2"/>
    </row>
    <row r="781" spans="1:7" ht="15.75" customHeight="1" x14ac:dyDescent="0.5">
      <c r="A781" s="23"/>
      <c r="C781" s="23"/>
      <c r="F781" s="2"/>
      <c r="G781" s="2"/>
    </row>
    <row r="782" spans="1:7" ht="15.75" customHeight="1" x14ac:dyDescent="0.5">
      <c r="A782" s="23"/>
      <c r="C782" s="23"/>
      <c r="F782" s="2"/>
      <c r="G782" s="2"/>
    </row>
    <row r="783" spans="1:7" ht="15.75" customHeight="1" x14ac:dyDescent="0.5">
      <c r="A783" s="23"/>
      <c r="C783" s="23"/>
      <c r="F783" s="2"/>
      <c r="G783" s="2"/>
    </row>
    <row r="784" spans="1:7" ht="15.75" customHeight="1" x14ac:dyDescent="0.5">
      <c r="A784" s="23"/>
      <c r="C784" s="23"/>
      <c r="F784" s="2"/>
      <c r="G784" s="2"/>
    </row>
    <row r="785" spans="1:7" ht="15.75" customHeight="1" x14ac:dyDescent="0.5">
      <c r="A785" s="23"/>
      <c r="C785" s="23"/>
      <c r="F785" s="2"/>
      <c r="G785" s="2"/>
    </row>
    <row r="786" spans="1:7" ht="15.75" customHeight="1" x14ac:dyDescent="0.5">
      <c r="A786" s="23"/>
      <c r="C786" s="23"/>
      <c r="F786" s="2"/>
      <c r="G786" s="2"/>
    </row>
    <row r="787" spans="1:7" ht="15.75" customHeight="1" x14ac:dyDescent="0.5">
      <c r="A787" s="23"/>
      <c r="C787" s="23"/>
      <c r="F787" s="2"/>
      <c r="G787" s="2"/>
    </row>
    <row r="788" spans="1:7" ht="15.75" customHeight="1" x14ac:dyDescent="0.5">
      <c r="A788" s="23"/>
      <c r="C788" s="23"/>
      <c r="F788" s="2"/>
      <c r="G788" s="2"/>
    </row>
    <row r="789" spans="1:7" ht="15.75" customHeight="1" x14ac:dyDescent="0.5">
      <c r="A789" s="23"/>
      <c r="C789" s="23"/>
      <c r="F789" s="2"/>
      <c r="G789" s="2"/>
    </row>
    <row r="790" spans="1:7" ht="15.75" customHeight="1" x14ac:dyDescent="0.5">
      <c r="A790" s="23"/>
      <c r="C790" s="23"/>
      <c r="F790" s="2"/>
      <c r="G790" s="2"/>
    </row>
    <row r="791" spans="1:7" ht="15.75" customHeight="1" x14ac:dyDescent="0.5">
      <c r="A791" s="23"/>
      <c r="C791" s="23"/>
      <c r="F791" s="2"/>
      <c r="G791" s="2"/>
    </row>
    <row r="792" spans="1:7" ht="15.75" customHeight="1" x14ac:dyDescent="0.5">
      <c r="A792" s="23"/>
      <c r="C792" s="23"/>
      <c r="F792" s="2"/>
      <c r="G792" s="2"/>
    </row>
    <row r="793" spans="1:7" ht="15.75" customHeight="1" x14ac:dyDescent="0.5">
      <c r="A793" s="23"/>
      <c r="C793" s="23"/>
      <c r="F793" s="2"/>
      <c r="G793" s="2"/>
    </row>
    <row r="794" spans="1:7" ht="15.75" customHeight="1" x14ac:dyDescent="0.5">
      <c r="A794" s="23"/>
      <c r="C794" s="23"/>
      <c r="F794" s="2"/>
      <c r="G794" s="2"/>
    </row>
    <row r="795" spans="1:7" ht="15.75" customHeight="1" x14ac:dyDescent="0.5">
      <c r="A795" s="23"/>
      <c r="C795" s="23"/>
      <c r="F795" s="2"/>
      <c r="G795" s="2"/>
    </row>
    <row r="796" spans="1:7" ht="15.75" customHeight="1" x14ac:dyDescent="0.5">
      <c r="A796" s="23"/>
      <c r="C796" s="23"/>
      <c r="F796" s="2"/>
      <c r="G796" s="2"/>
    </row>
    <row r="797" spans="1:7" ht="15.75" customHeight="1" x14ac:dyDescent="0.5">
      <c r="A797" s="23"/>
      <c r="C797" s="23"/>
      <c r="F797" s="2"/>
      <c r="G797" s="2"/>
    </row>
    <row r="798" spans="1:7" ht="15.75" customHeight="1" x14ac:dyDescent="0.5">
      <c r="A798" s="23"/>
      <c r="C798" s="23"/>
      <c r="F798" s="2"/>
      <c r="G798" s="2"/>
    </row>
    <row r="799" spans="1:7" ht="15.75" customHeight="1" x14ac:dyDescent="0.5">
      <c r="A799" s="23"/>
      <c r="C799" s="23"/>
      <c r="F799" s="2"/>
      <c r="G799" s="2"/>
    </row>
    <row r="800" spans="1:7" ht="15.75" customHeight="1" x14ac:dyDescent="0.5">
      <c r="A800" s="23"/>
      <c r="C800" s="23"/>
      <c r="F800" s="2"/>
      <c r="G800" s="2"/>
    </row>
    <row r="801" spans="1:7" ht="15.75" customHeight="1" x14ac:dyDescent="0.5">
      <c r="A801" s="23"/>
      <c r="C801" s="23"/>
      <c r="F801" s="2"/>
      <c r="G801" s="2"/>
    </row>
    <row r="802" spans="1:7" ht="15.75" customHeight="1" x14ac:dyDescent="0.5">
      <c r="A802" s="23"/>
      <c r="C802" s="23"/>
      <c r="F802" s="2"/>
      <c r="G802" s="2"/>
    </row>
    <row r="803" spans="1:7" ht="15.75" customHeight="1" x14ac:dyDescent="0.5">
      <c r="A803" s="23"/>
      <c r="C803" s="23"/>
      <c r="F803" s="2"/>
      <c r="G803" s="2"/>
    </row>
    <row r="804" spans="1:7" ht="15.75" customHeight="1" x14ac:dyDescent="0.5">
      <c r="A804" s="23"/>
      <c r="C804" s="23"/>
      <c r="F804" s="2"/>
      <c r="G804" s="2"/>
    </row>
    <row r="805" spans="1:7" ht="15.75" customHeight="1" x14ac:dyDescent="0.5">
      <c r="A805" s="23"/>
      <c r="C805" s="23"/>
      <c r="F805" s="2"/>
      <c r="G805" s="2"/>
    </row>
    <row r="806" spans="1:7" ht="15.75" customHeight="1" x14ac:dyDescent="0.5">
      <c r="A806" s="23"/>
      <c r="C806" s="23"/>
      <c r="F806" s="2"/>
      <c r="G806" s="2"/>
    </row>
    <row r="807" spans="1:7" ht="15.75" customHeight="1" x14ac:dyDescent="0.5">
      <c r="A807" s="23"/>
      <c r="C807" s="23"/>
      <c r="F807" s="2"/>
      <c r="G807" s="2"/>
    </row>
    <row r="808" spans="1:7" ht="15.75" customHeight="1" x14ac:dyDescent="0.5">
      <c r="A808" s="23"/>
      <c r="C808" s="23"/>
      <c r="F808" s="2"/>
      <c r="G808" s="2"/>
    </row>
    <row r="809" spans="1:7" ht="15.75" customHeight="1" x14ac:dyDescent="0.5">
      <c r="A809" s="23"/>
      <c r="C809" s="23"/>
      <c r="F809" s="2"/>
      <c r="G809" s="2"/>
    </row>
    <row r="810" spans="1:7" ht="15.75" customHeight="1" x14ac:dyDescent="0.5">
      <c r="A810" s="23"/>
      <c r="C810" s="23"/>
      <c r="F810" s="2"/>
      <c r="G810" s="2"/>
    </row>
    <row r="811" spans="1:7" ht="15.75" customHeight="1" x14ac:dyDescent="0.5">
      <c r="A811" s="23"/>
      <c r="C811" s="23"/>
      <c r="F811" s="2"/>
      <c r="G811" s="2"/>
    </row>
    <row r="812" spans="1:7" ht="15.75" customHeight="1" x14ac:dyDescent="0.5">
      <c r="A812" s="23"/>
      <c r="C812" s="23"/>
      <c r="F812" s="2"/>
      <c r="G812" s="2"/>
    </row>
    <row r="813" spans="1:7" ht="15.75" customHeight="1" x14ac:dyDescent="0.5">
      <c r="A813" s="23"/>
      <c r="C813" s="23"/>
      <c r="F813" s="2"/>
      <c r="G813" s="2"/>
    </row>
    <row r="814" spans="1:7" ht="15.75" customHeight="1" x14ac:dyDescent="0.5">
      <c r="A814" s="23"/>
      <c r="C814" s="23"/>
      <c r="F814" s="2"/>
      <c r="G814" s="2"/>
    </row>
    <row r="815" spans="1:7" ht="15.75" customHeight="1" x14ac:dyDescent="0.5">
      <c r="A815" s="23"/>
      <c r="C815" s="23"/>
      <c r="F815" s="2"/>
      <c r="G815" s="2"/>
    </row>
    <row r="816" spans="1:7" ht="15.75" customHeight="1" x14ac:dyDescent="0.5">
      <c r="A816" s="23"/>
      <c r="C816" s="23"/>
      <c r="F816" s="2"/>
      <c r="G816" s="2"/>
    </row>
    <row r="817" spans="1:7" ht="15.75" customHeight="1" x14ac:dyDescent="0.5">
      <c r="A817" s="23"/>
      <c r="C817" s="23"/>
      <c r="F817" s="2"/>
      <c r="G817" s="2"/>
    </row>
    <row r="818" spans="1:7" ht="15.75" customHeight="1" x14ac:dyDescent="0.5">
      <c r="A818" s="23"/>
      <c r="C818" s="23"/>
      <c r="F818" s="2"/>
      <c r="G818" s="2"/>
    </row>
    <row r="819" spans="1:7" ht="15.75" customHeight="1" x14ac:dyDescent="0.5">
      <c r="A819" s="23"/>
      <c r="C819" s="23"/>
      <c r="F819" s="2"/>
      <c r="G819" s="2"/>
    </row>
    <row r="820" spans="1:7" ht="15.75" customHeight="1" x14ac:dyDescent="0.5">
      <c r="A820" s="23"/>
      <c r="C820" s="23"/>
      <c r="F820" s="2"/>
      <c r="G820" s="2"/>
    </row>
    <row r="821" spans="1:7" ht="15.75" customHeight="1" x14ac:dyDescent="0.5">
      <c r="A821" s="23"/>
      <c r="C821" s="23"/>
      <c r="F821" s="2"/>
      <c r="G821" s="2"/>
    </row>
    <row r="822" spans="1:7" ht="15.75" customHeight="1" x14ac:dyDescent="0.5">
      <c r="A822" s="23"/>
      <c r="C822" s="23"/>
      <c r="F822" s="2"/>
      <c r="G822" s="2"/>
    </row>
    <row r="823" spans="1:7" ht="15.75" customHeight="1" x14ac:dyDescent="0.5">
      <c r="A823" s="23"/>
      <c r="C823" s="23"/>
      <c r="F823" s="2"/>
      <c r="G823" s="2"/>
    </row>
    <row r="824" spans="1:7" ht="15.75" customHeight="1" x14ac:dyDescent="0.5">
      <c r="A824" s="23"/>
      <c r="C824" s="23"/>
      <c r="F824" s="2"/>
      <c r="G824" s="2"/>
    </row>
    <row r="825" spans="1:7" ht="15.75" customHeight="1" x14ac:dyDescent="0.5">
      <c r="A825" s="23"/>
      <c r="C825" s="23"/>
      <c r="F825" s="2"/>
      <c r="G825" s="2"/>
    </row>
    <row r="826" spans="1:7" ht="15.75" customHeight="1" x14ac:dyDescent="0.5">
      <c r="A826" s="23"/>
      <c r="C826" s="23"/>
      <c r="F826" s="2"/>
      <c r="G826" s="2"/>
    </row>
    <row r="827" spans="1:7" ht="15.75" customHeight="1" x14ac:dyDescent="0.5">
      <c r="A827" s="23"/>
      <c r="C827" s="23"/>
      <c r="F827" s="2"/>
      <c r="G827" s="2"/>
    </row>
    <row r="828" spans="1:7" ht="15.75" customHeight="1" x14ac:dyDescent="0.5">
      <c r="A828" s="23"/>
      <c r="C828" s="23"/>
      <c r="F828" s="2"/>
      <c r="G828" s="2"/>
    </row>
    <row r="829" spans="1:7" ht="15.75" customHeight="1" x14ac:dyDescent="0.5">
      <c r="A829" s="23"/>
      <c r="C829" s="23"/>
      <c r="F829" s="2"/>
      <c r="G829" s="2"/>
    </row>
    <row r="830" spans="1:7" ht="15.75" customHeight="1" x14ac:dyDescent="0.5">
      <c r="A830" s="23"/>
      <c r="C830" s="23"/>
      <c r="F830" s="2"/>
      <c r="G830" s="2"/>
    </row>
    <row r="831" spans="1:7" ht="15.75" customHeight="1" x14ac:dyDescent="0.5">
      <c r="A831" s="23"/>
      <c r="C831" s="23"/>
      <c r="F831" s="2"/>
      <c r="G831" s="2"/>
    </row>
    <row r="832" spans="1:7" ht="15.75" customHeight="1" x14ac:dyDescent="0.5">
      <c r="A832" s="23"/>
      <c r="C832" s="23"/>
      <c r="F832" s="2"/>
      <c r="G832" s="2"/>
    </row>
    <row r="833" spans="1:7" ht="15.75" customHeight="1" x14ac:dyDescent="0.5">
      <c r="A833" s="23"/>
      <c r="C833" s="23"/>
      <c r="F833" s="2"/>
      <c r="G833" s="2"/>
    </row>
    <row r="834" spans="1:7" ht="15.75" customHeight="1" x14ac:dyDescent="0.5">
      <c r="A834" s="23"/>
      <c r="C834" s="23"/>
      <c r="F834" s="2"/>
      <c r="G834" s="2"/>
    </row>
    <row r="835" spans="1:7" ht="15.75" customHeight="1" x14ac:dyDescent="0.5">
      <c r="A835" s="23"/>
      <c r="C835" s="23"/>
      <c r="F835" s="2"/>
      <c r="G835" s="2"/>
    </row>
    <row r="836" spans="1:7" ht="15.75" customHeight="1" x14ac:dyDescent="0.5">
      <c r="A836" s="23"/>
      <c r="C836" s="23"/>
      <c r="F836" s="2"/>
      <c r="G836" s="2"/>
    </row>
    <row r="837" spans="1:7" ht="15.75" customHeight="1" x14ac:dyDescent="0.5">
      <c r="A837" s="23"/>
      <c r="C837" s="23"/>
      <c r="F837" s="2"/>
      <c r="G837" s="2"/>
    </row>
    <row r="838" spans="1:7" ht="15.75" customHeight="1" x14ac:dyDescent="0.5">
      <c r="A838" s="23"/>
      <c r="C838" s="23"/>
      <c r="F838" s="2"/>
      <c r="G838" s="2"/>
    </row>
    <row r="839" spans="1:7" ht="15.75" customHeight="1" x14ac:dyDescent="0.5">
      <c r="A839" s="23"/>
      <c r="C839" s="23"/>
      <c r="F839" s="2"/>
      <c r="G839" s="2"/>
    </row>
    <row r="840" spans="1:7" ht="15.75" customHeight="1" x14ac:dyDescent="0.5">
      <c r="A840" s="23"/>
      <c r="C840" s="23"/>
      <c r="F840" s="2"/>
      <c r="G840" s="2"/>
    </row>
    <row r="841" spans="1:7" ht="15.75" customHeight="1" x14ac:dyDescent="0.5">
      <c r="A841" s="23"/>
      <c r="C841" s="23"/>
      <c r="F841" s="2"/>
      <c r="G841" s="2"/>
    </row>
    <row r="842" spans="1:7" ht="15.75" customHeight="1" x14ac:dyDescent="0.5">
      <c r="A842" s="23"/>
      <c r="C842" s="23"/>
      <c r="F842" s="2"/>
      <c r="G842" s="2"/>
    </row>
    <row r="843" spans="1:7" ht="15.75" customHeight="1" x14ac:dyDescent="0.5">
      <c r="A843" s="23"/>
      <c r="C843" s="23"/>
      <c r="F843" s="2"/>
      <c r="G843" s="2"/>
    </row>
    <row r="844" spans="1:7" ht="15.75" customHeight="1" x14ac:dyDescent="0.5">
      <c r="A844" s="23"/>
      <c r="C844" s="23"/>
      <c r="F844" s="2"/>
      <c r="G844" s="2"/>
    </row>
    <row r="845" spans="1:7" ht="15.75" customHeight="1" x14ac:dyDescent="0.5">
      <c r="A845" s="23"/>
      <c r="C845" s="23"/>
      <c r="F845" s="2"/>
      <c r="G845" s="2"/>
    </row>
    <row r="846" spans="1:7" ht="15.75" customHeight="1" x14ac:dyDescent="0.5">
      <c r="A846" s="23"/>
      <c r="C846" s="23"/>
      <c r="F846" s="2"/>
      <c r="G846" s="2"/>
    </row>
    <row r="847" spans="1:7" ht="15.75" customHeight="1" x14ac:dyDescent="0.5">
      <c r="A847" s="23"/>
      <c r="C847" s="23"/>
      <c r="F847" s="2"/>
      <c r="G847" s="2"/>
    </row>
    <row r="848" spans="1:7" ht="15.75" customHeight="1" x14ac:dyDescent="0.5">
      <c r="A848" s="23"/>
      <c r="C848" s="23"/>
      <c r="F848" s="2"/>
      <c r="G848" s="2"/>
    </row>
    <row r="849" spans="1:7" ht="15.75" customHeight="1" x14ac:dyDescent="0.5">
      <c r="A849" s="23"/>
      <c r="C849" s="23"/>
      <c r="F849" s="2"/>
      <c r="G849" s="2"/>
    </row>
    <row r="850" spans="1:7" ht="15.75" customHeight="1" x14ac:dyDescent="0.5">
      <c r="A850" s="23"/>
      <c r="C850" s="23"/>
      <c r="F850" s="2"/>
      <c r="G850" s="2"/>
    </row>
    <row r="851" spans="1:7" ht="15.75" customHeight="1" x14ac:dyDescent="0.5">
      <c r="A851" s="23"/>
      <c r="C851" s="23"/>
      <c r="F851" s="2"/>
      <c r="G851" s="2"/>
    </row>
    <row r="852" spans="1:7" ht="15.75" customHeight="1" x14ac:dyDescent="0.5">
      <c r="A852" s="23"/>
      <c r="C852" s="23"/>
      <c r="F852" s="2"/>
      <c r="G852" s="2"/>
    </row>
    <row r="853" spans="1:7" ht="15.75" customHeight="1" x14ac:dyDescent="0.5">
      <c r="A853" s="23"/>
      <c r="C853" s="23"/>
      <c r="F853" s="2"/>
      <c r="G853" s="2"/>
    </row>
    <row r="854" spans="1:7" ht="15.75" customHeight="1" x14ac:dyDescent="0.5">
      <c r="A854" s="23"/>
      <c r="C854" s="23"/>
      <c r="F854" s="2"/>
      <c r="G854" s="2"/>
    </row>
    <row r="855" spans="1:7" ht="15.75" customHeight="1" x14ac:dyDescent="0.5">
      <c r="A855" s="23"/>
      <c r="C855" s="23"/>
      <c r="F855" s="2"/>
      <c r="G855" s="2"/>
    </row>
    <row r="856" spans="1:7" ht="15.75" customHeight="1" x14ac:dyDescent="0.5">
      <c r="A856" s="23"/>
      <c r="C856" s="23"/>
      <c r="F856" s="2"/>
      <c r="G856" s="2"/>
    </row>
    <row r="857" spans="1:7" ht="15.75" customHeight="1" x14ac:dyDescent="0.5">
      <c r="A857" s="23"/>
      <c r="C857" s="23"/>
      <c r="F857" s="2"/>
      <c r="G857" s="2"/>
    </row>
    <row r="858" spans="1:7" ht="15.75" customHeight="1" x14ac:dyDescent="0.5">
      <c r="A858" s="23"/>
      <c r="C858" s="23"/>
      <c r="F858" s="2"/>
      <c r="G858" s="2"/>
    </row>
    <row r="859" spans="1:7" ht="15.75" customHeight="1" x14ac:dyDescent="0.5">
      <c r="A859" s="23"/>
      <c r="C859" s="23"/>
      <c r="F859" s="2"/>
      <c r="G859" s="2"/>
    </row>
    <row r="860" spans="1:7" ht="15.75" customHeight="1" x14ac:dyDescent="0.5">
      <c r="A860" s="23"/>
      <c r="C860" s="23"/>
      <c r="F860" s="2"/>
      <c r="G860" s="2"/>
    </row>
    <row r="861" spans="1:7" ht="15.75" customHeight="1" x14ac:dyDescent="0.5">
      <c r="A861" s="23"/>
      <c r="C861" s="23"/>
      <c r="F861" s="2"/>
      <c r="G861" s="2"/>
    </row>
    <row r="862" spans="1:7" ht="15.75" customHeight="1" x14ac:dyDescent="0.5">
      <c r="A862" s="23"/>
      <c r="C862" s="23"/>
      <c r="F862" s="2"/>
      <c r="G862" s="2"/>
    </row>
    <row r="863" spans="1:7" ht="15.75" customHeight="1" x14ac:dyDescent="0.5">
      <c r="A863" s="23"/>
      <c r="C863" s="23"/>
      <c r="F863" s="2"/>
      <c r="G863" s="2"/>
    </row>
    <row r="864" spans="1:7" ht="15.75" customHeight="1" x14ac:dyDescent="0.5">
      <c r="A864" s="23"/>
      <c r="C864" s="23"/>
      <c r="F864" s="2"/>
      <c r="G864" s="2"/>
    </row>
    <row r="865" spans="1:7" ht="15.75" customHeight="1" x14ac:dyDescent="0.5">
      <c r="A865" s="23"/>
      <c r="C865" s="23"/>
      <c r="F865" s="2"/>
      <c r="G865" s="2"/>
    </row>
    <row r="866" spans="1:7" ht="15.75" customHeight="1" x14ac:dyDescent="0.5">
      <c r="A866" s="23"/>
      <c r="C866" s="23"/>
      <c r="F866" s="2"/>
      <c r="G866" s="2"/>
    </row>
    <row r="867" spans="1:7" ht="15.75" customHeight="1" x14ac:dyDescent="0.5">
      <c r="A867" s="23"/>
      <c r="C867" s="23"/>
      <c r="F867" s="2"/>
      <c r="G867" s="2"/>
    </row>
    <row r="868" spans="1:7" ht="15.75" customHeight="1" x14ac:dyDescent="0.5">
      <c r="A868" s="23"/>
      <c r="C868" s="23"/>
      <c r="F868" s="2"/>
      <c r="G868" s="2"/>
    </row>
    <row r="869" spans="1:7" ht="15.75" customHeight="1" x14ac:dyDescent="0.5">
      <c r="A869" s="23"/>
      <c r="C869" s="23"/>
      <c r="F869" s="2"/>
      <c r="G869" s="2"/>
    </row>
    <row r="870" spans="1:7" ht="15.75" customHeight="1" x14ac:dyDescent="0.5">
      <c r="A870" s="23"/>
      <c r="C870" s="23"/>
      <c r="F870" s="2"/>
      <c r="G870" s="2"/>
    </row>
    <row r="871" spans="1:7" ht="15.75" customHeight="1" x14ac:dyDescent="0.5">
      <c r="A871" s="23"/>
      <c r="C871" s="23"/>
      <c r="F871" s="2"/>
      <c r="G871" s="2"/>
    </row>
    <row r="872" spans="1:7" ht="15.75" customHeight="1" x14ac:dyDescent="0.5">
      <c r="A872" s="23"/>
      <c r="C872" s="23"/>
      <c r="F872" s="2"/>
      <c r="G872" s="2"/>
    </row>
    <row r="873" spans="1:7" ht="15.75" customHeight="1" x14ac:dyDescent="0.5">
      <c r="A873" s="23"/>
      <c r="C873" s="23"/>
      <c r="F873" s="2"/>
      <c r="G873" s="2"/>
    </row>
    <row r="874" spans="1:7" ht="15.75" customHeight="1" x14ac:dyDescent="0.5">
      <c r="A874" s="23"/>
      <c r="C874" s="23"/>
      <c r="F874" s="2"/>
      <c r="G874" s="2"/>
    </row>
    <row r="875" spans="1:7" ht="15.75" customHeight="1" x14ac:dyDescent="0.5">
      <c r="A875" s="23"/>
      <c r="C875" s="23"/>
      <c r="F875" s="2"/>
      <c r="G875" s="2"/>
    </row>
    <row r="876" spans="1:7" ht="15.75" customHeight="1" x14ac:dyDescent="0.5">
      <c r="A876" s="23"/>
      <c r="C876" s="23"/>
      <c r="F876" s="2"/>
      <c r="G876" s="2"/>
    </row>
    <row r="877" spans="1:7" ht="15.75" customHeight="1" x14ac:dyDescent="0.5">
      <c r="A877" s="23"/>
      <c r="C877" s="23"/>
      <c r="F877" s="2"/>
      <c r="G877" s="2"/>
    </row>
    <row r="878" spans="1:7" ht="15.75" customHeight="1" x14ac:dyDescent="0.5">
      <c r="A878" s="23"/>
      <c r="C878" s="23"/>
      <c r="F878" s="2"/>
      <c r="G878" s="2"/>
    </row>
    <row r="879" spans="1:7" ht="15.75" customHeight="1" x14ac:dyDescent="0.5">
      <c r="A879" s="23"/>
      <c r="C879" s="23"/>
      <c r="F879" s="2"/>
      <c r="G879" s="2"/>
    </row>
    <row r="880" spans="1:7" ht="15.75" customHeight="1" x14ac:dyDescent="0.5">
      <c r="A880" s="23"/>
      <c r="C880" s="23"/>
      <c r="F880" s="2"/>
      <c r="G880" s="2"/>
    </row>
    <row r="881" spans="1:7" ht="15.75" customHeight="1" x14ac:dyDescent="0.5">
      <c r="A881" s="23"/>
      <c r="C881" s="23"/>
      <c r="F881" s="2"/>
      <c r="G881" s="2"/>
    </row>
    <row r="882" spans="1:7" ht="15.75" customHeight="1" x14ac:dyDescent="0.5">
      <c r="A882" s="23"/>
      <c r="C882" s="23"/>
      <c r="F882" s="2"/>
      <c r="G882" s="2"/>
    </row>
    <row r="883" spans="1:7" ht="15.75" customHeight="1" x14ac:dyDescent="0.5">
      <c r="A883" s="23"/>
      <c r="C883" s="23"/>
      <c r="F883" s="2"/>
      <c r="G883" s="2"/>
    </row>
    <row r="884" spans="1:7" ht="15.75" customHeight="1" x14ac:dyDescent="0.5">
      <c r="A884" s="23"/>
      <c r="C884" s="23"/>
      <c r="F884" s="2"/>
      <c r="G884" s="2"/>
    </row>
    <row r="885" spans="1:7" ht="15.75" customHeight="1" x14ac:dyDescent="0.5">
      <c r="A885" s="23"/>
      <c r="C885" s="23"/>
      <c r="F885" s="2"/>
      <c r="G885" s="2"/>
    </row>
    <row r="886" spans="1:7" ht="15.75" customHeight="1" x14ac:dyDescent="0.5">
      <c r="A886" s="23"/>
      <c r="C886" s="23"/>
      <c r="F886" s="2"/>
      <c r="G886" s="2"/>
    </row>
    <row r="887" spans="1:7" ht="15.75" customHeight="1" x14ac:dyDescent="0.5">
      <c r="A887" s="23"/>
      <c r="C887" s="23"/>
      <c r="F887" s="2"/>
      <c r="G887" s="2"/>
    </row>
    <row r="888" spans="1:7" ht="15.75" customHeight="1" x14ac:dyDescent="0.5">
      <c r="A888" s="23"/>
      <c r="C888" s="23"/>
      <c r="F888" s="2"/>
      <c r="G888" s="2"/>
    </row>
    <row r="889" spans="1:7" ht="15.75" customHeight="1" x14ac:dyDescent="0.5">
      <c r="A889" s="23"/>
      <c r="C889" s="23"/>
      <c r="F889" s="2"/>
      <c r="G889" s="2"/>
    </row>
    <row r="890" spans="1:7" ht="15.75" customHeight="1" x14ac:dyDescent="0.5">
      <c r="A890" s="23"/>
      <c r="C890" s="23"/>
      <c r="F890" s="2"/>
      <c r="G890" s="2"/>
    </row>
    <row r="891" spans="1:7" ht="15.75" customHeight="1" x14ac:dyDescent="0.5">
      <c r="A891" s="23"/>
      <c r="C891" s="23"/>
      <c r="F891" s="2"/>
      <c r="G891" s="2"/>
    </row>
    <row r="892" spans="1:7" ht="15.75" customHeight="1" x14ac:dyDescent="0.5">
      <c r="A892" s="23"/>
      <c r="C892" s="23"/>
      <c r="F892" s="2"/>
      <c r="G892" s="2"/>
    </row>
    <row r="893" spans="1:7" ht="15.75" customHeight="1" x14ac:dyDescent="0.5">
      <c r="A893" s="23"/>
      <c r="C893" s="23"/>
      <c r="F893" s="2"/>
      <c r="G893" s="2"/>
    </row>
    <row r="894" spans="1:7" ht="15.75" customHeight="1" x14ac:dyDescent="0.5">
      <c r="A894" s="23"/>
      <c r="C894" s="23"/>
      <c r="F894" s="2"/>
      <c r="G894" s="2"/>
    </row>
    <row r="895" spans="1:7" ht="15.75" customHeight="1" x14ac:dyDescent="0.5">
      <c r="A895" s="23"/>
      <c r="C895" s="23"/>
      <c r="F895" s="2"/>
      <c r="G895" s="2"/>
    </row>
    <row r="896" spans="1:7" ht="15.75" customHeight="1" x14ac:dyDescent="0.5">
      <c r="A896" s="23"/>
      <c r="C896" s="23"/>
      <c r="F896" s="2"/>
      <c r="G896" s="2"/>
    </row>
    <row r="897" spans="1:7" ht="15.75" customHeight="1" x14ac:dyDescent="0.5">
      <c r="A897" s="23"/>
      <c r="C897" s="23"/>
      <c r="F897" s="2"/>
      <c r="G897" s="2"/>
    </row>
    <row r="898" spans="1:7" ht="15.75" customHeight="1" x14ac:dyDescent="0.5">
      <c r="A898" s="23"/>
      <c r="C898" s="23"/>
      <c r="F898" s="2"/>
      <c r="G898" s="2"/>
    </row>
    <row r="899" spans="1:7" ht="15.75" customHeight="1" x14ac:dyDescent="0.5">
      <c r="A899" s="23"/>
      <c r="C899" s="23"/>
      <c r="F899" s="2"/>
      <c r="G899" s="2"/>
    </row>
    <row r="900" spans="1:7" ht="15.75" customHeight="1" x14ac:dyDescent="0.5">
      <c r="A900" s="23"/>
      <c r="C900" s="23"/>
      <c r="F900" s="2"/>
      <c r="G900" s="2"/>
    </row>
    <row r="901" spans="1:7" ht="15.75" customHeight="1" x14ac:dyDescent="0.5">
      <c r="A901" s="23"/>
      <c r="C901" s="23"/>
      <c r="F901" s="2"/>
      <c r="G901" s="2"/>
    </row>
    <row r="902" spans="1:7" ht="15.75" customHeight="1" x14ac:dyDescent="0.5">
      <c r="A902" s="23"/>
      <c r="C902" s="23"/>
      <c r="F902" s="2"/>
      <c r="G902" s="2"/>
    </row>
    <row r="903" spans="1:7" ht="15.75" customHeight="1" x14ac:dyDescent="0.5">
      <c r="A903" s="23"/>
      <c r="C903" s="23"/>
      <c r="F903" s="2"/>
      <c r="G903" s="2"/>
    </row>
    <row r="904" spans="1:7" ht="15.75" customHeight="1" x14ac:dyDescent="0.5">
      <c r="A904" s="23"/>
      <c r="C904" s="23"/>
      <c r="F904" s="2"/>
      <c r="G904" s="2"/>
    </row>
    <row r="905" spans="1:7" ht="15.75" customHeight="1" x14ac:dyDescent="0.5">
      <c r="A905" s="23"/>
      <c r="C905" s="23"/>
      <c r="F905" s="2"/>
      <c r="G905" s="2"/>
    </row>
    <row r="906" spans="1:7" ht="15.75" customHeight="1" x14ac:dyDescent="0.5">
      <c r="A906" s="23"/>
      <c r="C906" s="23"/>
      <c r="F906" s="2"/>
      <c r="G906" s="2"/>
    </row>
    <row r="907" spans="1:7" ht="15.75" customHeight="1" x14ac:dyDescent="0.5">
      <c r="A907" s="23"/>
      <c r="C907" s="23"/>
      <c r="F907" s="2"/>
      <c r="G907" s="2"/>
    </row>
    <row r="908" spans="1:7" ht="15.75" customHeight="1" x14ac:dyDescent="0.5">
      <c r="A908" s="23"/>
      <c r="C908" s="23"/>
      <c r="F908" s="2"/>
      <c r="G908" s="2"/>
    </row>
    <row r="909" spans="1:7" ht="15.75" customHeight="1" x14ac:dyDescent="0.5">
      <c r="A909" s="23"/>
      <c r="C909" s="23"/>
      <c r="F909" s="2"/>
      <c r="G909" s="2"/>
    </row>
    <row r="910" spans="1:7" ht="15.75" customHeight="1" x14ac:dyDescent="0.5">
      <c r="A910" s="23"/>
      <c r="C910" s="23"/>
      <c r="F910" s="2"/>
      <c r="G910" s="2"/>
    </row>
    <row r="911" spans="1:7" ht="15.75" customHeight="1" x14ac:dyDescent="0.5">
      <c r="A911" s="23"/>
      <c r="C911" s="23"/>
      <c r="F911" s="2"/>
      <c r="G911" s="2"/>
    </row>
    <row r="912" spans="1:7" ht="15.75" customHeight="1" x14ac:dyDescent="0.5">
      <c r="A912" s="23"/>
      <c r="C912" s="23"/>
      <c r="F912" s="2"/>
      <c r="G912" s="2"/>
    </row>
    <row r="913" spans="1:7" ht="15.75" customHeight="1" x14ac:dyDescent="0.5">
      <c r="A913" s="23"/>
      <c r="C913" s="23"/>
      <c r="F913" s="2"/>
      <c r="G913" s="2"/>
    </row>
    <row r="914" spans="1:7" ht="15.75" customHeight="1" x14ac:dyDescent="0.5">
      <c r="A914" s="23"/>
      <c r="C914" s="23"/>
      <c r="F914" s="2"/>
      <c r="G914" s="2"/>
    </row>
    <row r="915" spans="1:7" ht="15.75" customHeight="1" x14ac:dyDescent="0.5">
      <c r="A915" s="23"/>
      <c r="C915" s="23"/>
      <c r="F915" s="2"/>
      <c r="G915" s="2"/>
    </row>
    <row r="916" spans="1:7" ht="15.75" customHeight="1" x14ac:dyDescent="0.5">
      <c r="A916" s="23"/>
      <c r="C916" s="23"/>
      <c r="F916" s="2"/>
      <c r="G916" s="2"/>
    </row>
    <row r="917" spans="1:7" ht="15.75" customHeight="1" x14ac:dyDescent="0.5">
      <c r="A917" s="23"/>
      <c r="C917" s="23"/>
      <c r="F917" s="2"/>
      <c r="G917" s="2"/>
    </row>
    <row r="918" spans="1:7" ht="15.75" customHeight="1" x14ac:dyDescent="0.5">
      <c r="A918" s="23"/>
      <c r="C918" s="23"/>
      <c r="F918" s="2"/>
      <c r="G918" s="2"/>
    </row>
    <row r="919" spans="1:7" ht="15.75" customHeight="1" x14ac:dyDescent="0.5">
      <c r="A919" s="23"/>
      <c r="C919" s="23"/>
      <c r="F919" s="2"/>
      <c r="G919" s="2"/>
    </row>
    <row r="920" spans="1:7" ht="15.75" customHeight="1" x14ac:dyDescent="0.5">
      <c r="A920" s="23"/>
      <c r="C920" s="23"/>
      <c r="F920" s="2"/>
      <c r="G920" s="2"/>
    </row>
    <row r="921" spans="1:7" ht="15.75" customHeight="1" x14ac:dyDescent="0.5">
      <c r="A921" s="23"/>
      <c r="C921" s="23"/>
      <c r="F921" s="2"/>
      <c r="G921" s="2"/>
    </row>
    <row r="922" spans="1:7" ht="15.75" customHeight="1" x14ac:dyDescent="0.5">
      <c r="A922" s="23"/>
      <c r="C922" s="23"/>
      <c r="F922" s="2"/>
      <c r="G922" s="2"/>
    </row>
    <row r="923" spans="1:7" ht="15.75" customHeight="1" x14ac:dyDescent="0.5">
      <c r="A923" s="23"/>
      <c r="C923" s="23"/>
      <c r="F923" s="2"/>
      <c r="G923" s="2"/>
    </row>
    <row r="924" spans="1:7" ht="15.75" customHeight="1" x14ac:dyDescent="0.5">
      <c r="A924" s="23"/>
      <c r="C924" s="23"/>
      <c r="F924" s="2"/>
      <c r="G924" s="2"/>
    </row>
    <row r="925" spans="1:7" ht="15.75" customHeight="1" x14ac:dyDescent="0.5">
      <c r="A925" s="23"/>
      <c r="C925" s="23"/>
      <c r="F925" s="2"/>
      <c r="G925" s="2"/>
    </row>
    <row r="926" spans="1:7" ht="15.75" customHeight="1" x14ac:dyDescent="0.5">
      <c r="A926" s="23"/>
      <c r="C926" s="23"/>
      <c r="F926" s="2"/>
      <c r="G926" s="2"/>
    </row>
    <row r="927" spans="1:7" ht="15.75" customHeight="1" x14ac:dyDescent="0.5">
      <c r="A927" s="23"/>
      <c r="C927" s="23"/>
      <c r="F927" s="2"/>
      <c r="G927" s="2"/>
    </row>
    <row r="928" spans="1:7" ht="15.75" customHeight="1" x14ac:dyDescent="0.5">
      <c r="A928" s="23"/>
      <c r="C928" s="23"/>
      <c r="F928" s="2"/>
      <c r="G928" s="2"/>
    </row>
    <row r="929" spans="1:7" ht="15.75" customHeight="1" x14ac:dyDescent="0.5">
      <c r="A929" s="23"/>
      <c r="C929" s="23"/>
      <c r="F929" s="2"/>
      <c r="G929" s="2"/>
    </row>
    <row r="930" spans="1:7" ht="15.75" customHeight="1" x14ac:dyDescent="0.5">
      <c r="A930" s="23"/>
      <c r="C930" s="23"/>
      <c r="F930" s="2"/>
      <c r="G930" s="2"/>
    </row>
    <row r="931" spans="1:7" ht="15.75" customHeight="1" x14ac:dyDescent="0.5">
      <c r="A931" s="23"/>
      <c r="C931" s="23"/>
      <c r="F931" s="2"/>
      <c r="G931" s="2"/>
    </row>
    <row r="932" spans="1:7" ht="15.75" customHeight="1" x14ac:dyDescent="0.5">
      <c r="A932" s="23"/>
      <c r="C932" s="23"/>
      <c r="F932" s="2"/>
      <c r="G932" s="2"/>
    </row>
    <row r="933" spans="1:7" ht="15.75" customHeight="1" x14ac:dyDescent="0.5">
      <c r="A933" s="23"/>
      <c r="C933" s="23"/>
      <c r="F933" s="2"/>
      <c r="G933" s="2"/>
    </row>
    <row r="934" spans="1:7" ht="15.75" customHeight="1" x14ac:dyDescent="0.5">
      <c r="A934" s="23"/>
      <c r="C934" s="23"/>
      <c r="F934" s="2"/>
      <c r="G934" s="2"/>
    </row>
    <row r="935" spans="1:7" ht="15.75" customHeight="1" x14ac:dyDescent="0.5">
      <c r="A935" s="23"/>
      <c r="C935" s="23"/>
      <c r="F935" s="2"/>
      <c r="G935" s="2"/>
    </row>
    <row r="936" spans="1:7" ht="15.75" customHeight="1" x14ac:dyDescent="0.5">
      <c r="A936" s="23"/>
      <c r="C936" s="23"/>
      <c r="F936" s="2"/>
      <c r="G936" s="2"/>
    </row>
    <row r="937" spans="1:7" ht="15.75" customHeight="1" x14ac:dyDescent="0.5">
      <c r="A937" s="23"/>
      <c r="C937" s="23"/>
      <c r="F937" s="2"/>
      <c r="G937" s="2"/>
    </row>
    <row r="938" spans="1:7" ht="15.75" customHeight="1" x14ac:dyDescent="0.5">
      <c r="A938" s="23"/>
      <c r="C938" s="23"/>
      <c r="F938" s="2"/>
      <c r="G938" s="2"/>
    </row>
    <row r="939" spans="1:7" ht="15.75" customHeight="1" x14ac:dyDescent="0.5">
      <c r="A939" s="23"/>
      <c r="C939" s="23"/>
      <c r="F939" s="2"/>
      <c r="G939" s="2"/>
    </row>
    <row r="940" spans="1:7" ht="15.75" customHeight="1" x14ac:dyDescent="0.5">
      <c r="A940" s="23"/>
      <c r="C940" s="23"/>
      <c r="F940" s="2"/>
      <c r="G940" s="2"/>
    </row>
    <row r="941" spans="1:7" ht="15.75" customHeight="1" x14ac:dyDescent="0.5">
      <c r="A941" s="23"/>
      <c r="C941" s="23"/>
      <c r="F941" s="2"/>
      <c r="G941" s="2"/>
    </row>
    <row r="942" spans="1:7" ht="15.75" customHeight="1" x14ac:dyDescent="0.5">
      <c r="A942" s="23"/>
      <c r="C942" s="23"/>
      <c r="F942" s="2"/>
      <c r="G942" s="2"/>
    </row>
    <row r="943" spans="1:7" ht="15.75" customHeight="1" x14ac:dyDescent="0.5">
      <c r="A943" s="23"/>
      <c r="C943" s="23"/>
      <c r="F943" s="2"/>
      <c r="G943" s="2"/>
    </row>
    <row r="944" spans="1:7" ht="15.75" customHeight="1" x14ac:dyDescent="0.5">
      <c r="A944" s="23"/>
      <c r="C944" s="23"/>
      <c r="F944" s="2"/>
      <c r="G944" s="2"/>
    </row>
    <row r="945" spans="1:7" ht="15.75" customHeight="1" x14ac:dyDescent="0.5">
      <c r="A945" s="23"/>
      <c r="C945" s="23"/>
      <c r="F945" s="2"/>
      <c r="G945" s="2"/>
    </row>
    <row r="946" spans="1:7" ht="15.75" customHeight="1" x14ac:dyDescent="0.5">
      <c r="A946" s="23"/>
      <c r="C946" s="23"/>
      <c r="F946" s="2"/>
      <c r="G946" s="2"/>
    </row>
    <row r="947" spans="1:7" ht="15.75" customHeight="1" x14ac:dyDescent="0.5">
      <c r="A947" s="23"/>
      <c r="C947" s="23"/>
      <c r="F947" s="2"/>
      <c r="G947" s="2"/>
    </row>
    <row r="948" spans="1:7" ht="15.75" customHeight="1" x14ac:dyDescent="0.5">
      <c r="A948" s="23"/>
      <c r="C948" s="23"/>
      <c r="F948" s="2"/>
      <c r="G948" s="2"/>
    </row>
    <row r="949" spans="1:7" ht="15.75" customHeight="1" x14ac:dyDescent="0.5">
      <c r="A949" s="23"/>
      <c r="C949" s="23"/>
      <c r="F949" s="2"/>
      <c r="G949" s="2"/>
    </row>
    <row r="950" spans="1:7" ht="15.75" customHeight="1" x14ac:dyDescent="0.5">
      <c r="A950" s="23"/>
      <c r="C950" s="23"/>
      <c r="F950" s="2"/>
      <c r="G950" s="2"/>
    </row>
    <row r="951" spans="1:7" ht="15.75" customHeight="1" x14ac:dyDescent="0.5">
      <c r="A951" s="23"/>
      <c r="C951" s="23"/>
      <c r="F951" s="2"/>
      <c r="G951" s="2"/>
    </row>
    <row r="952" spans="1:7" ht="15.75" customHeight="1" x14ac:dyDescent="0.5">
      <c r="A952" s="23"/>
      <c r="C952" s="23"/>
      <c r="F952" s="2"/>
      <c r="G952" s="2"/>
    </row>
    <row r="953" spans="1:7" ht="15.75" customHeight="1" x14ac:dyDescent="0.5">
      <c r="A953" s="23"/>
      <c r="C953" s="23"/>
      <c r="F953" s="2"/>
      <c r="G953" s="2"/>
    </row>
    <row r="954" spans="1:7" ht="15.75" customHeight="1" x14ac:dyDescent="0.5">
      <c r="A954" s="23"/>
      <c r="C954" s="23"/>
      <c r="F954" s="2"/>
      <c r="G954" s="2"/>
    </row>
    <row r="955" spans="1:7" ht="15.75" customHeight="1" x14ac:dyDescent="0.5">
      <c r="A955" s="23"/>
      <c r="C955" s="23"/>
      <c r="F955" s="2"/>
      <c r="G955" s="2"/>
    </row>
    <row r="956" spans="1:7" ht="15.75" customHeight="1" x14ac:dyDescent="0.5">
      <c r="A956" s="23"/>
      <c r="C956" s="23"/>
      <c r="F956" s="2"/>
      <c r="G956" s="2"/>
    </row>
    <row r="957" spans="1:7" ht="15.75" customHeight="1" x14ac:dyDescent="0.5">
      <c r="A957" s="23"/>
      <c r="C957" s="23"/>
      <c r="F957" s="2"/>
      <c r="G957" s="2"/>
    </row>
    <row r="958" spans="1:7" ht="15.75" customHeight="1" x14ac:dyDescent="0.5">
      <c r="A958" s="23"/>
      <c r="C958" s="23"/>
      <c r="F958" s="2"/>
      <c r="G958" s="2"/>
    </row>
    <row r="959" spans="1:7" ht="15.75" customHeight="1" x14ac:dyDescent="0.5">
      <c r="A959" s="23"/>
      <c r="C959" s="23"/>
      <c r="F959" s="2"/>
      <c r="G959" s="2"/>
    </row>
    <row r="960" spans="1:7" ht="15.75" customHeight="1" x14ac:dyDescent="0.5">
      <c r="A960" s="23"/>
      <c r="C960" s="23"/>
      <c r="F960" s="2"/>
      <c r="G960" s="2"/>
    </row>
    <row r="961" spans="1:7" ht="15.75" customHeight="1" x14ac:dyDescent="0.5">
      <c r="A961" s="23"/>
      <c r="C961" s="23"/>
      <c r="F961" s="2"/>
      <c r="G961" s="2"/>
    </row>
    <row r="962" spans="1:7" ht="15.75" customHeight="1" x14ac:dyDescent="0.5">
      <c r="A962" s="23"/>
      <c r="C962" s="23"/>
      <c r="F962" s="2"/>
      <c r="G962" s="2"/>
    </row>
    <row r="963" spans="1:7" ht="15.75" customHeight="1" x14ac:dyDescent="0.5">
      <c r="A963" s="23"/>
      <c r="C963" s="23"/>
      <c r="F963" s="2"/>
      <c r="G963" s="2"/>
    </row>
    <row r="964" spans="1:7" ht="15.75" customHeight="1" x14ac:dyDescent="0.5">
      <c r="A964" s="23"/>
      <c r="C964" s="23"/>
      <c r="F964" s="2"/>
      <c r="G964" s="2"/>
    </row>
    <row r="965" spans="1:7" ht="15.75" customHeight="1" x14ac:dyDescent="0.5">
      <c r="A965" s="23"/>
      <c r="C965" s="23"/>
      <c r="F965" s="2"/>
      <c r="G965" s="2"/>
    </row>
    <row r="966" spans="1:7" ht="15.75" customHeight="1" x14ac:dyDescent="0.5">
      <c r="A966" s="23"/>
      <c r="C966" s="23"/>
      <c r="F966" s="2"/>
      <c r="G966" s="2"/>
    </row>
    <row r="967" spans="1:7" ht="15.75" customHeight="1" x14ac:dyDescent="0.5">
      <c r="A967" s="23"/>
      <c r="C967" s="23"/>
      <c r="F967" s="2"/>
      <c r="G967" s="2"/>
    </row>
    <row r="968" spans="1:7" ht="15.75" customHeight="1" x14ac:dyDescent="0.5">
      <c r="A968" s="23"/>
      <c r="C968" s="23"/>
      <c r="F968" s="2"/>
      <c r="G968" s="2"/>
    </row>
    <row r="969" spans="1:7" ht="15.75" customHeight="1" x14ac:dyDescent="0.5">
      <c r="A969" s="23"/>
      <c r="C969" s="23"/>
      <c r="F969" s="2"/>
      <c r="G969" s="2"/>
    </row>
    <row r="970" spans="1:7" ht="15.75" customHeight="1" x14ac:dyDescent="0.5">
      <c r="A970" s="23"/>
      <c r="C970" s="23"/>
      <c r="F970" s="2"/>
      <c r="G970" s="2"/>
    </row>
    <row r="971" spans="1:7" ht="15.75" customHeight="1" x14ac:dyDescent="0.5">
      <c r="A971" s="23"/>
      <c r="C971" s="23"/>
      <c r="F971" s="2"/>
      <c r="G971" s="2"/>
    </row>
    <row r="972" spans="1:7" ht="15.75" customHeight="1" x14ac:dyDescent="0.5">
      <c r="A972" s="23"/>
      <c r="C972" s="23"/>
      <c r="F972" s="2"/>
      <c r="G972" s="2"/>
    </row>
    <row r="973" spans="1:7" ht="15.75" customHeight="1" x14ac:dyDescent="0.5">
      <c r="A973" s="23"/>
      <c r="C973" s="23"/>
      <c r="F973" s="2"/>
      <c r="G973" s="2"/>
    </row>
    <row r="974" spans="1:7" ht="15.75" customHeight="1" x14ac:dyDescent="0.5">
      <c r="A974" s="23"/>
      <c r="C974" s="23"/>
      <c r="F974" s="2"/>
      <c r="G974" s="2"/>
    </row>
    <row r="975" spans="1:7" ht="15.75" customHeight="1" x14ac:dyDescent="0.5">
      <c r="A975" s="23"/>
      <c r="C975" s="23"/>
      <c r="F975" s="2"/>
      <c r="G975" s="2"/>
    </row>
    <row r="976" spans="1:7" ht="15.75" customHeight="1" x14ac:dyDescent="0.5">
      <c r="A976" s="23"/>
      <c r="C976" s="23"/>
      <c r="F976" s="2"/>
      <c r="G976" s="2"/>
    </row>
    <row r="977" spans="1:7" ht="15.75" customHeight="1" x14ac:dyDescent="0.5">
      <c r="A977" s="23"/>
      <c r="C977" s="23"/>
      <c r="F977" s="2"/>
      <c r="G977" s="2"/>
    </row>
    <row r="978" spans="1:7" ht="15.75" customHeight="1" x14ac:dyDescent="0.5">
      <c r="A978" s="23"/>
      <c r="C978" s="23"/>
      <c r="F978" s="2"/>
      <c r="G978" s="2"/>
    </row>
    <row r="979" spans="1:7" ht="15.75" customHeight="1" x14ac:dyDescent="0.5">
      <c r="A979" s="23"/>
      <c r="C979" s="23"/>
      <c r="F979" s="2"/>
      <c r="G979" s="2"/>
    </row>
    <row r="980" spans="1:7" ht="15.75" customHeight="1" x14ac:dyDescent="0.5">
      <c r="A980" s="23"/>
      <c r="C980" s="23"/>
      <c r="F980" s="2"/>
      <c r="G980" s="2"/>
    </row>
    <row r="981" spans="1:7" ht="15.75" customHeight="1" x14ac:dyDescent="0.5">
      <c r="A981" s="23"/>
      <c r="C981" s="23"/>
      <c r="F981" s="2"/>
      <c r="G981" s="2"/>
    </row>
    <row r="982" spans="1:7" ht="15.75" customHeight="1" x14ac:dyDescent="0.5">
      <c r="A982" s="23"/>
      <c r="C982" s="23"/>
      <c r="F982" s="2"/>
      <c r="G982" s="2"/>
    </row>
    <row r="983" spans="1:7" ht="15.75" customHeight="1" x14ac:dyDescent="0.5">
      <c r="A983" s="23"/>
      <c r="C983" s="23"/>
      <c r="F983" s="2"/>
      <c r="G983" s="2"/>
    </row>
    <row r="984" spans="1:7" ht="15.75" customHeight="1" x14ac:dyDescent="0.5">
      <c r="A984" s="23"/>
      <c r="C984" s="23"/>
      <c r="F984" s="2"/>
      <c r="G984" s="2"/>
    </row>
    <row r="985" spans="1:7" ht="15.75" customHeight="1" x14ac:dyDescent="0.5">
      <c r="A985" s="23"/>
      <c r="C985" s="23"/>
      <c r="F985" s="2"/>
      <c r="G985" s="2"/>
    </row>
    <row r="986" spans="1:7" ht="15.75" customHeight="1" x14ac:dyDescent="0.5">
      <c r="A986" s="23"/>
      <c r="C986" s="23"/>
      <c r="F986" s="2"/>
      <c r="G986" s="2"/>
    </row>
    <row r="987" spans="1:7" ht="15.75" customHeight="1" x14ac:dyDescent="0.5">
      <c r="A987" s="23"/>
      <c r="C987" s="23"/>
      <c r="F987" s="2"/>
      <c r="G987" s="2"/>
    </row>
    <row r="988" spans="1:7" ht="15.75" customHeight="1" x14ac:dyDescent="0.5">
      <c r="A988" s="23"/>
      <c r="C988" s="23"/>
      <c r="F988" s="2"/>
      <c r="G988" s="2"/>
    </row>
    <row r="989" spans="1:7" ht="15.75" customHeight="1" x14ac:dyDescent="0.5">
      <c r="A989" s="23"/>
      <c r="C989" s="23"/>
      <c r="F989" s="2"/>
      <c r="G989" s="2"/>
    </row>
    <row r="990" spans="1:7" ht="15.75" customHeight="1" x14ac:dyDescent="0.5">
      <c r="A990" s="23"/>
      <c r="C990" s="23"/>
      <c r="F990" s="2"/>
      <c r="G990" s="2"/>
    </row>
    <row r="991" spans="1:7" ht="15.75" customHeight="1" x14ac:dyDescent="0.5">
      <c r="A991" s="23"/>
      <c r="C991" s="23"/>
      <c r="F991" s="2"/>
      <c r="G991" s="2"/>
    </row>
    <row r="992" spans="1:7" ht="15.75" customHeight="1" x14ac:dyDescent="0.5">
      <c r="A992" s="23"/>
      <c r="C992" s="23"/>
      <c r="F992" s="2"/>
      <c r="G992" s="2"/>
    </row>
    <row r="993" spans="1:7" ht="15.75" customHeight="1" x14ac:dyDescent="0.5">
      <c r="A993" s="23"/>
      <c r="C993" s="23"/>
      <c r="F993" s="2"/>
      <c r="G993" s="2"/>
    </row>
    <row r="994" spans="1:7" ht="15.75" customHeight="1" x14ac:dyDescent="0.5">
      <c r="A994" s="23"/>
      <c r="C994" s="23"/>
      <c r="F994" s="2"/>
      <c r="G994" s="2"/>
    </row>
    <row r="995" spans="1:7" ht="15.75" customHeight="1" x14ac:dyDescent="0.5">
      <c r="A995" s="23"/>
      <c r="C995" s="23"/>
      <c r="F995" s="2"/>
      <c r="G995" s="2"/>
    </row>
    <row r="996" spans="1:7" ht="15.75" customHeight="1" x14ac:dyDescent="0.5">
      <c r="A996" s="23"/>
      <c r="C996" s="23"/>
      <c r="F996" s="2"/>
      <c r="G996" s="2"/>
    </row>
    <row r="997" spans="1:7" ht="15.75" customHeight="1" x14ac:dyDescent="0.5">
      <c r="A997" s="23"/>
      <c r="C997" s="23"/>
      <c r="F997" s="2"/>
      <c r="G997" s="2"/>
    </row>
    <row r="998" spans="1:7" ht="15.75" customHeight="1" x14ac:dyDescent="0.5">
      <c r="A998" s="23"/>
      <c r="C998" s="23"/>
      <c r="F998" s="2"/>
      <c r="G998" s="2"/>
    </row>
  </sheetData>
  <autoFilter ref="A1:A998" xr:uid="{9D281048-9C05-6242-9BF8-28B6842B792F}"/>
  <sortState xmlns:xlrd2="http://schemas.microsoft.com/office/spreadsheetml/2017/richdata2" ref="A2:G999">
    <sortCondition sortBy="cellColor" ref="D2:D999" dxfId="26"/>
    <sortCondition sortBy="cellColor" ref="D2:D999" dxfId="25"/>
    <sortCondition sortBy="cellColor" ref="D2:D999" dxfId="24"/>
    <sortCondition sortBy="cellColor" ref="D2:D999" dxfId="23"/>
    <sortCondition sortBy="cellColor" ref="D2:D999" dxfId="22"/>
    <sortCondition sortBy="cellColor" ref="D2:D999" dxfId="21"/>
    <sortCondition sortBy="cellColor" ref="D2:D999" dxfId="20"/>
    <sortCondition sortBy="cellColor" ref="D2:D999" dxfId="19"/>
    <sortCondition sortBy="cellColor" ref="D2:D999" dxfId="18"/>
  </sortState>
  <hyperlinks>
    <hyperlink ref="G117" r:id="rId1" xr:uid="{2C3AEF1D-3D1F-9848-B69C-9FC71B5637C8}"/>
    <hyperlink ref="G12" r:id="rId2" xr:uid="{375B95F2-536F-B044-98C4-E9860BC4C018}"/>
    <hyperlink ref="G15" r:id="rId3" xr:uid="{07A8D1F7-5E40-A84E-96EE-DCFAFD74FE88}"/>
    <hyperlink ref="G118" r:id="rId4" xr:uid="{295FD907-E8CE-EF4C-8B96-532162ED2415}"/>
    <hyperlink ref="G109" r:id="rId5" xr:uid="{59F47A5C-DC39-C849-930C-EC6347132698}"/>
    <hyperlink ref="G86" r:id="rId6" xr:uid="{5A44219B-807F-854D-8601-B5AD9C91EB15}"/>
    <hyperlink ref="G52" r:id="rId7" xr:uid="{6BC926C3-FFE9-EE45-B7CA-D1DAC66027B7}"/>
    <hyperlink ref="F120" r:id="rId8" xr:uid="{8720B3D0-4262-A845-8636-70FC9BF29433}"/>
    <hyperlink ref="G120" r:id="rId9" xr:uid="{F26EBC82-952F-0143-A64D-1263F80DDCD8}"/>
    <hyperlink ref="F121" r:id="rId10" xr:uid="{C1EDFC9B-79B2-C24C-B606-AECA3206C6BD}"/>
    <hyperlink ref="G121" r:id="rId11" xr:uid="{4024BF36-5F00-8F4D-9003-F2A0249CB85D}"/>
    <hyperlink ref="G65" r:id="rId12" xr:uid="{435ED77E-F3D5-7C42-BB22-3F2704820F8C}"/>
    <hyperlink ref="G122" r:id="rId13" xr:uid="{6154A6C3-118C-A441-B460-8F4D6BA37EE2}"/>
    <hyperlink ref="G123" r:id="rId14" xr:uid="{FCCAEAD9-6F29-6446-8CD1-0BEB752AC24A}"/>
    <hyperlink ref="G14" r:id="rId15" xr:uid="{C6C0B282-8016-024D-881C-88D510CC71F8}"/>
    <hyperlink ref="G119" r:id="rId16" xr:uid="{10E6956E-5472-BF4C-B09C-C5FC4D627C8A}"/>
    <hyperlink ref="G129" r:id="rId17" xr:uid="{92143EBD-D25F-C945-A8AB-B00B34611C4E}"/>
    <hyperlink ref="G59" r:id="rId18" xr:uid="{FAAE97A9-C696-5C46-9A73-30EED8AE3184}"/>
    <hyperlink ref="G21" r:id="rId19" xr:uid="{A822232E-53D2-B04A-80D7-637D0B0EEF7F}"/>
    <hyperlink ref="F66" r:id="rId20" xr:uid="{08932E08-ACA8-A84F-A10E-F480696CB6B4}"/>
    <hyperlink ref="G66" r:id="rId21" xr:uid="{53E07E36-E99D-9543-B58C-1A49C69E86C5}"/>
    <hyperlink ref="G87" r:id="rId22" xr:uid="{8A22E16A-DC6D-414A-90E1-79A25DB23C0F}"/>
    <hyperlink ref="G136" r:id="rId23" xr:uid="{92F53712-394D-A84C-8270-89A83E156FAC}"/>
    <hyperlink ref="G57" r:id="rId24" xr:uid="{08C0A60B-D4A0-5C44-AD40-6D5B6A15FDAC}"/>
    <hyperlink ref="F131" r:id="rId25" xr:uid="{EB06F581-1831-874B-BFBB-E2EDAC4543B1}"/>
    <hyperlink ref="G131" r:id="rId26" xr:uid="{35A3B90B-3B7F-AE40-B968-40F773347B39}"/>
    <hyperlink ref="F88" r:id="rId27" xr:uid="{22086990-6BD2-8745-ADA5-35BFB80028AD}"/>
    <hyperlink ref="G88" r:id="rId28" xr:uid="{14DBAF4B-556B-CC4F-92AE-B124EE8A021A}"/>
    <hyperlink ref="F128" r:id="rId29" xr:uid="{5F9D49F6-5FCB-A24A-99DC-B23AC717064A}"/>
    <hyperlink ref="G128" r:id="rId30" location="sec2" xr:uid="{2FF20BC8-4C54-BB43-8E0B-30F28CE69701}"/>
    <hyperlink ref="F22" r:id="rId31" xr:uid="{587A27F2-96C9-734A-9CAF-5605DC349673}"/>
    <hyperlink ref="G22" r:id="rId32" location="ec0005" xr:uid="{CAC3B30C-4BED-D546-AD71-453D4D1CBA8C}"/>
    <hyperlink ref="F89" r:id="rId33" xr:uid="{AFFDE4CF-CA6F-3B46-8BCF-6F307682BD54}"/>
    <hyperlink ref="G89" r:id="rId34" xr:uid="{EF46C1B3-3307-3B43-861C-ABAF734BEDB8}"/>
    <hyperlink ref="F79" r:id="rId35" xr:uid="{2760F001-B83F-524D-BF41-0A87C702EBDF}"/>
    <hyperlink ref="G79" r:id="rId36" location="f0005" xr:uid="{B9195EE9-275E-A34B-97E7-B1DFDCF216D4}"/>
    <hyperlink ref="F23" r:id="rId37" xr:uid="{9481B45B-DA43-E245-8090-079B9BDC4701}"/>
    <hyperlink ref="G23" r:id="rId38" location="t0005" xr:uid="{488169F5-1A77-B84B-8E3A-10D4D63DA0F6}"/>
    <hyperlink ref="F24" r:id="rId39" xr:uid="{8ACB9D4D-494B-CE46-ACF8-C8646F2DF7C8}"/>
    <hyperlink ref="G24" r:id="rId40" location="appsec1" xr:uid="{7F8B2808-28D0-F24F-94D4-E36CC0FC2E53}"/>
    <hyperlink ref="F25" r:id="rId41" xr:uid="{46F60A7D-6155-C44A-AE36-B744A29D8FD0}"/>
    <hyperlink ref="G25" r:id="rId42" location="f0005" xr:uid="{91986CE0-A870-6948-BD90-E32804D591AE}"/>
    <hyperlink ref="F51" r:id="rId43" xr:uid="{B0443BF1-FBB6-7E44-8808-BCD5F895E5E0}"/>
    <hyperlink ref="G51" r:id="rId44" location="s0070" xr:uid="{02530F69-B476-6242-AFE6-F428853F356C}"/>
    <hyperlink ref="F26" r:id="rId45" xr:uid="{4F925DCF-17C1-FE40-AED3-E2F75251705B}"/>
    <hyperlink ref="G26" r:id="rId46" xr:uid="{397173F6-19ED-6F41-8FA3-D4D55FB4771E}"/>
    <hyperlink ref="F93" r:id="rId47" xr:uid="{37412A34-D614-CE49-98F4-37E27C05861B}"/>
    <hyperlink ref="G93" r:id="rId48" location="s0050" xr:uid="{04DA0157-7B14-D34D-BCE8-92623587BFDE}"/>
    <hyperlink ref="G124" r:id="rId49" xr:uid="{23708BFB-63CA-1740-85ED-C03321ACA560}"/>
    <hyperlink ref="F137" r:id="rId50" xr:uid="{14CEEC6A-A354-0549-94C4-4B00E3C11942}"/>
    <hyperlink ref="G137" r:id="rId51" location="f0005" xr:uid="{214665EB-2B9F-7547-897E-014E5CEC3FB3}"/>
    <hyperlink ref="G73" r:id="rId52" xr:uid="{47D9E8BD-5640-404C-9BE5-103968A2E215}"/>
    <hyperlink ref="F33" r:id="rId53" xr:uid="{82BBB949-5443-EA41-881D-E81AC0DE59B7}"/>
    <hyperlink ref="G33" r:id="rId54" location="f0005" xr:uid="{536775C3-4402-A142-AE9B-5C961F3CAED0}"/>
    <hyperlink ref="F34" r:id="rId55" xr:uid="{9DA41EBC-5F9F-6B43-99A5-27C2CF68BFF4}"/>
    <hyperlink ref="G34" r:id="rId56" xr:uid="{4D22E422-8297-8745-BE5D-15500D5849FC}"/>
    <hyperlink ref="F35" r:id="rId57" xr:uid="{B5438DEE-3BA5-9347-8994-C6942C47B507}"/>
    <hyperlink ref="G35" r:id="rId58" xr:uid="{C5198C89-A2FB-CF43-B96B-35B922B76107}"/>
    <hyperlink ref="F27" r:id="rId59" xr:uid="{0ABC83D0-3FEE-564F-953C-E1F20E993E57}"/>
    <hyperlink ref="G27" r:id="rId60" xr:uid="{246A07F3-1556-5D4D-BBFC-5DFAF4667714}"/>
    <hyperlink ref="F28" r:id="rId61" xr:uid="{0DBA5320-C59C-8042-9F81-D740EF523B5A}"/>
    <hyperlink ref="G28" r:id="rId62" location="f0015" xr:uid="{88688E31-E9CC-984A-8A13-793D635CF4CD}"/>
    <hyperlink ref="F29" r:id="rId63" xr:uid="{CC6596BE-B044-9344-ACE2-A9DBC48C4C4F}"/>
    <hyperlink ref="G29" r:id="rId64" location="fig1" xr:uid="{C7C386BF-2435-BA4C-8176-3E239B427AB8}"/>
    <hyperlink ref="F44" r:id="rId65" xr:uid="{9BA927A9-2EAB-2844-899D-3948B2D86B21}"/>
    <hyperlink ref="G44" r:id="rId66" xr:uid="{B131FC7D-37B4-E747-84A8-9BA42BCC0335}"/>
    <hyperlink ref="F30" r:id="rId67" xr:uid="{9E23F099-13F6-DF4F-9B4C-A3B4AA179A2B}"/>
    <hyperlink ref="G30" r:id="rId68" location="f0010" xr:uid="{BCEB0A89-99E3-9049-8C88-8860D9C70272}"/>
    <hyperlink ref="F49" r:id="rId69" xr:uid="{B61E2485-571E-7144-9122-F20CA1EBDA12}"/>
    <hyperlink ref="G49" r:id="rId70" location="f0010" xr:uid="{9EC342E9-9CFC-E344-A638-AAE8B30A1B55}"/>
    <hyperlink ref="F31" r:id="rId71" xr:uid="{83F84F3B-7AED-6A43-B5F9-44F359AAD460}"/>
    <hyperlink ref="G31" r:id="rId72" xr:uid="{B40A3744-F847-8849-AC07-7457456F16AD}"/>
    <hyperlink ref="F125" r:id="rId73" xr:uid="{D0FFC503-5D63-B942-B3CD-8577E524CA90}"/>
    <hyperlink ref="G125" r:id="rId74" xr:uid="{0C3CFD1B-858F-3246-B172-1D1DAE0F6B72}"/>
    <hyperlink ref="F16" r:id="rId75" xr:uid="{7DCECA6B-DCBE-B845-8CAD-1843B8B60725}"/>
    <hyperlink ref="G16" r:id="rId76" location="s0005" xr:uid="{DEC6FD31-9027-3A46-BF3A-D886D5297E06}"/>
    <hyperlink ref="F48" r:id="rId77" xr:uid="{72B8F8C0-3B0F-ED4E-8FB7-139C4E5BDF14}"/>
    <hyperlink ref="G48" r:id="rId78" xr:uid="{B2E81A90-CA5B-A44C-854E-13DEF87BE4AC}"/>
    <hyperlink ref="F60" r:id="rId79" xr:uid="{2D2B2595-6FF6-7E40-8C4F-70386AD24F44}"/>
    <hyperlink ref="G60" r:id="rId80" location="f0005" xr:uid="{BAAB42F3-5901-5240-A353-D162E1ECBADF}"/>
    <hyperlink ref="F13" r:id="rId81" xr:uid="{92130934-3CC5-2A43-A9B3-D8351917036A}"/>
    <hyperlink ref="G13" r:id="rId82" location="s1085" xr:uid="{A4AF4368-FB35-A949-9BDF-D9B09FA42E53}"/>
    <hyperlink ref="F126" r:id="rId83" xr:uid="{9A338814-2A9D-7147-B033-DFE18CDB221E}"/>
    <hyperlink ref="G126" r:id="rId84" location="f0020" xr:uid="{0334BF47-00AD-D34C-B9FB-970C9F317DB2}"/>
    <hyperlink ref="F127" r:id="rId85" xr:uid="{182801E8-B204-6C49-9678-FEC33CB22160}"/>
    <hyperlink ref="G127" r:id="rId86" xr:uid="{B0DAC3A2-2651-7E45-9E3A-EA71E206B237}"/>
    <hyperlink ref="F110" r:id="rId87" xr:uid="{9900A8B7-A06F-9148-9715-56C4B8CA330D}"/>
    <hyperlink ref="G110" r:id="rId88" xr:uid="{3BE93204-F0B8-404B-B573-71B43CAB177D}"/>
    <hyperlink ref="G75" r:id="rId89" xr:uid="{00FFD641-8544-0D4E-9F27-C6F14626FCF6}"/>
    <hyperlink ref="F67" r:id="rId90" xr:uid="{463B10E2-532C-5941-BAC7-8ADC2D93D26C}"/>
    <hyperlink ref="G67" r:id="rId91" location="t0005" xr:uid="{4B7B1F56-F3A6-DC48-8C7F-BB4E53025702}"/>
    <hyperlink ref="G43" r:id="rId92" xr:uid="{49651D27-217D-BD4C-B8D7-72779EC88783}"/>
    <hyperlink ref="F32" r:id="rId93" xr:uid="{CBFBF274-52BC-2E43-83DC-BB4F154391B2}"/>
    <hyperlink ref="G32" r:id="rId94" location="f0005" xr:uid="{DCE43D72-6FF8-EA45-B84C-C9792DE9570A}"/>
    <hyperlink ref="F45" r:id="rId95" xr:uid="{8B32F7EC-BF23-3A4B-95AD-997003A4DACC}"/>
    <hyperlink ref="G45" r:id="rId96" location="f000005" xr:uid="{9469A64A-CAF4-E04F-AF4A-1E4684C01CB0}"/>
    <hyperlink ref="F81" r:id="rId97" xr:uid="{C69474BB-8F2F-F141-89E7-3ECAB9E36892}"/>
    <hyperlink ref="G81" r:id="rId98" xr:uid="{E1064BBB-B5B4-F143-B566-DCBB306A19D7}"/>
    <hyperlink ref="F82" r:id="rId99" xr:uid="{29B6E43F-E1F2-1147-9748-F7B3980E316B}"/>
    <hyperlink ref="G82" r:id="rId100" xr:uid="{ECA92F1B-F9BB-D448-B819-34216D5E88B9}"/>
    <hyperlink ref="F50" r:id="rId101" xr:uid="{36DA4B27-C27E-FD46-A879-9FADD4B7B167}"/>
    <hyperlink ref="G50" r:id="rId102" xr:uid="{D6E9C3A6-04EA-EA4A-8B87-7FB4F2B88AAE}"/>
    <hyperlink ref="F20" r:id="rId103" xr:uid="{AEEB76C1-E1D1-C54B-8C94-5FDCB8D6C89B}"/>
    <hyperlink ref="G20" r:id="rId104" xr:uid="{C1FA32A3-F750-CE40-93D1-6EA16EF0FBFF}"/>
    <hyperlink ref="F111" r:id="rId105" xr:uid="{EE34C1D5-2AB2-D64A-A4EF-1B6FDA0D620B}"/>
    <hyperlink ref="G111" r:id="rId106" xr:uid="{866DA08C-F7F3-674E-9286-154689C06BDD}"/>
    <hyperlink ref="F112" r:id="rId107" xr:uid="{46546F77-AFA8-6C48-BCA3-FCDC4F47B816}"/>
    <hyperlink ref="G112" r:id="rId108" location="f0015" xr:uid="{0F3F7C02-4B4F-F748-A335-15609E7261BB}"/>
    <hyperlink ref="F8" r:id="rId109" xr:uid="{DDF11D38-446C-8D4C-938B-960EEF28EDC0}"/>
    <hyperlink ref="G8" r:id="rId110" xr:uid="{60AC981E-8636-8C41-99E6-AF706CC86AAC}"/>
    <hyperlink ref="G113" r:id="rId111" xr:uid="{59C09F56-2545-4449-8C55-19863BB12681}"/>
    <hyperlink ref="F3" r:id="rId112" xr:uid="{138A895B-A9F5-A74B-AAEC-4401DD99AD5C}"/>
    <hyperlink ref="F4" r:id="rId113" xr:uid="{9A88F6C7-69B1-3D48-9359-0CB5FE7CE2CC}"/>
    <hyperlink ref="F5" r:id="rId114" xr:uid="{1898A535-8272-9445-9401-7DBDE8631BA8}"/>
    <hyperlink ref="F36" r:id="rId115" xr:uid="{643FC0CA-1B35-FA4D-9ADF-C5847A2C6B5F}"/>
    <hyperlink ref="G36" r:id="rId116" xr:uid="{16E0AA3E-930B-B44B-A819-98D798D384D5}"/>
    <hyperlink ref="F105" r:id="rId117" xr:uid="{56C396D6-C22F-E74B-AEE2-C0A0E35CE89E}"/>
    <hyperlink ref="F71" r:id="rId118" xr:uid="{C1057F4F-4CF4-1248-8B77-44958D697B20}"/>
    <hyperlink ref="F114" r:id="rId119" xr:uid="{B52C104A-3050-6E41-89DD-24C15F104A63}"/>
    <hyperlink ref="G114" r:id="rId120" xr:uid="{B119F2DF-EC65-DC49-B5E0-3C4DE29EC241}"/>
    <hyperlink ref="F80" r:id="rId121" xr:uid="{D76B201C-DE56-AA46-B3E8-CAFD8DF559AA}"/>
    <hyperlink ref="F91" r:id="rId122" xr:uid="{29B381E3-BD0A-AE44-AE10-BB847154B2A5}"/>
    <hyperlink ref="G91" r:id="rId123" xr:uid="{715E4805-95CC-F947-9C29-CA5DF0253B24}"/>
    <hyperlink ref="F9" r:id="rId124" xr:uid="{19B6FD5E-8006-7748-B4EB-E97ECAAC789C}"/>
    <hyperlink ref="G9" r:id="rId125" xr:uid="{3E5E348A-57D2-CB42-B67A-F9A7C60F71F2}"/>
    <hyperlink ref="F64" r:id="rId126" xr:uid="{C2332EF6-B21F-024D-AA2D-9E82DC5C10D1}"/>
    <hyperlink ref="G64" r:id="rId127" xr:uid="{16A411B2-3FD7-884F-BE02-2841E811B52A}"/>
    <hyperlink ref="F106" r:id="rId128" xr:uid="{AFDD694C-06C0-D543-9050-7B3061523846}"/>
    <hyperlink ref="G106" r:id="rId129" xr:uid="{D12C9004-345C-0249-BE83-532D6D914FFE}"/>
    <hyperlink ref="F10" r:id="rId130" xr:uid="{DE53D39C-1702-2942-B846-A804016E34C8}"/>
    <hyperlink ref="F90" r:id="rId131" xr:uid="{584B96E5-7AAA-6946-B380-0DA41A74B08D}"/>
    <hyperlink ref="F63" r:id="rId132" xr:uid="{79305B27-24FB-2242-A544-155F32ECD233}"/>
    <hyperlink ref="F37" r:id="rId133" xr:uid="{9DB004E5-7C43-FF41-AAFB-D120B9C09CF3}"/>
    <hyperlink ref="F78" r:id="rId134" xr:uid="{AA986319-71EA-7946-AD6D-15279590B021}"/>
    <hyperlink ref="F107" r:id="rId135" xr:uid="{4C8C1F22-2486-AE4F-B126-61EEA6FF158A}"/>
    <hyperlink ref="F38" r:id="rId136" xr:uid="{CED79E55-0C09-014B-9335-65440357EDC4}"/>
    <hyperlink ref="G38" r:id="rId137" xr:uid="{33115970-70D4-744B-9619-C84978B98A04}"/>
    <hyperlink ref="F39" r:id="rId138" xr:uid="{D578FDE1-8FD2-144F-8457-62A34E50BBB6}"/>
    <hyperlink ref="F40" r:id="rId139" xr:uid="{475735E9-4E0A-A342-AD90-335988EA8D8D}"/>
    <hyperlink ref="F92" r:id="rId140" xr:uid="{CF3295F1-B56E-A641-8B8F-7BED1BD275A2}"/>
    <hyperlink ref="F134" r:id="rId141" xr:uid="{3B7508E6-4C2B-E64F-977D-2AB18ECE0308}"/>
    <hyperlink ref="F83" r:id="rId142" xr:uid="{1540472F-8F61-8A49-8783-0A56B01D19A1}"/>
    <hyperlink ref="F108" r:id="rId143" xr:uid="{F3F9B913-59D9-E64E-8EA9-BBC13E7E479F}"/>
    <hyperlink ref="F11" r:id="rId144" xr:uid="{81B12557-987B-CC4B-89EA-80EFAA9D4BAF}"/>
    <hyperlink ref="F47" r:id="rId145" xr:uid="{E0478E5E-7CE7-8840-8DCC-0410B9FD13E9}"/>
    <hyperlink ref="F17" r:id="rId146" xr:uid="{B46DFF46-C5D6-8942-A6A2-D5ACD40A4539}"/>
    <hyperlink ref="F115" r:id="rId147" xr:uid="{6401C889-799B-E74F-B5CA-81CED26490B7}"/>
    <hyperlink ref="F41" r:id="rId148" xr:uid="{E74CF902-DBEC-F546-ACE8-6A9DEA9C6B91}"/>
    <hyperlink ref="F42" r:id="rId149" xr:uid="{4513A4E1-3665-F549-9169-7CB95A2AB486}"/>
    <hyperlink ref="F69" r:id="rId150" xr:uid="{6FE930D1-4F7D-A440-9A1A-47A90AA61EE0}"/>
    <hyperlink ref="F70" r:id="rId151" xr:uid="{5EDB76DA-FC49-9C49-82AD-7CB14551B1B0}"/>
    <hyperlink ref="F116" r:id="rId152" xr:uid="{D7F0A172-6FB7-8F45-A2BF-4AD43FBEA9FB}"/>
    <hyperlink ref="F53" r:id="rId153" xr:uid="{AC7D9841-3E33-AD45-91F0-F9389AA10B73}"/>
    <hyperlink ref="F113" r:id="rId154" xr:uid="{9DE56044-287C-1A44-A89D-FAC47551840F}"/>
    <hyperlink ref="F103" r:id="rId155" xr:uid="{0A60A7A4-6C6F-448A-BFB0-4EF7201E0A88}"/>
    <hyperlink ref="F77" r:id="rId156" xr:uid="{F7E9A675-E2FA-44BD-8429-2213F0BF8A33}"/>
    <hyperlink ref="F2" r:id="rId157" tooltip="Persistent link using digital object identifier" xr:uid="{A832C919-ADDC-437F-8D57-9053851B3250}"/>
    <hyperlink ref="F54" r:id="rId158" tooltip="Persistent link using digital object identifier" xr:uid="{7A0FCDDB-37DA-4472-ABB7-A2EA2FA05D94}"/>
    <hyperlink ref="F55" r:id="rId159" tooltip="DOI URL" xr:uid="{D0A984C5-0966-45B9-A732-5F6E4820FFB3}"/>
    <hyperlink ref="F56" r:id="rId160" xr:uid="{DD72A198-A422-4DC2-A03D-A7EF687914C3}"/>
    <hyperlink ref="F104" r:id="rId161" xr:uid="{9E4E04FD-B63D-4967-BBE6-062594B50BF2}"/>
    <hyperlink ref="G133" r:id="rId162" location="ab0015" display="https://www-sciencedirect-com.sid2nomade-2.grenet.fr/science/article/pii/S0048969722041353 - ab0015" xr:uid="{4D333A06-FB47-486E-BA3E-78E31871C29B}"/>
    <hyperlink ref="G132" r:id="rId163" display="https://www-sciencedirect-com.sid2nomade-1.grenet.fr/science/article/pii/S0025326X18308890?via%3Dihub" xr:uid="{683A0FC3-22D2-4955-B4F3-2BF33D489122}"/>
    <hyperlink ref="G130" r:id="rId164" display="https://www-sciencedirect-com.sid2nomade-2.grenet.fr/science/article/pii/S0272771419311758" xr:uid="{7CE8FF9B-BB17-48C8-B7D9-BF8FE13B0F3C}"/>
    <hyperlink ref="G6" r:id="rId165" xr:uid="{3B17850C-0B48-4F6D-8351-1E5C740BD5EA}"/>
    <hyperlink ref="F18" r:id="rId166" xr:uid="{90E824F5-8DAD-4D13-A999-9F994EFFD5B9}"/>
    <hyperlink ref="F61" r:id="rId167" xr:uid="{413832A8-7C97-464B-8092-7519387BDD85}"/>
    <hyperlink ref="F62" r:id="rId168" tooltip="Persistent link using digital object identifier" xr:uid="{5A2A65D8-E75A-4675-900A-11419FF6A8E0}"/>
    <hyperlink ref="F94" r:id="rId169" tooltip="DOI URL" xr:uid="{683B83F4-99F5-4BF8-849A-232647554A33}"/>
    <hyperlink ref="F68" r:id="rId170" xr:uid="{742882AE-CE28-4F83-8DE2-4AF680DE7E66}"/>
    <hyperlink ref="F97" r:id="rId171" display="https://doi.org/10.1016/j.marpolbul.2024.116393" xr:uid="{90E44A64-733A-4FEA-A482-32A8AFAA7171}"/>
    <hyperlink ref="F98" r:id="rId172" tooltip="Persistent link using digital object identifier" xr:uid="{BF929B02-3259-4E90-A602-18E10C8E8B0E}"/>
    <hyperlink ref="F99" r:id="rId173" tooltip="Persistent link using digital object identifier" xr:uid="{D114DD0C-FEA2-4775-BADF-0C634764A296}"/>
    <hyperlink ref="F100" r:id="rId174" xr:uid="{905E6433-1900-4557-B358-D32ACB3B582A}"/>
    <hyperlink ref="F101" r:id="rId175" tooltip="Persistent link using digital object identifier" xr:uid="{F3A6983D-8723-4958-8DE2-C66FECF8AA8A}"/>
    <hyperlink ref="G102" r:id="rId176" location="abstract1" display="https://pmc.ncbi.nlm.nih.gov/articles/PMC12737124/ - abstract1" xr:uid="{B39F6D7C-5E02-4541-9688-DDC79100DCBB}"/>
    <hyperlink ref="F19" r:id="rId177" display="https://doi.org/10.1126/sciadv.add2348" xr:uid="{49C3E3EF-149A-4D4B-BF36-B5265E285835}"/>
  </hyperlinks>
  <pageMargins left="0.7" right="0.7" top="0.75" bottom="0.75" header="0.3" footer="0.3"/>
  <pageSetup paperSize="9" orientation="portrait" r:id="rId1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88EB-9E92-451B-978B-AB51B2401448}">
  <dimension ref="A1"/>
  <sheetViews>
    <sheetView workbookViewId="0"/>
  </sheetViews>
  <sheetFormatPr baseColWidth="10" defaultRowHeight="15.75" x14ac:dyDescent="0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9C90-621F-4C4F-8F69-2B0B883EAE3E}">
  <dimension ref="A1:E110"/>
  <sheetViews>
    <sheetView zoomScale="67" workbookViewId="0">
      <selection activeCell="C34" sqref="C34"/>
    </sheetView>
  </sheetViews>
  <sheetFormatPr baseColWidth="10" defaultColWidth="8.6875" defaultRowHeight="15.75" x14ac:dyDescent="0.5"/>
  <cols>
    <col min="1" max="1" width="30.5" customWidth="1"/>
    <col min="2" max="2" width="11.125" style="23" customWidth="1"/>
    <col min="3" max="3" width="78.1875" customWidth="1"/>
    <col min="4" max="4" width="19.1875" customWidth="1"/>
    <col min="5" max="5" width="17.8125" customWidth="1"/>
  </cols>
  <sheetData>
    <row r="1" spans="1:5" x14ac:dyDescent="0.5">
      <c r="A1" s="9" t="s">
        <v>62</v>
      </c>
      <c r="B1" s="8" t="s">
        <v>63</v>
      </c>
      <c r="C1" s="9" t="s">
        <v>64</v>
      </c>
      <c r="D1" s="9" t="s">
        <v>848</v>
      </c>
      <c r="E1" s="24" t="s">
        <v>67</v>
      </c>
    </row>
    <row r="2" spans="1:5" x14ac:dyDescent="0.5">
      <c r="A2" t="s">
        <v>843</v>
      </c>
      <c r="B2" s="23">
        <v>1998</v>
      </c>
      <c r="C2" t="s">
        <v>844</v>
      </c>
      <c r="D2" t="s">
        <v>845</v>
      </c>
      <c r="E2" s="22" t="s">
        <v>685</v>
      </c>
    </row>
    <row r="3" spans="1:5" x14ac:dyDescent="0.5">
      <c r="A3" t="s">
        <v>846</v>
      </c>
      <c r="B3" s="23">
        <v>1982</v>
      </c>
      <c r="C3" t="s">
        <v>849</v>
      </c>
      <c r="D3" t="s">
        <v>850</v>
      </c>
      <c r="E3" s="22"/>
    </row>
    <row r="4" spans="1:5" x14ac:dyDescent="0.5">
      <c r="A4" t="s">
        <v>846</v>
      </c>
      <c r="B4" s="23">
        <v>1982</v>
      </c>
      <c r="C4" t="s">
        <v>970</v>
      </c>
      <c r="D4" t="s">
        <v>847</v>
      </c>
      <c r="E4" s="22" t="s">
        <v>703</v>
      </c>
    </row>
    <row r="5" spans="1:5" x14ac:dyDescent="0.5">
      <c r="A5" t="s">
        <v>851</v>
      </c>
      <c r="B5" s="23">
        <v>2008</v>
      </c>
      <c r="C5" t="s">
        <v>852</v>
      </c>
      <c r="D5" t="s">
        <v>853</v>
      </c>
      <c r="E5" s="22" t="s">
        <v>705</v>
      </c>
    </row>
    <row r="6" spans="1:5" x14ac:dyDescent="0.5">
      <c r="A6" t="s">
        <v>706</v>
      </c>
      <c r="B6" s="23">
        <v>2007</v>
      </c>
      <c r="C6" t="s">
        <v>854</v>
      </c>
      <c r="D6" t="s">
        <v>845</v>
      </c>
      <c r="E6" s="22" t="s">
        <v>708</v>
      </c>
    </row>
    <row r="7" spans="1:5" x14ac:dyDescent="0.5">
      <c r="A7" t="s">
        <v>706</v>
      </c>
      <c r="B7" s="23">
        <v>2008</v>
      </c>
      <c r="C7" t="s">
        <v>855</v>
      </c>
      <c r="D7" t="s">
        <v>847</v>
      </c>
      <c r="E7" s="22" t="s">
        <v>707</v>
      </c>
    </row>
    <row r="8" spans="1:5" x14ac:dyDescent="0.5">
      <c r="A8" t="s">
        <v>856</v>
      </c>
      <c r="B8" s="23">
        <v>2007</v>
      </c>
      <c r="C8" t="s">
        <v>857</v>
      </c>
      <c r="D8" t="s">
        <v>179</v>
      </c>
      <c r="E8" s="22" t="s">
        <v>715</v>
      </c>
    </row>
    <row r="9" spans="1:5" x14ac:dyDescent="0.5">
      <c r="A9" t="s">
        <v>838</v>
      </c>
      <c r="B9" s="23">
        <v>2017</v>
      </c>
      <c r="C9" t="s">
        <v>840</v>
      </c>
      <c r="D9" t="s">
        <v>841</v>
      </c>
      <c r="E9" s="22" t="s">
        <v>842</v>
      </c>
    </row>
    <row r="10" spans="1:5" x14ac:dyDescent="0.5">
      <c r="A10" t="s">
        <v>858</v>
      </c>
      <c r="B10" s="23">
        <v>1993</v>
      </c>
      <c r="C10" t="s">
        <v>859</v>
      </c>
      <c r="D10" t="s">
        <v>845</v>
      </c>
      <c r="E10" s="22" t="s">
        <v>679</v>
      </c>
    </row>
    <row r="11" spans="1:5" x14ac:dyDescent="0.5">
      <c r="A11" t="s">
        <v>862</v>
      </c>
      <c r="B11" s="23">
        <v>2010</v>
      </c>
      <c r="C11" t="s">
        <v>863</v>
      </c>
      <c r="D11" t="s">
        <v>102</v>
      </c>
      <c r="E11" s="22" t="s">
        <v>718</v>
      </c>
    </row>
    <row r="12" spans="1:5" x14ac:dyDescent="0.5">
      <c r="A12" t="s">
        <v>860</v>
      </c>
      <c r="B12" s="23">
        <v>2010</v>
      </c>
      <c r="C12" t="s">
        <v>861</v>
      </c>
      <c r="D12" t="s">
        <v>847</v>
      </c>
      <c r="E12" s="22" t="s">
        <v>717</v>
      </c>
    </row>
    <row r="13" spans="1:5" x14ac:dyDescent="0.5">
      <c r="A13" t="s">
        <v>864</v>
      </c>
      <c r="B13" s="23">
        <v>1987</v>
      </c>
      <c r="C13" t="s">
        <v>865</v>
      </c>
      <c r="D13" t="s">
        <v>866</v>
      </c>
      <c r="E13" s="22" t="s">
        <v>682</v>
      </c>
    </row>
    <row r="14" spans="1:5" x14ac:dyDescent="0.5">
      <c r="A14" t="s">
        <v>867</v>
      </c>
      <c r="B14" s="23">
        <v>2006</v>
      </c>
      <c r="C14" t="s">
        <v>868</v>
      </c>
      <c r="D14" t="s">
        <v>869</v>
      </c>
      <c r="E14" s="22" t="s">
        <v>720</v>
      </c>
    </row>
    <row r="15" spans="1:5" x14ac:dyDescent="0.5">
      <c r="A15" t="s">
        <v>870</v>
      </c>
      <c r="B15" s="23">
        <v>1992</v>
      </c>
      <c r="C15" t="s">
        <v>871</v>
      </c>
      <c r="D15" t="s">
        <v>872</v>
      </c>
      <c r="E15" s="22" t="s">
        <v>680</v>
      </c>
    </row>
    <row r="16" spans="1:5" x14ac:dyDescent="0.5">
      <c r="A16" t="s">
        <v>873</v>
      </c>
      <c r="B16" s="23">
        <v>2016</v>
      </c>
      <c r="C16" t="s">
        <v>969</v>
      </c>
      <c r="D16" t="s">
        <v>874</v>
      </c>
      <c r="E16" s="22" t="s">
        <v>738</v>
      </c>
    </row>
    <row r="17" spans="1:5" x14ac:dyDescent="0.5">
      <c r="A17" t="s">
        <v>875</v>
      </c>
      <c r="B17" s="23">
        <v>1997</v>
      </c>
      <c r="C17" t="s">
        <v>876</v>
      </c>
      <c r="D17" t="s">
        <v>877</v>
      </c>
      <c r="E17" s="22" t="s">
        <v>677</v>
      </c>
    </row>
    <row r="18" spans="1:5" x14ac:dyDescent="0.5">
      <c r="A18" t="s">
        <v>878</v>
      </c>
      <c r="B18" s="23">
        <v>1993</v>
      </c>
      <c r="C18" t="s">
        <v>879</v>
      </c>
      <c r="D18" t="s">
        <v>880</v>
      </c>
      <c r="E18" s="22" t="s">
        <v>681</v>
      </c>
    </row>
    <row r="19" spans="1:5" x14ac:dyDescent="0.5">
      <c r="A19" t="s">
        <v>881</v>
      </c>
      <c r="B19" s="23">
        <v>1986</v>
      </c>
      <c r="C19" t="s">
        <v>882</v>
      </c>
      <c r="D19" t="s">
        <v>883</v>
      </c>
      <c r="E19" s="22" t="s">
        <v>676</v>
      </c>
    </row>
    <row r="20" spans="1:5" x14ac:dyDescent="0.5">
      <c r="A20" t="s">
        <v>884</v>
      </c>
      <c r="B20" s="23">
        <v>1999</v>
      </c>
      <c r="C20" t="s">
        <v>885</v>
      </c>
      <c r="D20" t="s">
        <v>886</v>
      </c>
      <c r="E20" s="22" t="s">
        <v>683</v>
      </c>
    </row>
    <row r="21" spans="1:5" x14ac:dyDescent="0.5">
      <c r="A21" t="s">
        <v>887</v>
      </c>
      <c r="B21" s="23">
        <v>1993</v>
      </c>
      <c r="C21" t="s">
        <v>888</v>
      </c>
      <c r="D21" t="s">
        <v>889</v>
      </c>
      <c r="E21" s="22" t="s">
        <v>684</v>
      </c>
    </row>
    <row r="22" spans="1:5" x14ac:dyDescent="0.5">
      <c r="A22" t="s">
        <v>890</v>
      </c>
      <c r="B22" s="23">
        <v>2016</v>
      </c>
      <c r="C22" t="s">
        <v>891</v>
      </c>
      <c r="D22" t="s">
        <v>892</v>
      </c>
      <c r="E22" s="22" t="s">
        <v>800</v>
      </c>
    </row>
    <row r="23" spans="1:5" x14ac:dyDescent="0.5">
      <c r="A23" t="s">
        <v>893</v>
      </c>
      <c r="B23" s="23">
        <v>1979</v>
      </c>
      <c r="C23" t="s">
        <v>894</v>
      </c>
      <c r="D23" t="s">
        <v>895</v>
      </c>
    </row>
    <row r="24" spans="1:5" x14ac:dyDescent="0.5">
      <c r="A24" t="s">
        <v>896</v>
      </c>
      <c r="B24" s="23">
        <v>2005</v>
      </c>
      <c r="C24" t="s">
        <v>897</v>
      </c>
      <c r="D24" t="s">
        <v>847</v>
      </c>
      <c r="E24" s="22" t="s">
        <v>769</v>
      </c>
    </row>
    <row r="25" spans="1:5" x14ac:dyDescent="0.5">
      <c r="A25" t="s">
        <v>898</v>
      </c>
      <c r="B25" s="23">
        <v>2018</v>
      </c>
      <c r="C25" t="s">
        <v>899</v>
      </c>
      <c r="D25" t="s">
        <v>900</v>
      </c>
      <c r="E25" s="22" t="s">
        <v>772</v>
      </c>
    </row>
    <row r="26" spans="1:5" x14ac:dyDescent="0.5">
      <c r="A26" t="s">
        <v>898</v>
      </c>
      <c r="B26" s="23">
        <v>2018</v>
      </c>
      <c r="C26" t="s">
        <v>901</v>
      </c>
      <c r="D26" t="s">
        <v>847</v>
      </c>
      <c r="E26" s="22" t="s">
        <v>771</v>
      </c>
    </row>
    <row r="27" spans="1:5" x14ac:dyDescent="0.5">
      <c r="A27" t="s">
        <v>902</v>
      </c>
      <c r="B27" s="23">
        <v>2012</v>
      </c>
      <c r="C27" t="s">
        <v>968</v>
      </c>
      <c r="D27" t="s">
        <v>847</v>
      </c>
      <c r="E27" s="22" t="s">
        <v>774</v>
      </c>
    </row>
    <row r="28" spans="1:5" x14ac:dyDescent="0.5">
      <c r="A28" t="s">
        <v>906</v>
      </c>
      <c r="B28" s="23" t="s">
        <v>839</v>
      </c>
      <c r="C28" t="s">
        <v>907</v>
      </c>
      <c r="D28" t="s">
        <v>908</v>
      </c>
      <c r="E28" s="22" t="s">
        <v>777</v>
      </c>
    </row>
    <row r="29" spans="1:5" x14ac:dyDescent="0.5">
      <c r="A29" t="s">
        <v>903</v>
      </c>
      <c r="B29" s="23" t="s">
        <v>904</v>
      </c>
      <c r="C29" t="s">
        <v>905</v>
      </c>
      <c r="D29" t="s">
        <v>959</v>
      </c>
      <c r="E29" s="22" t="s">
        <v>778</v>
      </c>
    </row>
    <row r="30" spans="1:5" x14ac:dyDescent="0.5">
      <c r="A30" t="s">
        <v>909</v>
      </c>
      <c r="B30" s="23">
        <v>1997</v>
      </c>
      <c r="C30" t="s">
        <v>910</v>
      </c>
      <c r="D30" t="s">
        <v>911</v>
      </c>
    </row>
    <row r="31" spans="1:5" x14ac:dyDescent="0.5">
      <c r="A31" t="s">
        <v>912</v>
      </c>
      <c r="B31" s="23">
        <v>2002</v>
      </c>
      <c r="C31" t="s">
        <v>913</v>
      </c>
      <c r="D31" t="s">
        <v>914</v>
      </c>
      <c r="E31" s="22" t="s">
        <v>686</v>
      </c>
    </row>
    <row r="32" spans="1:5" x14ac:dyDescent="0.5">
      <c r="A32" t="s">
        <v>915</v>
      </c>
      <c r="B32" s="23">
        <v>2018</v>
      </c>
      <c r="C32" t="s">
        <v>916</v>
      </c>
      <c r="D32" t="s">
        <v>917</v>
      </c>
      <c r="E32" s="22" t="s">
        <v>783</v>
      </c>
    </row>
    <row r="33" spans="1:5" x14ac:dyDescent="0.5">
      <c r="A33" t="s">
        <v>918</v>
      </c>
      <c r="B33" s="23">
        <v>1996</v>
      </c>
      <c r="C33" t="s">
        <v>919</v>
      </c>
      <c r="D33" t="s">
        <v>847</v>
      </c>
      <c r="E33" s="22" t="s">
        <v>751</v>
      </c>
    </row>
    <row r="34" spans="1:5" x14ac:dyDescent="0.5">
      <c r="A34" t="s">
        <v>920</v>
      </c>
      <c r="B34" s="23">
        <v>1971</v>
      </c>
      <c r="C34" t="s">
        <v>921</v>
      </c>
      <c r="D34" t="s">
        <v>847</v>
      </c>
      <c r="E34" s="22" t="s">
        <v>782</v>
      </c>
    </row>
    <row r="35" spans="1:5" x14ac:dyDescent="0.5">
      <c r="A35" t="s">
        <v>922</v>
      </c>
      <c r="B35" s="23">
        <v>1993</v>
      </c>
      <c r="C35" t="s">
        <v>923</v>
      </c>
      <c r="D35" t="s">
        <v>924</v>
      </c>
      <c r="E35" s="22" t="s">
        <v>687</v>
      </c>
    </row>
    <row r="36" spans="1:5" x14ac:dyDescent="0.5">
      <c r="A36" t="s">
        <v>925</v>
      </c>
      <c r="B36" s="23">
        <v>2004</v>
      </c>
      <c r="C36" t="s">
        <v>926</v>
      </c>
      <c r="D36" t="s">
        <v>927</v>
      </c>
      <c r="E36" s="22" t="s">
        <v>721</v>
      </c>
    </row>
    <row r="37" spans="1:5" x14ac:dyDescent="0.5">
      <c r="A37" t="s">
        <v>928</v>
      </c>
      <c r="B37" s="23">
        <v>2006</v>
      </c>
      <c r="C37" t="s">
        <v>929</v>
      </c>
      <c r="D37" t="s">
        <v>930</v>
      </c>
      <c r="E37" s="22" t="s">
        <v>789</v>
      </c>
    </row>
    <row r="38" spans="1:5" x14ac:dyDescent="0.5">
      <c r="A38" t="s">
        <v>928</v>
      </c>
      <c r="B38" s="23">
        <v>2006</v>
      </c>
      <c r="C38" t="s">
        <v>931</v>
      </c>
      <c r="D38" t="s">
        <v>847</v>
      </c>
      <c r="E38" s="22" t="s">
        <v>788</v>
      </c>
    </row>
    <row r="39" spans="1:5" x14ac:dyDescent="0.5">
      <c r="A39" t="s">
        <v>932</v>
      </c>
      <c r="B39" s="23">
        <v>2002</v>
      </c>
      <c r="C39" t="s">
        <v>933</v>
      </c>
      <c r="D39" t="s">
        <v>934</v>
      </c>
      <c r="E39" s="22" t="s">
        <v>688</v>
      </c>
    </row>
    <row r="40" spans="1:5" x14ac:dyDescent="0.5">
      <c r="A40" t="s">
        <v>935</v>
      </c>
      <c r="B40" s="23">
        <v>1997</v>
      </c>
      <c r="C40" t="s">
        <v>936</v>
      </c>
      <c r="D40" t="s">
        <v>937</v>
      </c>
      <c r="E40" s="22" t="s">
        <v>689</v>
      </c>
    </row>
    <row r="41" spans="1:5" x14ac:dyDescent="0.5">
      <c r="A41" t="s">
        <v>938</v>
      </c>
      <c r="B41" s="23">
        <v>1999</v>
      </c>
      <c r="C41" t="s">
        <v>939</v>
      </c>
      <c r="D41" t="s">
        <v>845</v>
      </c>
      <c r="E41" s="22" t="s">
        <v>740</v>
      </c>
    </row>
    <row r="42" spans="1:5" x14ac:dyDescent="0.5">
      <c r="A42" t="s">
        <v>940</v>
      </c>
      <c r="B42" s="23">
        <v>2003</v>
      </c>
      <c r="C42" t="s">
        <v>941</v>
      </c>
      <c r="D42" t="s">
        <v>847</v>
      </c>
      <c r="E42" s="22" t="s">
        <v>739</v>
      </c>
    </row>
    <row r="43" spans="1:5" x14ac:dyDescent="0.5">
      <c r="A43" t="s">
        <v>790</v>
      </c>
      <c r="B43" s="23">
        <v>2002</v>
      </c>
      <c r="C43" t="s">
        <v>942</v>
      </c>
      <c r="D43" t="s">
        <v>958</v>
      </c>
      <c r="E43" s="22" t="s">
        <v>792</v>
      </c>
    </row>
    <row r="44" spans="1:5" x14ac:dyDescent="0.5">
      <c r="A44" t="s">
        <v>790</v>
      </c>
      <c r="B44" s="23">
        <v>2002</v>
      </c>
      <c r="C44" t="s">
        <v>943</v>
      </c>
      <c r="D44" t="s">
        <v>847</v>
      </c>
      <c r="E44" s="22" t="s">
        <v>791</v>
      </c>
    </row>
    <row r="45" spans="1:5" x14ac:dyDescent="0.5">
      <c r="A45" t="s">
        <v>944</v>
      </c>
      <c r="B45" s="23">
        <v>2004</v>
      </c>
      <c r="C45" t="s">
        <v>945</v>
      </c>
      <c r="D45" t="s">
        <v>179</v>
      </c>
      <c r="E45" s="22" t="s">
        <v>793</v>
      </c>
    </row>
    <row r="46" spans="1:5" x14ac:dyDescent="0.5">
      <c r="A46" t="s">
        <v>946</v>
      </c>
      <c r="B46" s="23">
        <v>2008</v>
      </c>
      <c r="C46" t="s">
        <v>947</v>
      </c>
      <c r="D46" t="s">
        <v>950</v>
      </c>
      <c r="E46" s="22" t="s">
        <v>743</v>
      </c>
    </row>
    <row r="47" spans="1:5" x14ac:dyDescent="0.5">
      <c r="A47" t="s">
        <v>946</v>
      </c>
      <c r="B47" s="23">
        <v>2008</v>
      </c>
      <c r="C47" t="s">
        <v>971</v>
      </c>
      <c r="D47" t="s">
        <v>847</v>
      </c>
      <c r="E47" s="22" t="s">
        <v>742</v>
      </c>
    </row>
    <row r="48" spans="1:5" x14ac:dyDescent="0.5">
      <c r="A48" t="s">
        <v>948</v>
      </c>
      <c r="B48" s="23">
        <v>1979</v>
      </c>
      <c r="C48" t="s">
        <v>949</v>
      </c>
      <c r="D48" t="s">
        <v>850</v>
      </c>
    </row>
    <row r="49" spans="1:5" x14ac:dyDescent="0.5">
      <c r="A49" t="s">
        <v>948</v>
      </c>
      <c r="B49" s="23">
        <v>1979</v>
      </c>
      <c r="C49" t="s">
        <v>972</v>
      </c>
      <c r="D49" t="s">
        <v>847</v>
      </c>
      <c r="E49" s="22" t="s">
        <v>824</v>
      </c>
    </row>
    <row r="50" spans="1:5" x14ac:dyDescent="0.5">
      <c r="A50" t="s">
        <v>951</v>
      </c>
      <c r="B50" s="23">
        <v>2009</v>
      </c>
      <c r="C50" t="s">
        <v>956</v>
      </c>
      <c r="D50" t="s">
        <v>957</v>
      </c>
    </row>
    <row r="51" spans="1:5" x14ac:dyDescent="0.5">
      <c r="A51" t="s">
        <v>951</v>
      </c>
      <c r="B51" s="23">
        <v>2009</v>
      </c>
      <c r="C51" t="s">
        <v>973</v>
      </c>
      <c r="D51" t="s">
        <v>847</v>
      </c>
      <c r="E51" s="22" t="s">
        <v>753</v>
      </c>
    </row>
    <row r="52" spans="1:5" x14ac:dyDescent="0.5">
      <c r="A52" t="s">
        <v>952</v>
      </c>
      <c r="B52" s="23">
        <v>2007</v>
      </c>
      <c r="C52" t="s">
        <v>954</v>
      </c>
      <c r="D52" t="s">
        <v>955</v>
      </c>
      <c r="E52" s="22" t="s">
        <v>796</v>
      </c>
    </row>
    <row r="53" spans="1:5" x14ac:dyDescent="0.5">
      <c r="A53" t="s">
        <v>952</v>
      </c>
      <c r="B53" s="23">
        <v>2007</v>
      </c>
      <c r="C53" t="s">
        <v>953</v>
      </c>
      <c r="D53" t="s">
        <v>847</v>
      </c>
      <c r="E53" s="22" t="s">
        <v>795</v>
      </c>
    </row>
    <row r="54" spans="1:5" x14ac:dyDescent="0.5">
      <c r="A54" t="s">
        <v>960</v>
      </c>
      <c r="B54" s="23">
        <v>1999</v>
      </c>
      <c r="C54" t="s">
        <v>961</v>
      </c>
      <c r="D54" t="s">
        <v>847</v>
      </c>
      <c r="E54" s="22" t="s">
        <v>765</v>
      </c>
    </row>
    <row r="55" spans="1:5" x14ac:dyDescent="0.5">
      <c r="A55" t="s">
        <v>962</v>
      </c>
      <c r="B55" s="23">
        <v>1975</v>
      </c>
      <c r="C55" t="s">
        <v>963</v>
      </c>
      <c r="D55" t="s">
        <v>964</v>
      </c>
    </row>
    <row r="56" spans="1:5" x14ac:dyDescent="0.5">
      <c r="A56" t="s">
        <v>965</v>
      </c>
      <c r="B56" s="23">
        <v>1979</v>
      </c>
      <c r="C56" t="s">
        <v>966</v>
      </c>
      <c r="D56" t="s">
        <v>967</v>
      </c>
    </row>
    <row r="57" spans="1:5" x14ac:dyDescent="0.5">
      <c r="A57" t="s">
        <v>965</v>
      </c>
      <c r="B57" s="23">
        <v>1979</v>
      </c>
      <c r="C57" t="s">
        <v>974</v>
      </c>
      <c r="D57" t="s">
        <v>847</v>
      </c>
      <c r="E57" s="22" t="s">
        <v>763</v>
      </c>
    </row>
    <row r="58" spans="1:5" x14ac:dyDescent="0.5">
      <c r="A58" t="s">
        <v>975</v>
      </c>
      <c r="B58" s="23">
        <v>2017</v>
      </c>
      <c r="C58" t="s">
        <v>976</v>
      </c>
      <c r="D58" t="s">
        <v>977</v>
      </c>
      <c r="E58" s="22" t="s">
        <v>798</v>
      </c>
    </row>
    <row r="59" spans="1:5" x14ac:dyDescent="0.5">
      <c r="A59" t="s">
        <v>978</v>
      </c>
      <c r="B59" s="23">
        <v>2000</v>
      </c>
      <c r="C59" t="s">
        <v>979</v>
      </c>
      <c r="D59" t="s">
        <v>980</v>
      </c>
      <c r="E59" s="22" t="s">
        <v>690</v>
      </c>
    </row>
    <row r="60" spans="1:5" x14ac:dyDescent="0.5">
      <c r="A60" t="s">
        <v>981</v>
      </c>
      <c r="B60" s="23">
        <v>1985</v>
      </c>
      <c r="C60" t="s">
        <v>982</v>
      </c>
      <c r="D60" t="s">
        <v>983</v>
      </c>
      <c r="E60" s="22" t="s">
        <v>691</v>
      </c>
    </row>
    <row r="61" spans="1:5" x14ac:dyDescent="0.5">
      <c r="A61" t="s">
        <v>984</v>
      </c>
      <c r="B61" s="23">
        <v>1974</v>
      </c>
      <c r="C61" t="s">
        <v>985</v>
      </c>
      <c r="D61" t="s">
        <v>986</v>
      </c>
    </row>
    <row r="62" spans="1:5" x14ac:dyDescent="0.5">
      <c r="A62" t="s">
        <v>984</v>
      </c>
      <c r="B62" s="23">
        <v>1974</v>
      </c>
      <c r="C62" t="s">
        <v>987</v>
      </c>
      <c r="D62" t="s">
        <v>847</v>
      </c>
      <c r="E62" s="22" t="s">
        <v>786</v>
      </c>
    </row>
    <row r="63" spans="1:5" x14ac:dyDescent="0.5">
      <c r="A63" t="s">
        <v>988</v>
      </c>
      <c r="B63" s="23">
        <v>2002</v>
      </c>
      <c r="C63" t="s">
        <v>989</v>
      </c>
      <c r="D63" t="s">
        <v>877</v>
      </c>
      <c r="E63" s="22" t="s">
        <v>692</v>
      </c>
    </row>
    <row r="64" spans="1:5" x14ac:dyDescent="0.5">
      <c r="A64" t="s">
        <v>990</v>
      </c>
      <c r="B64" s="23">
        <v>2006</v>
      </c>
      <c r="C64" t="s">
        <v>991</v>
      </c>
      <c r="D64" t="s">
        <v>992</v>
      </c>
      <c r="E64" s="22" t="s">
        <v>711</v>
      </c>
    </row>
    <row r="65" spans="1:5" x14ac:dyDescent="0.5">
      <c r="A65" t="s">
        <v>993</v>
      </c>
      <c r="B65" s="23">
        <v>2006</v>
      </c>
      <c r="C65" t="s">
        <v>994</v>
      </c>
      <c r="D65" t="s">
        <v>847</v>
      </c>
      <c r="E65" s="22" t="s">
        <v>710</v>
      </c>
    </row>
    <row r="66" spans="1:5" x14ac:dyDescent="0.5">
      <c r="A66" t="s">
        <v>995</v>
      </c>
      <c r="B66" s="23">
        <v>2002</v>
      </c>
      <c r="C66" t="s">
        <v>996</v>
      </c>
      <c r="D66" t="s">
        <v>997</v>
      </c>
      <c r="E66" s="22" t="s">
        <v>693</v>
      </c>
    </row>
    <row r="67" spans="1:5" x14ac:dyDescent="0.5">
      <c r="A67" t="s">
        <v>998</v>
      </c>
      <c r="B67" s="23">
        <v>2012</v>
      </c>
      <c r="C67" t="s">
        <v>999</v>
      </c>
      <c r="D67" t="s">
        <v>1000</v>
      </c>
      <c r="E67" s="22" t="s">
        <v>760</v>
      </c>
    </row>
    <row r="68" spans="1:5" x14ac:dyDescent="0.5">
      <c r="A68" t="s">
        <v>998</v>
      </c>
      <c r="B68" s="23">
        <v>2012</v>
      </c>
      <c r="C68" t="s">
        <v>1001</v>
      </c>
      <c r="D68" t="s">
        <v>847</v>
      </c>
      <c r="E68" s="22" t="s">
        <v>759</v>
      </c>
    </row>
    <row r="69" spans="1:5" x14ac:dyDescent="0.5">
      <c r="A69" t="s">
        <v>1002</v>
      </c>
      <c r="B69" s="23">
        <v>2007</v>
      </c>
      <c r="C69" t="s">
        <v>1003</v>
      </c>
      <c r="D69" t="s">
        <v>1004</v>
      </c>
      <c r="E69" s="22" t="s">
        <v>803</v>
      </c>
    </row>
    <row r="70" spans="1:5" x14ac:dyDescent="0.5">
      <c r="A70" t="s">
        <v>1005</v>
      </c>
      <c r="B70" s="23">
        <v>2007</v>
      </c>
      <c r="C70" t="s">
        <v>1006</v>
      </c>
      <c r="D70" t="s">
        <v>847</v>
      </c>
      <c r="E70" s="22" t="s">
        <v>802</v>
      </c>
    </row>
    <row r="71" spans="1:5" x14ac:dyDescent="0.5">
      <c r="A71" t="s">
        <v>1007</v>
      </c>
      <c r="B71" s="23">
        <v>2004</v>
      </c>
      <c r="C71" t="s">
        <v>1008</v>
      </c>
      <c r="D71" t="s">
        <v>1009</v>
      </c>
      <c r="E71" s="22" t="s">
        <v>767</v>
      </c>
    </row>
    <row r="72" spans="1:5" x14ac:dyDescent="0.5">
      <c r="A72" t="s">
        <v>1010</v>
      </c>
      <c r="B72" s="23">
        <v>2011</v>
      </c>
      <c r="C72" t="s">
        <v>1011</v>
      </c>
      <c r="D72" t="s">
        <v>1012</v>
      </c>
      <c r="E72" s="22" t="s">
        <v>805</v>
      </c>
    </row>
    <row r="73" spans="1:5" x14ac:dyDescent="0.5">
      <c r="A73" t="s">
        <v>1013</v>
      </c>
      <c r="B73" s="23">
        <v>1997</v>
      </c>
      <c r="C73" t="s">
        <v>1014</v>
      </c>
      <c r="D73" t="s">
        <v>1015</v>
      </c>
      <c r="E73" s="22" t="s">
        <v>694</v>
      </c>
    </row>
    <row r="74" spans="1:5" x14ac:dyDescent="0.5">
      <c r="A74" t="s">
        <v>1016</v>
      </c>
      <c r="B74" s="23">
        <v>1999</v>
      </c>
      <c r="C74" t="s">
        <v>1017</v>
      </c>
      <c r="D74" t="s">
        <v>1018</v>
      </c>
      <c r="E74" s="22" t="s">
        <v>695</v>
      </c>
    </row>
    <row r="75" spans="1:5" x14ac:dyDescent="0.5">
      <c r="A75" t="s">
        <v>1019</v>
      </c>
      <c r="B75" s="23">
        <v>2009</v>
      </c>
      <c r="C75" t="s">
        <v>1020</v>
      </c>
      <c r="D75" t="s">
        <v>892</v>
      </c>
      <c r="E75" s="22" t="s">
        <v>808</v>
      </c>
    </row>
    <row r="76" spans="1:5" x14ac:dyDescent="0.5">
      <c r="A76" t="s">
        <v>1019</v>
      </c>
      <c r="B76" s="23">
        <v>2009</v>
      </c>
      <c r="C76" t="s">
        <v>1021</v>
      </c>
      <c r="D76" t="s">
        <v>847</v>
      </c>
      <c r="E76" s="22" t="s">
        <v>807</v>
      </c>
    </row>
    <row r="77" spans="1:5" x14ac:dyDescent="0.5">
      <c r="A77" t="s">
        <v>1022</v>
      </c>
      <c r="B77" s="23">
        <v>2006</v>
      </c>
      <c r="C77" t="s">
        <v>1023</v>
      </c>
      <c r="D77" t="s">
        <v>1024</v>
      </c>
      <c r="E77" s="22" t="s">
        <v>811</v>
      </c>
    </row>
    <row r="78" spans="1:5" x14ac:dyDescent="0.5">
      <c r="A78" t="s">
        <v>1022</v>
      </c>
      <c r="B78" s="23">
        <v>2007</v>
      </c>
      <c r="C78" t="s">
        <v>1025</v>
      </c>
      <c r="D78" t="s">
        <v>847</v>
      </c>
      <c r="E78" s="22" t="s">
        <v>810</v>
      </c>
    </row>
    <row r="79" spans="1:5" x14ac:dyDescent="0.5">
      <c r="A79" t="s">
        <v>1026</v>
      </c>
      <c r="B79" s="23">
        <v>2002</v>
      </c>
      <c r="C79" t="s">
        <v>1027</v>
      </c>
      <c r="D79" t="s">
        <v>1028</v>
      </c>
      <c r="E79" s="22" t="s">
        <v>696</v>
      </c>
    </row>
    <row r="80" spans="1:5" x14ac:dyDescent="0.5">
      <c r="A80" t="s">
        <v>1029</v>
      </c>
      <c r="B80" s="23">
        <v>1995</v>
      </c>
      <c r="C80" t="s">
        <v>1030</v>
      </c>
      <c r="D80" t="s">
        <v>1031</v>
      </c>
      <c r="E80" s="22" t="s">
        <v>698</v>
      </c>
    </row>
    <row r="81" spans="1:5" x14ac:dyDescent="0.5">
      <c r="A81" t="s">
        <v>1032</v>
      </c>
      <c r="B81" s="23">
        <v>1999</v>
      </c>
      <c r="C81" t="s">
        <v>1034</v>
      </c>
      <c r="D81" t="s">
        <v>1033</v>
      </c>
      <c r="E81" s="22" t="s">
        <v>697</v>
      </c>
    </row>
    <row r="82" spans="1:5" x14ac:dyDescent="0.5">
      <c r="A82" t="s">
        <v>1035</v>
      </c>
      <c r="B82" s="23">
        <v>2015</v>
      </c>
      <c r="C82" t="s">
        <v>1036</v>
      </c>
      <c r="D82" t="s">
        <v>1037</v>
      </c>
      <c r="E82" s="22" t="s">
        <v>813</v>
      </c>
    </row>
    <row r="83" spans="1:5" x14ac:dyDescent="0.5">
      <c r="A83" t="s">
        <v>1038</v>
      </c>
      <c r="B83" s="23">
        <v>2016</v>
      </c>
      <c r="C83" t="s">
        <v>1039</v>
      </c>
      <c r="D83" t="s">
        <v>1040</v>
      </c>
      <c r="E83" s="22" t="s">
        <v>815</v>
      </c>
    </row>
    <row r="84" spans="1:5" x14ac:dyDescent="0.5">
      <c r="A84" t="s">
        <v>1041</v>
      </c>
      <c r="B84" s="23">
        <v>2005</v>
      </c>
      <c r="C84" t="s">
        <v>1042</v>
      </c>
      <c r="D84" t="s">
        <v>845</v>
      </c>
      <c r="E84" s="22" t="s">
        <v>749</v>
      </c>
    </row>
    <row r="85" spans="1:5" x14ac:dyDescent="0.5">
      <c r="A85" t="s">
        <v>1043</v>
      </c>
      <c r="B85" s="23">
        <v>2005</v>
      </c>
      <c r="C85" t="s">
        <v>1044</v>
      </c>
      <c r="D85" t="s">
        <v>847</v>
      </c>
      <c r="E85" s="22" t="s">
        <v>748</v>
      </c>
    </row>
    <row r="86" spans="1:5" x14ac:dyDescent="0.5">
      <c r="A86" t="s">
        <v>1045</v>
      </c>
      <c r="B86" s="23">
        <v>1997</v>
      </c>
      <c r="C86" t="s">
        <v>1047</v>
      </c>
      <c r="D86" t="s">
        <v>1024</v>
      </c>
      <c r="E86" s="22" t="s">
        <v>818</v>
      </c>
    </row>
    <row r="87" spans="1:5" x14ac:dyDescent="0.5">
      <c r="A87" t="s">
        <v>1045</v>
      </c>
      <c r="B87" s="23">
        <v>1997</v>
      </c>
      <c r="C87" t="s">
        <v>1046</v>
      </c>
      <c r="D87" t="s">
        <v>847</v>
      </c>
      <c r="E87" s="22" t="s">
        <v>817</v>
      </c>
    </row>
    <row r="88" spans="1:5" x14ac:dyDescent="0.5">
      <c r="A88" t="s">
        <v>1048</v>
      </c>
      <c r="B88" s="23">
        <v>2004</v>
      </c>
      <c r="C88" t="s">
        <v>1049</v>
      </c>
      <c r="D88" t="s">
        <v>102</v>
      </c>
      <c r="E88" s="22" t="s">
        <v>704</v>
      </c>
    </row>
    <row r="89" spans="1:5" x14ac:dyDescent="0.5">
      <c r="A89" t="s">
        <v>1048</v>
      </c>
      <c r="B89" s="23">
        <v>2004</v>
      </c>
      <c r="C89" t="s">
        <v>1050</v>
      </c>
      <c r="D89" t="s">
        <v>847</v>
      </c>
      <c r="E89" s="22" t="s">
        <v>709</v>
      </c>
    </row>
    <row r="90" spans="1:5" x14ac:dyDescent="0.5">
      <c r="A90" t="s">
        <v>1051</v>
      </c>
      <c r="B90" s="23">
        <v>2018</v>
      </c>
      <c r="C90" t="s">
        <v>1052</v>
      </c>
      <c r="D90" t="s">
        <v>959</v>
      </c>
      <c r="E90" s="22" t="s">
        <v>820</v>
      </c>
    </row>
    <row r="91" spans="1:5" x14ac:dyDescent="0.5">
      <c r="A91" t="s">
        <v>1053</v>
      </c>
      <c r="B91" s="23">
        <v>1982</v>
      </c>
      <c r="C91" t="s">
        <v>1054</v>
      </c>
      <c r="D91" t="s">
        <v>847</v>
      </c>
      <c r="E91" s="22" t="s">
        <v>822</v>
      </c>
    </row>
    <row r="92" spans="1:5" x14ac:dyDescent="0.5">
      <c r="A92" t="s">
        <v>1053</v>
      </c>
      <c r="B92" s="23">
        <v>1982</v>
      </c>
      <c r="C92" t="s">
        <v>1057</v>
      </c>
      <c r="D92" t="s">
        <v>850</v>
      </c>
    </row>
    <row r="93" spans="1:5" x14ac:dyDescent="0.5">
      <c r="A93" t="s">
        <v>1055</v>
      </c>
      <c r="B93" s="23">
        <v>1973</v>
      </c>
      <c r="C93" t="s">
        <v>1056</v>
      </c>
      <c r="D93" t="s">
        <v>1058</v>
      </c>
      <c r="E93" s="22" t="s">
        <v>699</v>
      </c>
    </row>
    <row r="94" spans="1:5" x14ac:dyDescent="0.5">
      <c r="A94" t="s">
        <v>1059</v>
      </c>
      <c r="B94" s="23">
        <v>1986</v>
      </c>
      <c r="C94" t="s">
        <v>1060</v>
      </c>
      <c r="D94" t="s">
        <v>1061</v>
      </c>
      <c r="E94" s="22" t="s">
        <v>700</v>
      </c>
    </row>
    <row r="95" spans="1:5" x14ac:dyDescent="0.5">
      <c r="A95" t="s">
        <v>1062</v>
      </c>
      <c r="B95" s="23">
        <v>2017</v>
      </c>
      <c r="C95" t="s">
        <v>1063</v>
      </c>
      <c r="D95" t="s">
        <v>1064</v>
      </c>
      <c r="E95" s="22" t="s">
        <v>827</v>
      </c>
    </row>
    <row r="96" spans="1:5" x14ac:dyDescent="0.5">
      <c r="A96" t="s">
        <v>1062</v>
      </c>
      <c r="B96" s="23">
        <v>2017</v>
      </c>
      <c r="C96" t="s">
        <v>1067</v>
      </c>
      <c r="D96" t="s">
        <v>847</v>
      </c>
      <c r="E96" s="22" t="s">
        <v>826</v>
      </c>
    </row>
    <row r="97" spans="1:5" x14ac:dyDescent="0.5">
      <c r="A97" t="s">
        <v>1065</v>
      </c>
      <c r="B97" s="23">
        <v>1994</v>
      </c>
      <c r="C97" t="s">
        <v>1066</v>
      </c>
      <c r="D97" t="s">
        <v>845</v>
      </c>
      <c r="E97" s="22" t="s">
        <v>701</v>
      </c>
    </row>
    <row r="98" spans="1:5" x14ac:dyDescent="0.5">
      <c r="A98" t="s">
        <v>1068</v>
      </c>
      <c r="B98" s="23">
        <v>2006</v>
      </c>
      <c r="C98" t="s">
        <v>1070</v>
      </c>
      <c r="D98" t="s">
        <v>850</v>
      </c>
      <c r="E98" s="22" t="s">
        <v>830</v>
      </c>
    </row>
    <row r="99" spans="1:5" x14ac:dyDescent="0.5">
      <c r="A99" t="s">
        <v>1068</v>
      </c>
      <c r="B99" s="23">
        <v>2006</v>
      </c>
      <c r="C99" t="s">
        <v>1069</v>
      </c>
      <c r="D99" t="s">
        <v>847</v>
      </c>
      <c r="E99" s="22" t="s">
        <v>829</v>
      </c>
    </row>
    <row r="100" spans="1:5" x14ac:dyDescent="0.5">
      <c r="A100" t="s">
        <v>1071</v>
      </c>
      <c r="B100" s="23">
        <v>2017</v>
      </c>
      <c r="C100" t="s">
        <v>1072</v>
      </c>
      <c r="D100" t="s">
        <v>1073</v>
      </c>
      <c r="E100" s="22" t="s">
        <v>833</v>
      </c>
    </row>
    <row r="101" spans="1:5" x14ac:dyDescent="0.5">
      <c r="A101" t="s">
        <v>1071</v>
      </c>
      <c r="B101" s="23">
        <v>2017</v>
      </c>
      <c r="C101" t="s">
        <v>1074</v>
      </c>
      <c r="D101" t="s">
        <v>847</v>
      </c>
      <c r="E101" s="22" t="s">
        <v>832</v>
      </c>
    </row>
    <row r="102" spans="1:5" x14ac:dyDescent="0.5">
      <c r="A102" t="s">
        <v>1075</v>
      </c>
      <c r="B102" s="23">
        <v>1997</v>
      </c>
      <c r="C102" t="s">
        <v>1076</v>
      </c>
      <c r="D102" t="s">
        <v>850</v>
      </c>
    </row>
    <row r="103" spans="1:5" x14ac:dyDescent="0.5">
      <c r="A103" t="s">
        <v>1077</v>
      </c>
      <c r="B103" s="23">
        <v>1997</v>
      </c>
      <c r="C103" t="s">
        <v>1078</v>
      </c>
      <c r="D103" t="s">
        <v>1079</v>
      </c>
      <c r="E103" s="22" t="s">
        <v>702</v>
      </c>
    </row>
    <row r="104" spans="1:5" x14ac:dyDescent="0.5">
      <c r="A104" t="s">
        <v>1080</v>
      </c>
      <c r="B104" s="23">
        <v>2008</v>
      </c>
      <c r="C104" t="s">
        <v>1081</v>
      </c>
      <c r="D104" t="s">
        <v>1082</v>
      </c>
      <c r="E104" s="22" t="s">
        <v>755</v>
      </c>
    </row>
    <row r="105" spans="1:5" x14ac:dyDescent="0.5">
      <c r="A105" t="s">
        <v>1083</v>
      </c>
      <c r="B105" s="23">
        <v>2011</v>
      </c>
      <c r="C105" t="s">
        <v>1084</v>
      </c>
      <c r="D105" t="s">
        <v>847</v>
      </c>
      <c r="E105" s="22" t="s">
        <v>756</v>
      </c>
    </row>
    <row r="106" spans="1:5" x14ac:dyDescent="0.5">
      <c r="A106" t="s">
        <v>1085</v>
      </c>
      <c r="B106" s="23">
        <v>1999</v>
      </c>
      <c r="C106" t="s">
        <v>1086</v>
      </c>
      <c r="D106" t="s">
        <v>1087</v>
      </c>
      <c r="E106" s="22" t="s">
        <v>746</v>
      </c>
    </row>
    <row r="107" spans="1:5" x14ac:dyDescent="0.5">
      <c r="A107" t="s">
        <v>1085</v>
      </c>
      <c r="B107" s="23">
        <v>1999</v>
      </c>
      <c r="C107" t="s">
        <v>1088</v>
      </c>
      <c r="D107" t="s">
        <v>847</v>
      </c>
      <c r="E107" s="22" t="s">
        <v>745</v>
      </c>
    </row>
    <row r="108" spans="1:5" x14ac:dyDescent="0.5">
      <c r="A108" t="s">
        <v>1089</v>
      </c>
      <c r="B108" s="23">
        <v>2010</v>
      </c>
      <c r="C108" t="s">
        <v>1090</v>
      </c>
      <c r="D108" t="s">
        <v>1091</v>
      </c>
      <c r="E108" s="22" t="s">
        <v>835</v>
      </c>
    </row>
    <row r="109" spans="1:5" x14ac:dyDescent="0.5">
      <c r="A109" t="s">
        <v>1092</v>
      </c>
      <c r="B109" s="23">
        <v>2007</v>
      </c>
      <c r="C109" t="s">
        <v>1093</v>
      </c>
      <c r="D109" t="s">
        <v>1094</v>
      </c>
      <c r="E109" s="22" t="s">
        <v>737</v>
      </c>
    </row>
    <row r="110" spans="1:5" x14ac:dyDescent="0.5">
      <c r="A110" t="s">
        <v>1092</v>
      </c>
      <c r="B110" s="23">
        <v>2007</v>
      </c>
      <c r="C110" t="s">
        <v>1095</v>
      </c>
      <c r="D110" t="s">
        <v>847</v>
      </c>
      <c r="E110" s="22" t="s">
        <v>736</v>
      </c>
    </row>
  </sheetData>
  <hyperlinks>
    <hyperlink ref="E19" r:id="rId1" xr:uid="{FB75D041-FAE1-48A9-A360-281D19528A4E}"/>
    <hyperlink ref="E5" r:id="rId2" xr:uid="{F95FD61C-75FE-4333-A48A-AB994377D9DA}"/>
    <hyperlink ref="E6" r:id="rId3" xr:uid="{6A44B664-EA99-4DB7-A0D7-5CFA5DE06A41}"/>
    <hyperlink ref="E12" r:id="rId4" xr:uid="{3AF0AA74-DDAE-45F4-BD71-13A8204CCCA2}"/>
    <hyperlink ref="E14" r:id="rId5" xr:uid="{F0D74D74-A219-4F4D-B741-72DE13421B00}"/>
    <hyperlink ref="E62" r:id="rId6" xr:uid="{05A8555C-63D1-4AFE-822A-E5D4DD1D8512}"/>
    <hyperlink ref="E46" r:id="rId7" xr:uid="{8A652092-B400-4F86-A3F1-4F0444129107}"/>
    <hyperlink ref="E49" r:id="rId8" xr:uid="{B54773FD-7E97-46EB-9059-8B59CA4B7DAB}"/>
    <hyperlink ref="E59" r:id="rId9" xr:uid="{70CD2536-65CE-425F-9DF1-1BA3F5FDF6A6}"/>
    <hyperlink ref="E2" r:id="rId10" xr:uid="{2463A123-330B-4A94-8A4B-35C46DCAA9CF}"/>
    <hyperlink ref="E4" r:id="rId11" xr:uid="{309FD687-14D9-44DF-A91C-2283D02463D9}"/>
    <hyperlink ref="E7" r:id="rId12" xr:uid="{C2B3A69A-AB3B-4DE8-B42C-61A0E96CD265}"/>
    <hyperlink ref="E8" r:id="rId13" xr:uid="{F4CC1FC6-4032-4C28-81BE-3E1013F940B6}"/>
    <hyperlink ref="E9" r:id="rId14" xr:uid="{120D7A10-28DB-4234-827C-153FA7F913A4}"/>
    <hyperlink ref="E10" r:id="rId15" xr:uid="{6306B43B-51DB-4492-8BF7-2EF7D102AD0B}"/>
    <hyperlink ref="E11" r:id="rId16" xr:uid="{F68DA9A6-A4D6-4562-A974-86171CA07177}"/>
    <hyperlink ref="E13" r:id="rId17" xr:uid="{A3A3B99C-20B0-4997-9D09-67DCD350F7EE}"/>
    <hyperlink ref="E15" r:id="rId18" xr:uid="{CA14FFDB-A598-44B3-A99E-CE3CC313013E}"/>
    <hyperlink ref="E16" r:id="rId19" xr:uid="{5E30C581-215E-49FF-91E1-E92FE003838E}"/>
    <hyperlink ref="E17" r:id="rId20" xr:uid="{54497787-CD4B-459A-BD45-AEBF78C2F5A5}"/>
    <hyperlink ref="E18" r:id="rId21" xr:uid="{BB8EFDA6-8D3B-40DA-8D89-BF604A6073F7}"/>
    <hyperlink ref="E20" r:id="rId22" xr:uid="{AD34DF3A-A4AC-42D8-A56C-6FF9AB27F2D7}"/>
    <hyperlink ref="E21" r:id="rId23" display="https://d1wqtxts1xzle7.cloudfront.net/45718427/Benthic_fluxes_nitrogen_cycling_in_sedim20160517-13895-1eostec.pdf?1463508491=&amp;response-content-disposition=inline%3B+filename%3DBenthic_fluxes_and_nitrogen_cycling_in_s.pdf&amp;Expires=1633870186&amp;Signature=QCNHMZ2q1c0ilM7VbHV9SAN44qo5cIIefu6Lgzy~Ayj6Lxc6fHqUM-ppqUAPAArHKWAW6zc2OAQHvseFfk8Syizfoie4b~45twkLeCHQ3rklmkUQaeHHFTGVryyEoY0JqWDZ--3r8Cq5WndgiCFFcrPVyJgRATM2SSfLHU3vWRQw0GOJuocDt9o8kYnwK1wQPOP1W-vPSIx572EkRJpUWK-Tx0Mb8WL9qEHqBH9VexcbY-nODrkhXMIgKBNctOdqDwX-3CGwctU2VcjhAZB1knkWb5EsAb~zztcEgrXmGiPaQ-uJ7E8pV0RNztuQ6IlyUXW75EphaqjXc1V8xhE0Qg__&amp;Key-Pair-Id=APKAJLOHF5GGSLRBV4ZA" xr:uid="{B03286FE-BE29-434B-A41C-9B00A8E91321}"/>
    <hyperlink ref="E22" r:id="rId24" xr:uid="{078067FB-AD8E-414E-A054-94C80E4D15FD}"/>
    <hyperlink ref="E24" r:id="rId25" xr:uid="{0AB7CE55-ADAB-4D85-B6FF-11B11FFE5590}"/>
    <hyperlink ref="E25" r:id="rId26" xr:uid="{489411C5-14C6-4829-8DEF-C14ABC57BC8D}"/>
    <hyperlink ref="E26" r:id="rId27" xr:uid="{5F903470-F45C-4A53-8816-323234F25D1C}"/>
    <hyperlink ref="E27" r:id="rId28" xr:uid="{D1D0850E-4634-4F41-9742-B8BFD9DA29FC}"/>
    <hyperlink ref="E28" r:id="rId29" xr:uid="{E671D3FD-7D4B-41C8-A5CC-32C6A9281BDF}"/>
    <hyperlink ref="E29" r:id="rId30" xr:uid="{BF66ABB1-3610-449F-9104-9A16711956C7}"/>
    <hyperlink ref="E31" r:id="rId31" xr:uid="{B0FA28FC-67C1-4A01-9773-2668D6FCCAC1}"/>
    <hyperlink ref="E32" r:id="rId32" xr:uid="{E4D50DA2-35D3-4E85-BC3B-C669BAD2FE44}"/>
    <hyperlink ref="E33" r:id="rId33" xr:uid="{650DFD89-A46F-4194-95B5-1569449CC7A1}"/>
    <hyperlink ref="E34" r:id="rId34" xr:uid="{6FE9C125-486B-48BA-8DAF-75284933EDAA}"/>
    <hyperlink ref="E35" r:id="rId35" xr:uid="{CAEE0EDA-1C40-4BF8-86AC-2124AB2F49E8}"/>
    <hyperlink ref="E36" r:id="rId36" xr:uid="{D06D4161-B33C-4143-AC42-DADBA78A702A}"/>
    <hyperlink ref="E37" r:id="rId37" xr:uid="{4E7EDBB6-5C0A-41A2-B4EC-956F741F37C4}"/>
    <hyperlink ref="E38" r:id="rId38" xr:uid="{B85B559A-4054-424B-982B-BC0F84459F2F}"/>
    <hyperlink ref="E39" r:id="rId39" xr:uid="{F2669149-B134-4BAD-AE95-BC1BAEA8004A}"/>
    <hyperlink ref="E40" r:id="rId40" xr:uid="{62D114E8-D181-472D-B239-A7F0D27B8E63}"/>
    <hyperlink ref="E41" r:id="rId41" xr:uid="{677F13DF-6E8B-483C-80F5-AE9F686646D9}"/>
    <hyperlink ref="E42" r:id="rId42" xr:uid="{2CFE35BD-74D0-426B-B7D8-F544FAC134F7}"/>
    <hyperlink ref="E43" r:id="rId43" xr:uid="{213D6181-43EF-4CF2-A9C0-EE13164A062A}"/>
    <hyperlink ref="E44" r:id="rId44" xr:uid="{F1D1A639-11C4-4F84-B17A-2EE418D3BA53}"/>
    <hyperlink ref="E45" r:id="rId45" xr:uid="{0674B8AD-9692-4EE6-9700-647B5D8882CD}"/>
    <hyperlink ref="E47" r:id="rId46" xr:uid="{DE042FF4-AAD6-4C15-BBD1-CFF41973DAD6}"/>
    <hyperlink ref="E51" r:id="rId47" xr:uid="{E2520BE1-C93F-40EB-9A04-73900618A192}"/>
    <hyperlink ref="E52" r:id="rId48" xr:uid="{40CFB84F-B703-4741-843B-635655BF03A9}"/>
    <hyperlink ref="E53" r:id="rId49" xr:uid="{4946282C-43BF-4C28-B31E-41C2C439D5F5}"/>
    <hyperlink ref="E54" r:id="rId50" xr:uid="{36834D3A-2CD2-4D46-A440-605A8C31AB3A}"/>
    <hyperlink ref="E57" r:id="rId51" xr:uid="{D3C88311-BC76-4B88-8847-6F5C78858B31}"/>
    <hyperlink ref="E58" r:id="rId52" xr:uid="{13C439C0-AB9F-48B4-A2FF-6DE1397BD5AF}"/>
    <hyperlink ref="E60" r:id="rId53" xr:uid="{4AB1FD9A-871A-46A6-9F50-C3EDA49EFB8F}"/>
    <hyperlink ref="E63" r:id="rId54" xr:uid="{5D9AB426-F7FF-4F6F-8CEA-89BD58B13CEA}"/>
    <hyperlink ref="E64" r:id="rId55" xr:uid="{01708D17-75AD-4765-9FBD-89A5FFC2ED05}"/>
    <hyperlink ref="E65" r:id="rId56" xr:uid="{1C7F740E-B392-4DD4-BF7C-FB30AE01FD71}"/>
    <hyperlink ref="E66" r:id="rId57" xr:uid="{7E739FC6-5121-4A47-B9A8-870497BAFC88}"/>
    <hyperlink ref="E67" r:id="rId58" xr:uid="{9341A678-F757-4B35-BDAA-0A13F911E136}"/>
    <hyperlink ref="E68" r:id="rId59" xr:uid="{1604FC6A-42D5-48E5-B3C8-E2FA26D5163F}"/>
    <hyperlink ref="E69" r:id="rId60" xr:uid="{29D5757A-3E6D-45DB-94EB-D9E00EEFFB56}"/>
    <hyperlink ref="E70" r:id="rId61" xr:uid="{A297FD76-2674-4115-BDA2-048C2B849797}"/>
    <hyperlink ref="E71" r:id="rId62" display="https://www.researchgate.net/profile/Ulysses-Ninnemann/publication/228811614_Paleo-Export_Production_Terrigenous_Flux_and_Sea_Surface_Temperatures_Around_Tasmania_Implications_for_GlacialInterglacial_Changes_in_the_Subtropical_Convergence_Zone/links/0f317539833284c71f000000/Paleo-Export-Production-Terrigenous-Flux-and-Sea-Surface-Temperatures-Around-Tasmania-Implications-for-Glacial-Interglacial-Changes-in-the-Subtropical-Convergence-Zone.pdf" xr:uid="{8B67B4C4-F679-4EAA-87A0-0C3BDFF42A67}"/>
    <hyperlink ref="E72" r:id="rId63" xr:uid="{1A059DE3-1C87-412C-A9C3-364E782FC3BC}"/>
    <hyperlink ref="E73" r:id="rId64" xr:uid="{D4215CE9-19DD-418D-858E-2C2CE5EC7A08}"/>
    <hyperlink ref="E74" r:id="rId65" xr:uid="{2F8914B8-EDB6-4F0E-9720-F003281B6F92}"/>
    <hyperlink ref="E75" r:id="rId66" xr:uid="{5B5F2532-7A11-4A57-93D5-0B36C20DE139}"/>
    <hyperlink ref="E76" r:id="rId67" xr:uid="{F93486A1-72C6-44AC-8611-6539ADC167DA}"/>
    <hyperlink ref="E77" r:id="rId68" xr:uid="{1F3AB2EC-5262-44A0-A372-CE41ADC64104}"/>
    <hyperlink ref="E78" r:id="rId69" xr:uid="{596F0D7C-9A54-4996-A11F-188D874F43A7}"/>
    <hyperlink ref="E79" r:id="rId70" xr:uid="{781CC199-5447-43A6-BD34-87B923D07BFF}"/>
    <hyperlink ref="E80" r:id="rId71" xr:uid="{6330563E-183F-443F-A35D-FBC450B7FF30}"/>
    <hyperlink ref="E81" r:id="rId72" xr:uid="{814B45BF-1A4F-422F-B8D2-09DD46ECB92A}"/>
    <hyperlink ref="E82" r:id="rId73" xr:uid="{106837A2-5047-4D9C-BD6C-0D6E6493CAA5}"/>
    <hyperlink ref="E83" r:id="rId74" xr:uid="{3FA80FDA-E180-43F9-9C6C-7089CC84E870}"/>
    <hyperlink ref="E84" r:id="rId75" xr:uid="{388D5367-A25C-4E54-A4B1-AD617E35C0DB}"/>
    <hyperlink ref="E85" r:id="rId76" xr:uid="{9BDCE622-1EE8-49F9-823C-1EEE40ABD7AA}"/>
    <hyperlink ref="E86" r:id="rId77" xr:uid="{B0DA37ED-FE2A-40F4-A7B8-470FCDA8AA70}"/>
    <hyperlink ref="E87" r:id="rId78" xr:uid="{C50E94B7-2237-4DB0-8BD0-7E6EDABEDFEE}"/>
    <hyperlink ref="E88" r:id="rId79" xr:uid="{2CC910B4-D8A1-4BE7-AA79-7127C1946091}"/>
    <hyperlink ref="E89" r:id="rId80" xr:uid="{BB9AC45C-88EE-4E3F-9387-BFF59908FC1D}"/>
    <hyperlink ref="E90" r:id="rId81" xr:uid="{7E46324E-34C4-4043-8820-CFA6DE5F348C}"/>
    <hyperlink ref="E91" r:id="rId82" xr:uid="{36266E3A-BBC8-4F17-8298-CB4861EDF90E}"/>
    <hyperlink ref="E93" r:id="rId83" xr:uid="{BEB3A8B4-29C6-4D1B-9ACC-9A67874F3279}"/>
    <hyperlink ref="E94" r:id="rId84" xr:uid="{2F302A3E-8689-4AA1-9F54-1763C738F114}"/>
    <hyperlink ref="E95" r:id="rId85" xr:uid="{066B3144-5CBC-41B4-951F-0E43C7F54821}"/>
    <hyperlink ref="E96" r:id="rId86" xr:uid="{1E1EFA62-9B59-4F29-8320-B951CCB37E0E}"/>
    <hyperlink ref="E97" r:id="rId87" xr:uid="{6BF16C4C-395E-484C-85FC-E41B7287F3EA}"/>
    <hyperlink ref="E98" r:id="rId88" xr:uid="{57EB849A-BBF9-4CDB-90C8-D8E93D668607}"/>
    <hyperlink ref="E99" r:id="rId89" xr:uid="{D7569262-AABC-4964-8116-AA10006E455C}"/>
    <hyperlink ref="E100" r:id="rId90" xr:uid="{5C37966E-8377-4F7C-8730-DB86342951B3}"/>
    <hyperlink ref="E101" r:id="rId91" xr:uid="{61E94F8F-286F-428E-8B7D-2D8821054A2A}"/>
    <hyperlink ref="E103" r:id="rId92" xr:uid="{F86D9DB3-1D1E-4E90-A6B1-30CB4CD3D18F}"/>
    <hyperlink ref="E104" r:id="rId93" xr:uid="{60A34482-C8F3-4761-AC6C-70CB205DA975}"/>
    <hyperlink ref="E105" r:id="rId94" xr:uid="{6F8D0368-7FD1-437D-A183-DA3C47A8F973}"/>
    <hyperlink ref="E106" r:id="rId95" xr:uid="{C8BEC131-CBBF-4739-A4FD-4FE2CBD56E9C}"/>
    <hyperlink ref="E107" r:id="rId96" xr:uid="{08F8E08B-7F8A-4F92-B08E-AEAC3EB0E12D}"/>
    <hyperlink ref="E108" r:id="rId97" xr:uid="{65BD4F00-AE52-4689-95F0-C0CAD67FBB9A}"/>
    <hyperlink ref="E109" r:id="rId98" xr:uid="{A4812B56-2B07-49D4-AB0D-3413598C36B3}"/>
    <hyperlink ref="E110" r:id="rId99" xr:uid="{EF78E5AA-1E5D-45F5-B6AF-58F02C56B982}"/>
  </hyperlinks>
  <pageMargins left="0.7" right="0.7" top="0.75" bottom="0.75" header="0.3" footer="0.3"/>
  <pageSetup orientation="portrait" r:id="rId1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63A4-D1CD-BE40-81C1-3CF7196AFE3E}">
  <dimension ref="A1:C183"/>
  <sheetViews>
    <sheetView topLeftCell="A45" workbookViewId="0">
      <selection activeCell="C1" sqref="C1"/>
    </sheetView>
  </sheetViews>
  <sheetFormatPr baseColWidth="10" defaultColWidth="10.6875" defaultRowHeight="15.75" x14ac:dyDescent="0.5"/>
  <sheetData>
    <row r="1" spans="1:3" x14ac:dyDescent="0.5">
      <c r="A1" s="1" t="s">
        <v>570</v>
      </c>
      <c r="B1" s="1" t="s">
        <v>571</v>
      </c>
      <c r="C1" s="1" t="s">
        <v>572</v>
      </c>
    </row>
    <row r="2" spans="1:3" x14ac:dyDescent="0.5">
      <c r="A2" s="1">
        <v>9</v>
      </c>
      <c r="B2" s="1">
        <v>3</v>
      </c>
      <c r="C2" s="1">
        <v>0.8</v>
      </c>
    </row>
    <row r="3" spans="1:3" x14ac:dyDescent="0.5">
      <c r="A3" s="1">
        <v>28</v>
      </c>
      <c r="B3" s="1">
        <f t="shared" ref="B3:B6" si="0">((4.75-2.36)/2)+2.36</f>
        <v>3.5549999999999997</v>
      </c>
      <c r="C3" s="1">
        <f>345.1/7.2</f>
        <v>47.930555555555557</v>
      </c>
    </row>
    <row r="4" spans="1:3" x14ac:dyDescent="0.5">
      <c r="A4" s="1">
        <v>28</v>
      </c>
      <c r="B4" s="1">
        <f t="shared" si="0"/>
        <v>3.5549999999999997</v>
      </c>
      <c r="C4" s="1">
        <f>63.2/2.5</f>
        <v>25.28</v>
      </c>
    </row>
    <row r="5" spans="1:3" x14ac:dyDescent="0.5">
      <c r="A5" s="1">
        <v>28</v>
      </c>
      <c r="B5" s="1">
        <f t="shared" si="0"/>
        <v>3.5549999999999997</v>
      </c>
      <c r="C5" s="1">
        <f>33.6/1.4</f>
        <v>24.000000000000004</v>
      </c>
    </row>
    <row r="6" spans="1:3" x14ac:dyDescent="0.5">
      <c r="A6" s="1">
        <v>28</v>
      </c>
      <c r="B6" s="1">
        <f t="shared" si="0"/>
        <v>3.5549999999999997</v>
      </c>
      <c r="C6" s="1">
        <f>45.4/1.7</f>
        <v>26.705882352941178</v>
      </c>
    </row>
    <row r="7" spans="1:3" x14ac:dyDescent="0.5">
      <c r="A7" s="1">
        <v>28</v>
      </c>
      <c r="B7" s="1">
        <f t="shared" ref="B7:B10" si="1">((2.36-1.18)/2)+1.18</f>
        <v>1.77</v>
      </c>
      <c r="C7" s="1">
        <f>154/11</f>
        <v>14</v>
      </c>
    </row>
    <row r="8" spans="1:3" x14ac:dyDescent="0.5">
      <c r="A8" s="1">
        <v>28</v>
      </c>
      <c r="B8" s="1">
        <f t="shared" si="1"/>
        <v>1.77</v>
      </c>
      <c r="C8" s="1">
        <f>22.1/2.4</f>
        <v>9.2083333333333339</v>
      </c>
    </row>
    <row r="9" spans="1:3" x14ac:dyDescent="0.5">
      <c r="A9" s="1">
        <v>28</v>
      </c>
      <c r="B9" s="1">
        <f t="shared" si="1"/>
        <v>1.77</v>
      </c>
      <c r="C9" s="1">
        <f>10.8/1.6</f>
        <v>6.75</v>
      </c>
    </row>
    <row r="10" spans="1:3" x14ac:dyDescent="0.5">
      <c r="A10" s="1">
        <v>28</v>
      </c>
      <c r="B10" s="1">
        <f t="shared" si="1"/>
        <v>1.77</v>
      </c>
      <c r="C10" s="1">
        <f>13.1/1.5</f>
        <v>8.7333333333333325</v>
      </c>
    </row>
    <row r="11" spans="1:3" x14ac:dyDescent="0.5">
      <c r="A11" s="1">
        <v>28</v>
      </c>
      <c r="B11" s="1">
        <f t="shared" ref="B11:B14" si="2">((1.18-0.6)/2)+0.6</f>
        <v>0.8899999999999999</v>
      </c>
      <c r="C11" s="1">
        <f>21/6.7</f>
        <v>3.1343283582089549</v>
      </c>
    </row>
    <row r="12" spans="1:3" x14ac:dyDescent="0.5">
      <c r="A12" s="1">
        <v>28</v>
      </c>
      <c r="B12" s="1">
        <f t="shared" si="2"/>
        <v>0.8899999999999999</v>
      </c>
      <c r="C12" s="1">
        <f>4.7/1.8</f>
        <v>2.6111111111111112</v>
      </c>
    </row>
    <row r="13" spans="1:3" x14ac:dyDescent="0.5">
      <c r="A13" s="1">
        <v>28</v>
      </c>
      <c r="B13" s="1">
        <f t="shared" si="2"/>
        <v>0.8899999999999999</v>
      </c>
      <c r="C13" s="1">
        <f>2/1</f>
        <v>2</v>
      </c>
    </row>
    <row r="14" spans="1:3" x14ac:dyDescent="0.5">
      <c r="A14" s="1">
        <v>28</v>
      </c>
      <c r="B14" s="1">
        <f t="shared" si="2"/>
        <v>0.8899999999999999</v>
      </c>
      <c r="C14" s="1">
        <f>3.2/1</f>
        <v>3.2</v>
      </c>
    </row>
    <row r="15" spans="1:3" x14ac:dyDescent="0.5">
      <c r="A15" s="1">
        <v>28</v>
      </c>
      <c r="B15" s="1">
        <v>0.45</v>
      </c>
      <c r="C15" s="1">
        <f>1.6/6.5</f>
        <v>0.24615384615384617</v>
      </c>
    </row>
    <row r="16" spans="1:3" x14ac:dyDescent="0.5">
      <c r="A16" s="1">
        <v>28</v>
      </c>
      <c r="B16" s="1">
        <v>0.45</v>
      </c>
      <c r="C16" s="1">
        <f>0.4/1.5</f>
        <v>0.26666666666666666</v>
      </c>
    </row>
    <row r="17" spans="1:3" x14ac:dyDescent="0.5">
      <c r="A17" s="1">
        <v>28</v>
      </c>
      <c r="B17" s="1">
        <v>0.45</v>
      </c>
      <c r="C17" s="1">
        <f>0.1/0.8</f>
        <v>0.125</v>
      </c>
    </row>
    <row r="18" spans="1:3" x14ac:dyDescent="0.5">
      <c r="A18" s="1">
        <v>28</v>
      </c>
      <c r="B18" s="1">
        <v>0.45</v>
      </c>
      <c r="C18" s="1">
        <f>0.1/0.7</f>
        <v>0.14285714285714288</v>
      </c>
    </row>
    <row r="19" spans="1:3" x14ac:dyDescent="0.5">
      <c r="A19" s="1">
        <v>43</v>
      </c>
      <c r="B19" s="1">
        <v>3</v>
      </c>
      <c r="C19" s="1">
        <v>2</v>
      </c>
    </row>
    <row r="20" spans="1:3" x14ac:dyDescent="0.5">
      <c r="A20" s="1">
        <v>43</v>
      </c>
      <c r="B20" s="1">
        <v>3</v>
      </c>
      <c r="C20" s="1">
        <v>2</v>
      </c>
    </row>
    <row r="21" spans="1:3" x14ac:dyDescent="0.5">
      <c r="A21" s="1">
        <v>43</v>
      </c>
      <c r="B21" s="1">
        <v>1.5</v>
      </c>
      <c r="C21" s="1">
        <f>55/92</f>
        <v>0.59782608695652173</v>
      </c>
    </row>
    <row r="22" spans="1:3" x14ac:dyDescent="0.5">
      <c r="A22" s="1">
        <v>43</v>
      </c>
      <c r="B22" s="1">
        <v>1.5</v>
      </c>
      <c r="C22" s="1">
        <f>74/127</f>
        <v>0.58267716535433067</v>
      </c>
    </row>
    <row r="23" spans="1:3" x14ac:dyDescent="0.5">
      <c r="A23" s="1">
        <v>43</v>
      </c>
      <c r="B23" s="1">
        <v>0.75</v>
      </c>
      <c r="C23" s="1">
        <f>48/222</f>
        <v>0.21621621621621623</v>
      </c>
    </row>
    <row r="24" spans="1:3" x14ac:dyDescent="0.5">
      <c r="A24" s="1">
        <v>43</v>
      </c>
      <c r="B24" s="1">
        <v>0.75</v>
      </c>
      <c r="C24" s="1">
        <f>50/274</f>
        <v>0.18248175182481752</v>
      </c>
    </row>
    <row r="25" spans="1:3" x14ac:dyDescent="0.5">
      <c r="A25" s="1">
        <v>43</v>
      </c>
      <c r="B25" s="1">
        <v>0.375</v>
      </c>
      <c r="C25" s="1">
        <f>3/169</f>
        <v>1.7751479289940829E-2</v>
      </c>
    </row>
    <row r="26" spans="1:3" x14ac:dyDescent="0.5">
      <c r="A26" s="1">
        <v>43</v>
      </c>
      <c r="B26" s="1">
        <v>0.375</v>
      </c>
      <c r="C26" s="1">
        <f>4/129</f>
        <v>3.1007751937984496E-2</v>
      </c>
    </row>
    <row r="27" spans="1:3" x14ac:dyDescent="0.5">
      <c r="A27" s="1">
        <v>43</v>
      </c>
      <c r="B27" s="1">
        <v>1.5</v>
      </c>
      <c r="C27" s="1">
        <f>2/6</f>
        <v>0.33333333333333331</v>
      </c>
    </row>
    <row r="28" spans="1:3" x14ac:dyDescent="0.5">
      <c r="A28" s="1">
        <v>43</v>
      </c>
      <c r="B28" s="1">
        <v>1.5</v>
      </c>
      <c r="C28" s="1">
        <f>1/2</f>
        <v>0.5</v>
      </c>
    </row>
    <row r="29" spans="1:3" x14ac:dyDescent="0.5">
      <c r="A29" s="1">
        <v>43</v>
      </c>
      <c r="B29" s="1">
        <v>0.75</v>
      </c>
      <c r="C29" s="1">
        <f>1/3</f>
        <v>0.33333333333333331</v>
      </c>
    </row>
    <row r="30" spans="1:3" x14ac:dyDescent="0.5">
      <c r="A30" s="1">
        <v>43</v>
      </c>
      <c r="B30" s="1">
        <v>0.75</v>
      </c>
      <c r="C30" s="1">
        <f>2/9</f>
        <v>0.22222222222222221</v>
      </c>
    </row>
    <row r="31" spans="1:3" x14ac:dyDescent="0.5">
      <c r="A31" s="1">
        <v>43</v>
      </c>
      <c r="B31" s="1">
        <v>0.375</v>
      </c>
      <c r="C31" s="1">
        <f>1/12</f>
        <v>8.3333333333333329E-2</v>
      </c>
    </row>
    <row r="32" spans="1:3" x14ac:dyDescent="0.5">
      <c r="A32" s="1">
        <v>43</v>
      </c>
      <c r="B32" s="1">
        <v>0.375</v>
      </c>
      <c r="C32" s="1">
        <f>1/9</f>
        <v>0.1111111111111111</v>
      </c>
    </row>
    <row r="33" spans="1:3" x14ac:dyDescent="0.5">
      <c r="A33" s="1">
        <v>43</v>
      </c>
      <c r="B33" s="1">
        <v>1.5</v>
      </c>
      <c r="C33" s="1">
        <f>1/1</f>
        <v>1</v>
      </c>
    </row>
    <row r="34" spans="1:3" x14ac:dyDescent="0.5">
      <c r="A34" s="1">
        <v>43</v>
      </c>
      <c r="B34" s="1">
        <v>1.5</v>
      </c>
      <c r="C34" s="1">
        <f>3/2</f>
        <v>1.5</v>
      </c>
    </row>
    <row r="35" spans="1:3" x14ac:dyDescent="0.5">
      <c r="A35" s="1">
        <v>43</v>
      </c>
      <c r="B35" s="1">
        <v>0.75</v>
      </c>
      <c r="C35" s="1">
        <f>1/4</f>
        <v>0.25</v>
      </c>
    </row>
    <row r="36" spans="1:3" x14ac:dyDescent="0.5">
      <c r="A36" s="1">
        <v>43</v>
      </c>
      <c r="B36" s="1">
        <v>0.375</v>
      </c>
      <c r="C36" s="1">
        <f>1/7</f>
        <v>0.14285714285714285</v>
      </c>
    </row>
    <row r="37" spans="1:3" x14ac:dyDescent="0.5">
      <c r="A37" s="1">
        <v>43</v>
      </c>
      <c r="B37" s="1">
        <v>0.375</v>
      </c>
      <c r="C37" s="1">
        <f>1/6</f>
        <v>0.16666666666666666</v>
      </c>
    </row>
    <row r="38" spans="1:3" x14ac:dyDescent="0.5">
      <c r="A38" s="1">
        <v>43</v>
      </c>
      <c r="B38" s="1">
        <v>3</v>
      </c>
      <c r="C38" s="1">
        <f>56/2</f>
        <v>28</v>
      </c>
    </row>
    <row r="39" spans="1:3" x14ac:dyDescent="0.5">
      <c r="A39" s="1">
        <v>43</v>
      </c>
      <c r="B39" s="1">
        <v>1.5</v>
      </c>
      <c r="C39" s="1">
        <f>5/8</f>
        <v>0.625</v>
      </c>
    </row>
    <row r="40" spans="1:3" x14ac:dyDescent="0.5">
      <c r="A40" s="1">
        <v>43</v>
      </c>
      <c r="B40" s="1">
        <v>1.5</v>
      </c>
      <c r="C40" s="1">
        <f>2/1</f>
        <v>2</v>
      </c>
    </row>
    <row r="41" spans="1:3" x14ac:dyDescent="0.5">
      <c r="A41" s="1">
        <v>43</v>
      </c>
      <c r="B41" s="1">
        <v>0.75</v>
      </c>
      <c r="C41" s="1">
        <f>1/3</f>
        <v>0.33333333333333331</v>
      </c>
    </row>
    <row r="42" spans="1:3" x14ac:dyDescent="0.5">
      <c r="A42" s="1">
        <v>43</v>
      </c>
      <c r="B42" s="1">
        <v>0.375</v>
      </c>
      <c r="C42" s="1">
        <f>1/3</f>
        <v>0.33333333333333331</v>
      </c>
    </row>
    <row r="43" spans="1:3" x14ac:dyDescent="0.5">
      <c r="A43" s="1">
        <v>44</v>
      </c>
      <c r="B43" s="1">
        <v>2.5</v>
      </c>
      <c r="C43" s="1">
        <v>4</v>
      </c>
    </row>
    <row r="44" spans="1:3" x14ac:dyDescent="0.5">
      <c r="A44" s="1">
        <v>44</v>
      </c>
      <c r="B44" s="5">
        <v>2.8</v>
      </c>
      <c r="C44" s="1">
        <v>5.05</v>
      </c>
    </row>
    <row r="45" spans="1:3" x14ac:dyDescent="0.5">
      <c r="A45" s="1">
        <v>44</v>
      </c>
      <c r="B45" s="1">
        <v>1.8</v>
      </c>
      <c r="C45" s="1">
        <v>0.69</v>
      </c>
    </row>
    <row r="46" spans="1:3" x14ac:dyDescent="0.5">
      <c r="A46" s="1">
        <v>44</v>
      </c>
      <c r="B46" s="1">
        <v>2.4</v>
      </c>
      <c r="C46" s="1">
        <v>1.5</v>
      </c>
    </row>
    <row r="47" spans="1:3" x14ac:dyDescent="0.5">
      <c r="A47" s="1">
        <v>44</v>
      </c>
      <c r="B47" s="5">
        <v>2.6</v>
      </c>
      <c r="C47" s="1">
        <v>4.5</v>
      </c>
    </row>
    <row r="48" spans="1:3" x14ac:dyDescent="0.5">
      <c r="A48" s="1">
        <v>44</v>
      </c>
      <c r="B48" s="5">
        <v>2</v>
      </c>
      <c r="C48" s="1">
        <v>6.1</v>
      </c>
    </row>
    <row r="49" spans="1:3" x14ac:dyDescent="0.5">
      <c r="A49" s="1">
        <v>44</v>
      </c>
      <c r="B49" s="5">
        <v>2.5</v>
      </c>
      <c r="C49" s="1">
        <v>5.9</v>
      </c>
    </row>
    <row r="50" spans="1:3" x14ac:dyDescent="0.5">
      <c r="A50" s="1">
        <v>44</v>
      </c>
      <c r="B50" s="5">
        <v>3.5</v>
      </c>
      <c r="C50" s="1">
        <v>4.7</v>
      </c>
    </row>
    <row r="51" spans="1:3" x14ac:dyDescent="0.5">
      <c r="A51" s="1">
        <v>61</v>
      </c>
      <c r="B51" s="1">
        <f>((5-0.315)/2)+0.315</f>
        <v>2.6574999999999998</v>
      </c>
      <c r="C51" s="1">
        <v>0.76603774000000002</v>
      </c>
    </row>
    <row r="52" spans="1:3" x14ac:dyDescent="0.5">
      <c r="A52" s="1">
        <v>61</v>
      </c>
      <c r="B52" s="1">
        <f t="shared" ref="B52:B57" si="3">((5-0.315)/2)+0.315</f>
        <v>2.6574999999999998</v>
      </c>
      <c r="C52" s="1">
        <v>1.05888768</v>
      </c>
    </row>
    <row r="53" spans="1:3" x14ac:dyDescent="0.5">
      <c r="A53" s="1">
        <v>61</v>
      </c>
      <c r="B53" s="1">
        <f t="shared" si="3"/>
        <v>2.6574999999999998</v>
      </c>
      <c r="C53" s="1">
        <v>1.5278842100000001</v>
      </c>
    </row>
    <row r="54" spans="1:3" x14ac:dyDescent="0.5">
      <c r="A54" s="1">
        <v>61</v>
      </c>
      <c r="B54" s="1">
        <f t="shared" si="3"/>
        <v>2.6574999999999998</v>
      </c>
      <c r="C54" s="1">
        <v>0.59750000000000003</v>
      </c>
    </row>
    <row r="55" spans="1:3" x14ac:dyDescent="0.5">
      <c r="A55" s="1">
        <v>61</v>
      </c>
      <c r="B55" s="1">
        <f t="shared" si="3"/>
        <v>2.6574999999999998</v>
      </c>
      <c r="C55" s="1">
        <v>0.91031245999999999</v>
      </c>
    </row>
    <row r="56" spans="1:3" x14ac:dyDescent="0.5">
      <c r="A56" s="1">
        <v>61</v>
      </c>
      <c r="B56" s="1">
        <f t="shared" si="3"/>
        <v>2.6574999999999998</v>
      </c>
      <c r="C56" s="1">
        <v>0.41623037000000002</v>
      </c>
    </row>
    <row r="57" spans="1:3" x14ac:dyDescent="0.5">
      <c r="A57" s="1">
        <v>61</v>
      </c>
      <c r="B57" s="1">
        <f t="shared" si="3"/>
        <v>2.6574999999999998</v>
      </c>
      <c r="C57" s="1">
        <v>1.6017781099999999</v>
      </c>
    </row>
    <row r="58" spans="1:3" x14ac:dyDescent="0.5">
      <c r="A58" s="1">
        <v>65</v>
      </c>
      <c r="B58" s="1">
        <v>4.6104000000000003</v>
      </c>
      <c r="C58" s="6">
        <v>0.16</v>
      </c>
    </row>
    <row r="59" spans="1:3" x14ac:dyDescent="0.5">
      <c r="A59" s="1">
        <v>65</v>
      </c>
      <c r="B59" s="1">
        <v>1.6805000000000001</v>
      </c>
      <c r="C59" s="6">
        <v>9.1351199999999994E-2</v>
      </c>
    </row>
    <row r="60" spans="1:3" x14ac:dyDescent="0.5">
      <c r="A60" s="1">
        <v>65</v>
      </c>
      <c r="B60" s="1">
        <v>0.66700000000000004</v>
      </c>
      <c r="C60" s="6">
        <v>8.9999999999999993E-3</v>
      </c>
    </row>
    <row r="61" spans="1:3" x14ac:dyDescent="0.5">
      <c r="A61" s="1">
        <v>65</v>
      </c>
      <c r="B61" s="1">
        <v>1.04</v>
      </c>
      <c r="C61" s="6">
        <v>8.9999999999999993E-3</v>
      </c>
    </row>
    <row r="62" spans="1:3" x14ac:dyDescent="0.5">
      <c r="A62" s="1">
        <v>65</v>
      </c>
      <c r="B62" s="1">
        <v>1.7939000000000001</v>
      </c>
      <c r="C62" s="6">
        <v>0.05</v>
      </c>
    </row>
    <row r="63" spans="1:3" x14ac:dyDescent="0.5">
      <c r="A63" s="1">
        <v>65</v>
      </c>
      <c r="B63" s="1">
        <v>1.1781999999999999</v>
      </c>
      <c r="C63" s="6">
        <v>0.06</v>
      </c>
    </row>
    <row r="64" spans="1:3" x14ac:dyDescent="0.5">
      <c r="A64" s="1">
        <v>65</v>
      </c>
      <c r="B64" s="1">
        <v>1.5304</v>
      </c>
      <c r="C64" s="6">
        <v>0.06</v>
      </c>
    </row>
    <row r="65" spans="1:3" x14ac:dyDescent="0.5">
      <c r="A65" s="1">
        <v>65</v>
      </c>
      <c r="B65" s="1">
        <v>0.90759999999999996</v>
      </c>
      <c r="C65" s="6">
        <v>4.7467200000000003E-3</v>
      </c>
    </row>
    <row r="66" spans="1:3" x14ac:dyDescent="0.5">
      <c r="A66" s="1">
        <v>65</v>
      </c>
      <c r="B66" s="1">
        <v>2.5200999999999998</v>
      </c>
      <c r="C66" s="6">
        <v>0.21</v>
      </c>
    </row>
    <row r="67" spans="1:3" x14ac:dyDescent="0.5">
      <c r="A67" s="1">
        <v>65</v>
      </c>
      <c r="B67" s="1">
        <v>0.35830000000000001</v>
      </c>
      <c r="C67" s="6">
        <v>6.6885E-3</v>
      </c>
    </row>
    <row r="68" spans="1:3" x14ac:dyDescent="0.5">
      <c r="A68" s="1">
        <v>65</v>
      </c>
      <c r="B68" s="1">
        <v>0.96660000000000001</v>
      </c>
      <c r="C68" s="6">
        <v>8.9999999999999993E-3</v>
      </c>
    </row>
    <row r="69" spans="1:3" x14ac:dyDescent="0.5">
      <c r="A69" s="1">
        <v>65</v>
      </c>
      <c r="B69" s="1">
        <v>3.1671</v>
      </c>
      <c r="C69" s="6">
        <v>0.08</v>
      </c>
    </row>
    <row r="70" spans="1:3" x14ac:dyDescent="0.5">
      <c r="A70" s="1">
        <v>65</v>
      </c>
      <c r="B70" s="1">
        <v>3.1738</v>
      </c>
      <c r="C70" s="6">
        <v>0.09</v>
      </c>
    </row>
    <row r="71" spans="1:3" x14ac:dyDescent="0.5">
      <c r="A71" s="1">
        <v>65</v>
      </c>
      <c r="B71" s="1">
        <v>2.5407000000000002</v>
      </c>
      <c r="C71" s="6">
        <v>4.518498E-2</v>
      </c>
    </row>
    <row r="72" spans="1:3" x14ac:dyDescent="0.5">
      <c r="A72" s="1">
        <v>65</v>
      </c>
      <c r="B72" s="1">
        <v>0.43930000000000002</v>
      </c>
      <c r="C72" s="6">
        <v>1.65324E-3</v>
      </c>
    </row>
    <row r="73" spans="1:3" x14ac:dyDescent="0.5">
      <c r="A73" s="1">
        <v>65</v>
      </c>
      <c r="B73" s="1">
        <v>0.92649999999999999</v>
      </c>
      <c r="C73" s="6">
        <v>3.9902399999999998E-2</v>
      </c>
    </row>
    <row r="74" spans="1:3" x14ac:dyDescent="0.5">
      <c r="A74" s="1">
        <v>65</v>
      </c>
      <c r="B74" s="1">
        <v>0.56489999999999996</v>
      </c>
      <c r="C74" s="6">
        <v>8.9999999999999993E-3</v>
      </c>
    </row>
    <row r="75" spans="1:3" x14ac:dyDescent="0.5">
      <c r="A75" s="1">
        <v>65</v>
      </c>
      <c r="B75" s="1">
        <v>0.97940000000000005</v>
      </c>
      <c r="C75" s="6">
        <v>5.7381000000000003E-3</v>
      </c>
    </row>
    <row r="76" spans="1:3" x14ac:dyDescent="0.5">
      <c r="A76" s="1">
        <v>65</v>
      </c>
      <c r="B76" s="1">
        <v>1.7982</v>
      </c>
      <c r="C76" s="6">
        <v>0.05</v>
      </c>
    </row>
    <row r="77" spans="1:3" x14ac:dyDescent="0.5">
      <c r="A77" s="1">
        <v>65</v>
      </c>
      <c r="B77" s="1">
        <v>0.4002</v>
      </c>
      <c r="C77" s="6">
        <v>9.7783999999999996E-3</v>
      </c>
    </row>
    <row r="78" spans="1:3" x14ac:dyDescent="0.5">
      <c r="A78" s="1">
        <v>65</v>
      </c>
      <c r="B78" s="1">
        <v>0.44769999999999999</v>
      </c>
      <c r="C78" s="6">
        <v>8.9999999999999993E-3</v>
      </c>
    </row>
    <row r="79" spans="1:3" x14ac:dyDescent="0.5">
      <c r="A79" s="1">
        <v>65</v>
      </c>
      <c r="B79" s="1">
        <v>0.52569999999999995</v>
      </c>
      <c r="C79" s="6">
        <v>8.9999999999999993E-3</v>
      </c>
    </row>
    <row r="80" spans="1:3" x14ac:dyDescent="0.5">
      <c r="A80" s="1">
        <v>65</v>
      </c>
      <c r="B80" s="1">
        <v>0.30259999999999998</v>
      </c>
      <c r="C80" s="6">
        <v>6.5960000000000003E-3</v>
      </c>
    </row>
    <row r="81" spans="1:3" x14ac:dyDescent="0.5">
      <c r="A81" s="1">
        <v>65</v>
      </c>
      <c r="B81" s="1">
        <v>0.3206</v>
      </c>
      <c r="C81" s="6">
        <v>4.2431999999999999E-3</v>
      </c>
    </row>
    <row r="82" spans="1:3" x14ac:dyDescent="0.5">
      <c r="A82" s="1">
        <v>65</v>
      </c>
      <c r="B82" s="1">
        <v>0.20419999999999999</v>
      </c>
      <c r="C82" s="6">
        <v>2.0400000000000001E-3</v>
      </c>
    </row>
    <row r="83" spans="1:3" x14ac:dyDescent="0.5">
      <c r="A83" s="1">
        <v>65</v>
      </c>
      <c r="B83" s="1">
        <v>0.1784</v>
      </c>
      <c r="C83" s="6">
        <v>1.3872000000000001E-3</v>
      </c>
    </row>
    <row r="84" spans="1:3" x14ac:dyDescent="0.5">
      <c r="A84" s="1">
        <v>65</v>
      </c>
      <c r="B84" s="1">
        <v>0.1318</v>
      </c>
      <c r="C84" s="6">
        <v>1.0744000000000001E-3</v>
      </c>
    </row>
    <row r="85" spans="1:3" x14ac:dyDescent="0.5">
      <c r="A85" s="1">
        <v>65</v>
      </c>
      <c r="B85" s="1">
        <v>0.2162</v>
      </c>
      <c r="C85" s="6">
        <v>1.5912000000000001E-3</v>
      </c>
    </row>
    <row r="86" spans="1:3" x14ac:dyDescent="0.5">
      <c r="A86" s="1">
        <v>65</v>
      </c>
      <c r="B86" s="1">
        <v>0.14580000000000001</v>
      </c>
      <c r="C86" s="6">
        <v>8.9760000000000003E-4</v>
      </c>
    </row>
    <row r="87" spans="1:3" x14ac:dyDescent="0.5">
      <c r="A87" s="1">
        <v>65</v>
      </c>
      <c r="B87" s="1">
        <v>1.0851999999999999</v>
      </c>
      <c r="C87" s="6">
        <v>0.02</v>
      </c>
    </row>
    <row r="88" spans="1:3" x14ac:dyDescent="0.5">
      <c r="A88" s="1">
        <v>65</v>
      </c>
      <c r="B88" s="1">
        <v>1.7827999999999999</v>
      </c>
      <c r="C88" s="6">
        <v>3.7142700000000001E-2</v>
      </c>
    </row>
    <row r="89" spans="1:3" x14ac:dyDescent="0.5">
      <c r="A89" s="1">
        <v>65</v>
      </c>
      <c r="B89" s="1">
        <v>0.38450000000000001</v>
      </c>
      <c r="C89" s="6">
        <v>3.7558500000000002E-2</v>
      </c>
    </row>
    <row r="90" spans="1:3" x14ac:dyDescent="0.5">
      <c r="A90" s="1">
        <v>65</v>
      </c>
      <c r="B90" s="1">
        <v>4</v>
      </c>
      <c r="C90" s="6">
        <v>0.22</v>
      </c>
    </row>
    <row r="91" spans="1:3" x14ac:dyDescent="0.5">
      <c r="A91" s="1">
        <v>65</v>
      </c>
      <c r="B91" s="1">
        <v>0.9587</v>
      </c>
      <c r="C91" s="6">
        <v>2.1478500000000001E-2</v>
      </c>
    </row>
    <row r="92" spans="1:3" x14ac:dyDescent="0.5">
      <c r="A92" s="1">
        <v>65</v>
      </c>
      <c r="B92" s="1">
        <v>0.66849999999999998</v>
      </c>
      <c r="C92" s="6">
        <v>2.1031500000000002E-2</v>
      </c>
    </row>
    <row r="93" spans="1:3" x14ac:dyDescent="0.5">
      <c r="A93" s="1">
        <v>65</v>
      </c>
      <c r="B93" s="1">
        <v>1.6968000000000001</v>
      </c>
      <c r="C93" s="6">
        <v>0.08</v>
      </c>
    </row>
    <row r="94" spans="1:3" x14ac:dyDescent="0.5">
      <c r="A94" s="1">
        <v>65</v>
      </c>
      <c r="B94" s="1">
        <v>0.78859999999999997</v>
      </c>
      <c r="C94" s="6">
        <v>2.9187000000000001E-2</v>
      </c>
    </row>
    <row r="95" spans="1:3" x14ac:dyDescent="0.5">
      <c r="A95" s="1">
        <v>65</v>
      </c>
      <c r="B95" s="1">
        <v>1.3869</v>
      </c>
      <c r="C95" s="6">
        <v>7.5702E-3</v>
      </c>
    </row>
    <row r="96" spans="1:3" x14ac:dyDescent="0.5">
      <c r="A96" s="1">
        <v>65</v>
      </c>
      <c r="B96" s="1">
        <v>1.1667000000000001</v>
      </c>
      <c r="C96" s="6">
        <v>2.8248599999999999E-2</v>
      </c>
    </row>
    <row r="97" spans="1:3" x14ac:dyDescent="0.5">
      <c r="A97" s="1">
        <v>65</v>
      </c>
      <c r="B97" s="1">
        <v>0.89380000000000004</v>
      </c>
      <c r="C97" s="6">
        <v>0.02</v>
      </c>
    </row>
    <row r="98" spans="1:3" x14ac:dyDescent="0.5">
      <c r="A98" s="1">
        <v>65</v>
      </c>
      <c r="B98" s="1">
        <v>0.65249999999999997</v>
      </c>
      <c r="C98" s="6">
        <v>4.4060999999999996E-3</v>
      </c>
    </row>
    <row r="99" spans="1:3" x14ac:dyDescent="0.5">
      <c r="A99" s="1">
        <v>65</v>
      </c>
      <c r="B99" s="1">
        <v>1.5636000000000001</v>
      </c>
      <c r="C99" s="4">
        <f>0.014*0.51</f>
        <v>7.1400000000000005E-3</v>
      </c>
    </row>
    <row r="100" spans="1:3" x14ac:dyDescent="0.5">
      <c r="A100" s="1">
        <v>65</v>
      </c>
      <c r="B100" s="1">
        <v>1.4757</v>
      </c>
      <c r="C100" s="4">
        <f>0.014*0.49</f>
        <v>6.8599999999999998E-3</v>
      </c>
    </row>
    <row r="101" spans="1:3" x14ac:dyDescent="0.5">
      <c r="A101" s="1">
        <v>65</v>
      </c>
      <c r="B101" s="1">
        <v>0.39539999999999997</v>
      </c>
      <c r="C101" s="6">
        <v>8.4732000000000002E-3</v>
      </c>
    </row>
    <row r="102" spans="1:3" x14ac:dyDescent="0.5">
      <c r="A102" s="1">
        <v>65</v>
      </c>
      <c r="B102" s="1">
        <v>0.79790000000000005</v>
      </c>
      <c r="C102" s="6">
        <v>3.4775199999999999E-2</v>
      </c>
    </row>
    <row r="103" spans="1:3" x14ac:dyDescent="0.5">
      <c r="A103" s="1">
        <v>65</v>
      </c>
      <c r="B103" s="1">
        <v>1.4412</v>
      </c>
      <c r="C103" s="6">
        <v>0.10954800000000001</v>
      </c>
    </row>
    <row r="104" spans="1:3" x14ac:dyDescent="0.5">
      <c r="A104" s="1">
        <v>65</v>
      </c>
      <c r="B104" s="1">
        <v>0.51649999999999996</v>
      </c>
      <c r="C104" s="6">
        <v>8.9999999999999993E-3</v>
      </c>
    </row>
    <row r="105" spans="1:3" x14ac:dyDescent="0.5">
      <c r="A105" s="1">
        <v>65</v>
      </c>
      <c r="B105" s="1">
        <v>1.7398</v>
      </c>
      <c r="C105" s="6">
        <v>8.9999999999999993E-3</v>
      </c>
    </row>
    <row r="106" spans="1:3" x14ac:dyDescent="0.5">
      <c r="A106" s="1">
        <v>65</v>
      </c>
      <c r="B106" s="1">
        <v>1.0395000000000001</v>
      </c>
      <c r="C106" s="6">
        <v>4.06968E-3</v>
      </c>
    </row>
    <row r="107" spans="1:3" x14ac:dyDescent="0.5">
      <c r="A107" s="1">
        <v>65</v>
      </c>
      <c r="B107" s="1">
        <v>0.29120000000000001</v>
      </c>
      <c r="C107" s="6">
        <v>3.5225999999999999E-3</v>
      </c>
    </row>
    <row r="108" spans="1:3" x14ac:dyDescent="0.5">
      <c r="A108" s="1">
        <v>65</v>
      </c>
      <c r="B108" s="1">
        <v>0.54600000000000004</v>
      </c>
      <c r="C108" s="6">
        <v>8.9999999999999993E-3</v>
      </c>
    </row>
    <row r="109" spans="1:3" x14ac:dyDescent="0.5">
      <c r="A109" s="1">
        <v>65</v>
      </c>
      <c r="B109" s="1">
        <v>0.64400000000000002</v>
      </c>
      <c r="C109" s="6">
        <v>8.9999999999999993E-3</v>
      </c>
    </row>
    <row r="110" spans="1:3" x14ac:dyDescent="0.5">
      <c r="A110" s="1">
        <v>65</v>
      </c>
      <c r="B110" s="1">
        <v>0.50560000000000005</v>
      </c>
      <c r="C110" s="6">
        <v>8.9999999999999993E-3</v>
      </c>
    </row>
    <row r="111" spans="1:3" x14ac:dyDescent="0.5">
      <c r="A111" s="1">
        <v>65</v>
      </c>
      <c r="B111" s="1">
        <v>0.81379999999999997</v>
      </c>
      <c r="C111" s="6">
        <v>4.76976E-2</v>
      </c>
    </row>
    <row r="112" spans="1:3" x14ac:dyDescent="0.5">
      <c r="A112" s="1">
        <v>65</v>
      </c>
      <c r="B112" s="1">
        <v>0.49370000000000003</v>
      </c>
      <c r="C112" s="6">
        <v>8.9999999999999993E-3</v>
      </c>
    </row>
    <row r="113" spans="1:3" x14ac:dyDescent="0.5">
      <c r="A113" s="1">
        <v>65</v>
      </c>
      <c r="B113" s="1">
        <v>0.42759999999999998</v>
      </c>
      <c r="C113" s="6">
        <v>8.9999999999999993E-3</v>
      </c>
    </row>
    <row r="114" spans="1:3" x14ac:dyDescent="0.5">
      <c r="A114" s="1">
        <v>65</v>
      </c>
      <c r="B114" s="1">
        <v>0.50949999999999995</v>
      </c>
      <c r="C114" s="6">
        <v>8.9999999999999993E-3</v>
      </c>
    </row>
    <row r="115" spans="1:3" x14ac:dyDescent="0.5">
      <c r="A115" s="1">
        <v>65</v>
      </c>
      <c r="B115" s="1">
        <v>0.75280000000000002</v>
      </c>
      <c r="C115" s="6">
        <v>3.9272999999999999E-3</v>
      </c>
    </row>
    <row r="116" spans="1:3" x14ac:dyDescent="0.5">
      <c r="A116" s="1">
        <v>65</v>
      </c>
      <c r="B116" s="1">
        <v>0.374</v>
      </c>
      <c r="C116" s="6">
        <v>2.2344000000000001E-3</v>
      </c>
    </row>
    <row r="117" spans="1:3" x14ac:dyDescent="0.5">
      <c r="A117" s="1">
        <v>65</v>
      </c>
      <c r="B117" s="1">
        <v>1.0529999999999999</v>
      </c>
      <c r="C117" s="6">
        <v>8.9999999999999993E-3</v>
      </c>
    </row>
    <row r="118" spans="1:3" x14ac:dyDescent="0.5">
      <c r="A118" s="1">
        <v>65</v>
      </c>
      <c r="B118" s="1">
        <v>0.33439999999999998</v>
      </c>
      <c r="C118" s="6">
        <v>0.01</v>
      </c>
    </row>
    <row r="119" spans="1:3" x14ac:dyDescent="0.5">
      <c r="A119" s="1">
        <v>65</v>
      </c>
      <c r="B119" s="1">
        <v>0.31940000000000002</v>
      </c>
      <c r="C119" s="6">
        <v>1.5333E-3</v>
      </c>
    </row>
    <row r="120" spans="1:3" x14ac:dyDescent="0.5">
      <c r="A120" s="1">
        <v>65</v>
      </c>
      <c r="B120" s="1">
        <v>0.62109999999999999</v>
      </c>
      <c r="C120" s="6">
        <v>3.1064999999999999E-3</v>
      </c>
    </row>
    <row r="121" spans="1:3" x14ac:dyDescent="0.5">
      <c r="A121" s="1">
        <v>65</v>
      </c>
      <c r="B121" s="1">
        <v>2.4129999999999998</v>
      </c>
      <c r="C121" s="4">
        <f>0.62*0.31</f>
        <v>0.19220000000000001</v>
      </c>
    </row>
    <row r="122" spans="1:3" x14ac:dyDescent="0.5">
      <c r="A122" s="1">
        <v>65</v>
      </c>
      <c r="B122" s="1">
        <v>2.85</v>
      </c>
      <c r="C122" s="6">
        <v>0.36</v>
      </c>
    </row>
    <row r="123" spans="1:3" x14ac:dyDescent="0.5">
      <c r="A123" s="1">
        <v>65</v>
      </c>
      <c r="B123" s="1">
        <v>2.4194</v>
      </c>
      <c r="C123" s="6">
        <v>0.04</v>
      </c>
    </row>
    <row r="124" spans="1:3" x14ac:dyDescent="0.5">
      <c r="A124" s="1">
        <v>65</v>
      </c>
      <c r="B124" s="1">
        <v>3.1970000000000001</v>
      </c>
      <c r="C124" s="6">
        <v>0.1044696</v>
      </c>
    </row>
    <row r="125" spans="1:3" x14ac:dyDescent="0.5">
      <c r="A125" s="1">
        <v>65</v>
      </c>
      <c r="B125" s="1">
        <v>3.6829999999999998</v>
      </c>
      <c r="C125" s="6">
        <v>0.1448256</v>
      </c>
    </row>
    <row r="126" spans="1:3" x14ac:dyDescent="0.5">
      <c r="A126" s="1">
        <v>65</v>
      </c>
      <c r="B126" s="1">
        <v>0.876</v>
      </c>
      <c r="C126" s="6">
        <v>6.1479999999999998E-3</v>
      </c>
    </row>
    <row r="127" spans="1:3" x14ac:dyDescent="0.5">
      <c r="A127" s="1">
        <v>65</v>
      </c>
      <c r="B127" s="1">
        <v>3.5950000000000002</v>
      </c>
      <c r="C127" s="6">
        <v>9.7196400000000002E-2</v>
      </c>
    </row>
    <row r="128" spans="1:3" x14ac:dyDescent="0.5">
      <c r="A128" s="1">
        <v>65</v>
      </c>
      <c r="B128" s="1">
        <v>1.304</v>
      </c>
      <c r="C128" s="6">
        <v>0.02</v>
      </c>
    </row>
    <row r="129" spans="1:3" x14ac:dyDescent="0.5">
      <c r="A129" s="1">
        <v>65</v>
      </c>
      <c r="B129" s="1">
        <v>3.9674999999999998</v>
      </c>
      <c r="C129" s="6">
        <v>0.03</v>
      </c>
    </row>
    <row r="130" spans="1:3" x14ac:dyDescent="0.5">
      <c r="A130" s="1">
        <v>65</v>
      </c>
      <c r="B130" s="1">
        <v>1.6830000000000001</v>
      </c>
      <c r="C130" s="6">
        <v>0.05</v>
      </c>
    </row>
    <row r="131" spans="1:3" x14ac:dyDescent="0.5">
      <c r="A131" s="1">
        <v>65</v>
      </c>
      <c r="B131" s="1">
        <v>0.34089999999999998</v>
      </c>
      <c r="C131" s="6">
        <v>6.0996000000000002E-3</v>
      </c>
    </row>
    <row r="132" spans="1:3" x14ac:dyDescent="0.5">
      <c r="A132" s="1">
        <v>65</v>
      </c>
      <c r="B132" s="1">
        <v>1.4531000000000001</v>
      </c>
      <c r="C132" s="6">
        <v>3.7385999999999999E-3</v>
      </c>
    </row>
    <row r="133" spans="1:3" x14ac:dyDescent="0.5">
      <c r="A133" s="1">
        <v>65</v>
      </c>
      <c r="B133" s="1">
        <v>2.0261999999999998</v>
      </c>
      <c r="C133" s="6">
        <v>0.18</v>
      </c>
    </row>
    <row r="134" spans="1:3" x14ac:dyDescent="0.5">
      <c r="A134" s="1">
        <v>65</v>
      </c>
      <c r="B134" s="1">
        <v>0.91149999999999998</v>
      </c>
      <c r="C134" s="6">
        <v>8.9999999999999993E-3</v>
      </c>
    </row>
    <row r="135" spans="1:3" x14ac:dyDescent="0.5">
      <c r="A135" s="1">
        <v>65</v>
      </c>
      <c r="B135" s="1">
        <v>1.1297999999999999</v>
      </c>
      <c r="C135" s="4">
        <f>0.009*0.556</f>
        <v>5.0039999999999998E-3</v>
      </c>
    </row>
    <row r="136" spans="1:3" x14ac:dyDescent="0.5">
      <c r="A136" s="1">
        <v>65</v>
      </c>
      <c r="B136" s="1">
        <v>0.90039999999999998</v>
      </c>
      <c r="C136" s="4">
        <f>0.009*0.444</f>
        <v>3.9959999999999996E-3</v>
      </c>
    </row>
    <row r="137" spans="1:3" x14ac:dyDescent="0.5">
      <c r="A137" s="1">
        <v>65</v>
      </c>
      <c r="B137" s="1">
        <v>1.1305000000000001</v>
      </c>
      <c r="C137" s="6">
        <v>4.92615E-2</v>
      </c>
    </row>
    <row r="138" spans="1:3" x14ac:dyDescent="0.5">
      <c r="A138" s="1">
        <v>65</v>
      </c>
      <c r="B138" s="1">
        <v>1.1419999999999999</v>
      </c>
      <c r="C138" s="6">
        <v>7.7910000000000002E-3</v>
      </c>
    </row>
    <row r="139" spans="1:3" x14ac:dyDescent="0.5">
      <c r="A139" s="1">
        <v>65</v>
      </c>
      <c r="B139" s="1">
        <v>3.9695</v>
      </c>
      <c r="C139" s="6">
        <v>0.14000000000000001</v>
      </c>
    </row>
    <row r="140" spans="1:3" x14ac:dyDescent="0.5">
      <c r="A140" s="1">
        <v>65</v>
      </c>
      <c r="B140" s="1">
        <v>0.78569999999999995</v>
      </c>
      <c r="C140" s="6">
        <v>6.4123499999999998E-3</v>
      </c>
    </row>
    <row r="141" spans="1:3" x14ac:dyDescent="0.5">
      <c r="A141" s="1">
        <v>65</v>
      </c>
      <c r="B141" s="1">
        <v>0.443</v>
      </c>
      <c r="C141" s="6">
        <v>6.7889999999999999E-3</v>
      </c>
    </row>
    <row r="142" spans="1:3" x14ac:dyDescent="0.5">
      <c r="A142" s="1">
        <v>65</v>
      </c>
      <c r="B142" s="1">
        <v>0.67800000000000005</v>
      </c>
      <c r="C142" s="6">
        <v>5.8139999999999997E-3</v>
      </c>
    </row>
    <row r="143" spans="1:3" x14ac:dyDescent="0.5">
      <c r="A143" s="1">
        <v>65</v>
      </c>
      <c r="B143" s="1">
        <v>1.7322</v>
      </c>
      <c r="C143" s="6">
        <v>8.9999999999999993E-3</v>
      </c>
    </row>
    <row r="144" spans="1:3" x14ac:dyDescent="0.5">
      <c r="A144" s="1">
        <v>65</v>
      </c>
      <c r="B144" s="1">
        <v>0.27850000000000003</v>
      </c>
      <c r="C144" s="6">
        <v>0.01</v>
      </c>
    </row>
    <row r="145" spans="1:3" x14ac:dyDescent="0.5">
      <c r="A145" s="1">
        <v>65</v>
      </c>
      <c r="B145" s="1">
        <v>0.32619999999999999</v>
      </c>
      <c r="C145" s="6">
        <v>8.7047999999999997E-4</v>
      </c>
    </row>
    <row r="146" spans="1:3" x14ac:dyDescent="0.5">
      <c r="A146" s="1">
        <v>65</v>
      </c>
      <c r="B146" s="1">
        <v>0.72270000000000001</v>
      </c>
      <c r="C146" s="6">
        <v>1.6702799999999999E-3</v>
      </c>
    </row>
    <row r="147" spans="1:3" x14ac:dyDescent="0.5">
      <c r="A147" s="1">
        <v>65</v>
      </c>
      <c r="B147" s="1">
        <v>1.3658999999999999</v>
      </c>
      <c r="C147" s="6">
        <v>0.06</v>
      </c>
    </row>
    <row r="148" spans="1:3" x14ac:dyDescent="0.5">
      <c r="A148" s="1">
        <v>65</v>
      </c>
      <c r="B148" s="1">
        <v>0.48149999999999998</v>
      </c>
      <c r="C148" s="6">
        <v>5.9042000000000001E-3</v>
      </c>
    </row>
    <row r="149" spans="1:3" x14ac:dyDescent="0.5">
      <c r="A149" s="1">
        <v>65</v>
      </c>
      <c r="B149" s="1">
        <v>0.80089999999999995</v>
      </c>
      <c r="C149" s="6">
        <v>4.1427599999999997E-3</v>
      </c>
    </row>
    <row r="150" spans="1:3" x14ac:dyDescent="0.5">
      <c r="A150" s="1">
        <v>65</v>
      </c>
      <c r="B150" s="1">
        <v>0.99009999999999998</v>
      </c>
      <c r="C150" s="6">
        <v>6.1844999999999999E-3</v>
      </c>
    </row>
    <row r="151" spans="1:3" x14ac:dyDescent="0.5">
      <c r="A151" s="1">
        <v>65</v>
      </c>
      <c r="B151" s="1">
        <v>0.60040000000000004</v>
      </c>
      <c r="C151" s="6">
        <v>3.2736000000000002E-3</v>
      </c>
    </row>
    <row r="152" spans="1:3" x14ac:dyDescent="0.5">
      <c r="A152" s="1">
        <v>65</v>
      </c>
      <c r="B152" s="1">
        <v>0.41320000000000001</v>
      </c>
      <c r="C152" s="6">
        <v>5.3382000000000004E-3</v>
      </c>
    </row>
    <row r="153" spans="1:3" x14ac:dyDescent="0.5">
      <c r="A153" s="1">
        <v>65</v>
      </c>
      <c r="B153" s="1">
        <v>0.91490000000000005</v>
      </c>
      <c r="C153" s="6">
        <v>4.9643400000000002E-3</v>
      </c>
    </row>
    <row r="154" spans="1:3" x14ac:dyDescent="0.5">
      <c r="A154" s="1">
        <v>65</v>
      </c>
      <c r="B154" s="1">
        <v>0.79379999999999995</v>
      </c>
      <c r="C154" s="6">
        <v>4.2370799999999998E-3</v>
      </c>
    </row>
    <row r="155" spans="1:3" x14ac:dyDescent="0.5">
      <c r="A155" s="1">
        <v>65</v>
      </c>
      <c r="B155" s="1">
        <v>1.0656000000000001</v>
      </c>
      <c r="C155" s="6">
        <v>8.9999999999999993E-3</v>
      </c>
    </row>
    <row r="156" spans="1:3" x14ac:dyDescent="0.5">
      <c r="A156" s="1">
        <v>65</v>
      </c>
      <c r="B156" s="1">
        <v>0.71440000000000003</v>
      </c>
      <c r="C156" s="6">
        <v>3.9443999999999998E-3</v>
      </c>
    </row>
    <row r="157" spans="1:3" x14ac:dyDescent="0.5">
      <c r="A157" s="1">
        <v>65</v>
      </c>
      <c r="B157" s="1">
        <v>1.0716000000000001</v>
      </c>
      <c r="C157" s="6">
        <v>2.64993E-2</v>
      </c>
    </row>
    <row r="158" spans="1:3" x14ac:dyDescent="0.5">
      <c r="A158" s="1">
        <v>65</v>
      </c>
      <c r="B158" s="1">
        <v>0.73480000000000001</v>
      </c>
      <c r="C158" s="6">
        <v>3.9506400000000001E-3</v>
      </c>
    </row>
    <row r="159" spans="1:3" x14ac:dyDescent="0.5">
      <c r="A159" s="1">
        <v>65</v>
      </c>
      <c r="B159" s="1">
        <v>0.45950000000000002</v>
      </c>
      <c r="C159" s="6">
        <v>1.26666E-3</v>
      </c>
    </row>
    <row r="160" spans="1:3" x14ac:dyDescent="0.5">
      <c r="A160" s="1">
        <v>65</v>
      </c>
      <c r="B160" s="1">
        <v>0.46129999999999999</v>
      </c>
      <c r="C160" s="6">
        <v>1.23504E-3</v>
      </c>
    </row>
    <row r="161" spans="1:3" x14ac:dyDescent="0.5">
      <c r="A161" s="1">
        <v>65</v>
      </c>
      <c r="B161" s="1">
        <v>0.27850000000000003</v>
      </c>
      <c r="C161" s="6">
        <v>1.8810000000000001E-3</v>
      </c>
    </row>
    <row r="162" spans="1:3" x14ac:dyDescent="0.5">
      <c r="A162" s="1">
        <v>65</v>
      </c>
      <c r="B162" s="1">
        <v>0.97889999999999999</v>
      </c>
      <c r="C162" s="6">
        <v>8.7073199999999993E-3</v>
      </c>
    </row>
    <row r="163" spans="1:3" x14ac:dyDescent="0.5">
      <c r="A163" s="1">
        <v>65</v>
      </c>
      <c r="B163" s="1">
        <v>1.4623999999999999</v>
      </c>
      <c r="C163" s="6">
        <v>1.450536E-2</v>
      </c>
    </row>
    <row r="164" spans="1:3" x14ac:dyDescent="0.5">
      <c r="A164" s="1">
        <v>65</v>
      </c>
      <c r="B164" s="1">
        <v>1.2979000000000001</v>
      </c>
      <c r="C164" s="6">
        <v>7.7487600000000004E-3</v>
      </c>
    </row>
    <row r="165" spans="1:3" x14ac:dyDescent="0.5">
      <c r="A165" s="1">
        <v>65</v>
      </c>
      <c r="B165" s="1">
        <v>0.68689999999999996</v>
      </c>
      <c r="C165" s="6">
        <v>5.4777000000000003E-3</v>
      </c>
    </row>
    <row r="166" spans="1:3" x14ac:dyDescent="0.5">
      <c r="A166" s="1">
        <v>65</v>
      </c>
      <c r="B166" s="1">
        <v>0.86609999999999998</v>
      </c>
      <c r="C166" s="6">
        <v>8.9999999999999993E-3</v>
      </c>
    </row>
    <row r="167" spans="1:3" x14ac:dyDescent="0.5">
      <c r="A167" s="1">
        <v>79</v>
      </c>
      <c r="B167" s="1">
        <f>((5-0.025)/2)+0.025</f>
        <v>2.5124999999999997</v>
      </c>
      <c r="C167" s="6">
        <v>0.33</v>
      </c>
    </row>
    <row r="168" spans="1:3" x14ac:dyDescent="0.5">
      <c r="A168" s="1">
        <v>79</v>
      </c>
      <c r="B168" s="1">
        <f>((0.3-0.025)/2)+0.025</f>
        <v>0.16249999999999998</v>
      </c>
      <c r="C168" s="1">
        <v>1.6639999999999999E-3</v>
      </c>
    </row>
    <row r="169" spans="1:3" x14ac:dyDescent="0.5">
      <c r="A169" s="1">
        <v>79</v>
      </c>
      <c r="B169" s="1">
        <v>2.65</v>
      </c>
      <c r="C169" s="1">
        <v>0.4</v>
      </c>
    </row>
    <row r="170" spans="1:3" x14ac:dyDescent="0.5">
      <c r="A170" s="1">
        <v>93</v>
      </c>
      <c r="B170" s="1">
        <v>2.65</v>
      </c>
      <c r="C170" s="1">
        <f>14.9/895*1000</f>
        <v>16.648044692737432</v>
      </c>
    </row>
    <row r="171" spans="1:3" x14ac:dyDescent="0.5">
      <c r="A171" s="1">
        <v>42</v>
      </c>
      <c r="B171" s="1">
        <v>2.75</v>
      </c>
      <c r="C171" s="6">
        <f>690/68</f>
        <v>10.147058823529411</v>
      </c>
    </row>
    <row r="172" spans="1:3" x14ac:dyDescent="0.5">
      <c r="A172" s="1">
        <v>42</v>
      </c>
      <c r="B172" s="1">
        <v>2.75</v>
      </c>
      <c r="C172" s="6">
        <f>580/82</f>
        <v>7.0731707317073171</v>
      </c>
    </row>
    <row r="173" spans="1:3" x14ac:dyDescent="0.5">
      <c r="A173" s="1">
        <v>42</v>
      </c>
      <c r="B173" s="1">
        <v>2.75</v>
      </c>
      <c r="C173" s="6">
        <f>1520/1150</f>
        <v>1.3217391304347825</v>
      </c>
    </row>
    <row r="174" spans="1:3" x14ac:dyDescent="0.5">
      <c r="A174" s="1">
        <v>42</v>
      </c>
      <c r="B174" s="1">
        <v>2.75</v>
      </c>
      <c r="C174" s="6">
        <f>520/130</f>
        <v>4</v>
      </c>
    </row>
    <row r="175" spans="1:3" x14ac:dyDescent="0.5">
      <c r="A175" s="1">
        <v>42</v>
      </c>
      <c r="B175" s="1">
        <v>2.75</v>
      </c>
      <c r="C175" s="6">
        <f>780/42</f>
        <v>18.571428571428573</v>
      </c>
    </row>
    <row r="176" spans="1:3" x14ac:dyDescent="0.5">
      <c r="A176" s="1">
        <v>42</v>
      </c>
      <c r="B176" s="1">
        <v>2.75</v>
      </c>
      <c r="C176" s="6">
        <f>1560/367</f>
        <v>4.2506811989100814</v>
      </c>
    </row>
    <row r="177" spans="1:3" x14ac:dyDescent="0.5">
      <c r="A177" s="1">
        <v>42</v>
      </c>
      <c r="B177" s="1">
        <v>2.75</v>
      </c>
      <c r="C177" s="6">
        <f>870/468</f>
        <v>1.858974358974359</v>
      </c>
    </row>
    <row r="178" spans="1:3" x14ac:dyDescent="0.5">
      <c r="A178" s="1">
        <v>42</v>
      </c>
      <c r="B178" s="1">
        <v>2.75</v>
      </c>
      <c r="C178" s="6">
        <f>3330/780</f>
        <v>4.2692307692307692</v>
      </c>
    </row>
    <row r="179" spans="1:3" x14ac:dyDescent="0.5">
      <c r="A179" s="1">
        <v>42</v>
      </c>
      <c r="B179" s="1">
        <v>2.75</v>
      </c>
      <c r="C179" s="6">
        <f>370/157</f>
        <v>2.3566878980891719</v>
      </c>
    </row>
    <row r="180" spans="1:3" x14ac:dyDescent="0.5">
      <c r="A180" s="1">
        <v>42</v>
      </c>
      <c r="B180" s="1">
        <v>2.75</v>
      </c>
      <c r="C180" s="6">
        <f>460/113</f>
        <v>4.0707964601769913</v>
      </c>
    </row>
    <row r="181" spans="1:3" x14ac:dyDescent="0.5">
      <c r="A181" s="1">
        <v>42</v>
      </c>
      <c r="B181" s="1">
        <v>2.75</v>
      </c>
      <c r="C181" s="6">
        <f>1130/89</f>
        <v>12.696629213483146</v>
      </c>
    </row>
    <row r="182" spans="1:3" x14ac:dyDescent="0.5">
      <c r="A182" s="1">
        <v>42</v>
      </c>
      <c r="B182" s="1">
        <v>2.75</v>
      </c>
      <c r="C182" s="6">
        <f>7330/373</f>
        <v>19.651474530831099</v>
      </c>
    </row>
    <row r="183" spans="1:3" x14ac:dyDescent="0.5">
      <c r="A183" s="1">
        <v>42</v>
      </c>
      <c r="B183" s="1">
        <v>2.75</v>
      </c>
      <c r="C183" s="6">
        <f>3660/67</f>
        <v>54.626865671641788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e9528c21-00ee-45a7-9fc9-b9f112d7673e" origin="userSelected"/>
</file>

<file path=customXml/itemProps1.xml><?xml version="1.0" encoding="utf-8"?>
<ds:datastoreItem xmlns:ds="http://schemas.openxmlformats.org/officeDocument/2006/customXml" ds:itemID="{01BC9DE3-BC55-44D9-B7BB-2F3D2229319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Dataset</vt:lpstr>
      <vt:lpstr>References</vt:lpstr>
      <vt:lpstr>Feuil1</vt:lpstr>
      <vt:lpstr>References_DBD</vt:lpstr>
      <vt:lpstr>Individual mass of particles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Martin</dc:creator>
  <cp:lastModifiedBy>Nela Dobiášová</cp:lastModifiedBy>
  <cp:lastPrinted>2021-02-26T07:41:51Z</cp:lastPrinted>
  <dcterms:created xsi:type="dcterms:W3CDTF">2020-10-07T10:21:08Z</dcterms:created>
  <dcterms:modified xsi:type="dcterms:W3CDTF">2026-04-15T15:01:29Z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07eedc8d-a88d-46fc-84e0-709d900fa315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gY4lIJF+OXeyAn9ULDHqBgwj/ax7AfDG</vt:lpwstr>
  </property>
</Properties>
</file>