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ad\Documents\Internship GET\Rapport\SI\0.1 MP abundance data collection\"/>
    </mc:Choice>
  </mc:AlternateContent>
  <xr:revisionPtr revIDLastSave="0" documentId="13_ncr:1_{B5FA09EA-0CBB-4D6C-8354-B39383C43E61}" xr6:coauthVersionLast="47" xr6:coauthVersionMax="47" xr10:uidLastSave="{00000000-0000-0000-0000-000000000000}"/>
  <bookViews>
    <workbookView xWindow="-98" yWindow="-98" windowWidth="21795" windowHeight="12975" firstSheet="1" activeTab="4" xr2:uid="{9546D5CF-06C8-42CA-8333-098AD0782B1A}"/>
  </bookViews>
  <sheets>
    <sheet name="MPsizeBase+parameters" sheetId="1" r:id="rId1"/>
    <sheet name="One study one line " sheetId="5" r:id="rId2"/>
    <sheet name="Mean slope extrapolates" sheetId="2" r:id="rId3"/>
    <sheet name="All put together for analysis" sheetId="4" r:id="rId4"/>
    <sheet name="Focus on Asia" sheetId="3" r:id="rId5"/>
  </sheets>
  <definedNames>
    <definedName name="_xlnm._FilterDatabase" localSheetId="3" hidden="1">'All put together for analysis'!$A$1:$AK$332</definedName>
    <definedName name="_xlnm._FilterDatabase" localSheetId="1" hidden="1">'One study one line 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5" i="2" l="1"/>
  <c r="AF85" i="2" a="1"/>
  <c r="AF85" i="2"/>
  <c r="AG85" i="2"/>
  <c r="AH85" i="2"/>
  <c r="AI85" i="2"/>
  <c r="AE86" i="2"/>
  <c r="AF86" i="2" a="1"/>
  <c r="AF86" i="2"/>
  <c r="AG86" i="2"/>
  <c r="AH86" i="2"/>
  <c r="AI86" i="2"/>
  <c r="AE87" i="2"/>
  <c r="AF87" i="2" a="1"/>
  <c r="AF87" i="2"/>
  <c r="AG87" i="2"/>
  <c r="AH87" i="2"/>
  <c r="AI87" i="2"/>
  <c r="AE88" i="2"/>
  <c r="AF88" i="2" a="1"/>
  <c r="AF88" i="2"/>
  <c r="AG88" i="2"/>
  <c r="AH88" i="2"/>
  <c r="AI88" i="2"/>
  <c r="AE90" i="2"/>
  <c r="AF90" i="2" a="1"/>
  <c r="AF90" i="2"/>
  <c r="AG90" i="2"/>
  <c r="AH90" i="2"/>
  <c r="AI90" i="2"/>
  <c r="AE91" i="2"/>
  <c r="AF91" i="2" a="1"/>
  <c r="AF91" i="2"/>
  <c r="AG91" i="2"/>
  <c r="AH91" i="2"/>
  <c r="AI91" i="2"/>
  <c r="AE92" i="2"/>
  <c r="AF92" i="2" a="1"/>
  <c r="AF92" i="2"/>
  <c r="AG92" i="2"/>
  <c r="AH92" i="2"/>
  <c r="AI92" i="2"/>
  <c r="AE93" i="2"/>
  <c r="AF93" i="2" a="1"/>
  <c r="AF93" i="2"/>
  <c r="AG93" i="2"/>
  <c r="AH93" i="2"/>
  <c r="AI93" i="2"/>
  <c r="AE94" i="2"/>
  <c r="AF94" i="2" a="1"/>
  <c r="AF94" i="2"/>
  <c r="AG94" i="2"/>
  <c r="AH94" i="2"/>
  <c r="AI94" i="2"/>
  <c r="AE95" i="2"/>
  <c r="AF95" i="2" a="1"/>
  <c r="AF95" i="2"/>
  <c r="AG95" i="2"/>
  <c r="AH95" i="2"/>
  <c r="AI95" i="2"/>
  <c r="AE96" i="2"/>
  <c r="AF96" i="2" a="1"/>
  <c r="AF96" i="2"/>
  <c r="AG96" i="2"/>
  <c r="AH96" i="2"/>
  <c r="AI96" i="2"/>
  <c r="AE97" i="2"/>
  <c r="AF97" i="2" a="1"/>
  <c r="AF97" i="2"/>
  <c r="AG97" i="2"/>
  <c r="AH97" i="2"/>
  <c r="AI97" i="2"/>
  <c r="AE98" i="2"/>
  <c r="AF98" i="2" a="1"/>
  <c r="AF98" i="2"/>
  <c r="AG98" i="2"/>
  <c r="AH98" i="2"/>
  <c r="AI98" i="2"/>
  <c r="AE99" i="2"/>
  <c r="AF99" i="2" a="1"/>
  <c r="AF99" i="2"/>
  <c r="AG99" i="2"/>
  <c r="AH99" i="2"/>
  <c r="AI99" i="2"/>
  <c r="AE100" i="2"/>
  <c r="AF100" i="2" a="1"/>
  <c r="AF100" i="2"/>
  <c r="AG100" i="2"/>
  <c r="AH100" i="2"/>
  <c r="AI100" i="2"/>
  <c r="AE101" i="2"/>
  <c r="AF101" i="2" a="1"/>
  <c r="AF101" i="2"/>
  <c r="AG101" i="2"/>
  <c r="AH101" i="2"/>
  <c r="AI101" i="2"/>
  <c r="AE102" i="2"/>
  <c r="AF102" i="2" a="1"/>
  <c r="AF102" i="2"/>
  <c r="AG102" i="2"/>
  <c r="AH102" i="2"/>
  <c r="AI102" i="2"/>
  <c r="AE103" i="2"/>
  <c r="AF103" i="2" a="1"/>
  <c r="AF103" i="2"/>
  <c r="AG103" i="2"/>
  <c r="AH103" i="2"/>
  <c r="AI103" i="2"/>
  <c r="AE104" i="2"/>
  <c r="AF104" i="2" a="1"/>
  <c r="AF104" i="2"/>
  <c r="AG104" i="2"/>
  <c r="AH104" i="2"/>
  <c r="AI104" i="2"/>
  <c r="AE105" i="2"/>
  <c r="AF105" i="2" a="1"/>
  <c r="AF105" i="2"/>
  <c r="AG105" i="2"/>
  <c r="AH105" i="2"/>
  <c r="AI105" i="2"/>
  <c r="AE106" i="2"/>
  <c r="AF106" i="2" a="1"/>
  <c r="AF106" i="2"/>
  <c r="AG106" i="2"/>
  <c r="AH106" i="2"/>
  <c r="AI106" i="2"/>
  <c r="AE107" i="2"/>
  <c r="AF107" i="2" a="1"/>
  <c r="AF107" i="2"/>
  <c r="AG107" i="2"/>
  <c r="AH107" i="2"/>
  <c r="AI107" i="2"/>
  <c r="AE108" i="2"/>
  <c r="AF108" i="2" a="1"/>
  <c r="AF108" i="2"/>
  <c r="AG108" i="2"/>
  <c r="AH108" i="2"/>
  <c r="AI108" i="2"/>
  <c r="AE109" i="2"/>
  <c r="AF109" i="2" a="1"/>
  <c r="AF109" i="2"/>
  <c r="AG109" i="2"/>
  <c r="AH109" i="2"/>
  <c r="AI109" i="2"/>
  <c r="AE110" i="2"/>
  <c r="AF110" i="2" a="1"/>
  <c r="AF110" i="2"/>
  <c r="AG110" i="2"/>
  <c r="AH110" i="2"/>
  <c r="AI110" i="2"/>
  <c r="AE111" i="2"/>
  <c r="AF111" i="2" a="1"/>
  <c r="AF111" i="2"/>
  <c r="AG111" i="2"/>
  <c r="AH111" i="2"/>
  <c r="AI111" i="2"/>
  <c r="AE112" i="2"/>
  <c r="AF112" i="2" a="1"/>
  <c r="AF112" i="2"/>
  <c r="AG112" i="2"/>
  <c r="AH112" i="2"/>
  <c r="AI112" i="2"/>
  <c r="AE113" i="2"/>
  <c r="AF113" i="2" a="1"/>
  <c r="AF113" i="2"/>
  <c r="AG113" i="2"/>
  <c r="AH113" i="2"/>
  <c r="AI113" i="2"/>
  <c r="AE114" i="2"/>
  <c r="AF114" i="2" a="1"/>
  <c r="AF114" i="2"/>
  <c r="AG114" i="2"/>
  <c r="AH114" i="2"/>
  <c r="AI114" i="2"/>
  <c r="AE115" i="2"/>
  <c r="AF115" i="2" a="1"/>
  <c r="AF115" i="2"/>
  <c r="AG115" i="2"/>
  <c r="AH115" i="2"/>
  <c r="AI115" i="2"/>
  <c r="AE116" i="2"/>
  <c r="AF116" i="2" a="1"/>
  <c r="AF116" i="2"/>
  <c r="AG116" i="2"/>
  <c r="AH116" i="2"/>
  <c r="AI116" i="2"/>
  <c r="AE117" i="2"/>
  <c r="AF117" i="2" a="1"/>
  <c r="AF117" i="2"/>
  <c r="AG117" i="2"/>
  <c r="AH117" i="2"/>
  <c r="AI117" i="2"/>
  <c r="AE118" i="2"/>
  <c r="AF118" i="2" a="1"/>
  <c r="AF118" i="2"/>
  <c r="AG118" i="2"/>
  <c r="AH118" i="2"/>
  <c r="AI118" i="2"/>
  <c r="AE119" i="2"/>
  <c r="AF119" i="2" a="1"/>
  <c r="AF119" i="2"/>
  <c r="AG119" i="2"/>
  <c r="AH119" i="2"/>
  <c r="AI119" i="2"/>
  <c r="AE120" i="2"/>
  <c r="AF120" i="2" a="1"/>
  <c r="AF120" i="2"/>
  <c r="AG120" i="2"/>
  <c r="AH120" i="2"/>
  <c r="AI120" i="2"/>
  <c r="AE121" i="2"/>
  <c r="AF121" i="2" a="1"/>
  <c r="AF121" i="2"/>
  <c r="AG121" i="2"/>
  <c r="AH121" i="2"/>
  <c r="AI121" i="2"/>
  <c r="AE122" i="2"/>
  <c r="AF122" i="2" a="1"/>
  <c r="AF122" i="2"/>
  <c r="AG122" i="2"/>
  <c r="AH122" i="2"/>
  <c r="AI122" i="2"/>
  <c r="AE123" i="2"/>
  <c r="AF123" i="2" a="1"/>
  <c r="AF123" i="2"/>
  <c r="AG123" i="2"/>
  <c r="AH123" i="2"/>
  <c r="AI123" i="2"/>
  <c r="AE124" i="2"/>
  <c r="AF124" i="2" a="1"/>
  <c r="AF124" i="2"/>
  <c r="AG124" i="2"/>
  <c r="AH124" i="2"/>
  <c r="AI124" i="2"/>
  <c r="AE125" i="2"/>
  <c r="AF125" i="2" a="1"/>
  <c r="AF125" i="2"/>
  <c r="AG125" i="2"/>
  <c r="AH125" i="2"/>
  <c r="AI125" i="2"/>
  <c r="AE126" i="2"/>
  <c r="AF126" i="2" a="1"/>
  <c r="AF126" i="2"/>
  <c r="AG126" i="2"/>
  <c r="AH126" i="2"/>
  <c r="AI126" i="2"/>
  <c r="AE127" i="2"/>
  <c r="AF127" i="2" a="1"/>
  <c r="AF127" i="2"/>
  <c r="AG127" i="2"/>
  <c r="AH127" i="2"/>
  <c r="AI127" i="2"/>
  <c r="AE128" i="2"/>
  <c r="AF128" i="2" a="1"/>
  <c r="AF128" i="2"/>
  <c r="AG128" i="2"/>
  <c r="AH128" i="2"/>
  <c r="AI128" i="2"/>
  <c r="AE129" i="2"/>
  <c r="AF129" i="2" a="1"/>
  <c r="AF129" i="2"/>
  <c r="AG129" i="2"/>
  <c r="AH129" i="2"/>
  <c r="AI129" i="2"/>
  <c r="AE130" i="2"/>
  <c r="AF130" i="2" a="1"/>
  <c r="AF130" i="2"/>
  <c r="AG130" i="2"/>
  <c r="AH130" i="2"/>
  <c r="AI130" i="2"/>
  <c r="AE131" i="2"/>
  <c r="AF131" i="2" a="1"/>
  <c r="AF131" i="2"/>
  <c r="AG131" i="2"/>
  <c r="AH131" i="2"/>
  <c r="AI131" i="2"/>
  <c r="AE132" i="2"/>
  <c r="AF132" i="2" a="1"/>
  <c r="AF132" i="2"/>
  <c r="AG132" i="2"/>
  <c r="AH132" i="2"/>
  <c r="AI132" i="2"/>
  <c r="AE133" i="2"/>
  <c r="AF133" i="2" a="1"/>
  <c r="AF133" i="2"/>
  <c r="AG133" i="2"/>
  <c r="AH133" i="2"/>
  <c r="AI133" i="2"/>
  <c r="AE134" i="2"/>
  <c r="AF134" i="2" a="1"/>
  <c r="AF134" i="2"/>
  <c r="AG134" i="2"/>
  <c r="AH134" i="2"/>
  <c r="AI134" i="2"/>
  <c r="AE135" i="2"/>
  <c r="AF135" i="2" a="1"/>
  <c r="AF135" i="2"/>
  <c r="AG135" i="2"/>
  <c r="AH135" i="2"/>
  <c r="AI135" i="2"/>
  <c r="AE136" i="2"/>
  <c r="AF136" i="2" a="1"/>
  <c r="AF136" i="2"/>
  <c r="AG136" i="2"/>
  <c r="AH136" i="2"/>
  <c r="AI136" i="2"/>
  <c r="AE137" i="2"/>
  <c r="AF137" i="2" a="1"/>
  <c r="AF137" i="2"/>
  <c r="AG137" i="2"/>
  <c r="AH137" i="2"/>
  <c r="AI137" i="2"/>
  <c r="AE138" i="2"/>
  <c r="AF138" i="2" a="1"/>
  <c r="AF138" i="2"/>
  <c r="AG138" i="2"/>
  <c r="AH138" i="2"/>
  <c r="AI138" i="2"/>
  <c r="AE139" i="2"/>
  <c r="AF139" i="2" a="1"/>
  <c r="AF139" i="2"/>
  <c r="AG139" i="2"/>
  <c r="AH139" i="2"/>
  <c r="AI139" i="2"/>
  <c r="AE140" i="2"/>
  <c r="AF140" i="2" a="1"/>
  <c r="AF140" i="2"/>
  <c r="AG140" i="2"/>
  <c r="AH140" i="2"/>
  <c r="AI140" i="2"/>
  <c r="AE141" i="2"/>
  <c r="AF141" i="2" a="1"/>
  <c r="AF141" i="2"/>
  <c r="AG141" i="2"/>
  <c r="AH141" i="2"/>
  <c r="AI141" i="2"/>
  <c r="AE142" i="2"/>
  <c r="AF142" i="2" a="1"/>
  <c r="AF142" i="2"/>
  <c r="AG142" i="2"/>
  <c r="AH142" i="2"/>
  <c r="AI142" i="2"/>
  <c r="AE143" i="2"/>
  <c r="AF143" i="2" a="1"/>
  <c r="AF143" i="2"/>
  <c r="AG143" i="2"/>
  <c r="AH143" i="2"/>
  <c r="AI143" i="2"/>
  <c r="AE144" i="2"/>
  <c r="AF144" i="2" a="1"/>
  <c r="AF144" i="2"/>
  <c r="AG144" i="2"/>
  <c r="AH144" i="2"/>
  <c r="AI144" i="2"/>
  <c r="AE145" i="2"/>
  <c r="AF145" i="2" a="1"/>
  <c r="AF145" i="2"/>
  <c r="AG145" i="2"/>
  <c r="AH145" i="2"/>
  <c r="AI145" i="2"/>
  <c r="AE146" i="2"/>
  <c r="AF146" i="2" a="1"/>
  <c r="AF146" i="2"/>
  <c r="AG146" i="2"/>
  <c r="AH146" i="2"/>
  <c r="AI146" i="2"/>
  <c r="AE147" i="2"/>
  <c r="AF147" i="2" a="1"/>
  <c r="AF147" i="2"/>
  <c r="AG147" i="2"/>
  <c r="AH147" i="2"/>
  <c r="AI147" i="2"/>
  <c r="AE148" i="2"/>
  <c r="AF148" i="2" a="1"/>
  <c r="AF148" i="2"/>
  <c r="AG148" i="2"/>
  <c r="AH148" i="2"/>
  <c r="AI148" i="2"/>
  <c r="AE149" i="2"/>
  <c r="AF149" i="2" a="1"/>
  <c r="AF149" i="2"/>
  <c r="AG149" i="2"/>
  <c r="AH149" i="2"/>
  <c r="AI149" i="2"/>
  <c r="AE150" i="2"/>
  <c r="AF150" i="2" a="1"/>
  <c r="AF150" i="2"/>
  <c r="AG150" i="2"/>
  <c r="AH150" i="2"/>
  <c r="AI150" i="2"/>
  <c r="AE151" i="2"/>
  <c r="AF151" i="2" a="1"/>
  <c r="AF151" i="2"/>
  <c r="AG151" i="2"/>
  <c r="AH151" i="2"/>
  <c r="AI151" i="2"/>
  <c r="AE152" i="2"/>
  <c r="AF152" i="2" a="1"/>
  <c r="AF152" i="2"/>
  <c r="AG152" i="2"/>
  <c r="AH152" i="2"/>
  <c r="AI152" i="2"/>
  <c r="AE153" i="2"/>
  <c r="AF153" i="2" a="1"/>
  <c r="AF153" i="2"/>
  <c r="AG153" i="2"/>
  <c r="AH153" i="2"/>
  <c r="AI153" i="2"/>
  <c r="AE154" i="2"/>
  <c r="AF154" i="2" a="1"/>
  <c r="AF154" i="2"/>
  <c r="AG154" i="2"/>
  <c r="AH154" i="2"/>
  <c r="AI154" i="2"/>
  <c r="AE155" i="2"/>
  <c r="AF155" i="2" a="1"/>
  <c r="AF155" i="2"/>
  <c r="AG155" i="2"/>
  <c r="AH155" i="2"/>
  <c r="AI155" i="2"/>
  <c r="AE156" i="2"/>
  <c r="AF156" i="2" a="1"/>
  <c r="AF156" i="2"/>
  <c r="AG156" i="2"/>
  <c r="AH156" i="2"/>
  <c r="AI156" i="2"/>
  <c r="AE157" i="2"/>
  <c r="AF157" i="2" a="1"/>
  <c r="AF157" i="2"/>
  <c r="AG157" i="2"/>
  <c r="AH157" i="2"/>
  <c r="AI157" i="2"/>
  <c r="AE158" i="2"/>
  <c r="AF158" i="2" a="1"/>
  <c r="AF158" i="2"/>
  <c r="AG158" i="2"/>
  <c r="AH158" i="2"/>
  <c r="AI158" i="2"/>
  <c r="AE159" i="2"/>
  <c r="AF159" i="2" a="1"/>
  <c r="AF159" i="2"/>
  <c r="AG159" i="2"/>
  <c r="AH159" i="2"/>
  <c r="AI159" i="2"/>
  <c r="AE160" i="2"/>
  <c r="AF160" i="2" a="1"/>
  <c r="AF160" i="2"/>
  <c r="AG160" i="2"/>
  <c r="AH160" i="2"/>
  <c r="AI160" i="2"/>
  <c r="AE161" i="2"/>
  <c r="AF161" i="2" a="1"/>
  <c r="AF161" i="2"/>
  <c r="AG161" i="2"/>
  <c r="AH161" i="2"/>
  <c r="AI161" i="2"/>
  <c r="AE162" i="2"/>
  <c r="AF162" i="2" a="1"/>
  <c r="AF162" i="2"/>
  <c r="AG162" i="2"/>
  <c r="AH162" i="2"/>
  <c r="AI162" i="2"/>
  <c r="AE163" i="2"/>
  <c r="AF163" i="2" a="1"/>
  <c r="AF163" i="2"/>
  <c r="AG163" i="2"/>
  <c r="AH163" i="2"/>
  <c r="AI163" i="2"/>
  <c r="AE164" i="2"/>
  <c r="AF164" i="2" a="1"/>
  <c r="AF164" i="2"/>
  <c r="AG164" i="2"/>
  <c r="AH164" i="2"/>
  <c r="AI164" i="2"/>
  <c r="AE165" i="2"/>
  <c r="AF165" i="2" a="1"/>
  <c r="AF165" i="2"/>
  <c r="AG165" i="2"/>
  <c r="AH165" i="2"/>
  <c r="AI165" i="2"/>
  <c r="AE166" i="2"/>
  <c r="AF166" i="2" a="1"/>
  <c r="AF166" i="2"/>
  <c r="AG166" i="2"/>
  <c r="AH166" i="2"/>
  <c r="AI166" i="2"/>
  <c r="AE167" i="2"/>
  <c r="AF167" i="2" a="1"/>
  <c r="AF167" i="2"/>
  <c r="AG167" i="2"/>
  <c r="AH167" i="2"/>
  <c r="AI167" i="2"/>
  <c r="AE168" i="2"/>
  <c r="AF168" i="2" a="1"/>
  <c r="AF168" i="2"/>
  <c r="AG168" i="2"/>
  <c r="AH168" i="2"/>
  <c r="AI168" i="2"/>
  <c r="AE169" i="2"/>
  <c r="AF169" i="2" a="1"/>
  <c r="AF169" i="2"/>
  <c r="AG169" i="2"/>
  <c r="AH169" i="2"/>
  <c r="AI169" i="2"/>
  <c r="AE170" i="2"/>
  <c r="AF170" i="2" a="1"/>
  <c r="AF170" i="2"/>
  <c r="AG170" i="2"/>
  <c r="AH170" i="2"/>
  <c r="AI170" i="2"/>
  <c r="AE171" i="2"/>
  <c r="AF171" i="2" a="1"/>
  <c r="AF171" i="2"/>
  <c r="AG171" i="2"/>
  <c r="AH171" i="2"/>
  <c r="AI171" i="2"/>
  <c r="AE172" i="2"/>
  <c r="AF172" i="2" a="1"/>
  <c r="AF172" i="2"/>
  <c r="AG172" i="2"/>
  <c r="AH172" i="2"/>
  <c r="AI172" i="2"/>
  <c r="AE173" i="2"/>
  <c r="AF173" i="2" a="1"/>
  <c r="AF173" i="2"/>
  <c r="AG173" i="2"/>
  <c r="AH173" i="2"/>
  <c r="AI173" i="2"/>
  <c r="AE174" i="2"/>
  <c r="AF174" i="2" a="1"/>
  <c r="AF174" i="2"/>
  <c r="AG174" i="2"/>
  <c r="AH174" i="2"/>
  <c r="AI174" i="2"/>
  <c r="AE175" i="2"/>
  <c r="AF175" i="2" a="1"/>
  <c r="AF175" i="2"/>
  <c r="AG175" i="2"/>
  <c r="AH175" i="2"/>
  <c r="AI175" i="2"/>
  <c r="AE176" i="2"/>
  <c r="AF176" i="2" a="1"/>
  <c r="AF176" i="2"/>
  <c r="AG176" i="2"/>
  <c r="AH176" i="2"/>
  <c r="AI176" i="2"/>
  <c r="AE177" i="2"/>
  <c r="AF177" i="2" a="1"/>
  <c r="AF177" i="2"/>
  <c r="AG177" i="2"/>
  <c r="AH177" i="2"/>
  <c r="AI177" i="2"/>
  <c r="AE178" i="2"/>
  <c r="AF178" i="2" a="1"/>
  <c r="AF178" i="2"/>
  <c r="AG178" i="2"/>
  <c r="AH178" i="2"/>
  <c r="AI178" i="2"/>
  <c r="AE179" i="2"/>
  <c r="AF179" i="2" a="1"/>
  <c r="AF179" i="2"/>
  <c r="AG179" i="2"/>
  <c r="AH179" i="2"/>
  <c r="AI179" i="2"/>
  <c r="AE180" i="2"/>
  <c r="AF180" i="2" a="1"/>
  <c r="AF180" i="2"/>
  <c r="AG180" i="2"/>
  <c r="AH180" i="2"/>
  <c r="AI180" i="2"/>
  <c r="AE181" i="2"/>
  <c r="AF181" i="2" a="1"/>
  <c r="AF181" i="2"/>
  <c r="AG181" i="2"/>
  <c r="AH181" i="2"/>
  <c r="AI181" i="2"/>
  <c r="AE182" i="2"/>
  <c r="AF182" i="2" a="1"/>
  <c r="AF182" i="2"/>
  <c r="AG182" i="2"/>
  <c r="AH182" i="2"/>
  <c r="AI182" i="2"/>
  <c r="AE183" i="2"/>
  <c r="AF183" i="2" a="1"/>
  <c r="AF183" i="2"/>
  <c r="AG183" i="2"/>
  <c r="AH183" i="2"/>
  <c r="AI183" i="2"/>
  <c r="AE184" i="2"/>
  <c r="AF184" i="2" a="1"/>
  <c r="AF184" i="2"/>
  <c r="AG184" i="2"/>
  <c r="AH184" i="2"/>
  <c r="AI184" i="2"/>
  <c r="AE185" i="2"/>
  <c r="AF185" i="2" a="1"/>
  <c r="AF185" i="2"/>
  <c r="AG185" i="2"/>
  <c r="AH185" i="2"/>
  <c r="AI185" i="2"/>
  <c r="AE186" i="2"/>
  <c r="AF186" i="2" a="1"/>
  <c r="AF186" i="2"/>
  <c r="AG186" i="2"/>
  <c r="AH186" i="2"/>
  <c r="AI186" i="2"/>
  <c r="AE187" i="2"/>
  <c r="AF187" i="2" a="1"/>
  <c r="AF187" i="2"/>
  <c r="AG187" i="2"/>
  <c r="AH187" i="2"/>
  <c r="AI187" i="2"/>
  <c r="AE188" i="2"/>
  <c r="AF188" i="2" a="1"/>
  <c r="AF188" i="2"/>
  <c r="AG188" i="2"/>
  <c r="AH188" i="2"/>
  <c r="AI188" i="2"/>
  <c r="AE189" i="2"/>
  <c r="AF189" i="2" a="1"/>
  <c r="AF189" i="2"/>
  <c r="AG189" i="2"/>
  <c r="AH189" i="2"/>
  <c r="AI189" i="2"/>
  <c r="AE190" i="2"/>
  <c r="AF190" i="2" a="1"/>
  <c r="AF190" i="2"/>
  <c r="AG190" i="2"/>
  <c r="AH190" i="2"/>
  <c r="AI190" i="2"/>
  <c r="AE191" i="2"/>
  <c r="AF191" i="2" a="1"/>
  <c r="AF191" i="2"/>
  <c r="AG191" i="2"/>
  <c r="AH191" i="2"/>
  <c r="AI191" i="2"/>
  <c r="AE192" i="2"/>
  <c r="AF192" i="2" a="1"/>
  <c r="AF192" i="2"/>
  <c r="AG192" i="2"/>
  <c r="AH192" i="2"/>
  <c r="AI192" i="2"/>
  <c r="AE193" i="2"/>
  <c r="AF193" i="2" a="1"/>
  <c r="AF193" i="2"/>
  <c r="AG193" i="2"/>
  <c r="AH193" i="2"/>
  <c r="AI193" i="2"/>
  <c r="AE194" i="2"/>
  <c r="AF194" i="2" a="1"/>
  <c r="AF194" i="2"/>
  <c r="AG194" i="2"/>
  <c r="AH194" i="2"/>
  <c r="AI194" i="2"/>
  <c r="AE195" i="2"/>
  <c r="AF195" i="2" a="1"/>
  <c r="AF195" i="2"/>
  <c r="AG195" i="2"/>
  <c r="AH195" i="2"/>
  <c r="AI195" i="2"/>
  <c r="AE196" i="2"/>
  <c r="AF196" i="2" a="1"/>
  <c r="AF196" i="2"/>
  <c r="AG196" i="2"/>
  <c r="AH196" i="2"/>
  <c r="AI196" i="2"/>
  <c r="AE197" i="2"/>
  <c r="AF197" i="2" a="1"/>
  <c r="AF197" i="2"/>
  <c r="AG197" i="2"/>
  <c r="AH197" i="2"/>
  <c r="AI197" i="2"/>
  <c r="AE198" i="2"/>
  <c r="AF198" i="2" a="1"/>
  <c r="AF198" i="2"/>
  <c r="AG198" i="2"/>
  <c r="AH198" i="2"/>
  <c r="AI198" i="2"/>
  <c r="AE199" i="2"/>
  <c r="AF199" i="2" a="1"/>
  <c r="AF199" i="2"/>
  <c r="AG199" i="2"/>
  <c r="AH199" i="2"/>
  <c r="AI199" i="2"/>
  <c r="AE200" i="2"/>
  <c r="AF200" i="2" a="1"/>
  <c r="AF200" i="2"/>
  <c r="AG200" i="2"/>
  <c r="AH200" i="2"/>
  <c r="AI200" i="2"/>
  <c r="AE201" i="2"/>
  <c r="AF201" i="2" a="1"/>
  <c r="AF201" i="2"/>
  <c r="AG201" i="2"/>
  <c r="AH201" i="2"/>
  <c r="AI201" i="2"/>
  <c r="AE202" i="2"/>
  <c r="AF202" i="2" a="1"/>
  <c r="AF202" i="2"/>
  <c r="AG202" i="2"/>
  <c r="AH202" i="2"/>
  <c r="AI202" i="2"/>
  <c r="AE203" i="2"/>
  <c r="AF203" i="2" a="1"/>
  <c r="AF203" i="2"/>
  <c r="AG203" i="2"/>
  <c r="AH203" i="2"/>
  <c r="AI203" i="2"/>
  <c r="AE204" i="2"/>
  <c r="AF204" i="2" a="1"/>
  <c r="AF204" i="2"/>
  <c r="AG204" i="2"/>
  <c r="AH204" i="2"/>
  <c r="AI204" i="2"/>
  <c r="AE205" i="2"/>
  <c r="AF205" i="2" a="1"/>
  <c r="AF205" i="2"/>
  <c r="AG205" i="2"/>
  <c r="AH205" i="2"/>
  <c r="AI205" i="2"/>
  <c r="AE206" i="2"/>
  <c r="AF206" i="2" a="1"/>
  <c r="AF206" i="2"/>
  <c r="AG206" i="2"/>
  <c r="AH206" i="2"/>
  <c r="AI206" i="2"/>
  <c r="AE207" i="2"/>
  <c r="AF207" i="2" a="1"/>
  <c r="AF207" i="2"/>
  <c r="AG207" i="2"/>
  <c r="AH207" i="2"/>
  <c r="AI207" i="2"/>
  <c r="AE208" i="2"/>
  <c r="AF208" i="2" a="1"/>
  <c r="AF208" i="2"/>
  <c r="AG208" i="2"/>
  <c r="AH208" i="2"/>
  <c r="AI208" i="2"/>
  <c r="AE209" i="2"/>
  <c r="AF209" i="2" a="1"/>
  <c r="AF209" i="2"/>
  <c r="AG209" i="2"/>
  <c r="AH209" i="2"/>
  <c r="AI209" i="2"/>
  <c r="AE210" i="2"/>
  <c r="AF210" i="2" a="1"/>
  <c r="AF210" i="2"/>
  <c r="AG210" i="2"/>
  <c r="AH210" i="2"/>
  <c r="AI210" i="2"/>
  <c r="AE211" i="2"/>
  <c r="AF211" i="2" a="1"/>
  <c r="AF211" i="2"/>
  <c r="AG211" i="2"/>
  <c r="AH211" i="2"/>
  <c r="AI211" i="2"/>
  <c r="AE212" i="2"/>
  <c r="AF212" i="2" a="1"/>
  <c r="AF212" i="2"/>
  <c r="AG212" i="2"/>
  <c r="AH212" i="2"/>
  <c r="AI212" i="2"/>
  <c r="AE213" i="2"/>
  <c r="AF213" i="2" a="1"/>
  <c r="AF213" i="2"/>
  <c r="AG213" i="2"/>
  <c r="AH213" i="2"/>
  <c r="AI213" i="2"/>
  <c r="AE214" i="2"/>
  <c r="AF214" i="2" a="1"/>
  <c r="AF214" i="2"/>
  <c r="AG214" i="2"/>
  <c r="AH214" i="2"/>
  <c r="AI214" i="2"/>
  <c r="AE215" i="2"/>
  <c r="AF215" i="2" a="1"/>
  <c r="AF215" i="2"/>
  <c r="AG215" i="2"/>
  <c r="AH215" i="2"/>
  <c r="AI215" i="2"/>
  <c r="AE216" i="2"/>
  <c r="AF216" i="2" a="1"/>
  <c r="AF216" i="2"/>
  <c r="AG216" i="2"/>
  <c r="AH216" i="2"/>
  <c r="AI216" i="2"/>
  <c r="AE217" i="2"/>
  <c r="AF217" i="2" a="1"/>
  <c r="AF217" i="2"/>
  <c r="AG217" i="2"/>
  <c r="AH217" i="2"/>
  <c r="AI217" i="2"/>
  <c r="AE218" i="2"/>
  <c r="AF218" i="2" a="1"/>
  <c r="AF218" i="2"/>
  <c r="AG218" i="2"/>
  <c r="AH218" i="2"/>
  <c r="AI218" i="2"/>
  <c r="AE219" i="2"/>
  <c r="AF219" i="2" a="1"/>
  <c r="AF219" i="2"/>
  <c r="AG219" i="2"/>
  <c r="AH219" i="2"/>
  <c r="AI219" i="2"/>
  <c r="AE220" i="2"/>
  <c r="AF220" i="2" a="1"/>
  <c r="AF220" i="2"/>
  <c r="AG220" i="2"/>
  <c r="AH220" i="2"/>
  <c r="AI220" i="2"/>
  <c r="AE221" i="2"/>
  <c r="AF221" i="2" a="1"/>
  <c r="AF221" i="2"/>
  <c r="AG221" i="2"/>
  <c r="AH221" i="2"/>
  <c r="AI221" i="2"/>
  <c r="AE222" i="2"/>
  <c r="AF222" i="2" a="1"/>
  <c r="AF222" i="2"/>
  <c r="AG222" i="2"/>
  <c r="AH222" i="2"/>
  <c r="AI222" i="2"/>
  <c r="AE223" i="2"/>
  <c r="AF223" i="2" a="1"/>
  <c r="AF223" i="2"/>
  <c r="AG223" i="2"/>
  <c r="AH223" i="2"/>
  <c r="AI223" i="2"/>
  <c r="AE224" i="2"/>
  <c r="AF224" i="2" a="1"/>
  <c r="AF224" i="2"/>
  <c r="AG224" i="2"/>
  <c r="AH224" i="2"/>
  <c r="AI224" i="2"/>
  <c r="AE225" i="2"/>
  <c r="AF225" i="2" a="1"/>
  <c r="AF225" i="2"/>
  <c r="AG225" i="2"/>
  <c r="AH225" i="2"/>
  <c r="AI225" i="2"/>
  <c r="AE226" i="2"/>
  <c r="AF226" i="2" a="1"/>
  <c r="AF226" i="2"/>
  <c r="AG226" i="2"/>
  <c r="AH226" i="2"/>
  <c r="AI226" i="2"/>
  <c r="AE227" i="2"/>
  <c r="AF227" i="2" a="1"/>
  <c r="AF227" i="2"/>
  <c r="AG227" i="2"/>
  <c r="AH227" i="2"/>
  <c r="AI227" i="2"/>
  <c r="AE228" i="2"/>
  <c r="AF228" i="2" a="1"/>
  <c r="AF228" i="2"/>
  <c r="AG228" i="2"/>
  <c r="AH228" i="2"/>
  <c r="AI228" i="2"/>
  <c r="AE229" i="2"/>
  <c r="AF229" i="2" a="1"/>
  <c r="AF229" i="2"/>
  <c r="AG229" i="2"/>
  <c r="AH229" i="2"/>
  <c r="AI229" i="2"/>
  <c r="AE230" i="2"/>
  <c r="AF230" i="2" a="1"/>
  <c r="AF230" i="2"/>
  <c r="AG230" i="2"/>
  <c r="AH230" i="2"/>
  <c r="AI230" i="2"/>
  <c r="AE231" i="2"/>
  <c r="AF231" i="2" a="1"/>
  <c r="AF231" i="2"/>
  <c r="AG231" i="2"/>
  <c r="AH231" i="2"/>
  <c r="AI231" i="2"/>
  <c r="AE232" i="2"/>
  <c r="AF232" i="2" a="1"/>
  <c r="AF232" i="2"/>
  <c r="AG232" i="2"/>
  <c r="AH232" i="2"/>
  <c r="AI232" i="2"/>
  <c r="AE233" i="2"/>
  <c r="AF233" i="2" a="1"/>
  <c r="AF233" i="2"/>
  <c r="AG233" i="2"/>
  <c r="AH233" i="2"/>
  <c r="AI233" i="2"/>
  <c r="AE234" i="2"/>
  <c r="AF234" i="2" a="1"/>
  <c r="AF234" i="2"/>
  <c r="AG234" i="2"/>
  <c r="AH234" i="2"/>
  <c r="AI234" i="2"/>
  <c r="AE235" i="2"/>
  <c r="AF235" i="2" a="1"/>
  <c r="AF235" i="2"/>
  <c r="AG235" i="2"/>
  <c r="AH235" i="2"/>
  <c r="AI235" i="2"/>
  <c r="AE236" i="2"/>
  <c r="AF236" i="2" a="1"/>
  <c r="AF236" i="2"/>
  <c r="AG236" i="2"/>
  <c r="AH236" i="2"/>
  <c r="AI236" i="2"/>
  <c r="AE237" i="2"/>
  <c r="AF237" i="2" a="1"/>
  <c r="AF237" i="2"/>
  <c r="AG237" i="2"/>
  <c r="AH237" i="2"/>
  <c r="AI237" i="2"/>
  <c r="AE238" i="2"/>
  <c r="AF238" i="2" a="1"/>
  <c r="AF238" i="2"/>
  <c r="AG238" i="2"/>
  <c r="AH238" i="2"/>
  <c r="AI238" i="2"/>
  <c r="AE239" i="2"/>
  <c r="AF239" i="2" a="1"/>
  <c r="AF239" i="2"/>
  <c r="AG239" i="2"/>
  <c r="AH239" i="2"/>
  <c r="AI239" i="2"/>
  <c r="AE240" i="2"/>
  <c r="AF240" i="2" a="1"/>
  <c r="AF240" i="2"/>
  <c r="AG240" i="2"/>
  <c r="AH240" i="2"/>
  <c r="AI240" i="2"/>
  <c r="AE241" i="2"/>
  <c r="AF241" i="2" a="1"/>
  <c r="AF241" i="2"/>
  <c r="AG241" i="2"/>
  <c r="AH241" i="2"/>
  <c r="AI241" i="2"/>
  <c r="AE242" i="2"/>
  <c r="AF242" i="2" a="1"/>
  <c r="AF242" i="2"/>
  <c r="AG242" i="2"/>
  <c r="AH242" i="2"/>
  <c r="AI242" i="2"/>
  <c r="AE243" i="2"/>
  <c r="AF243" i="2" a="1"/>
  <c r="AF243" i="2"/>
  <c r="AG243" i="2"/>
  <c r="AH243" i="2"/>
  <c r="AI243" i="2"/>
  <c r="AE244" i="2"/>
  <c r="AF244" i="2" a="1"/>
  <c r="AF244" i="2"/>
  <c r="AG244" i="2"/>
  <c r="AH244" i="2"/>
  <c r="AI244" i="2"/>
  <c r="AE245" i="2"/>
  <c r="AF245" i="2" a="1"/>
  <c r="AF245" i="2"/>
  <c r="AG245" i="2"/>
  <c r="AH245" i="2"/>
  <c r="AI245" i="2"/>
  <c r="AE246" i="2"/>
  <c r="AF246" i="2" a="1"/>
  <c r="AF246" i="2"/>
  <c r="AG246" i="2"/>
  <c r="AH246" i="2"/>
  <c r="AI246" i="2"/>
  <c r="AE247" i="2"/>
  <c r="AF247" i="2" a="1"/>
  <c r="AF247" i="2"/>
  <c r="AG247" i="2"/>
  <c r="AH247" i="2"/>
  <c r="AI247" i="2"/>
  <c r="AE248" i="2"/>
  <c r="AF248" i="2" a="1"/>
  <c r="AF248" i="2"/>
  <c r="AG248" i="2"/>
  <c r="AH248" i="2"/>
  <c r="AI248" i="2"/>
  <c r="AE249" i="2"/>
  <c r="AF249" i="2" a="1"/>
  <c r="AF249" i="2"/>
  <c r="AG249" i="2"/>
  <c r="AH249" i="2"/>
  <c r="AI249" i="2"/>
  <c r="AE250" i="2"/>
  <c r="AF250" i="2" a="1"/>
  <c r="AF250" i="2"/>
  <c r="AG250" i="2"/>
  <c r="AH250" i="2"/>
  <c r="AI250" i="2"/>
  <c r="AE251" i="2"/>
  <c r="AF251" i="2" a="1"/>
  <c r="AF251" i="2"/>
  <c r="AG251" i="2"/>
  <c r="AH251" i="2"/>
  <c r="AI251" i="2"/>
  <c r="AE252" i="2"/>
  <c r="AF252" i="2" a="1"/>
  <c r="AF252" i="2"/>
  <c r="AG252" i="2"/>
  <c r="AH252" i="2"/>
  <c r="AI252" i="2"/>
  <c r="AE253" i="2"/>
  <c r="AF253" i="2" a="1"/>
  <c r="AF253" i="2"/>
  <c r="AG253" i="2"/>
  <c r="AH253" i="2"/>
  <c r="AI253" i="2"/>
  <c r="AB3" i="1"/>
  <c r="AG3" i="2"/>
  <c r="AF4" i="2" a="1"/>
  <c r="AF4" i="2" s="1"/>
  <c r="AF5" i="2" a="1"/>
  <c r="AF5" i="2"/>
  <c r="AF6" i="2" a="1"/>
  <c r="AF6" i="2"/>
  <c r="AF7" i="2" a="1"/>
  <c r="AF7" i="2"/>
  <c r="AF8" i="2" a="1"/>
  <c r="AF8" i="2"/>
  <c r="AF9" i="2" a="1"/>
  <c r="AF9" i="2"/>
  <c r="AF10" i="2" a="1"/>
  <c r="AF10" i="2"/>
  <c r="AF11" i="2" a="1"/>
  <c r="AF11" i="2"/>
  <c r="AF12" i="2" a="1"/>
  <c r="AF12" i="2"/>
  <c r="AF13" i="2" a="1"/>
  <c r="AF13" i="2" s="1"/>
  <c r="AF14" i="2" a="1"/>
  <c r="AF14" i="2"/>
  <c r="AF15" i="2" a="1"/>
  <c r="AF15" i="2"/>
  <c r="AF16" i="2" a="1"/>
  <c r="AF16" i="2"/>
  <c r="AF18" i="2" a="1"/>
  <c r="AF18" i="2"/>
  <c r="AF19" i="2" a="1"/>
  <c r="AF19" i="2"/>
  <c r="AF20" i="2" a="1"/>
  <c r="AF20" i="2"/>
  <c r="AF21" i="2" a="1"/>
  <c r="AF21" i="2"/>
  <c r="AF22" i="2" a="1"/>
  <c r="AF22" i="2" s="1"/>
  <c r="AF23" i="2" a="1"/>
  <c r="AF23" i="2"/>
  <c r="AF24" i="2" a="1"/>
  <c r="AF24" i="2"/>
  <c r="AF25" i="2" a="1"/>
  <c r="AF25" i="2"/>
  <c r="AF26" i="2" a="1"/>
  <c r="AF26" i="2"/>
  <c r="AF27" i="2" a="1"/>
  <c r="AF27" i="2"/>
  <c r="AF28" i="2" a="1"/>
  <c r="AF28" i="2"/>
  <c r="AF29" i="2" a="1"/>
  <c r="AF29" i="2"/>
  <c r="AF30" i="2" a="1"/>
  <c r="AF30" i="2"/>
  <c r="AF31" i="2" a="1"/>
  <c r="AF31" i="2" s="1"/>
  <c r="AF32" i="2" a="1"/>
  <c r="AF32" i="2"/>
  <c r="AF33" i="2" a="1"/>
  <c r="AF33" i="2"/>
  <c r="AF34" i="2" a="1"/>
  <c r="AF34" i="2"/>
  <c r="AF35" i="2" a="1"/>
  <c r="AF35" i="2"/>
  <c r="AF36" i="2" a="1"/>
  <c r="AF36" i="2"/>
  <c r="AF37" i="2" a="1"/>
  <c r="AF37" i="2"/>
  <c r="AF38" i="2" a="1"/>
  <c r="AF38" i="2"/>
  <c r="AF39" i="2" a="1"/>
  <c r="AF39" i="2"/>
  <c r="AF40" i="2" a="1"/>
  <c r="AF40" i="2" s="1"/>
  <c r="AF41" i="2" a="1"/>
  <c r="AF41" i="2"/>
  <c r="AF42" i="2" a="1"/>
  <c r="AF42" i="2"/>
  <c r="AF43" i="2" a="1"/>
  <c r="AF43" i="2"/>
  <c r="AF44" i="2" a="1"/>
  <c r="AF44" i="2"/>
  <c r="AF45" i="2" a="1"/>
  <c r="AF45" i="2"/>
  <c r="AF46" i="2" a="1"/>
  <c r="AF46" i="2"/>
  <c r="AF47" i="2" a="1"/>
  <c r="AF47" i="2"/>
  <c r="AF48" i="2" a="1"/>
  <c r="AF48" i="2"/>
  <c r="AF49" i="2" a="1"/>
  <c r="AF49" i="2" s="1"/>
  <c r="AF50" i="2" a="1"/>
  <c r="AF50" i="2"/>
  <c r="AF51" i="2" a="1"/>
  <c r="AF51" i="2"/>
  <c r="AF52" i="2" a="1"/>
  <c r="AF52" i="2"/>
  <c r="AF53" i="2" a="1"/>
  <c r="AF53" i="2"/>
  <c r="AF54" i="2" a="1"/>
  <c r="AF54" i="2"/>
  <c r="AF55" i="2" a="1"/>
  <c r="AF55" i="2"/>
  <c r="AF56" i="2" a="1"/>
  <c r="AF56" i="2"/>
  <c r="AF57" i="2" a="1"/>
  <c r="AF57" i="2"/>
  <c r="AF58" i="2" a="1"/>
  <c r="AF58" i="2" s="1"/>
  <c r="AF59" i="2" a="1"/>
  <c r="AF59" i="2"/>
  <c r="AF60" i="2" a="1"/>
  <c r="AF60" i="2"/>
  <c r="AF61" i="2" a="1"/>
  <c r="AF61" i="2"/>
  <c r="AF62" i="2" a="1"/>
  <c r="AF62" i="2"/>
  <c r="AF63" i="2" a="1"/>
  <c r="AF63" i="2"/>
  <c r="AF64" i="2" a="1"/>
  <c r="AF64" i="2"/>
  <c r="AF65" i="2" a="1"/>
  <c r="AF65" i="2"/>
  <c r="AF66" i="2" a="1"/>
  <c r="AF66" i="2"/>
  <c r="AF67" i="2" a="1"/>
  <c r="AF67" i="2" s="1"/>
  <c r="AF68" i="2" a="1"/>
  <c r="AF68" i="2"/>
  <c r="AF69" i="2" a="1"/>
  <c r="AF69" i="2"/>
  <c r="AF70" i="2" a="1"/>
  <c r="AF70" i="2"/>
  <c r="AF71" i="2" a="1"/>
  <c r="AF71" i="2"/>
  <c r="AF72" i="2" a="1"/>
  <c r="AF72" i="2"/>
  <c r="AF73" i="2" a="1"/>
  <c r="AF73" i="2"/>
  <c r="AF74" i="2" a="1"/>
  <c r="AF74" i="2"/>
  <c r="AF75" i="2" a="1"/>
  <c r="AF75" i="2"/>
  <c r="AF76" i="2" a="1"/>
  <c r="AF76" i="2" s="1"/>
  <c r="AF77" i="2" a="1"/>
  <c r="AF77" i="2"/>
  <c r="AF78" i="2" a="1"/>
  <c r="AF78" i="2"/>
  <c r="AF79" i="2" a="1"/>
  <c r="AF79" i="2"/>
  <c r="AF80" i="2" a="1"/>
  <c r="AF80" i="2"/>
  <c r="AF81" i="2" a="1"/>
  <c r="AF81" i="2"/>
  <c r="AF82" i="2" a="1"/>
  <c r="AF82" i="2"/>
  <c r="AF83" i="2" a="1"/>
  <c r="AF83" i="2"/>
  <c r="AF84" i="2" a="1"/>
  <c r="AF84" i="2"/>
  <c r="AF3" i="2" a="1"/>
  <c r="AF3" i="2" s="1"/>
  <c r="AA3" i="1" a="1"/>
  <c r="AA3" i="1" s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3" i="2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3" i="1"/>
  <c r="Q3" i="1"/>
  <c r="AB37" i="1"/>
  <c r="AB73" i="1"/>
  <c r="AA4" i="1" a="1"/>
  <c r="AA4" i="1" s="1"/>
  <c r="AB4" i="1" s="1"/>
  <c r="AA5" i="1" a="1"/>
  <c r="AA5" i="1"/>
  <c r="AA6" i="1" a="1"/>
  <c r="AA6" i="1" s="1"/>
  <c r="AA7" i="1" a="1"/>
  <c r="AA7" i="1" s="1"/>
  <c r="AA8" i="1" a="1"/>
  <c r="AA8" i="1" s="1"/>
  <c r="AA18" i="1"/>
  <c r="AA19" i="1" a="1"/>
  <c r="AA19" i="1" s="1"/>
  <c r="AA37" i="1" a="1"/>
  <c r="AA37" i="1"/>
  <c r="AA38" i="1" a="1"/>
  <c r="AA38" i="1"/>
  <c r="AB38" i="1" s="1"/>
  <c r="AA39" i="1" a="1"/>
  <c r="AA39" i="1" s="1"/>
  <c r="AA40" i="1" a="1"/>
  <c r="AA40" i="1" s="1"/>
  <c r="AB40" i="1" s="1"/>
  <c r="AA41" i="1" a="1"/>
  <c r="AA41" i="1"/>
  <c r="AB41" i="1" s="1"/>
  <c r="AA42" i="1" a="1"/>
  <c r="AA42" i="1" s="1"/>
  <c r="AB42" i="1" s="1"/>
  <c r="AA65" i="1" a="1"/>
  <c r="AA65" i="1"/>
  <c r="AB65" i="1" s="1"/>
  <c r="AA73" i="1" a="1"/>
  <c r="AA73" i="1"/>
  <c r="AA74" i="1" a="1"/>
  <c r="AA74" i="1"/>
  <c r="AA75" i="1" a="1"/>
  <c r="AA75" i="1" s="1"/>
  <c r="AA76" i="1" a="1"/>
  <c r="AA76" i="1" s="1"/>
  <c r="AA77" i="1" a="1"/>
  <c r="AA77" i="1"/>
  <c r="W3" i="1"/>
  <c r="T3" i="1"/>
  <c r="S3" i="1"/>
  <c r="X3" i="1" s="1"/>
  <c r="R3" i="1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X232" i="2"/>
  <c r="AC232" i="2" s="1"/>
  <c r="AB232" i="2"/>
  <c r="X233" i="2"/>
  <c r="AB233" i="2"/>
  <c r="X234" i="2"/>
  <c r="AC234" i="2" s="1"/>
  <c r="AB234" i="2"/>
  <c r="X235" i="2"/>
  <c r="Z235" i="2" s="1"/>
  <c r="AB235" i="2"/>
  <c r="X236" i="2"/>
  <c r="AC236" i="2" s="1"/>
  <c r="AB236" i="2"/>
  <c r="X237" i="2"/>
  <c r="AB237" i="2"/>
  <c r="X238" i="2"/>
  <c r="Z238" i="2" s="1"/>
  <c r="AB238" i="2"/>
  <c r="X239" i="2"/>
  <c r="Z239" i="2" s="1"/>
  <c r="AB239" i="2"/>
  <c r="X240" i="2"/>
  <c r="Z240" i="2" s="1"/>
  <c r="AB240" i="2"/>
  <c r="X241" i="2"/>
  <c r="Z241" i="2" s="1"/>
  <c r="AB241" i="2"/>
  <c r="X242" i="2"/>
  <c r="Z242" i="2" s="1"/>
  <c r="AB242" i="2"/>
  <c r="X243" i="2"/>
  <c r="AC243" i="2" s="1"/>
  <c r="AB243" i="2"/>
  <c r="X244" i="2"/>
  <c r="AC244" i="2" s="1"/>
  <c r="AB244" i="2"/>
  <c r="X245" i="2"/>
  <c r="Z245" i="2" s="1"/>
  <c r="AB245" i="2"/>
  <c r="X246" i="2"/>
  <c r="AC246" i="2" s="1"/>
  <c r="AB246" i="2"/>
  <c r="X247" i="2"/>
  <c r="Z247" i="2" s="1"/>
  <c r="AB247" i="2"/>
  <c r="X248" i="2"/>
  <c r="Z248" i="2" s="1"/>
  <c r="AB248" i="2"/>
  <c r="X249" i="2"/>
  <c r="AC249" i="2" s="1"/>
  <c r="AB249" i="2"/>
  <c r="X250" i="2"/>
  <c r="AC250" i="2" s="1"/>
  <c r="AB250" i="2"/>
  <c r="X251" i="2"/>
  <c r="Z251" i="2" s="1"/>
  <c r="AB251" i="2"/>
  <c r="X252" i="2"/>
  <c r="Z252" i="2" s="1"/>
  <c r="AB252" i="2"/>
  <c r="AC252" i="2"/>
  <c r="X253" i="2"/>
  <c r="Z253" i="2" s="1"/>
  <c r="AB253" i="2"/>
  <c r="J232" i="2"/>
  <c r="K232" i="2" s="1"/>
  <c r="L232" i="2" s="1"/>
  <c r="V232" i="2" s="1"/>
  <c r="W232" i="2" s="1"/>
  <c r="J233" i="2"/>
  <c r="K233" i="2" s="1"/>
  <c r="L233" i="2" s="1"/>
  <c r="V233" i="2" s="1"/>
  <c r="W233" i="2" s="1"/>
  <c r="J234" i="2"/>
  <c r="K234" i="2" s="1"/>
  <c r="L234" i="2" s="1"/>
  <c r="V234" i="2" s="1"/>
  <c r="W234" i="2" s="1"/>
  <c r="J235" i="2"/>
  <c r="K235" i="2" s="1"/>
  <c r="L235" i="2" s="1"/>
  <c r="V235" i="2" s="1"/>
  <c r="W235" i="2" s="1"/>
  <c r="J236" i="2"/>
  <c r="K236" i="2" s="1"/>
  <c r="L236" i="2" s="1"/>
  <c r="V236" i="2" s="1"/>
  <c r="W236" i="2" s="1"/>
  <c r="J237" i="2"/>
  <c r="K237" i="2" s="1"/>
  <c r="L237" i="2" s="1"/>
  <c r="V237" i="2" s="1"/>
  <c r="W237" i="2" s="1"/>
  <c r="J238" i="2"/>
  <c r="K238" i="2" s="1"/>
  <c r="L238" i="2" s="1"/>
  <c r="V238" i="2" s="1"/>
  <c r="W238" i="2" s="1"/>
  <c r="J239" i="2"/>
  <c r="K239" i="2" s="1"/>
  <c r="L239" i="2" s="1"/>
  <c r="V239" i="2" s="1"/>
  <c r="W239" i="2" s="1"/>
  <c r="J240" i="2"/>
  <c r="K240" i="2" s="1"/>
  <c r="L240" i="2" s="1"/>
  <c r="V240" i="2" s="1"/>
  <c r="W240" i="2" s="1"/>
  <c r="J241" i="2"/>
  <c r="K241" i="2" s="1"/>
  <c r="L241" i="2" s="1"/>
  <c r="V241" i="2" s="1"/>
  <c r="W241" i="2" s="1"/>
  <c r="J242" i="2"/>
  <c r="K242" i="2" s="1"/>
  <c r="L242" i="2" s="1"/>
  <c r="V242" i="2" s="1"/>
  <c r="W242" i="2" s="1"/>
  <c r="J243" i="2"/>
  <c r="K243" i="2" s="1"/>
  <c r="L243" i="2" s="1"/>
  <c r="V243" i="2" s="1"/>
  <c r="W243" i="2" s="1"/>
  <c r="J244" i="2"/>
  <c r="K244" i="2" s="1"/>
  <c r="L244" i="2" s="1"/>
  <c r="V244" i="2" s="1"/>
  <c r="W244" i="2" s="1"/>
  <c r="J245" i="2"/>
  <c r="K245" i="2" s="1"/>
  <c r="L245" i="2" s="1"/>
  <c r="V245" i="2" s="1"/>
  <c r="W245" i="2" s="1"/>
  <c r="J246" i="2"/>
  <c r="K246" i="2" s="1"/>
  <c r="L246" i="2" s="1"/>
  <c r="V246" i="2" s="1"/>
  <c r="W246" i="2" s="1"/>
  <c r="J247" i="2"/>
  <c r="K247" i="2" s="1"/>
  <c r="L247" i="2" s="1"/>
  <c r="V247" i="2" s="1"/>
  <c r="W247" i="2" s="1"/>
  <c r="J248" i="2"/>
  <c r="K248" i="2" s="1"/>
  <c r="L248" i="2" s="1"/>
  <c r="V248" i="2" s="1"/>
  <c r="W248" i="2" s="1"/>
  <c r="J249" i="2"/>
  <c r="K249" i="2" s="1"/>
  <c r="L249" i="2" s="1"/>
  <c r="V249" i="2" s="1"/>
  <c r="W249" i="2" s="1"/>
  <c r="J250" i="2"/>
  <c r="K250" i="2" s="1"/>
  <c r="L250" i="2" s="1"/>
  <c r="V250" i="2" s="1"/>
  <c r="W250" i="2" s="1"/>
  <c r="J251" i="2"/>
  <c r="K251" i="2" s="1"/>
  <c r="L251" i="2" s="1"/>
  <c r="V251" i="2" s="1"/>
  <c r="W251" i="2" s="1"/>
  <c r="J252" i="2"/>
  <c r="K252" i="2" s="1"/>
  <c r="L252" i="2" s="1"/>
  <c r="V252" i="2" s="1"/>
  <c r="W252" i="2" s="1"/>
  <c r="J253" i="2"/>
  <c r="K253" i="2" s="1"/>
  <c r="L253" i="2" s="1"/>
  <c r="V253" i="2" s="1"/>
  <c r="W253" i="2" s="1"/>
  <c r="AB231" i="2"/>
  <c r="Y231" i="2"/>
  <c r="X231" i="2"/>
  <c r="J231" i="2"/>
  <c r="K231" i="2" s="1"/>
  <c r="L231" i="2" s="1"/>
  <c r="V231" i="2" s="1"/>
  <c r="W231" i="2" s="1"/>
  <c r="AB230" i="2"/>
  <c r="Y230" i="2"/>
  <c r="X230" i="2"/>
  <c r="J230" i="2"/>
  <c r="K230" i="2" s="1"/>
  <c r="L230" i="2" s="1"/>
  <c r="V230" i="2" s="1"/>
  <c r="W230" i="2" s="1"/>
  <c r="AB229" i="2"/>
  <c r="Y229" i="2"/>
  <c r="X229" i="2"/>
  <c r="J229" i="2"/>
  <c r="K229" i="2" s="1"/>
  <c r="L229" i="2" s="1"/>
  <c r="V229" i="2" s="1"/>
  <c r="W229" i="2" s="1"/>
  <c r="AB228" i="2"/>
  <c r="Y228" i="2"/>
  <c r="X228" i="2"/>
  <c r="J228" i="2"/>
  <c r="K228" i="2" s="1"/>
  <c r="L228" i="2" s="1"/>
  <c r="V228" i="2" s="1"/>
  <c r="W228" i="2" s="1"/>
  <c r="AB227" i="2"/>
  <c r="Y227" i="2"/>
  <c r="X227" i="2"/>
  <c r="J227" i="2"/>
  <c r="K227" i="2" s="1"/>
  <c r="L227" i="2" s="1"/>
  <c r="V227" i="2" s="1"/>
  <c r="W227" i="2" s="1"/>
  <c r="AB226" i="2"/>
  <c r="Y226" i="2"/>
  <c r="X226" i="2"/>
  <c r="J226" i="2"/>
  <c r="K226" i="2" s="1"/>
  <c r="L226" i="2" s="1"/>
  <c r="V226" i="2" s="1"/>
  <c r="W226" i="2" s="1"/>
  <c r="AB225" i="2"/>
  <c r="Y225" i="2"/>
  <c r="X225" i="2"/>
  <c r="J225" i="2"/>
  <c r="K225" i="2" s="1"/>
  <c r="L225" i="2" s="1"/>
  <c r="V225" i="2" s="1"/>
  <c r="W225" i="2" s="1"/>
  <c r="AB224" i="2"/>
  <c r="Y224" i="2"/>
  <c r="X224" i="2"/>
  <c r="J224" i="2"/>
  <c r="K224" i="2" s="1"/>
  <c r="L224" i="2" s="1"/>
  <c r="V224" i="2" s="1"/>
  <c r="W224" i="2" s="1"/>
  <c r="AB223" i="2"/>
  <c r="Y223" i="2"/>
  <c r="X223" i="2"/>
  <c r="J223" i="2"/>
  <c r="K223" i="2" s="1"/>
  <c r="L223" i="2" s="1"/>
  <c r="V223" i="2" s="1"/>
  <c r="W223" i="2" s="1"/>
  <c r="AB222" i="2"/>
  <c r="Y222" i="2"/>
  <c r="X222" i="2"/>
  <c r="J222" i="2"/>
  <c r="K222" i="2" s="1"/>
  <c r="L222" i="2" s="1"/>
  <c r="V222" i="2" s="1"/>
  <c r="W222" i="2" s="1"/>
  <c r="X212" i="2"/>
  <c r="Y212" i="2"/>
  <c r="AB212" i="2"/>
  <c r="X213" i="2"/>
  <c r="Z213" i="2" s="1"/>
  <c r="Y213" i="2"/>
  <c r="AB213" i="2"/>
  <c r="AC213" i="2"/>
  <c r="X214" i="2"/>
  <c r="Z214" i="2" s="1"/>
  <c r="Y214" i="2"/>
  <c r="AB214" i="2"/>
  <c r="X215" i="2"/>
  <c r="Y215" i="2"/>
  <c r="AB215" i="2"/>
  <c r="X216" i="2"/>
  <c r="AC216" i="2" s="1"/>
  <c r="Y216" i="2"/>
  <c r="AB216" i="2"/>
  <c r="X217" i="2"/>
  <c r="Z217" i="2" s="1"/>
  <c r="Y217" i="2"/>
  <c r="AB217" i="2"/>
  <c r="X218" i="2"/>
  <c r="Z218" i="2" s="1"/>
  <c r="Y218" i="2"/>
  <c r="AB218" i="2"/>
  <c r="X219" i="2"/>
  <c r="Y219" i="2"/>
  <c r="AB219" i="2"/>
  <c r="X220" i="2"/>
  <c r="Z220" i="2" s="1"/>
  <c r="Y220" i="2"/>
  <c r="AB220" i="2"/>
  <c r="X221" i="2"/>
  <c r="AC221" i="2" s="1"/>
  <c r="Y221" i="2"/>
  <c r="AB221" i="2"/>
  <c r="J212" i="2"/>
  <c r="K212" i="2" s="1"/>
  <c r="L212" i="2" s="1"/>
  <c r="V212" i="2" s="1"/>
  <c r="W212" i="2" s="1"/>
  <c r="J213" i="2"/>
  <c r="K213" i="2" s="1"/>
  <c r="L213" i="2" s="1"/>
  <c r="V213" i="2" s="1"/>
  <c r="W213" i="2" s="1"/>
  <c r="J214" i="2"/>
  <c r="K214" i="2" s="1"/>
  <c r="L214" i="2" s="1"/>
  <c r="V214" i="2" s="1"/>
  <c r="W214" i="2" s="1"/>
  <c r="J215" i="2"/>
  <c r="K215" i="2" s="1"/>
  <c r="L215" i="2" s="1"/>
  <c r="V215" i="2" s="1"/>
  <c r="W215" i="2" s="1"/>
  <c r="J216" i="2"/>
  <c r="K216" i="2" s="1"/>
  <c r="L216" i="2" s="1"/>
  <c r="V216" i="2" s="1"/>
  <c r="W216" i="2" s="1"/>
  <c r="J217" i="2"/>
  <c r="K217" i="2" s="1"/>
  <c r="L217" i="2" s="1"/>
  <c r="V217" i="2" s="1"/>
  <c r="W217" i="2" s="1"/>
  <c r="J218" i="2"/>
  <c r="K218" i="2"/>
  <c r="L218" i="2"/>
  <c r="V218" i="2" s="1"/>
  <c r="W218" i="2" s="1"/>
  <c r="J219" i="2"/>
  <c r="K219" i="2" s="1"/>
  <c r="L219" i="2" s="1"/>
  <c r="V219" i="2" s="1"/>
  <c r="W219" i="2" s="1"/>
  <c r="J220" i="2"/>
  <c r="K220" i="2" s="1"/>
  <c r="L220" i="2" s="1"/>
  <c r="V220" i="2" s="1"/>
  <c r="W220" i="2" s="1"/>
  <c r="J221" i="2"/>
  <c r="K221" i="2" s="1"/>
  <c r="L221" i="2" s="1"/>
  <c r="V221" i="2" s="1"/>
  <c r="W221" i="2" s="1"/>
  <c r="X211" i="2"/>
  <c r="AC211" i="2" s="1"/>
  <c r="Y211" i="2"/>
  <c r="AB211" i="2"/>
  <c r="X194" i="2"/>
  <c r="AC194" i="2" s="1"/>
  <c r="Y194" i="2"/>
  <c r="AB194" i="2"/>
  <c r="X195" i="2"/>
  <c r="Z195" i="2" s="1"/>
  <c r="Y195" i="2"/>
  <c r="AB195" i="2"/>
  <c r="X196" i="2"/>
  <c r="Z196" i="2" s="1"/>
  <c r="Y196" i="2"/>
  <c r="AB196" i="2"/>
  <c r="X197" i="2"/>
  <c r="Y197" i="2"/>
  <c r="AB197" i="2"/>
  <c r="X198" i="2"/>
  <c r="Z198" i="2" s="1"/>
  <c r="Y198" i="2"/>
  <c r="AB198" i="2"/>
  <c r="X199" i="2"/>
  <c r="AC199" i="2" s="1"/>
  <c r="Y199" i="2"/>
  <c r="Z199" i="2"/>
  <c r="AB199" i="2"/>
  <c r="X200" i="2"/>
  <c r="AC200" i="2" s="1"/>
  <c r="Y200" i="2"/>
  <c r="AB200" i="2"/>
  <c r="X201" i="2"/>
  <c r="AC201" i="2" s="1"/>
  <c r="Y201" i="2"/>
  <c r="AB201" i="2"/>
  <c r="X202" i="2"/>
  <c r="Z202" i="2" s="1"/>
  <c r="Y202" i="2"/>
  <c r="AB202" i="2"/>
  <c r="AC202" i="2"/>
  <c r="X203" i="2"/>
  <c r="Z203" i="2" s="1"/>
  <c r="Y203" i="2"/>
  <c r="AB203" i="2"/>
  <c r="X204" i="2"/>
  <c r="AC204" i="2" s="1"/>
  <c r="Y204" i="2"/>
  <c r="AB204" i="2"/>
  <c r="X205" i="2"/>
  <c r="Z205" i="2" s="1"/>
  <c r="Y205" i="2"/>
  <c r="AB205" i="2"/>
  <c r="X206" i="2"/>
  <c r="Z206" i="2" s="1"/>
  <c r="Y206" i="2"/>
  <c r="AB206" i="2"/>
  <c r="X207" i="2"/>
  <c r="Z207" i="2" s="1"/>
  <c r="Y207" i="2"/>
  <c r="AB207" i="2"/>
  <c r="X208" i="2"/>
  <c r="AC208" i="2" s="1"/>
  <c r="Y208" i="2"/>
  <c r="AB208" i="2"/>
  <c r="X209" i="2"/>
  <c r="AC209" i="2" s="1"/>
  <c r="Y209" i="2"/>
  <c r="AB209" i="2"/>
  <c r="X210" i="2"/>
  <c r="Z210" i="2" s="1"/>
  <c r="Y210" i="2"/>
  <c r="AB210" i="2"/>
  <c r="J203" i="2"/>
  <c r="K203" i="2" s="1"/>
  <c r="L203" i="2" s="1"/>
  <c r="V203" i="2" s="1"/>
  <c r="W203" i="2" s="1"/>
  <c r="J204" i="2"/>
  <c r="K204" i="2" s="1"/>
  <c r="L204" i="2" s="1"/>
  <c r="V204" i="2" s="1"/>
  <c r="W204" i="2" s="1"/>
  <c r="J205" i="2"/>
  <c r="K205" i="2" s="1"/>
  <c r="L205" i="2" s="1"/>
  <c r="V205" i="2" s="1"/>
  <c r="W205" i="2" s="1"/>
  <c r="J206" i="2"/>
  <c r="K206" i="2" s="1"/>
  <c r="L206" i="2" s="1"/>
  <c r="V206" i="2" s="1"/>
  <c r="W206" i="2" s="1"/>
  <c r="J207" i="2"/>
  <c r="K207" i="2" s="1"/>
  <c r="L207" i="2" s="1"/>
  <c r="V207" i="2" s="1"/>
  <c r="W207" i="2" s="1"/>
  <c r="J208" i="2"/>
  <c r="K208" i="2" s="1"/>
  <c r="L208" i="2" s="1"/>
  <c r="V208" i="2" s="1"/>
  <c r="W208" i="2" s="1"/>
  <c r="J209" i="2"/>
  <c r="K209" i="2" s="1"/>
  <c r="L209" i="2" s="1"/>
  <c r="V209" i="2" s="1"/>
  <c r="W209" i="2" s="1"/>
  <c r="J210" i="2"/>
  <c r="K210" i="2" s="1"/>
  <c r="L210" i="2" s="1"/>
  <c r="V210" i="2" s="1"/>
  <c r="W210" i="2" s="1"/>
  <c r="J211" i="2"/>
  <c r="K211" i="2" s="1"/>
  <c r="L211" i="2" s="1"/>
  <c r="V211" i="2" s="1"/>
  <c r="W211" i="2" s="1"/>
  <c r="J194" i="2"/>
  <c r="K194" i="2" s="1"/>
  <c r="L194" i="2" s="1"/>
  <c r="V194" i="2" s="1"/>
  <c r="W194" i="2" s="1"/>
  <c r="J195" i="2"/>
  <c r="K195" i="2" s="1"/>
  <c r="L195" i="2" s="1"/>
  <c r="V195" i="2" s="1"/>
  <c r="W195" i="2" s="1"/>
  <c r="J196" i="2"/>
  <c r="K196" i="2" s="1"/>
  <c r="L196" i="2" s="1"/>
  <c r="V196" i="2" s="1"/>
  <c r="W196" i="2" s="1"/>
  <c r="J197" i="2"/>
  <c r="K197" i="2" s="1"/>
  <c r="L197" i="2" s="1"/>
  <c r="V197" i="2" s="1"/>
  <c r="W197" i="2" s="1"/>
  <c r="J198" i="2"/>
  <c r="K198" i="2" s="1"/>
  <c r="L198" i="2" s="1"/>
  <c r="V198" i="2" s="1"/>
  <c r="W198" i="2" s="1"/>
  <c r="J199" i="2"/>
  <c r="K199" i="2" s="1"/>
  <c r="L199" i="2" s="1"/>
  <c r="V199" i="2" s="1"/>
  <c r="W199" i="2" s="1"/>
  <c r="J200" i="2"/>
  <c r="K200" i="2" s="1"/>
  <c r="L200" i="2" s="1"/>
  <c r="V200" i="2" s="1"/>
  <c r="W200" i="2" s="1"/>
  <c r="J201" i="2"/>
  <c r="K201" i="2" s="1"/>
  <c r="L201" i="2" s="1"/>
  <c r="V201" i="2" s="1"/>
  <c r="W201" i="2" s="1"/>
  <c r="J202" i="2"/>
  <c r="K202" i="2" s="1"/>
  <c r="L202" i="2" s="1"/>
  <c r="V202" i="2" s="1"/>
  <c r="W202" i="2" s="1"/>
  <c r="X172" i="2"/>
  <c r="AC172" i="2" s="1"/>
  <c r="Y172" i="2"/>
  <c r="AB172" i="2"/>
  <c r="X173" i="2"/>
  <c r="Z173" i="2" s="1"/>
  <c r="Y173" i="2"/>
  <c r="AB173" i="2"/>
  <c r="AC173" i="2"/>
  <c r="X174" i="2"/>
  <c r="Z174" i="2" s="1"/>
  <c r="Y174" i="2"/>
  <c r="AB174" i="2"/>
  <c r="X175" i="2"/>
  <c r="Z175" i="2" s="1"/>
  <c r="Y175" i="2"/>
  <c r="AB175" i="2"/>
  <c r="X176" i="2"/>
  <c r="Z176" i="2" s="1"/>
  <c r="Y176" i="2"/>
  <c r="AB176" i="2"/>
  <c r="X177" i="2"/>
  <c r="Y177" i="2"/>
  <c r="AB177" i="2"/>
  <c r="X178" i="2"/>
  <c r="AC178" i="2" s="1"/>
  <c r="Y178" i="2"/>
  <c r="AB178" i="2"/>
  <c r="X179" i="2"/>
  <c r="Z179" i="2" s="1"/>
  <c r="Y179" i="2"/>
  <c r="AB179" i="2"/>
  <c r="X180" i="2"/>
  <c r="Z180" i="2" s="1"/>
  <c r="Y180" i="2"/>
  <c r="AB180" i="2"/>
  <c r="X181" i="2"/>
  <c r="Z181" i="2" s="1"/>
  <c r="Y181" i="2"/>
  <c r="AB181" i="2"/>
  <c r="X182" i="2"/>
  <c r="AC182" i="2" s="1"/>
  <c r="Y182" i="2"/>
  <c r="AB182" i="2"/>
  <c r="X183" i="2"/>
  <c r="Z183" i="2" s="1"/>
  <c r="Y183" i="2"/>
  <c r="AB183" i="2"/>
  <c r="X184" i="2"/>
  <c r="Z184" i="2" s="1"/>
  <c r="Y184" i="2"/>
  <c r="AB184" i="2"/>
  <c r="X185" i="2"/>
  <c r="Y185" i="2"/>
  <c r="AB185" i="2"/>
  <c r="X186" i="2"/>
  <c r="Z186" i="2" s="1"/>
  <c r="Y186" i="2"/>
  <c r="AB186" i="2"/>
  <c r="AC186" i="2"/>
  <c r="X187" i="2"/>
  <c r="Z187" i="2" s="1"/>
  <c r="Y187" i="2"/>
  <c r="AB187" i="2"/>
  <c r="X188" i="2"/>
  <c r="AC188" i="2" s="1"/>
  <c r="Y188" i="2"/>
  <c r="AB188" i="2"/>
  <c r="X189" i="2"/>
  <c r="Z189" i="2" s="1"/>
  <c r="Y189" i="2"/>
  <c r="AB189" i="2"/>
  <c r="X190" i="2"/>
  <c r="AC190" i="2" s="1"/>
  <c r="Y190" i="2"/>
  <c r="AB190" i="2"/>
  <c r="X191" i="2"/>
  <c r="Z191" i="2" s="1"/>
  <c r="Y191" i="2"/>
  <c r="AB191" i="2"/>
  <c r="X192" i="2"/>
  <c r="Z192" i="2" s="1"/>
  <c r="Y192" i="2"/>
  <c r="AB192" i="2"/>
  <c r="X193" i="2"/>
  <c r="Z193" i="2" s="1"/>
  <c r="Y193" i="2"/>
  <c r="AB193" i="2"/>
  <c r="J172" i="2"/>
  <c r="K172" i="2" s="1"/>
  <c r="L172" i="2" s="1"/>
  <c r="V172" i="2" s="1"/>
  <c r="W172" i="2" s="1"/>
  <c r="J173" i="2"/>
  <c r="K173" i="2" s="1"/>
  <c r="L173" i="2" s="1"/>
  <c r="V173" i="2" s="1"/>
  <c r="W173" i="2" s="1"/>
  <c r="J174" i="2"/>
  <c r="K174" i="2" s="1"/>
  <c r="L174" i="2" s="1"/>
  <c r="V174" i="2" s="1"/>
  <c r="W174" i="2" s="1"/>
  <c r="J175" i="2"/>
  <c r="K175" i="2" s="1"/>
  <c r="L175" i="2" s="1"/>
  <c r="V175" i="2" s="1"/>
  <c r="W175" i="2" s="1"/>
  <c r="J176" i="2"/>
  <c r="K176" i="2" s="1"/>
  <c r="L176" i="2" s="1"/>
  <c r="V176" i="2" s="1"/>
  <c r="W176" i="2" s="1"/>
  <c r="J177" i="2"/>
  <c r="K177" i="2" s="1"/>
  <c r="L177" i="2" s="1"/>
  <c r="V177" i="2" s="1"/>
  <c r="W177" i="2" s="1"/>
  <c r="J178" i="2"/>
  <c r="K178" i="2" s="1"/>
  <c r="L178" i="2" s="1"/>
  <c r="V178" i="2" s="1"/>
  <c r="W178" i="2" s="1"/>
  <c r="J179" i="2"/>
  <c r="K179" i="2" s="1"/>
  <c r="L179" i="2" s="1"/>
  <c r="V179" i="2" s="1"/>
  <c r="W179" i="2" s="1"/>
  <c r="J180" i="2"/>
  <c r="K180" i="2" s="1"/>
  <c r="L180" i="2" s="1"/>
  <c r="V180" i="2" s="1"/>
  <c r="W180" i="2" s="1"/>
  <c r="J181" i="2"/>
  <c r="K181" i="2" s="1"/>
  <c r="L181" i="2" s="1"/>
  <c r="V181" i="2" s="1"/>
  <c r="W181" i="2" s="1"/>
  <c r="J182" i="2"/>
  <c r="K182" i="2" s="1"/>
  <c r="L182" i="2" s="1"/>
  <c r="V182" i="2" s="1"/>
  <c r="W182" i="2" s="1"/>
  <c r="J183" i="2"/>
  <c r="K183" i="2" s="1"/>
  <c r="L183" i="2" s="1"/>
  <c r="V183" i="2" s="1"/>
  <c r="W183" i="2" s="1"/>
  <c r="J184" i="2"/>
  <c r="K184" i="2" s="1"/>
  <c r="L184" i="2" s="1"/>
  <c r="V184" i="2" s="1"/>
  <c r="W184" i="2" s="1"/>
  <c r="J185" i="2"/>
  <c r="K185" i="2" s="1"/>
  <c r="L185" i="2" s="1"/>
  <c r="V185" i="2" s="1"/>
  <c r="W185" i="2" s="1"/>
  <c r="J186" i="2"/>
  <c r="K186" i="2" s="1"/>
  <c r="L186" i="2" s="1"/>
  <c r="V186" i="2" s="1"/>
  <c r="W186" i="2" s="1"/>
  <c r="J187" i="2"/>
  <c r="K187" i="2" s="1"/>
  <c r="L187" i="2" s="1"/>
  <c r="V187" i="2" s="1"/>
  <c r="W187" i="2" s="1"/>
  <c r="J188" i="2"/>
  <c r="K188" i="2" s="1"/>
  <c r="L188" i="2" s="1"/>
  <c r="V188" i="2" s="1"/>
  <c r="W188" i="2" s="1"/>
  <c r="J189" i="2"/>
  <c r="K189" i="2" s="1"/>
  <c r="L189" i="2" s="1"/>
  <c r="V189" i="2" s="1"/>
  <c r="W189" i="2" s="1"/>
  <c r="J190" i="2"/>
  <c r="K190" i="2" s="1"/>
  <c r="L190" i="2" s="1"/>
  <c r="V190" i="2" s="1"/>
  <c r="W190" i="2" s="1"/>
  <c r="J191" i="2"/>
  <c r="K191" i="2" s="1"/>
  <c r="L191" i="2" s="1"/>
  <c r="V191" i="2" s="1"/>
  <c r="W191" i="2" s="1"/>
  <c r="J192" i="2"/>
  <c r="K192" i="2" s="1"/>
  <c r="L192" i="2" s="1"/>
  <c r="V192" i="2" s="1"/>
  <c r="W192" i="2" s="1"/>
  <c r="J193" i="2"/>
  <c r="K193" i="2" s="1"/>
  <c r="L193" i="2" s="1"/>
  <c r="V193" i="2" s="1"/>
  <c r="W193" i="2" s="1"/>
  <c r="X162" i="2"/>
  <c r="AC162" i="2" s="1"/>
  <c r="Y162" i="2"/>
  <c r="AB162" i="2"/>
  <c r="X163" i="2"/>
  <c r="Z163" i="2" s="1"/>
  <c r="Y163" i="2"/>
  <c r="AB163" i="2"/>
  <c r="X164" i="2"/>
  <c r="AC164" i="2" s="1"/>
  <c r="Y164" i="2"/>
  <c r="AB164" i="2"/>
  <c r="X165" i="2"/>
  <c r="Z165" i="2" s="1"/>
  <c r="Y165" i="2"/>
  <c r="AB165" i="2"/>
  <c r="X166" i="2"/>
  <c r="AC166" i="2" s="1"/>
  <c r="Y166" i="2"/>
  <c r="AB166" i="2"/>
  <c r="X167" i="2"/>
  <c r="Z167" i="2" s="1"/>
  <c r="Y167" i="2"/>
  <c r="AB167" i="2"/>
  <c r="X168" i="2"/>
  <c r="Z168" i="2" s="1"/>
  <c r="Y168" i="2"/>
  <c r="AB168" i="2"/>
  <c r="X169" i="2"/>
  <c r="Z169" i="2" s="1"/>
  <c r="Y169" i="2"/>
  <c r="AB169" i="2"/>
  <c r="X170" i="2"/>
  <c r="Z170" i="2" s="1"/>
  <c r="Y170" i="2"/>
  <c r="AB170" i="2"/>
  <c r="X171" i="2"/>
  <c r="Z171" i="2" s="1"/>
  <c r="Y171" i="2"/>
  <c r="AB171" i="2"/>
  <c r="J162" i="2"/>
  <c r="K162" i="2" s="1"/>
  <c r="L162" i="2" s="1"/>
  <c r="V162" i="2" s="1"/>
  <c r="W162" i="2" s="1"/>
  <c r="J163" i="2"/>
  <c r="K163" i="2" s="1"/>
  <c r="L163" i="2" s="1"/>
  <c r="V163" i="2" s="1"/>
  <c r="W163" i="2" s="1"/>
  <c r="J164" i="2"/>
  <c r="K164" i="2" s="1"/>
  <c r="L164" i="2" s="1"/>
  <c r="V164" i="2" s="1"/>
  <c r="W164" i="2" s="1"/>
  <c r="J165" i="2"/>
  <c r="K165" i="2" s="1"/>
  <c r="L165" i="2" s="1"/>
  <c r="V165" i="2" s="1"/>
  <c r="W165" i="2" s="1"/>
  <c r="J166" i="2"/>
  <c r="K166" i="2" s="1"/>
  <c r="L166" i="2" s="1"/>
  <c r="V166" i="2" s="1"/>
  <c r="W166" i="2" s="1"/>
  <c r="J167" i="2"/>
  <c r="K167" i="2" s="1"/>
  <c r="L167" i="2" s="1"/>
  <c r="V167" i="2" s="1"/>
  <c r="W167" i="2" s="1"/>
  <c r="J168" i="2"/>
  <c r="K168" i="2" s="1"/>
  <c r="L168" i="2" s="1"/>
  <c r="V168" i="2" s="1"/>
  <c r="W168" i="2" s="1"/>
  <c r="J169" i="2"/>
  <c r="K169" i="2" s="1"/>
  <c r="L169" i="2" s="1"/>
  <c r="V169" i="2" s="1"/>
  <c r="W169" i="2" s="1"/>
  <c r="J170" i="2"/>
  <c r="K170" i="2" s="1"/>
  <c r="L170" i="2" s="1"/>
  <c r="V170" i="2" s="1"/>
  <c r="W170" i="2" s="1"/>
  <c r="J171" i="2"/>
  <c r="K171" i="2" s="1"/>
  <c r="L171" i="2" s="1"/>
  <c r="V171" i="2" s="1"/>
  <c r="W171" i="2" s="1"/>
  <c r="X160" i="2"/>
  <c r="Z160" i="2" s="1"/>
  <c r="Y160" i="2"/>
  <c r="AB160" i="2"/>
  <c r="X161" i="2"/>
  <c r="AC161" i="2" s="1"/>
  <c r="Y161" i="2"/>
  <c r="AB161" i="2"/>
  <c r="J161" i="2"/>
  <c r="K161" i="2" s="1"/>
  <c r="L161" i="2" s="1"/>
  <c r="V161" i="2" s="1"/>
  <c r="W161" i="2" s="1"/>
  <c r="AD161" i="2" s="1"/>
  <c r="J160" i="2"/>
  <c r="K160" i="2" s="1"/>
  <c r="L160" i="2" s="1"/>
  <c r="V160" i="2" s="1"/>
  <c r="W160" i="2" s="1"/>
  <c r="X152" i="2"/>
  <c r="Y152" i="2"/>
  <c r="AB152" i="2"/>
  <c r="X153" i="2"/>
  <c r="Z153" i="2" s="1"/>
  <c r="Y153" i="2"/>
  <c r="AB153" i="2"/>
  <c r="X154" i="2"/>
  <c r="Z154" i="2" s="1"/>
  <c r="Y154" i="2"/>
  <c r="AB154" i="2"/>
  <c r="AC154" i="2"/>
  <c r="X155" i="2"/>
  <c r="Z155" i="2" s="1"/>
  <c r="Y155" i="2"/>
  <c r="AB155" i="2"/>
  <c r="X156" i="2"/>
  <c r="Z156" i="2" s="1"/>
  <c r="Y156" i="2"/>
  <c r="AB156" i="2"/>
  <c r="X157" i="2"/>
  <c r="AC157" i="2" s="1"/>
  <c r="Y157" i="2"/>
  <c r="AB157" i="2"/>
  <c r="X158" i="2"/>
  <c r="Z158" i="2" s="1"/>
  <c r="Y158" i="2"/>
  <c r="AB158" i="2"/>
  <c r="X159" i="2"/>
  <c r="Y159" i="2"/>
  <c r="AB159" i="2"/>
  <c r="J152" i="2"/>
  <c r="K152" i="2" s="1"/>
  <c r="L152" i="2" s="1"/>
  <c r="V152" i="2" s="1"/>
  <c r="W152" i="2" s="1"/>
  <c r="J153" i="2"/>
  <c r="K153" i="2" s="1"/>
  <c r="L153" i="2" s="1"/>
  <c r="V153" i="2" s="1"/>
  <c r="W153" i="2" s="1"/>
  <c r="J154" i="2"/>
  <c r="K154" i="2" s="1"/>
  <c r="L154" i="2" s="1"/>
  <c r="V154" i="2" s="1"/>
  <c r="W154" i="2" s="1"/>
  <c r="J155" i="2"/>
  <c r="K155" i="2" s="1"/>
  <c r="L155" i="2" s="1"/>
  <c r="V155" i="2" s="1"/>
  <c r="W155" i="2" s="1"/>
  <c r="J156" i="2"/>
  <c r="K156" i="2" s="1"/>
  <c r="L156" i="2" s="1"/>
  <c r="V156" i="2" s="1"/>
  <c r="W156" i="2" s="1"/>
  <c r="J157" i="2"/>
  <c r="K157" i="2" s="1"/>
  <c r="L157" i="2" s="1"/>
  <c r="V157" i="2" s="1"/>
  <c r="W157" i="2" s="1"/>
  <c r="J158" i="2"/>
  <c r="K158" i="2" s="1"/>
  <c r="L158" i="2" s="1"/>
  <c r="V158" i="2" s="1"/>
  <c r="W158" i="2" s="1"/>
  <c r="J159" i="2"/>
  <c r="K159" i="2" s="1"/>
  <c r="X146" i="2"/>
  <c r="AC146" i="2" s="1"/>
  <c r="Y146" i="2"/>
  <c r="Z146" i="2"/>
  <c r="AB146" i="2"/>
  <c r="X147" i="2"/>
  <c r="Z147" i="2" s="1"/>
  <c r="Y147" i="2"/>
  <c r="AB147" i="2"/>
  <c r="X148" i="2"/>
  <c r="AC148" i="2" s="1"/>
  <c r="Y148" i="2"/>
  <c r="AB148" i="2"/>
  <c r="X149" i="2"/>
  <c r="Z149" i="2" s="1"/>
  <c r="Y149" i="2"/>
  <c r="AB149" i="2"/>
  <c r="X150" i="2"/>
  <c r="Z150" i="2" s="1"/>
  <c r="Y150" i="2"/>
  <c r="AB150" i="2"/>
  <c r="X151" i="2"/>
  <c r="Z151" i="2" s="1"/>
  <c r="Y151" i="2"/>
  <c r="AB151" i="2"/>
  <c r="J146" i="2"/>
  <c r="K146" i="2" s="1"/>
  <c r="L146" i="2" s="1"/>
  <c r="V146" i="2" s="1"/>
  <c r="W146" i="2" s="1"/>
  <c r="J147" i="2"/>
  <c r="K147" i="2" s="1"/>
  <c r="L147" i="2" s="1"/>
  <c r="V147" i="2" s="1"/>
  <c r="W147" i="2" s="1"/>
  <c r="J148" i="2"/>
  <c r="K148" i="2" s="1"/>
  <c r="L148" i="2" s="1"/>
  <c r="V148" i="2" s="1"/>
  <c r="W148" i="2" s="1"/>
  <c r="J149" i="2"/>
  <c r="K149" i="2" s="1"/>
  <c r="L149" i="2" s="1"/>
  <c r="V149" i="2" s="1"/>
  <c r="W149" i="2" s="1"/>
  <c r="J150" i="2"/>
  <c r="K150" i="2" s="1"/>
  <c r="L150" i="2" s="1"/>
  <c r="V150" i="2" s="1"/>
  <c r="W150" i="2" s="1"/>
  <c r="J151" i="2"/>
  <c r="K151" i="2" s="1"/>
  <c r="L151" i="2" s="1"/>
  <c r="V151" i="2" s="1"/>
  <c r="W151" i="2" s="1"/>
  <c r="J115" i="2"/>
  <c r="K115" i="2" s="1"/>
  <c r="L115" i="2" s="1"/>
  <c r="V115" i="2" s="1"/>
  <c r="W115" i="2" s="1"/>
  <c r="J116" i="2"/>
  <c r="K116" i="2" s="1"/>
  <c r="L116" i="2" s="1"/>
  <c r="V116" i="2" s="1"/>
  <c r="W116" i="2" s="1"/>
  <c r="J117" i="2"/>
  <c r="K117" i="2" s="1"/>
  <c r="L117" i="2" s="1"/>
  <c r="V117" i="2" s="1"/>
  <c r="W117" i="2" s="1"/>
  <c r="J118" i="2"/>
  <c r="K118" i="2" s="1"/>
  <c r="L118" i="2" s="1"/>
  <c r="V118" i="2" s="1"/>
  <c r="W118" i="2" s="1"/>
  <c r="J119" i="2"/>
  <c r="K119" i="2" s="1"/>
  <c r="L119" i="2" s="1"/>
  <c r="V119" i="2" s="1"/>
  <c r="W119" i="2" s="1"/>
  <c r="J120" i="2"/>
  <c r="K120" i="2" s="1"/>
  <c r="L120" i="2" s="1"/>
  <c r="V120" i="2" s="1"/>
  <c r="W120" i="2" s="1"/>
  <c r="J121" i="2"/>
  <c r="K121" i="2" s="1"/>
  <c r="L121" i="2" s="1"/>
  <c r="V121" i="2" s="1"/>
  <c r="W121" i="2" s="1"/>
  <c r="J122" i="2"/>
  <c r="K122" i="2" s="1"/>
  <c r="L122" i="2" s="1"/>
  <c r="V122" i="2" s="1"/>
  <c r="W122" i="2" s="1"/>
  <c r="J123" i="2"/>
  <c r="K123" i="2" s="1"/>
  <c r="L123" i="2" s="1"/>
  <c r="V123" i="2" s="1"/>
  <c r="W123" i="2" s="1"/>
  <c r="J124" i="2"/>
  <c r="K124" i="2" s="1"/>
  <c r="L124" i="2" s="1"/>
  <c r="V124" i="2" s="1"/>
  <c r="W124" i="2" s="1"/>
  <c r="J125" i="2"/>
  <c r="K125" i="2" s="1"/>
  <c r="L125" i="2" s="1"/>
  <c r="V125" i="2" s="1"/>
  <c r="W125" i="2" s="1"/>
  <c r="J126" i="2"/>
  <c r="K126" i="2" s="1"/>
  <c r="L126" i="2" s="1"/>
  <c r="V126" i="2" s="1"/>
  <c r="W126" i="2" s="1"/>
  <c r="J127" i="2"/>
  <c r="K127" i="2" s="1"/>
  <c r="L127" i="2" s="1"/>
  <c r="V127" i="2" s="1"/>
  <c r="W127" i="2" s="1"/>
  <c r="J128" i="2"/>
  <c r="K128" i="2" s="1"/>
  <c r="L128" i="2" s="1"/>
  <c r="V128" i="2" s="1"/>
  <c r="W128" i="2" s="1"/>
  <c r="J129" i="2"/>
  <c r="K129" i="2" s="1"/>
  <c r="L129" i="2" s="1"/>
  <c r="V129" i="2" s="1"/>
  <c r="W129" i="2" s="1"/>
  <c r="J130" i="2"/>
  <c r="K130" i="2" s="1"/>
  <c r="L130" i="2" s="1"/>
  <c r="V130" i="2" s="1"/>
  <c r="W130" i="2" s="1"/>
  <c r="J131" i="2"/>
  <c r="K131" i="2" s="1"/>
  <c r="L131" i="2" s="1"/>
  <c r="V131" i="2" s="1"/>
  <c r="W131" i="2" s="1"/>
  <c r="J132" i="2"/>
  <c r="K132" i="2" s="1"/>
  <c r="L132" i="2" s="1"/>
  <c r="V132" i="2" s="1"/>
  <c r="W132" i="2" s="1"/>
  <c r="J133" i="2"/>
  <c r="K133" i="2" s="1"/>
  <c r="L133" i="2" s="1"/>
  <c r="V133" i="2" s="1"/>
  <c r="W133" i="2" s="1"/>
  <c r="J134" i="2"/>
  <c r="K134" i="2" s="1"/>
  <c r="L134" i="2" s="1"/>
  <c r="V134" i="2" s="1"/>
  <c r="W134" i="2" s="1"/>
  <c r="J135" i="2"/>
  <c r="K135" i="2" s="1"/>
  <c r="L135" i="2" s="1"/>
  <c r="V135" i="2" s="1"/>
  <c r="W135" i="2" s="1"/>
  <c r="J136" i="2"/>
  <c r="K136" i="2" s="1"/>
  <c r="L136" i="2" s="1"/>
  <c r="V136" i="2" s="1"/>
  <c r="W136" i="2" s="1"/>
  <c r="J137" i="2"/>
  <c r="K137" i="2" s="1"/>
  <c r="L137" i="2" s="1"/>
  <c r="V137" i="2" s="1"/>
  <c r="W137" i="2" s="1"/>
  <c r="J138" i="2"/>
  <c r="K138" i="2" s="1"/>
  <c r="L138" i="2" s="1"/>
  <c r="V138" i="2" s="1"/>
  <c r="W138" i="2" s="1"/>
  <c r="J139" i="2"/>
  <c r="K139" i="2" s="1"/>
  <c r="L139" i="2" s="1"/>
  <c r="V139" i="2" s="1"/>
  <c r="W139" i="2" s="1"/>
  <c r="AB145" i="2"/>
  <c r="Y145" i="2"/>
  <c r="X145" i="2"/>
  <c r="J145" i="2"/>
  <c r="K145" i="2" s="1"/>
  <c r="L145" i="2" s="1"/>
  <c r="V145" i="2" s="1"/>
  <c r="W145" i="2" s="1"/>
  <c r="AB144" i="2"/>
  <c r="Y144" i="2"/>
  <c r="X144" i="2"/>
  <c r="J144" i="2"/>
  <c r="K144" i="2" s="1"/>
  <c r="L144" i="2" s="1"/>
  <c r="V144" i="2" s="1"/>
  <c r="W144" i="2" s="1"/>
  <c r="AB143" i="2"/>
  <c r="Y143" i="2"/>
  <c r="X143" i="2"/>
  <c r="J143" i="2"/>
  <c r="K143" i="2" s="1"/>
  <c r="L143" i="2" s="1"/>
  <c r="V143" i="2" s="1"/>
  <c r="W143" i="2" s="1"/>
  <c r="AB142" i="2"/>
  <c r="Y142" i="2"/>
  <c r="X142" i="2"/>
  <c r="J142" i="2"/>
  <c r="K142" i="2" s="1"/>
  <c r="L142" i="2" s="1"/>
  <c r="V142" i="2" s="1"/>
  <c r="W142" i="2" s="1"/>
  <c r="AB141" i="2"/>
  <c r="Y141" i="2"/>
  <c r="X141" i="2"/>
  <c r="J141" i="2"/>
  <c r="K141" i="2" s="1"/>
  <c r="L141" i="2" s="1"/>
  <c r="V141" i="2" s="1"/>
  <c r="W141" i="2" s="1"/>
  <c r="AB140" i="2"/>
  <c r="Y140" i="2"/>
  <c r="X140" i="2"/>
  <c r="J140" i="2"/>
  <c r="K140" i="2" s="1"/>
  <c r="L140" i="2" s="1"/>
  <c r="V140" i="2" s="1"/>
  <c r="W140" i="2" s="1"/>
  <c r="AB139" i="2"/>
  <c r="Y139" i="2"/>
  <c r="X139" i="2"/>
  <c r="AB138" i="2"/>
  <c r="Y138" i="2"/>
  <c r="X138" i="2"/>
  <c r="AB137" i="2"/>
  <c r="Y137" i="2"/>
  <c r="X137" i="2"/>
  <c r="AB136" i="2"/>
  <c r="Y136" i="2"/>
  <c r="X136" i="2"/>
  <c r="AB135" i="2"/>
  <c r="Y135" i="2"/>
  <c r="X135" i="2"/>
  <c r="AB134" i="2"/>
  <c r="Y134" i="2"/>
  <c r="X134" i="2"/>
  <c r="AB133" i="2"/>
  <c r="Y133" i="2"/>
  <c r="X133" i="2"/>
  <c r="AB132" i="2"/>
  <c r="Y132" i="2"/>
  <c r="X132" i="2"/>
  <c r="AB131" i="2"/>
  <c r="Y131" i="2"/>
  <c r="X131" i="2"/>
  <c r="AB130" i="2"/>
  <c r="Y130" i="2"/>
  <c r="X130" i="2"/>
  <c r="AB129" i="2"/>
  <c r="Y129" i="2"/>
  <c r="X129" i="2"/>
  <c r="AB128" i="2"/>
  <c r="Y128" i="2"/>
  <c r="X128" i="2"/>
  <c r="AB127" i="2"/>
  <c r="Y127" i="2"/>
  <c r="X127" i="2"/>
  <c r="AB126" i="2"/>
  <c r="Y126" i="2"/>
  <c r="X126" i="2"/>
  <c r="AB125" i="2"/>
  <c r="Y125" i="2"/>
  <c r="X125" i="2"/>
  <c r="AB124" i="2"/>
  <c r="Y124" i="2"/>
  <c r="X124" i="2"/>
  <c r="AB123" i="2"/>
  <c r="Y123" i="2"/>
  <c r="X123" i="2"/>
  <c r="AB122" i="2"/>
  <c r="Y122" i="2"/>
  <c r="X122" i="2"/>
  <c r="AB121" i="2"/>
  <c r="Y121" i="2"/>
  <c r="X121" i="2"/>
  <c r="AB120" i="2"/>
  <c r="Y120" i="2"/>
  <c r="X120" i="2"/>
  <c r="AB119" i="2"/>
  <c r="Y119" i="2"/>
  <c r="X119" i="2"/>
  <c r="AB118" i="2"/>
  <c r="Y118" i="2"/>
  <c r="X118" i="2"/>
  <c r="AB117" i="2"/>
  <c r="Y117" i="2"/>
  <c r="X117" i="2"/>
  <c r="AB116" i="2"/>
  <c r="Y116" i="2"/>
  <c r="X116" i="2"/>
  <c r="AB115" i="2"/>
  <c r="Y115" i="2"/>
  <c r="X115" i="2"/>
  <c r="X91" i="2"/>
  <c r="Z91" i="2" s="1"/>
  <c r="Y91" i="2"/>
  <c r="AB91" i="2"/>
  <c r="X92" i="2"/>
  <c r="Z92" i="2" s="1"/>
  <c r="Y92" i="2"/>
  <c r="AB92" i="2"/>
  <c r="X93" i="2"/>
  <c r="Z93" i="2" s="1"/>
  <c r="Y93" i="2"/>
  <c r="AB93" i="2"/>
  <c r="X94" i="2"/>
  <c r="AC94" i="2" s="1"/>
  <c r="Y94" i="2"/>
  <c r="AB94" i="2"/>
  <c r="X95" i="2"/>
  <c r="Z95" i="2" s="1"/>
  <c r="Y95" i="2"/>
  <c r="AB95" i="2"/>
  <c r="X96" i="2"/>
  <c r="Z96" i="2" s="1"/>
  <c r="Y96" i="2"/>
  <c r="AB96" i="2"/>
  <c r="X97" i="2"/>
  <c r="Z97" i="2" s="1"/>
  <c r="Y97" i="2"/>
  <c r="AB97" i="2"/>
  <c r="X98" i="2"/>
  <c r="Y98" i="2"/>
  <c r="AB98" i="2"/>
  <c r="X99" i="2"/>
  <c r="AC99" i="2" s="1"/>
  <c r="Y99" i="2"/>
  <c r="AB99" i="2"/>
  <c r="X100" i="2"/>
  <c r="Z100" i="2" s="1"/>
  <c r="Y100" i="2"/>
  <c r="AB100" i="2"/>
  <c r="X101" i="2"/>
  <c r="Z101" i="2" s="1"/>
  <c r="Y101" i="2"/>
  <c r="AB101" i="2"/>
  <c r="X102" i="2"/>
  <c r="Z102" i="2" s="1"/>
  <c r="Y102" i="2"/>
  <c r="AB102" i="2"/>
  <c r="X103" i="2"/>
  <c r="Z103" i="2" s="1"/>
  <c r="Y103" i="2"/>
  <c r="AB103" i="2"/>
  <c r="X104" i="2"/>
  <c r="AC104" i="2" s="1"/>
  <c r="Y104" i="2"/>
  <c r="AB104" i="2"/>
  <c r="X105" i="2"/>
  <c r="AC105" i="2" s="1"/>
  <c r="Y105" i="2"/>
  <c r="AB105" i="2"/>
  <c r="X106" i="2"/>
  <c r="Z106" i="2" s="1"/>
  <c r="Y106" i="2"/>
  <c r="AB106" i="2"/>
  <c r="X107" i="2"/>
  <c r="Z107" i="2" s="1"/>
  <c r="Y107" i="2"/>
  <c r="AB107" i="2"/>
  <c r="X108" i="2"/>
  <c r="AC108" i="2" s="1"/>
  <c r="Y108" i="2"/>
  <c r="AB108" i="2"/>
  <c r="X109" i="2"/>
  <c r="Z109" i="2" s="1"/>
  <c r="Y109" i="2"/>
  <c r="AB109" i="2"/>
  <c r="X110" i="2"/>
  <c r="Z110" i="2" s="1"/>
  <c r="Y110" i="2"/>
  <c r="AB110" i="2"/>
  <c r="X111" i="2"/>
  <c r="Z111" i="2" s="1"/>
  <c r="Y111" i="2"/>
  <c r="AB111" i="2"/>
  <c r="X112" i="2"/>
  <c r="AC112" i="2" s="1"/>
  <c r="Y112" i="2"/>
  <c r="AB112" i="2"/>
  <c r="X113" i="2"/>
  <c r="Z113" i="2" s="1"/>
  <c r="Y113" i="2"/>
  <c r="AB113" i="2"/>
  <c r="X114" i="2"/>
  <c r="Y114" i="2"/>
  <c r="AB114" i="2"/>
  <c r="AB90" i="2"/>
  <c r="Y90" i="2"/>
  <c r="X90" i="2"/>
  <c r="J91" i="2"/>
  <c r="K91" i="2"/>
  <c r="L91" i="2" s="1"/>
  <c r="V91" i="2" s="1"/>
  <c r="W91" i="2" s="1"/>
  <c r="J92" i="2"/>
  <c r="K92" i="2" s="1"/>
  <c r="L92" i="2" s="1"/>
  <c r="V92" i="2" s="1"/>
  <c r="W92" i="2" s="1"/>
  <c r="J93" i="2"/>
  <c r="K93" i="2"/>
  <c r="L93" i="2" s="1"/>
  <c r="V93" i="2" s="1"/>
  <c r="W93" i="2" s="1"/>
  <c r="J94" i="2"/>
  <c r="K94" i="2" s="1"/>
  <c r="L94" i="2" s="1"/>
  <c r="V94" i="2" s="1"/>
  <c r="W94" i="2" s="1"/>
  <c r="J95" i="2"/>
  <c r="K95" i="2" s="1"/>
  <c r="L95" i="2" s="1"/>
  <c r="V95" i="2" s="1"/>
  <c r="W95" i="2" s="1"/>
  <c r="J96" i="2"/>
  <c r="K96" i="2" s="1"/>
  <c r="L96" i="2" s="1"/>
  <c r="V96" i="2" s="1"/>
  <c r="W96" i="2" s="1"/>
  <c r="J97" i="2"/>
  <c r="K97" i="2"/>
  <c r="L97" i="2" s="1"/>
  <c r="V97" i="2" s="1"/>
  <c r="W97" i="2" s="1"/>
  <c r="J98" i="2"/>
  <c r="K98" i="2" s="1"/>
  <c r="L98" i="2" s="1"/>
  <c r="V98" i="2" s="1"/>
  <c r="W98" i="2" s="1"/>
  <c r="J99" i="2"/>
  <c r="K99" i="2"/>
  <c r="L99" i="2" s="1"/>
  <c r="V99" i="2" s="1"/>
  <c r="W99" i="2" s="1"/>
  <c r="J100" i="2"/>
  <c r="K100" i="2" s="1"/>
  <c r="L100" i="2" s="1"/>
  <c r="V100" i="2" s="1"/>
  <c r="W100" i="2" s="1"/>
  <c r="J101" i="2"/>
  <c r="K101" i="2" s="1"/>
  <c r="L101" i="2" s="1"/>
  <c r="V101" i="2" s="1"/>
  <c r="W101" i="2" s="1"/>
  <c r="J102" i="2"/>
  <c r="K102" i="2" s="1"/>
  <c r="L102" i="2" s="1"/>
  <c r="V102" i="2" s="1"/>
  <c r="W102" i="2" s="1"/>
  <c r="J103" i="2"/>
  <c r="K103" i="2" s="1"/>
  <c r="L103" i="2" s="1"/>
  <c r="V103" i="2" s="1"/>
  <c r="W103" i="2" s="1"/>
  <c r="J104" i="2"/>
  <c r="K104" i="2" s="1"/>
  <c r="L104" i="2" s="1"/>
  <c r="V104" i="2" s="1"/>
  <c r="W104" i="2" s="1"/>
  <c r="J105" i="2"/>
  <c r="K105" i="2" s="1"/>
  <c r="L105" i="2" s="1"/>
  <c r="V105" i="2" s="1"/>
  <c r="W105" i="2" s="1"/>
  <c r="J106" i="2"/>
  <c r="K106" i="2" s="1"/>
  <c r="L106" i="2" s="1"/>
  <c r="V106" i="2" s="1"/>
  <c r="W106" i="2" s="1"/>
  <c r="J107" i="2"/>
  <c r="K107" i="2" s="1"/>
  <c r="L107" i="2" s="1"/>
  <c r="V107" i="2" s="1"/>
  <c r="W107" i="2" s="1"/>
  <c r="J108" i="2"/>
  <c r="K108" i="2" s="1"/>
  <c r="L108" i="2" s="1"/>
  <c r="V108" i="2" s="1"/>
  <c r="W108" i="2" s="1"/>
  <c r="J109" i="2"/>
  <c r="K109" i="2"/>
  <c r="L109" i="2"/>
  <c r="V109" i="2" s="1"/>
  <c r="W109" i="2" s="1"/>
  <c r="J110" i="2"/>
  <c r="K110" i="2" s="1"/>
  <c r="L110" i="2" s="1"/>
  <c r="V110" i="2" s="1"/>
  <c r="W110" i="2" s="1"/>
  <c r="J111" i="2"/>
  <c r="K111" i="2" s="1"/>
  <c r="L111" i="2" s="1"/>
  <c r="V111" i="2" s="1"/>
  <c r="W111" i="2" s="1"/>
  <c r="J112" i="2"/>
  <c r="K112" i="2" s="1"/>
  <c r="L112" i="2" s="1"/>
  <c r="V112" i="2" s="1"/>
  <c r="W112" i="2" s="1"/>
  <c r="J113" i="2"/>
  <c r="K113" i="2" s="1"/>
  <c r="L113" i="2" s="1"/>
  <c r="V113" i="2" s="1"/>
  <c r="W113" i="2" s="1"/>
  <c r="J114" i="2"/>
  <c r="K114" i="2" s="1"/>
  <c r="L114" i="2" s="1"/>
  <c r="V114" i="2" s="1"/>
  <c r="W114" i="2" s="1"/>
  <c r="J90" i="2"/>
  <c r="K90" i="2" s="1"/>
  <c r="L90" i="2" s="1"/>
  <c r="V90" i="2" s="1"/>
  <c r="W90" i="2" s="1"/>
  <c r="Y87" i="2"/>
  <c r="AB87" i="2"/>
  <c r="Y88" i="2"/>
  <c r="AB88" i="2"/>
  <c r="X88" i="2"/>
  <c r="X87" i="2"/>
  <c r="J87" i="2"/>
  <c r="K87" i="2" s="1"/>
  <c r="L87" i="2" s="1"/>
  <c r="V87" i="2" s="1"/>
  <c r="W87" i="2" s="1"/>
  <c r="J88" i="2"/>
  <c r="K88" i="2" s="1"/>
  <c r="L88" i="2" s="1"/>
  <c r="V88" i="2" s="1"/>
  <c r="W88" i="2" s="1"/>
  <c r="X4" i="2"/>
  <c r="Z4" i="2" s="1"/>
  <c r="Y4" i="2"/>
  <c r="AB4" i="2"/>
  <c r="AC4" i="2"/>
  <c r="X5" i="2"/>
  <c r="Z5" i="2" s="1"/>
  <c r="Y5" i="2"/>
  <c r="AB5" i="2"/>
  <c r="X6" i="2"/>
  <c r="AC6" i="2" s="1"/>
  <c r="Y6" i="2"/>
  <c r="AB6" i="2"/>
  <c r="X7" i="2"/>
  <c r="Z7" i="2" s="1"/>
  <c r="Y7" i="2"/>
  <c r="AB7" i="2"/>
  <c r="X8" i="2"/>
  <c r="AC8" i="2" s="1"/>
  <c r="AG8" i="2" s="1"/>
  <c r="Y8" i="2"/>
  <c r="AB8" i="2"/>
  <c r="X9" i="2"/>
  <c r="Z9" i="2" s="1"/>
  <c r="Y9" i="2"/>
  <c r="AB9" i="2"/>
  <c r="X10" i="2"/>
  <c r="Z10" i="2" s="1"/>
  <c r="Y10" i="2"/>
  <c r="AB10" i="2"/>
  <c r="X11" i="2"/>
  <c r="AC11" i="2" s="1"/>
  <c r="Y11" i="2"/>
  <c r="AB11" i="2"/>
  <c r="X12" i="2"/>
  <c r="AC12" i="2" s="1"/>
  <c r="Y12" i="2"/>
  <c r="AB12" i="2"/>
  <c r="X13" i="2"/>
  <c r="AC13" i="2" s="1"/>
  <c r="Y13" i="2"/>
  <c r="AB13" i="2"/>
  <c r="X14" i="2"/>
  <c r="Z14" i="2" s="1"/>
  <c r="Y14" i="2"/>
  <c r="AB14" i="2"/>
  <c r="X15" i="2"/>
  <c r="Z15" i="2" s="1"/>
  <c r="Y15" i="2"/>
  <c r="AB15" i="2"/>
  <c r="X16" i="2"/>
  <c r="Z16" i="2" s="1"/>
  <c r="Y16" i="2"/>
  <c r="AB16" i="2"/>
  <c r="X18" i="2"/>
  <c r="AC18" i="2" s="1"/>
  <c r="Y18" i="2"/>
  <c r="AB18" i="2"/>
  <c r="X19" i="2"/>
  <c r="AC19" i="2" s="1"/>
  <c r="Y19" i="2"/>
  <c r="AB19" i="2"/>
  <c r="X20" i="2"/>
  <c r="Z20" i="2" s="1"/>
  <c r="Y20" i="2"/>
  <c r="AB20" i="2"/>
  <c r="AC20" i="2"/>
  <c r="X21" i="2"/>
  <c r="AC21" i="2" s="1"/>
  <c r="Y21" i="2"/>
  <c r="AB21" i="2"/>
  <c r="X22" i="2"/>
  <c r="AC22" i="2" s="1"/>
  <c r="Y22" i="2"/>
  <c r="AB22" i="2"/>
  <c r="X23" i="2"/>
  <c r="AC23" i="2" s="1"/>
  <c r="Y23" i="2"/>
  <c r="AB23" i="2"/>
  <c r="X24" i="2"/>
  <c r="AC24" i="2" s="1"/>
  <c r="AG24" i="2" s="1"/>
  <c r="Y24" i="2"/>
  <c r="AB24" i="2"/>
  <c r="X25" i="2"/>
  <c r="Z25" i="2" s="1"/>
  <c r="Y25" i="2"/>
  <c r="AB25" i="2"/>
  <c r="X26" i="2"/>
  <c r="Z26" i="2" s="1"/>
  <c r="Y26" i="2"/>
  <c r="AB26" i="2"/>
  <c r="X27" i="2"/>
  <c r="AC27" i="2" s="1"/>
  <c r="AG27" i="2" s="1"/>
  <c r="Y27" i="2"/>
  <c r="AB27" i="2"/>
  <c r="X28" i="2"/>
  <c r="Z28" i="2" s="1"/>
  <c r="Y28" i="2"/>
  <c r="AB28" i="2"/>
  <c r="X29" i="2"/>
  <c r="AC29" i="2" s="1"/>
  <c r="Y29" i="2"/>
  <c r="AB29" i="2"/>
  <c r="X30" i="2"/>
  <c r="AC30" i="2" s="1"/>
  <c r="Y30" i="2"/>
  <c r="AB30" i="2"/>
  <c r="X31" i="2"/>
  <c r="Z31" i="2" s="1"/>
  <c r="Y31" i="2"/>
  <c r="AB31" i="2"/>
  <c r="X32" i="2"/>
  <c r="AC32" i="2" s="1"/>
  <c r="AG32" i="2" s="1"/>
  <c r="Y32" i="2"/>
  <c r="AB32" i="2"/>
  <c r="X33" i="2"/>
  <c r="Z33" i="2" s="1"/>
  <c r="Y33" i="2"/>
  <c r="AB33" i="2"/>
  <c r="X34" i="2"/>
  <c r="Z34" i="2" s="1"/>
  <c r="Y34" i="2"/>
  <c r="AB34" i="2"/>
  <c r="X35" i="2"/>
  <c r="Z35" i="2" s="1"/>
  <c r="Y35" i="2"/>
  <c r="AB35" i="2"/>
  <c r="X36" i="2"/>
  <c r="Z36" i="2" s="1"/>
  <c r="Y36" i="2"/>
  <c r="AB36" i="2"/>
  <c r="X37" i="2"/>
  <c r="AC37" i="2" s="1"/>
  <c r="Y37" i="2"/>
  <c r="AB37" i="2"/>
  <c r="X38" i="2"/>
  <c r="AC38" i="2" s="1"/>
  <c r="Y38" i="2"/>
  <c r="AB38" i="2"/>
  <c r="X39" i="2"/>
  <c r="AC39" i="2" s="1"/>
  <c r="Y39" i="2"/>
  <c r="Z39" i="2"/>
  <c r="AB39" i="2"/>
  <c r="X40" i="2"/>
  <c r="AC40" i="2" s="1"/>
  <c r="Y40" i="2"/>
  <c r="Z40" i="2"/>
  <c r="AB40" i="2"/>
  <c r="X41" i="2"/>
  <c r="AC41" i="2" s="1"/>
  <c r="AG41" i="2" s="1"/>
  <c r="Y41" i="2"/>
  <c r="AB41" i="2"/>
  <c r="X42" i="2"/>
  <c r="AC42" i="2" s="1"/>
  <c r="Y42" i="2"/>
  <c r="AB42" i="2"/>
  <c r="X43" i="2"/>
  <c r="AC43" i="2" s="1"/>
  <c r="AG43" i="2" s="1"/>
  <c r="Y43" i="2"/>
  <c r="AB43" i="2"/>
  <c r="X44" i="2"/>
  <c r="Z44" i="2" s="1"/>
  <c r="Y44" i="2"/>
  <c r="AB44" i="2"/>
  <c r="AC44" i="2"/>
  <c r="AG44" i="2" s="1"/>
  <c r="X45" i="2"/>
  <c r="Z45" i="2" s="1"/>
  <c r="Y45" i="2"/>
  <c r="AB45" i="2"/>
  <c r="X46" i="2"/>
  <c r="Z46" i="2" s="1"/>
  <c r="Y46" i="2"/>
  <c r="AB46" i="2"/>
  <c r="X47" i="2"/>
  <c r="Y47" i="2"/>
  <c r="AB47" i="2"/>
  <c r="X48" i="2"/>
  <c r="AC48" i="2" s="1"/>
  <c r="Y48" i="2"/>
  <c r="AB48" i="2"/>
  <c r="X49" i="2"/>
  <c r="Z49" i="2" s="1"/>
  <c r="Y49" i="2"/>
  <c r="AB49" i="2"/>
  <c r="X50" i="2"/>
  <c r="Z50" i="2" s="1"/>
  <c r="Y50" i="2"/>
  <c r="AB50" i="2"/>
  <c r="X51" i="2"/>
  <c r="AC51" i="2" s="1"/>
  <c r="AG51" i="2" s="1"/>
  <c r="Y51" i="2"/>
  <c r="AB51" i="2"/>
  <c r="X52" i="2"/>
  <c r="AC52" i="2" s="1"/>
  <c r="Y52" i="2"/>
  <c r="AB52" i="2"/>
  <c r="X53" i="2"/>
  <c r="Z53" i="2" s="1"/>
  <c r="Y53" i="2"/>
  <c r="AB53" i="2"/>
  <c r="X54" i="2"/>
  <c r="Z54" i="2" s="1"/>
  <c r="Y54" i="2"/>
  <c r="AB54" i="2"/>
  <c r="X55" i="2"/>
  <c r="Z55" i="2" s="1"/>
  <c r="Y55" i="2"/>
  <c r="AB55" i="2"/>
  <c r="X56" i="2"/>
  <c r="AC56" i="2" s="1"/>
  <c r="Y56" i="2"/>
  <c r="Z56" i="2"/>
  <c r="AB56" i="2"/>
  <c r="X57" i="2"/>
  <c r="AC57" i="2" s="1"/>
  <c r="Y57" i="2"/>
  <c r="AB57" i="2"/>
  <c r="X58" i="2"/>
  <c r="Z58" i="2" s="1"/>
  <c r="Y58" i="2"/>
  <c r="AB58" i="2"/>
  <c r="X59" i="2"/>
  <c r="Z59" i="2" s="1"/>
  <c r="Y59" i="2"/>
  <c r="AB59" i="2"/>
  <c r="X60" i="2"/>
  <c r="AC60" i="2" s="1"/>
  <c r="AG60" i="2" s="1"/>
  <c r="Y60" i="2"/>
  <c r="AB60" i="2"/>
  <c r="X61" i="2"/>
  <c r="AC61" i="2" s="1"/>
  <c r="AG61" i="2" s="1"/>
  <c r="Y61" i="2"/>
  <c r="Z61" i="2"/>
  <c r="AB61" i="2"/>
  <c r="X62" i="2"/>
  <c r="Z62" i="2" s="1"/>
  <c r="Y62" i="2"/>
  <c r="AB62" i="2"/>
  <c r="X63" i="2"/>
  <c r="Z63" i="2" s="1"/>
  <c r="Y63" i="2"/>
  <c r="AB63" i="2"/>
  <c r="X64" i="2"/>
  <c r="Z64" i="2" s="1"/>
  <c r="Y64" i="2"/>
  <c r="AB64" i="2"/>
  <c r="X65" i="2"/>
  <c r="Z65" i="2" s="1"/>
  <c r="Y65" i="2"/>
  <c r="AB65" i="2"/>
  <c r="X66" i="2"/>
  <c r="Z66" i="2" s="1"/>
  <c r="Y66" i="2"/>
  <c r="AB66" i="2"/>
  <c r="X67" i="2"/>
  <c r="AC67" i="2" s="1"/>
  <c r="Y67" i="2"/>
  <c r="AB67" i="2"/>
  <c r="X68" i="2"/>
  <c r="AC68" i="2" s="1"/>
  <c r="AG68" i="2" s="1"/>
  <c r="Y68" i="2"/>
  <c r="Z68" i="2"/>
  <c r="AB68" i="2"/>
  <c r="X69" i="2"/>
  <c r="AC69" i="2" s="1"/>
  <c r="Y69" i="2"/>
  <c r="Z69" i="2"/>
  <c r="AB69" i="2"/>
  <c r="X70" i="2"/>
  <c r="Z70" i="2" s="1"/>
  <c r="Y70" i="2"/>
  <c r="AB70" i="2"/>
  <c r="X71" i="2"/>
  <c r="AC71" i="2" s="1"/>
  <c r="Y71" i="2"/>
  <c r="AB71" i="2"/>
  <c r="X72" i="2"/>
  <c r="AC72" i="2" s="1"/>
  <c r="Y72" i="2"/>
  <c r="AB72" i="2"/>
  <c r="X73" i="2"/>
  <c r="Z73" i="2" s="1"/>
  <c r="Y73" i="2"/>
  <c r="AB73" i="2"/>
  <c r="X74" i="2"/>
  <c r="AC74" i="2" s="1"/>
  <c r="Y74" i="2"/>
  <c r="AB74" i="2"/>
  <c r="X75" i="2"/>
  <c r="Z75" i="2" s="1"/>
  <c r="Y75" i="2"/>
  <c r="AB75" i="2"/>
  <c r="X76" i="2"/>
  <c r="Z76" i="2" s="1"/>
  <c r="Y76" i="2"/>
  <c r="AB76" i="2"/>
  <c r="X77" i="2"/>
  <c r="AC77" i="2" s="1"/>
  <c r="AG77" i="2" s="1"/>
  <c r="Y77" i="2"/>
  <c r="AB77" i="2"/>
  <c r="X78" i="2"/>
  <c r="Z78" i="2" s="1"/>
  <c r="Y78" i="2"/>
  <c r="AB78" i="2"/>
  <c r="X79" i="2"/>
  <c r="Z79" i="2" s="1"/>
  <c r="Y79" i="2"/>
  <c r="AB79" i="2"/>
  <c r="X80" i="2"/>
  <c r="AC80" i="2" s="1"/>
  <c r="Y80" i="2"/>
  <c r="AB80" i="2"/>
  <c r="X81" i="2"/>
  <c r="Z81" i="2" s="1"/>
  <c r="Y81" i="2"/>
  <c r="AB81" i="2"/>
  <c r="X82" i="2"/>
  <c r="AC82" i="2" s="1"/>
  <c r="Y82" i="2"/>
  <c r="AB82" i="2"/>
  <c r="X83" i="2"/>
  <c r="Z83" i="2" s="1"/>
  <c r="Y83" i="2"/>
  <c r="AB83" i="2"/>
  <c r="X84" i="2"/>
  <c r="Z84" i="2" s="1"/>
  <c r="Y84" i="2"/>
  <c r="AB84" i="2"/>
  <c r="X85" i="2"/>
  <c r="Z85" i="2" s="1"/>
  <c r="Y85" i="2"/>
  <c r="AB85" i="2"/>
  <c r="X86" i="2"/>
  <c r="Z86" i="2" s="1"/>
  <c r="Y86" i="2"/>
  <c r="AB86" i="2"/>
  <c r="AB3" i="2"/>
  <c r="Y3" i="2"/>
  <c r="X3" i="2"/>
  <c r="Y2" i="5"/>
  <c r="W15" i="5"/>
  <c r="T15" i="5"/>
  <c r="S15" i="5"/>
  <c r="Q15" i="5"/>
  <c r="R15" i="5" s="1"/>
  <c r="W18" i="5"/>
  <c r="T18" i="5"/>
  <c r="S18" i="5"/>
  <c r="Q18" i="5"/>
  <c r="R18" i="5" s="1"/>
  <c r="E9" i="5"/>
  <c r="C9" i="5"/>
  <c r="F9" i="5"/>
  <c r="G9" i="5"/>
  <c r="H9" i="5"/>
  <c r="I9" i="5"/>
  <c r="K9" i="5"/>
  <c r="L9" i="5"/>
  <c r="M9" i="5"/>
  <c r="O9" i="5"/>
  <c r="P9" i="5"/>
  <c r="B9" i="5"/>
  <c r="C8" i="5"/>
  <c r="F8" i="5"/>
  <c r="G8" i="5"/>
  <c r="H8" i="5"/>
  <c r="I8" i="5"/>
  <c r="K8" i="5"/>
  <c r="M8" i="5"/>
  <c r="O8" i="5"/>
  <c r="P8" i="5"/>
  <c r="B8" i="5"/>
  <c r="C17" i="5"/>
  <c r="E17" i="5"/>
  <c r="F17" i="5"/>
  <c r="G17" i="5"/>
  <c r="H17" i="5"/>
  <c r="I17" i="5"/>
  <c r="J17" i="5"/>
  <c r="M17" i="5"/>
  <c r="N17" i="5"/>
  <c r="O17" i="5"/>
  <c r="P17" i="5"/>
  <c r="B17" i="5"/>
  <c r="C7" i="5"/>
  <c r="F7" i="5"/>
  <c r="G7" i="5"/>
  <c r="H7" i="5"/>
  <c r="I7" i="5"/>
  <c r="J7" i="5"/>
  <c r="K7" i="5"/>
  <c r="L7" i="5"/>
  <c r="M7" i="5"/>
  <c r="N7" i="5"/>
  <c r="O7" i="5"/>
  <c r="P7" i="5"/>
  <c r="B7" i="5"/>
  <c r="C16" i="5"/>
  <c r="F16" i="5"/>
  <c r="G16" i="5"/>
  <c r="H16" i="5"/>
  <c r="I16" i="5"/>
  <c r="J16" i="5"/>
  <c r="K16" i="5"/>
  <c r="L16" i="5"/>
  <c r="M16" i="5"/>
  <c r="N16" i="5"/>
  <c r="O16" i="5"/>
  <c r="P16" i="5"/>
  <c r="B16" i="5"/>
  <c r="W6" i="5"/>
  <c r="T6" i="5"/>
  <c r="S6" i="5"/>
  <c r="Q6" i="5"/>
  <c r="R6" i="5" s="1"/>
  <c r="W5" i="5"/>
  <c r="T5" i="5"/>
  <c r="S5" i="5"/>
  <c r="Q5" i="5"/>
  <c r="R5" i="5" s="1"/>
  <c r="C4" i="5"/>
  <c r="F4" i="5"/>
  <c r="G4" i="5"/>
  <c r="H4" i="5"/>
  <c r="I4" i="5"/>
  <c r="J4" i="5"/>
  <c r="L4" i="5"/>
  <c r="M4" i="5"/>
  <c r="N4" i="5"/>
  <c r="O4" i="5"/>
  <c r="P4" i="5"/>
  <c r="B4" i="5"/>
  <c r="W3" i="5"/>
  <c r="T3" i="5"/>
  <c r="S3" i="5"/>
  <c r="Q3" i="5"/>
  <c r="R3" i="5" s="1"/>
  <c r="C14" i="5"/>
  <c r="F14" i="5"/>
  <c r="G14" i="5"/>
  <c r="H14" i="5"/>
  <c r="I14" i="5"/>
  <c r="J14" i="5"/>
  <c r="K14" i="5"/>
  <c r="L14" i="5"/>
  <c r="M14" i="5"/>
  <c r="N14" i="5"/>
  <c r="O14" i="5"/>
  <c r="P14" i="5"/>
  <c r="B14" i="5"/>
  <c r="W13" i="5"/>
  <c r="T13" i="5"/>
  <c r="S13" i="5"/>
  <c r="Q13" i="5"/>
  <c r="R13" i="5" s="1"/>
  <c r="W2" i="5"/>
  <c r="T2" i="5"/>
  <c r="S2" i="5"/>
  <c r="Q2" i="5"/>
  <c r="R2" i="5" s="1"/>
  <c r="W12" i="5"/>
  <c r="T12" i="5"/>
  <c r="S12" i="5"/>
  <c r="Q12" i="5"/>
  <c r="R12" i="5" s="1"/>
  <c r="W11" i="5"/>
  <c r="T11" i="5"/>
  <c r="S11" i="5"/>
  <c r="Q11" i="5"/>
  <c r="R11" i="5" s="1"/>
  <c r="C10" i="5"/>
  <c r="E10" i="5"/>
  <c r="F10" i="5"/>
  <c r="G10" i="5"/>
  <c r="H10" i="5"/>
  <c r="I10" i="5"/>
  <c r="J10" i="5"/>
  <c r="K10" i="5"/>
  <c r="L10" i="5"/>
  <c r="M10" i="5"/>
  <c r="N10" i="5"/>
  <c r="O10" i="5"/>
  <c r="P10" i="5"/>
  <c r="B10" i="5"/>
  <c r="J75" i="2"/>
  <c r="K75" i="2" s="1"/>
  <c r="L75" i="2" s="1"/>
  <c r="V75" i="2" s="1"/>
  <c r="W75" i="2" s="1"/>
  <c r="J76" i="2"/>
  <c r="K76" i="2" s="1"/>
  <c r="L76" i="2" s="1"/>
  <c r="V76" i="2" s="1"/>
  <c r="W76" i="2" s="1"/>
  <c r="J77" i="2"/>
  <c r="K77" i="2" s="1"/>
  <c r="L77" i="2" s="1"/>
  <c r="V77" i="2" s="1"/>
  <c r="W77" i="2" s="1"/>
  <c r="J78" i="2"/>
  <c r="K78" i="2" s="1"/>
  <c r="L78" i="2" s="1"/>
  <c r="V78" i="2" s="1"/>
  <c r="W78" i="2" s="1"/>
  <c r="J79" i="2"/>
  <c r="K79" i="2" s="1"/>
  <c r="L79" i="2" s="1"/>
  <c r="V79" i="2" s="1"/>
  <c r="W79" i="2" s="1"/>
  <c r="J80" i="2"/>
  <c r="K80" i="2" s="1"/>
  <c r="L80" i="2" s="1"/>
  <c r="V80" i="2" s="1"/>
  <c r="W80" i="2" s="1"/>
  <c r="J81" i="2"/>
  <c r="K81" i="2" s="1"/>
  <c r="L81" i="2" s="1"/>
  <c r="V81" i="2" s="1"/>
  <c r="W81" i="2" s="1"/>
  <c r="J82" i="2"/>
  <c r="K82" i="2" s="1"/>
  <c r="L82" i="2" s="1"/>
  <c r="V82" i="2" s="1"/>
  <c r="W82" i="2" s="1"/>
  <c r="J83" i="2"/>
  <c r="K83" i="2" s="1"/>
  <c r="L83" i="2" s="1"/>
  <c r="V83" i="2" s="1"/>
  <c r="W83" i="2" s="1"/>
  <c r="J84" i="2"/>
  <c r="K84" i="2" s="1"/>
  <c r="L84" i="2" s="1"/>
  <c r="V84" i="2" s="1"/>
  <c r="W84" i="2" s="1"/>
  <c r="J85" i="2"/>
  <c r="K85" i="2" s="1"/>
  <c r="L85" i="2" s="1"/>
  <c r="V85" i="2" s="1"/>
  <c r="W85" i="2" s="1"/>
  <c r="J86" i="2"/>
  <c r="K86" i="2" s="1"/>
  <c r="L86" i="2" s="1"/>
  <c r="V86" i="2" s="1"/>
  <c r="W86" i="2" s="1"/>
  <c r="J74" i="2"/>
  <c r="K74" i="2" s="1"/>
  <c r="L74" i="2" s="1"/>
  <c r="V74" i="2" s="1"/>
  <c r="W74" i="2" s="1"/>
  <c r="J59" i="2"/>
  <c r="K59" i="2" s="1"/>
  <c r="L59" i="2" s="1"/>
  <c r="V59" i="2" s="1"/>
  <c r="W59" i="2" s="1"/>
  <c r="J60" i="2"/>
  <c r="K60" i="2" s="1"/>
  <c r="L60" i="2" s="1"/>
  <c r="V60" i="2" s="1"/>
  <c r="W60" i="2" s="1"/>
  <c r="J61" i="2"/>
  <c r="K61" i="2" s="1"/>
  <c r="L61" i="2" s="1"/>
  <c r="V61" i="2" s="1"/>
  <c r="W61" i="2" s="1"/>
  <c r="J62" i="2"/>
  <c r="K62" i="2" s="1"/>
  <c r="L62" i="2" s="1"/>
  <c r="V62" i="2" s="1"/>
  <c r="W62" i="2" s="1"/>
  <c r="J63" i="2"/>
  <c r="K63" i="2" s="1"/>
  <c r="L63" i="2" s="1"/>
  <c r="V63" i="2" s="1"/>
  <c r="W63" i="2" s="1"/>
  <c r="J64" i="2"/>
  <c r="K64" i="2" s="1"/>
  <c r="L64" i="2" s="1"/>
  <c r="V64" i="2" s="1"/>
  <c r="W64" i="2" s="1"/>
  <c r="J65" i="2"/>
  <c r="K65" i="2" s="1"/>
  <c r="L65" i="2" s="1"/>
  <c r="V65" i="2" s="1"/>
  <c r="W65" i="2" s="1"/>
  <c r="J66" i="2"/>
  <c r="K66" i="2" s="1"/>
  <c r="L66" i="2" s="1"/>
  <c r="V66" i="2" s="1"/>
  <c r="W66" i="2" s="1"/>
  <c r="J67" i="2"/>
  <c r="K67" i="2" s="1"/>
  <c r="L67" i="2" s="1"/>
  <c r="V67" i="2" s="1"/>
  <c r="W67" i="2" s="1"/>
  <c r="J68" i="2"/>
  <c r="K68" i="2" s="1"/>
  <c r="L68" i="2" s="1"/>
  <c r="V68" i="2" s="1"/>
  <c r="W68" i="2" s="1"/>
  <c r="J69" i="2"/>
  <c r="K69" i="2" s="1"/>
  <c r="L69" i="2" s="1"/>
  <c r="V69" i="2" s="1"/>
  <c r="W69" i="2" s="1"/>
  <c r="J70" i="2"/>
  <c r="K70" i="2" s="1"/>
  <c r="L70" i="2" s="1"/>
  <c r="V70" i="2" s="1"/>
  <c r="W70" i="2" s="1"/>
  <c r="J71" i="2"/>
  <c r="K71" i="2" s="1"/>
  <c r="L71" i="2" s="1"/>
  <c r="V71" i="2" s="1"/>
  <c r="W71" i="2" s="1"/>
  <c r="J72" i="2"/>
  <c r="K72" i="2"/>
  <c r="L72" i="2" s="1"/>
  <c r="V72" i="2" s="1"/>
  <c r="W72" i="2" s="1"/>
  <c r="J73" i="2"/>
  <c r="K73" i="2" s="1"/>
  <c r="L73" i="2" s="1"/>
  <c r="V73" i="2" s="1"/>
  <c r="W73" i="2" s="1"/>
  <c r="J32" i="2"/>
  <c r="K32" i="2" s="1"/>
  <c r="L32" i="2" s="1"/>
  <c r="V32" i="2" s="1"/>
  <c r="W32" i="2" s="1"/>
  <c r="J33" i="2"/>
  <c r="K33" i="2" s="1"/>
  <c r="L33" i="2" s="1"/>
  <c r="V33" i="2" s="1"/>
  <c r="W33" i="2" s="1"/>
  <c r="J34" i="2"/>
  <c r="K34" i="2" s="1"/>
  <c r="L34" i="2" s="1"/>
  <c r="V34" i="2" s="1"/>
  <c r="W34" i="2" s="1"/>
  <c r="J35" i="2"/>
  <c r="K35" i="2" s="1"/>
  <c r="L35" i="2" s="1"/>
  <c r="V35" i="2" s="1"/>
  <c r="W35" i="2" s="1"/>
  <c r="J36" i="2"/>
  <c r="K36" i="2"/>
  <c r="L36" i="2" s="1"/>
  <c r="V36" i="2" s="1"/>
  <c r="W36" i="2" s="1"/>
  <c r="J37" i="2"/>
  <c r="K37" i="2" s="1"/>
  <c r="L37" i="2" s="1"/>
  <c r="V37" i="2" s="1"/>
  <c r="W37" i="2" s="1"/>
  <c r="J38" i="2"/>
  <c r="K38" i="2" s="1"/>
  <c r="L38" i="2" s="1"/>
  <c r="V38" i="2" s="1"/>
  <c r="W38" i="2" s="1"/>
  <c r="J39" i="2"/>
  <c r="K39" i="2" s="1"/>
  <c r="L39" i="2" s="1"/>
  <c r="V39" i="2" s="1"/>
  <c r="W39" i="2" s="1"/>
  <c r="J40" i="2"/>
  <c r="K40" i="2" s="1"/>
  <c r="L40" i="2" s="1"/>
  <c r="V40" i="2" s="1"/>
  <c r="W40" i="2" s="1"/>
  <c r="J41" i="2"/>
  <c r="K41" i="2" s="1"/>
  <c r="L41" i="2" s="1"/>
  <c r="V41" i="2" s="1"/>
  <c r="W41" i="2" s="1"/>
  <c r="J42" i="2"/>
  <c r="K42" i="2" s="1"/>
  <c r="L42" i="2" s="1"/>
  <c r="V42" i="2" s="1"/>
  <c r="W42" i="2" s="1"/>
  <c r="J43" i="2"/>
  <c r="K43" i="2" s="1"/>
  <c r="L43" i="2" s="1"/>
  <c r="V43" i="2" s="1"/>
  <c r="W43" i="2" s="1"/>
  <c r="J44" i="2"/>
  <c r="K44" i="2" s="1"/>
  <c r="L44" i="2" s="1"/>
  <c r="V44" i="2" s="1"/>
  <c r="W44" i="2" s="1"/>
  <c r="J45" i="2"/>
  <c r="K45" i="2" s="1"/>
  <c r="L45" i="2" s="1"/>
  <c r="V45" i="2" s="1"/>
  <c r="W45" i="2" s="1"/>
  <c r="J46" i="2"/>
  <c r="K46" i="2" s="1"/>
  <c r="L46" i="2" s="1"/>
  <c r="V46" i="2" s="1"/>
  <c r="W46" i="2" s="1"/>
  <c r="J47" i="2"/>
  <c r="K47" i="2" s="1"/>
  <c r="L47" i="2" s="1"/>
  <c r="V47" i="2" s="1"/>
  <c r="W47" i="2" s="1"/>
  <c r="J48" i="2"/>
  <c r="K48" i="2" s="1"/>
  <c r="L48" i="2" s="1"/>
  <c r="V48" i="2" s="1"/>
  <c r="W48" i="2" s="1"/>
  <c r="J49" i="2"/>
  <c r="K49" i="2" s="1"/>
  <c r="L49" i="2" s="1"/>
  <c r="V49" i="2" s="1"/>
  <c r="W49" i="2" s="1"/>
  <c r="J50" i="2"/>
  <c r="K50" i="2" s="1"/>
  <c r="L50" i="2" s="1"/>
  <c r="V50" i="2" s="1"/>
  <c r="W50" i="2" s="1"/>
  <c r="J51" i="2"/>
  <c r="K51" i="2" s="1"/>
  <c r="L51" i="2" s="1"/>
  <c r="V51" i="2" s="1"/>
  <c r="W51" i="2" s="1"/>
  <c r="J52" i="2"/>
  <c r="K52" i="2" s="1"/>
  <c r="L52" i="2" s="1"/>
  <c r="V52" i="2" s="1"/>
  <c r="W52" i="2" s="1"/>
  <c r="J53" i="2"/>
  <c r="K53" i="2" s="1"/>
  <c r="L53" i="2" s="1"/>
  <c r="V53" i="2" s="1"/>
  <c r="W53" i="2" s="1"/>
  <c r="J54" i="2"/>
  <c r="K54" i="2" s="1"/>
  <c r="L54" i="2" s="1"/>
  <c r="V54" i="2" s="1"/>
  <c r="W54" i="2" s="1"/>
  <c r="J55" i="2"/>
  <c r="K55" i="2" s="1"/>
  <c r="L55" i="2" s="1"/>
  <c r="V55" i="2" s="1"/>
  <c r="W55" i="2" s="1"/>
  <c r="J56" i="2"/>
  <c r="K56" i="2" s="1"/>
  <c r="L56" i="2" s="1"/>
  <c r="V56" i="2" s="1"/>
  <c r="W56" i="2" s="1"/>
  <c r="J57" i="2"/>
  <c r="K57" i="2" s="1"/>
  <c r="L57" i="2" s="1"/>
  <c r="V57" i="2" s="1"/>
  <c r="W57" i="2" s="1"/>
  <c r="J58" i="2"/>
  <c r="K58" i="2" s="1"/>
  <c r="L58" i="2" s="1"/>
  <c r="V58" i="2" s="1"/>
  <c r="W58" i="2" s="1"/>
  <c r="J31" i="2"/>
  <c r="K31" i="2" s="1"/>
  <c r="L31" i="2" s="1"/>
  <c r="V31" i="2" s="1"/>
  <c r="W31" i="2" s="1"/>
  <c r="J19" i="2"/>
  <c r="K19" i="2" s="1"/>
  <c r="L19" i="2" s="1"/>
  <c r="V19" i="2" s="1"/>
  <c r="W19" i="2" s="1"/>
  <c r="J20" i="2"/>
  <c r="K20" i="2" s="1"/>
  <c r="L20" i="2" s="1"/>
  <c r="V20" i="2" s="1"/>
  <c r="W20" i="2" s="1"/>
  <c r="J21" i="2"/>
  <c r="K21" i="2" s="1"/>
  <c r="L21" i="2" s="1"/>
  <c r="V21" i="2" s="1"/>
  <c r="W21" i="2" s="1"/>
  <c r="J22" i="2"/>
  <c r="K22" i="2" s="1"/>
  <c r="L22" i="2" s="1"/>
  <c r="V22" i="2" s="1"/>
  <c r="W22" i="2" s="1"/>
  <c r="J23" i="2"/>
  <c r="K23" i="2" s="1"/>
  <c r="L23" i="2" s="1"/>
  <c r="V23" i="2" s="1"/>
  <c r="W23" i="2" s="1"/>
  <c r="J24" i="2"/>
  <c r="K24" i="2" s="1"/>
  <c r="L24" i="2" s="1"/>
  <c r="V24" i="2" s="1"/>
  <c r="W24" i="2" s="1"/>
  <c r="J25" i="2"/>
  <c r="K25" i="2" s="1"/>
  <c r="L25" i="2" s="1"/>
  <c r="V25" i="2" s="1"/>
  <c r="W25" i="2" s="1"/>
  <c r="J26" i="2"/>
  <c r="K26" i="2" s="1"/>
  <c r="L26" i="2" s="1"/>
  <c r="V26" i="2" s="1"/>
  <c r="W26" i="2" s="1"/>
  <c r="J27" i="2"/>
  <c r="K27" i="2" s="1"/>
  <c r="L27" i="2" s="1"/>
  <c r="V27" i="2" s="1"/>
  <c r="W27" i="2" s="1"/>
  <c r="J28" i="2"/>
  <c r="K28" i="2" s="1"/>
  <c r="L28" i="2" s="1"/>
  <c r="V28" i="2" s="1"/>
  <c r="W28" i="2" s="1"/>
  <c r="J29" i="2"/>
  <c r="K29" i="2" s="1"/>
  <c r="L29" i="2" s="1"/>
  <c r="V29" i="2" s="1"/>
  <c r="W29" i="2" s="1"/>
  <c r="J30" i="2"/>
  <c r="K30" i="2" s="1"/>
  <c r="L30" i="2" s="1"/>
  <c r="V30" i="2" s="1"/>
  <c r="W30" i="2" s="1"/>
  <c r="J18" i="2"/>
  <c r="K18" i="2" s="1"/>
  <c r="L18" i="2" s="1"/>
  <c r="V18" i="2" s="1"/>
  <c r="W18" i="2" s="1"/>
  <c r="J12" i="2"/>
  <c r="K12" i="2" s="1"/>
  <c r="L12" i="2" s="1"/>
  <c r="V12" i="2" s="1"/>
  <c r="W12" i="2" s="1"/>
  <c r="J13" i="2"/>
  <c r="K13" i="2" s="1"/>
  <c r="L13" i="2" s="1"/>
  <c r="V13" i="2" s="1"/>
  <c r="W13" i="2" s="1"/>
  <c r="J14" i="2"/>
  <c r="K14" i="2" s="1"/>
  <c r="L14" i="2" s="1"/>
  <c r="V14" i="2" s="1"/>
  <c r="W14" i="2" s="1"/>
  <c r="J15" i="2"/>
  <c r="K15" i="2" s="1"/>
  <c r="L15" i="2" s="1"/>
  <c r="V15" i="2" s="1"/>
  <c r="W15" i="2" s="1"/>
  <c r="J16" i="2"/>
  <c r="K16" i="2" s="1"/>
  <c r="L16" i="2" s="1"/>
  <c r="V16" i="2" s="1"/>
  <c r="W16" i="2" s="1"/>
  <c r="W84" i="1"/>
  <c r="AA84" i="1" s="1" a="1"/>
  <c r="AA84" i="1" s="1"/>
  <c r="AB84" i="1" s="1"/>
  <c r="T84" i="1"/>
  <c r="T63" i="1"/>
  <c r="Q84" i="1"/>
  <c r="R84" i="1" s="1"/>
  <c r="S84" i="1"/>
  <c r="X84" i="1" s="1"/>
  <c r="X32" i="1"/>
  <c r="AA32" i="1" s="1" a="1"/>
  <c r="AA32" i="1" s="1"/>
  <c r="AB32" i="1" s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AA29" i="1" s="1" a="1"/>
  <c r="AA29" i="1" s="1"/>
  <c r="AB29" i="1" s="1"/>
  <c r="W30" i="1"/>
  <c r="AA30" i="1" s="1" a="1"/>
  <c r="AA30" i="1" s="1"/>
  <c r="AB30" i="1" s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AA14" i="1" s="1" a="1"/>
  <c r="AA14" i="1" s="1"/>
  <c r="AB14" i="1" s="1"/>
  <c r="Q15" i="1"/>
  <c r="R15" i="1" s="1"/>
  <c r="AA15" i="1" s="1" a="1"/>
  <c r="AA15" i="1" s="1"/>
  <c r="AB15" i="1" s="1"/>
  <c r="Q16" i="1"/>
  <c r="R16" i="1" s="1"/>
  <c r="AA16" i="1" s="1" a="1"/>
  <c r="AA16" i="1" s="1"/>
  <c r="AB16" i="1" s="1"/>
  <c r="Q17" i="1"/>
  <c r="R17" i="1" s="1"/>
  <c r="AA17" i="1" s="1" a="1"/>
  <c r="AA17" i="1" s="1"/>
  <c r="AB17" i="1" s="1"/>
  <c r="Q18" i="1"/>
  <c r="R18" i="1" s="1"/>
  <c r="AA18" i="1" s="1" a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AA34" i="1" s="1" a="1"/>
  <c r="AA34" i="1" s="1"/>
  <c r="AB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AA50" i="1" s="1" a="1"/>
  <c r="AA50" i="1" s="1"/>
  <c r="AB50" i="1" s="1"/>
  <c r="Q51" i="1"/>
  <c r="R51" i="1" s="1"/>
  <c r="AA51" i="1" s="1" a="1"/>
  <c r="AA51" i="1" s="1"/>
  <c r="AB51" i="1" s="1"/>
  <c r="Q52" i="1"/>
  <c r="R52" i="1" s="1"/>
  <c r="AA52" i="1" s="1" a="1"/>
  <c r="AA52" i="1" s="1"/>
  <c r="AB52" i="1" s="1"/>
  <c r="Q53" i="1"/>
  <c r="R53" i="1" s="1"/>
  <c r="AA53" i="1" s="1" a="1"/>
  <c r="AA53" i="1" s="1"/>
  <c r="AB53" i="1" s="1"/>
  <c r="Q54" i="1"/>
  <c r="R54" i="1" s="1"/>
  <c r="AA54" i="1" s="1" a="1"/>
  <c r="AA54" i="1" s="1"/>
  <c r="AB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S4" i="1"/>
  <c r="X4" i="1" s="1"/>
  <c r="S5" i="1"/>
  <c r="X5" i="1" s="1"/>
  <c r="S6" i="1"/>
  <c r="X6" i="1" s="1"/>
  <c r="S7" i="1"/>
  <c r="X7" i="1" s="1"/>
  <c r="S8" i="1"/>
  <c r="X8" i="1" s="1"/>
  <c r="S9" i="1"/>
  <c r="X9" i="1" s="1"/>
  <c r="AA9" i="1" s="1" a="1"/>
  <c r="AA9" i="1" s="1"/>
  <c r="S10" i="1"/>
  <c r="X10" i="1" s="1"/>
  <c r="AA10" i="1" s="1" a="1"/>
  <c r="AA10" i="1" s="1"/>
  <c r="S11" i="1"/>
  <c r="X11" i="1" s="1"/>
  <c r="AA11" i="1" s="1" a="1"/>
  <c r="AA11" i="1" s="1"/>
  <c r="AB11" i="1" s="1"/>
  <c r="S12" i="1"/>
  <c r="X12" i="1" s="1"/>
  <c r="S13" i="1"/>
  <c r="X13" i="1" s="1"/>
  <c r="S14" i="1"/>
  <c r="X14" i="1" s="1"/>
  <c r="S15" i="1"/>
  <c r="X15" i="1" s="1"/>
  <c r="S16" i="1"/>
  <c r="X16" i="1" s="1"/>
  <c r="S17" i="1"/>
  <c r="X17" i="1" s="1"/>
  <c r="S18" i="1"/>
  <c r="X18" i="1" s="1"/>
  <c r="S19" i="1"/>
  <c r="X19" i="1" s="1"/>
  <c r="S20" i="1"/>
  <c r="X20" i="1" s="1"/>
  <c r="AA20" i="1" s="1" a="1"/>
  <c r="AA20" i="1" s="1"/>
  <c r="S21" i="1"/>
  <c r="X21" i="1" s="1"/>
  <c r="AA21" i="1" s="1" a="1"/>
  <c r="AA21" i="1" s="1"/>
  <c r="S22" i="1"/>
  <c r="X22" i="1" s="1"/>
  <c r="AA22" i="1" s="1" a="1"/>
  <c r="AA22" i="1" s="1"/>
  <c r="S23" i="1"/>
  <c r="X23" i="1" s="1"/>
  <c r="AA23" i="1" s="1" a="1"/>
  <c r="AA23" i="1" s="1"/>
  <c r="S24" i="1"/>
  <c r="X24" i="1" s="1"/>
  <c r="AA24" i="1" s="1" a="1"/>
  <c r="AA24" i="1" s="1"/>
  <c r="S25" i="1"/>
  <c r="X25" i="1" s="1"/>
  <c r="AA25" i="1" s="1" a="1"/>
  <c r="AA25" i="1" s="1"/>
  <c r="S26" i="1"/>
  <c r="X26" i="1" s="1"/>
  <c r="AA26" i="1" s="1" a="1"/>
  <c r="AA26" i="1" s="1"/>
  <c r="S27" i="1"/>
  <c r="X27" i="1" s="1"/>
  <c r="AA27" i="1" s="1" a="1"/>
  <c r="AA27" i="1" s="1"/>
  <c r="S28" i="1"/>
  <c r="X28" i="1" s="1"/>
  <c r="AA28" i="1" s="1" a="1"/>
  <c r="AA28" i="1" s="1"/>
  <c r="S29" i="1"/>
  <c r="X29" i="1" s="1"/>
  <c r="S30" i="1"/>
  <c r="X30" i="1" s="1"/>
  <c r="S31" i="1"/>
  <c r="X31" i="1" s="1"/>
  <c r="S32" i="1"/>
  <c r="S33" i="1"/>
  <c r="X33" i="1" s="1"/>
  <c r="AA33" i="1" s="1" a="1"/>
  <c r="AA33" i="1" s="1"/>
  <c r="AB33" i="1" s="1"/>
  <c r="S34" i="1"/>
  <c r="X34" i="1" s="1"/>
  <c r="S35" i="1"/>
  <c r="X35" i="1" s="1"/>
  <c r="S36" i="1"/>
  <c r="X36" i="1" s="1"/>
  <c r="S37" i="1"/>
  <c r="X37" i="1" s="1"/>
  <c r="S38" i="1"/>
  <c r="X38" i="1" s="1"/>
  <c r="S39" i="1"/>
  <c r="X39" i="1" s="1"/>
  <c r="S40" i="1"/>
  <c r="X40" i="1" s="1"/>
  <c r="S41" i="1"/>
  <c r="X41" i="1" s="1"/>
  <c r="S42" i="1"/>
  <c r="X42" i="1" s="1"/>
  <c r="S43" i="1"/>
  <c r="X43" i="1" s="1"/>
  <c r="AA43" i="1" s="1" a="1"/>
  <c r="AA43" i="1" s="1"/>
  <c r="S44" i="1"/>
  <c r="X44" i="1" s="1"/>
  <c r="AA44" i="1" s="1" a="1"/>
  <c r="AA44" i="1" s="1"/>
  <c r="S45" i="1"/>
  <c r="X45" i="1" s="1"/>
  <c r="AA45" i="1" s="1" a="1"/>
  <c r="AA45" i="1" s="1"/>
  <c r="S46" i="1"/>
  <c r="X46" i="1" s="1"/>
  <c r="AA46" i="1" s="1" a="1"/>
  <c r="AA46" i="1" s="1"/>
  <c r="S47" i="1"/>
  <c r="X47" i="1" s="1"/>
  <c r="AA47" i="1" s="1" a="1"/>
  <c r="AA47" i="1" s="1"/>
  <c r="AB47" i="1" s="1"/>
  <c r="S48" i="1"/>
  <c r="X48" i="1" s="1"/>
  <c r="S49" i="1"/>
  <c r="X49" i="1" s="1"/>
  <c r="S50" i="1"/>
  <c r="X50" i="1" s="1"/>
  <c r="S51" i="1"/>
  <c r="X51" i="1" s="1"/>
  <c r="S52" i="1"/>
  <c r="X52" i="1" s="1"/>
  <c r="S53" i="1"/>
  <c r="X53" i="1" s="1"/>
  <c r="S54" i="1"/>
  <c r="X54" i="1" s="1"/>
  <c r="S55" i="1"/>
  <c r="X55" i="1" s="1"/>
  <c r="AA55" i="1" s="1" a="1"/>
  <c r="AA55" i="1" s="1"/>
  <c r="S56" i="1"/>
  <c r="X56" i="1" s="1"/>
  <c r="AA56" i="1" s="1" a="1"/>
  <c r="AA56" i="1" s="1"/>
  <c r="S57" i="1"/>
  <c r="X57" i="1" s="1"/>
  <c r="AA57" i="1" s="1" a="1"/>
  <c r="AA57" i="1" s="1"/>
  <c r="S58" i="1"/>
  <c r="X58" i="1" s="1"/>
  <c r="AA58" i="1" s="1" a="1"/>
  <c r="AA58" i="1" s="1"/>
  <c r="S59" i="1"/>
  <c r="X59" i="1" s="1"/>
  <c r="AA59" i="1" s="1" a="1"/>
  <c r="AA59" i="1" s="1"/>
  <c r="S60" i="1"/>
  <c r="X60" i="1" s="1"/>
  <c r="AA60" i="1" s="1" a="1"/>
  <c r="AA60" i="1" s="1"/>
  <c r="S61" i="1"/>
  <c r="X61" i="1" s="1"/>
  <c r="AA61" i="1" s="1" a="1"/>
  <c r="AA61" i="1" s="1"/>
  <c r="S62" i="1"/>
  <c r="X62" i="1" s="1"/>
  <c r="AA62" i="1" s="1" a="1"/>
  <c r="AA62" i="1" s="1"/>
  <c r="S63" i="1"/>
  <c r="X63" i="1" s="1"/>
  <c r="AA63" i="1" s="1" a="1"/>
  <c r="AA63" i="1" s="1"/>
  <c r="S64" i="1"/>
  <c r="X64" i="1" s="1"/>
  <c r="AA64" i="1" s="1" a="1"/>
  <c r="AA64" i="1" s="1"/>
  <c r="S65" i="1"/>
  <c r="X65" i="1" s="1"/>
  <c r="S66" i="1"/>
  <c r="X66" i="1" s="1"/>
  <c r="S67" i="1"/>
  <c r="X67" i="1" s="1"/>
  <c r="S68" i="1"/>
  <c r="X68" i="1" s="1"/>
  <c r="AA68" i="1" s="1" a="1"/>
  <c r="AA68" i="1" s="1"/>
  <c r="AB68" i="1" s="1"/>
  <c r="S69" i="1"/>
  <c r="X69" i="1" s="1"/>
  <c r="AA69" i="1" s="1" a="1"/>
  <c r="AA69" i="1" s="1"/>
  <c r="AB69" i="1" s="1"/>
  <c r="S70" i="1"/>
  <c r="X70" i="1" s="1"/>
  <c r="S71" i="1"/>
  <c r="X71" i="1" s="1"/>
  <c r="S72" i="1"/>
  <c r="X72" i="1" s="1"/>
  <c r="AA72" i="1" s="1" a="1"/>
  <c r="AA72" i="1" s="1"/>
  <c r="AB72" i="1" s="1"/>
  <c r="S73" i="1"/>
  <c r="X73" i="1" s="1"/>
  <c r="S74" i="1"/>
  <c r="X74" i="1" s="1"/>
  <c r="S75" i="1"/>
  <c r="X75" i="1" s="1"/>
  <c r="S76" i="1"/>
  <c r="X76" i="1" s="1"/>
  <c r="S77" i="1"/>
  <c r="X77" i="1" s="1"/>
  <c r="S78" i="1"/>
  <c r="S79" i="1"/>
  <c r="X79" i="1" s="1"/>
  <c r="AA79" i="1" s="1" a="1"/>
  <c r="AA79" i="1" s="1"/>
  <c r="S80" i="1"/>
  <c r="X80" i="1" s="1"/>
  <c r="AA80" i="1" s="1" a="1"/>
  <c r="AA80" i="1" s="1"/>
  <c r="S81" i="1"/>
  <c r="X81" i="1" s="1"/>
  <c r="AA81" i="1" s="1" a="1"/>
  <c r="AA81" i="1" s="1"/>
  <c r="S82" i="1"/>
  <c r="X82" i="1" s="1"/>
  <c r="AA82" i="1" s="1" a="1"/>
  <c r="AA82" i="1" s="1"/>
  <c r="S83" i="1"/>
  <c r="X83" i="1" s="1"/>
  <c r="AA83" i="1" s="1" a="1"/>
  <c r="AA83" i="1" s="1"/>
  <c r="AB83" i="1" s="1"/>
  <c r="J6" i="2"/>
  <c r="K6" i="2" s="1"/>
  <c r="L6" i="2" s="1"/>
  <c r="V6" i="2" s="1"/>
  <c r="W6" i="2" s="1"/>
  <c r="J7" i="2"/>
  <c r="K7" i="2" s="1"/>
  <c r="L7" i="2" s="1"/>
  <c r="V7" i="2" s="1"/>
  <c r="W7" i="2" s="1"/>
  <c r="J8" i="2"/>
  <c r="K8" i="2" s="1"/>
  <c r="L8" i="2" s="1"/>
  <c r="V8" i="2" s="1"/>
  <c r="W8" i="2" s="1"/>
  <c r="J9" i="2"/>
  <c r="K9" i="2" s="1"/>
  <c r="L9" i="2" s="1"/>
  <c r="V9" i="2" s="1"/>
  <c r="W9" i="2" s="1"/>
  <c r="J10" i="2"/>
  <c r="K10" i="2" s="1"/>
  <c r="L10" i="2" s="1"/>
  <c r="V10" i="2" s="1"/>
  <c r="W10" i="2" s="1"/>
  <c r="J11" i="2"/>
  <c r="K11" i="2" s="1"/>
  <c r="L11" i="2" s="1"/>
  <c r="V11" i="2" s="1"/>
  <c r="W11" i="2" s="1"/>
  <c r="J4" i="2"/>
  <c r="K4" i="2" s="1"/>
  <c r="L4" i="2" s="1"/>
  <c r="V4" i="2" s="1"/>
  <c r="W4" i="2" s="1"/>
  <c r="J5" i="2"/>
  <c r="K5" i="2" s="1"/>
  <c r="L5" i="2" s="1"/>
  <c r="V5" i="2" s="1"/>
  <c r="W5" i="2" s="1"/>
  <c r="J3" i="2"/>
  <c r="K3" i="2" s="1"/>
  <c r="L3" i="2" s="1"/>
  <c r="V3" i="2" s="1"/>
  <c r="W3" i="2" s="1"/>
  <c r="K28" i="1"/>
  <c r="K27" i="1"/>
  <c r="K26" i="1"/>
  <c r="AG22" i="2" l="1"/>
  <c r="AG67" i="2"/>
  <c r="AG13" i="2"/>
  <c r="AG30" i="2"/>
  <c r="AG11" i="2"/>
  <c r="AG4" i="2"/>
  <c r="AG23" i="2"/>
  <c r="AG80" i="2"/>
  <c r="AG74" i="2"/>
  <c r="AG57" i="2"/>
  <c r="AG40" i="2"/>
  <c r="AG71" i="2"/>
  <c r="AG48" i="2"/>
  <c r="AG37" i="2"/>
  <c r="AG42" i="2"/>
  <c r="AG19" i="2"/>
  <c r="AG12" i="2"/>
  <c r="AG6" i="2"/>
  <c r="AG82" i="2"/>
  <c r="AG56" i="2"/>
  <c r="AG39" i="2"/>
  <c r="AG21" i="2"/>
  <c r="AG20" i="2"/>
  <c r="AG72" i="2"/>
  <c r="AG38" i="2"/>
  <c r="AG18" i="2"/>
  <c r="AG69" i="2"/>
  <c r="AG52" i="2"/>
  <c r="AG29" i="2"/>
  <c r="AB82" i="1"/>
  <c r="AD82" i="1" s="1"/>
  <c r="AB64" i="1"/>
  <c r="AD64" i="1" s="1"/>
  <c r="AB46" i="1"/>
  <c r="AB28" i="1"/>
  <c r="AB10" i="1"/>
  <c r="AB81" i="1"/>
  <c r="AB63" i="1"/>
  <c r="AB45" i="1"/>
  <c r="AB27" i="1"/>
  <c r="AB9" i="1"/>
  <c r="AB80" i="1"/>
  <c r="AB62" i="1"/>
  <c r="AB44" i="1"/>
  <c r="AB26" i="1"/>
  <c r="AB77" i="1"/>
  <c r="AB79" i="1"/>
  <c r="AB61" i="1"/>
  <c r="AB43" i="1"/>
  <c r="AD43" i="1" s="1"/>
  <c r="AB25" i="1"/>
  <c r="AB19" i="1"/>
  <c r="AB60" i="1"/>
  <c r="AB24" i="1"/>
  <c r="AD24" i="1" s="1"/>
  <c r="AB76" i="1"/>
  <c r="AB18" i="1"/>
  <c r="AB59" i="1"/>
  <c r="AD59" i="1" s="1"/>
  <c r="AB23" i="1"/>
  <c r="AB75" i="1"/>
  <c r="AB8" i="1"/>
  <c r="AB58" i="1"/>
  <c r="AB22" i="1"/>
  <c r="AB74" i="1"/>
  <c r="AB7" i="1"/>
  <c r="AB57" i="1"/>
  <c r="AB21" i="1"/>
  <c r="AB6" i="1"/>
  <c r="AB56" i="1"/>
  <c r="AB20" i="1"/>
  <c r="AB5" i="1"/>
  <c r="AB55" i="1"/>
  <c r="AB39" i="1"/>
  <c r="AC160" i="2"/>
  <c r="AC207" i="2"/>
  <c r="AC55" i="2"/>
  <c r="AG55" i="2" s="1"/>
  <c r="AI55" i="2" s="1"/>
  <c r="Z105" i="2"/>
  <c r="Z71" i="2"/>
  <c r="AC14" i="2"/>
  <c r="AG14" i="2" s="1"/>
  <c r="AI14" i="2" s="1"/>
  <c r="AC110" i="2"/>
  <c r="AC168" i="2"/>
  <c r="AC36" i="2"/>
  <c r="AG36" i="2" s="1"/>
  <c r="Z19" i="2"/>
  <c r="Z51" i="2"/>
  <c r="AC251" i="2"/>
  <c r="AD29" i="1"/>
  <c r="AD30" i="1"/>
  <c r="AD57" i="1"/>
  <c r="AD72" i="1"/>
  <c r="AA70" i="1" a="1"/>
  <c r="AA70" i="1" s="1"/>
  <c r="AB70" i="1" s="1"/>
  <c r="AD70" i="1" s="1"/>
  <c r="AD7" i="1"/>
  <c r="AD33" i="1"/>
  <c r="AD42" i="1"/>
  <c r="AD68" i="1"/>
  <c r="AA49" i="1" a="1"/>
  <c r="AA49" i="1" s="1"/>
  <c r="AB49" i="1" s="1"/>
  <c r="AA13" i="1" a="1"/>
  <c r="AA13" i="1" s="1"/>
  <c r="AB13" i="1" s="1"/>
  <c r="AD22" i="1"/>
  <c r="AD69" i="1"/>
  <c r="AA66" i="1" a="1"/>
  <c r="AA66" i="1" s="1"/>
  <c r="AB66" i="1" s="1"/>
  <c r="AA48" i="1" a="1"/>
  <c r="AA48" i="1" s="1"/>
  <c r="AB48" i="1" s="1"/>
  <c r="AD48" i="1" s="1"/>
  <c r="AA12" i="1" a="1"/>
  <c r="AA12" i="1" s="1"/>
  <c r="AB12" i="1" s="1"/>
  <c r="AD12" i="1" s="1"/>
  <c r="AD40" i="1"/>
  <c r="AD17" i="1"/>
  <c r="AD47" i="1"/>
  <c r="AD11" i="1"/>
  <c r="AD45" i="1"/>
  <c r="AD9" i="1"/>
  <c r="AD53" i="1"/>
  <c r="AD34" i="1"/>
  <c r="AD16" i="1"/>
  <c r="AD50" i="1"/>
  <c r="AD14" i="1"/>
  <c r="AD23" i="1"/>
  <c r="Y3" i="1"/>
  <c r="U3" i="1"/>
  <c r="V3" i="1" s="1"/>
  <c r="Y36" i="1"/>
  <c r="AA36" i="1" a="1"/>
  <c r="AA36" i="1" s="1"/>
  <c r="AB36" i="1" s="1"/>
  <c r="AD36" i="1" s="1"/>
  <c r="Y72" i="1"/>
  <c r="AC72" i="1" s="1"/>
  <c r="Y54" i="1"/>
  <c r="AC54" i="1" s="1"/>
  <c r="Y18" i="1"/>
  <c r="Y71" i="1"/>
  <c r="Y53" i="1"/>
  <c r="AC53" i="1" s="1"/>
  <c r="Y35" i="1"/>
  <c r="Y17" i="1"/>
  <c r="AC17" i="1" s="1"/>
  <c r="AA71" i="1" a="1"/>
  <c r="AA71" i="1" s="1"/>
  <c r="AB71" i="1" s="1"/>
  <c r="AD71" i="1" s="1"/>
  <c r="AA35" i="1" a="1"/>
  <c r="AA35" i="1" s="1"/>
  <c r="AB35" i="1" s="1"/>
  <c r="AD35" i="1" s="1"/>
  <c r="Y67" i="1"/>
  <c r="AA67" i="1" a="1"/>
  <c r="AA67" i="1" s="1"/>
  <c r="AB67" i="1" s="1"/>
  <c r="AD67" i="1" s="1"/>
  <c r="Y31" i="1"/>
  <c r="AA31" i="1" a="1"/>
  <c r="AA31" i="1" s="1"/>
  <c r="AB31" i="1" s="1"/>
  <c r="AD31" i="1" s="1"/>
  <c r="Y66" i="1"/>
  <c r="AC66" i="1" s="1"/>
  <c r="Y48" i="1"/>
  <c r="Y30" i="1"/>
  <c r="AC30" i="1" s="1"/>
  <c r="Y12" i="1"/>
  <c r="Y44" i="1"/>
  <c r="AC44" i="1" s="1"/>
  <c r="Y42" i="1"/>
  <c r="AC42" i="1" s="1"/>
  <c r="Y24" i="1"/>
  <c r="Y6" i="1"/>
  <c r="AC6" i="1" s="1"/>
  <c r="K4" i="5"/>
  <c r="Y77" i="1"/>
  <c r="AC77" i="1" s="1"/>
  <c r="Y59" i="1"/>
  <c r="AC59" i="1" s="1"/>
  <c r="Y41" i="1"/>
  <c r="AC41" i="1" s="1"/>
  <c r="Y23" i="1"/>
  <c r="AC23" i="1" s="1"/>
  <c r="Y5" i="1"/>
  <c r="Y60" i="1"/>
  <c r="Y10" i="1"/>
  <c r="AD3" i="1"/>
  <c r="Y76" i="1"/>
  <c r="Y58" i="1"/>
  <c r="AC58" i="1" s="1"/>
  <c r="Y22" i="1"/>
  <c r="AC22" i="1" s="1"/>
  <c r="Y75" i="1"/>
  <c r="Y57" i="1"/>
  <c r="AC57" i="1" s="1"/>
  <c r="Y39" i="1"/>
  <c r="Y74" i="1"/>
  <c r="Y56" i="1"/>
  <c r="AC56" i="1" s="1"/>
  <c r="Y38" i="1"/>
  <c r="AC38" i="1" s="1"/>
  <c r="Y20" i="1"/>
  <c r="Y73" i="1"/>
  <c r="AC73" i="1" s="1"/>
  <c r="Y55" i="1"/>
  <c r="AC55" i="1" s="1"/>
  <c r="Y37" i="1"/>
  <c r="AC37" i="1" s="1"/>
  <c r="Y19" i="1"/>
  <c r="Y8" i="1"/>
  <c r="AC8" i="1" s="1"/>
  <c r="T4" i="5"/>
  <c r="Y80" i="1"/>
  <c r="AC80" i="1" s="1"/>
  <c r="Y62" i="1"/>
  <c r="Y79" i="1"/>
  <c r="Y61" i="1"/>
  <c r="Y43" i="1"/>
  <c r="R16" i="5"/>
  <c r="AC253" i="2"/>
  <c r="AC86" i="2"/>
  <c r="AD190" i="2"/>
  <c r="Z24" i="2"/>
  <c r="Z12" i="2"/>
  <c r="Z30" i="2"/>
  <c r="AA30" i="2" s="1"/>
  <c r="AC106" i="2"/>
  <c r="AD106" i="2" s="1"/>
  <c r="AC203" i="2"/>
  <c r="AA165" i="2"/>
  <c r="AC167" i="2"/>
  <c r="AD167" i="2" s="1"/>
  <c r="AD208" i="2"/>
  <c r="AC218" i="2"/>
  <c r="AD218" i="2" s="1"/>
  <c r="Z18" i="2"/>
  <c r="AA18" i="2" s="1"/>
  <c r="Z172" i="2"/>
  <c r="AA172" i="2" s="1"/>
  <c r="AC156" i="2"/>
  <c r="AD156" i="2" s="1"/>
  <c r="Z104" i="2"/>
  <c r="AA104" i="2" s="1"/>
  <c r="AC171" i="2"/>
  <c r="AD171" i="2" s="1"/>
  <c r="AC149" i="2"/>
  <c r="AD149" i="2" s="1"/>
  <c r="AC59" i="2"/>
  <c r="Z43" i="2"/>
  <c r="AA43" i="2" s="1"/>
  <c r="AC181" i="2"/>
  <c r="AD181" i="2" s="1"/>
  <c r="AC81" i="2"/>
  <c r="AG81" i="2" s="1"/>
  <c r="AI81" i="2" s="1"/>
  <c r="AC15" i="2"/>
  <c r="AG15" i="2" s="1"/>
  <c r="AI15" i="2" s="1"/>
  <c r="AC113" i="2"/>
  <c r="Z108" i="2"/>
  <c r="AA108" i="2" s="1"/>
  <c r="AC91" i="2"/>
  <c r="AD91" i="2" s="1"/>
  <c r="AC175" i="2"/>
  <c r="Z200" i="2"/>
  <c r="AA200" i="2" s="1"/>
  <c r="Z41" i="2"/>
  <c r="AD173" i="2"/>
  <c r="Z178" i="2"/>
  <c r="AA178" i="2" s="1"/>
  <c r="Z67" i="2"/>
  <c r="AA67" i="2" s="1"/>
  <c r="Z166" i="2"/>
  <c r="AA166" i="2" s="1"/>
  <c r="AC247" i="2"/>
  <c r="AD247" i="2" s="1"/>
  <c r="AD186" i="2"/>
  <c r="AA167" i="2"/>
  <c r="AC85" i="2"/>
  <c r="AD85" i="2" s="1"/>
  <c r="Z74" i="2"/>
  <c r="AA74" i="2" s="1"/>
  <c r="Z48" i="2"/>
  <c r="AA48" i="2" s="1"/>
  <c r="Z27" i="2"/>
  <c r="Z190" i="2"/>
  <c r="AA190" i="2" s="1"/>
  <c r="AC242" i="2"/>
  <c r="AD242" i="2" s="1"/>
  <c r="AA253" i="2"/>
  <c r="AC63" i="2"/>
  <c r="AC58" i="2"/>
  <c r="AC179" i="2"/>
  <c r="AD179" i="2" s="1"/>
  <c r="Z194" i="2"/>
  <c r="AA194" i="2" s="1"/>
  <c r="AD175" i="2"/>
  <c r="AC78" i="2"/>
  <c r="Z37" i="2"/>
  <c r="AA37" i="2" s="1"/>
  <c r="Z32" i="2"/>
  <c r="AA32" i="2" s="1"/>
  <c r="AC5" i="2"/>
  <c r="AG5" i="2" s="1"/>
  <c r="Z164" i="2"/>
  <c r="AA164" i="2" s="1"/>
  <c r="Z182" i="2"/>
  <c r="AA182" i="2" s="1"/>
  <c r="AC198" i="2"/>
  <c r="AD198" i="2" s="1"/>
  <c r="AC240" i="2"/>
  <c r="AD240" i="2" s="1"/>
  <c r="Z57" i="2"/>
  <c r="AA57" i="2" s="1"/>
  <c r="AC109" i="2"/>
  <c r="AD109" i="2" s="1"/>
  <c r="Z157" i="2"/>
  <c r="AA157" i="2" s="1"/>
  <c r="AC191" i="2"/>
  <c r="AD191" i="2" s="1"/>
  <c r="AD182" i="2"/>
  <c r="AA195" i="2"/>
  <c r="AD252" i="2"/>
  <c r="AC28" i="2"/>
  <c r="AC92" i="2"/>
  <c r="AD92" i="2" s="1"/>
  <c r="AC97" i="2"/>
  <c r="AD97" i="2" s="1"/>
  <c r="AC241" i="2"/>
  <c r="AD241" i="2" s="1"/>
  <c r="AA240" i="2"/>
  <c r="AD221" i="2"/>
  <c r="Z72" i="2"/>
  <c r="AA72" i="2" s="1"/>
  <c r="AC62" i="2"/>
  <c r="Z23" i="2"/>
  <c r="AA23" i="2" s="1"/>
  <c r="Z13" i="2"/>
  <c r="AA13" i="2" s="1"/>
  <c r="AC153" i="2"/>
  <c r="AD153" i="2" s="1"/>
  <c r="AC187" i="2"/>
  <c r="AD187" i="2" s="1"/>
  <c r="AC183" i="2"/>
  <c r="AD183" i="2" s="1"/>
  <c r="AC174" i="2"/>
  <c r="AD174" i="2" s="1"/>
  <c r="AC206" i="2"/>
  <c r="AD206" i="2" s="1"/>
  <c r="Z232" i="2"/>
  <c r="Z82" i="2"/>
  <c r="AA82" i="2" s="1"/>
  <c r="Z77" i="2"/>
  <c r="AA77" i="2" s="1"/>
  <c r="Z112" i="2"/>
  <c r="AA112" i="2" s="1"/>
  <c r="AC102" i="2"/>
  <c r="AD102" i="2" s="1"/>
  <c r="AA151" i="2"/>
  <c r="AC210" i="2"/>
  <c r="AD210" i="2" s="1"/>
  <c r="Z201" i="2"/>
  <c r="AA201" i="2" s="1"/>
  <c r="AC214" i="2"/>
  <c r="AD214" i="2" s="1"/>
  <c r="AA252" i="2"/>
  <c r="AA242" i="2"/>
  <c r="AA251" i="2"/>
  <c r="AD249" i="2"/>
  <c r="AA241" i="2"/>
  <c r="AA245" i="2"/>
  <c r="AC25" i="2"/>
  <c r="AC73" i="2"/>
  <c r="AC16" i="2"/>
  <c r="AC111" i="2"/>
  <c r="AD111" i="2" s="1"/>
  <c r="AC107" i="2"/>
  <c r="AD107" i="2" s="1"/>
  <c r="AC103" i="2"/>
  <c r="AD103" i="2" s="1"/>
  <c r="AC169" i="2"/>
  <c r="AD169" i="2" s="1"/>
  <c r="AC165" i="2"/>
  <c r="AD165" i="2" s="1"/>
  <c r="AA239" i="2"/>
  <c r="AC95" i="2"/>
  <c r="AD95" i="2" s="1"/>
  <c r="AD146" i="2"/>
  <c r="Z52" i="2"/>
  <c r="AA52" i="2" s="1"/>
  <c r="Z38" i="2"/>
  <c r="AA38" i="2" s="1"/>
  <c r="Z21" i="2"/>
  <c r="AA21" i="2" s="1"/>
  <c r="Z8" i="2"/>
  <c r="AA8" i="2" s="1"/>
  <c r="Z99" i="2"/>
  <c r="AA99" i="2" s="1"/>
  <c r="AC151" i="2"/>
  <c r="AD151" i="2" s="1"/>
  <c r="AC220" i="2"/>
  <c r="AD220" i="2" s="1"/>
  <c r="AC248" i="2"/>
  <c r="AD248" i="2" s="1"/>
  <c r="AC238" i="2"/>
  <c r="AD238" i="2" s="1"/>
  <c r="AA205" i="2"/>
  <c r="Z60" i="2"/>
  <c r="AA60" i="2" s="1"/>
  <c r="Z42" i="2"/>
  <c r="AA42" i="2" s="1"/>
  <c r="AC33" i="2"/>
  <c r="Z29" i="2"/>
  <c r="AA29" i="2" s="1"/>
  <c r="AC193" i="2"/>
  <c r="AD193" i="2" s="1"/>
  <c r="AC189" i="2"/>
  <c r="AD189" i="2" s="1"/>
  <c r="AA186" i="2"/>
  <c r="Z204" i="2"/>
  <c r="AA204" i="2" s="1"/>
  <c r="Z216" i="2"/>
  <c r="AA216" i="2" s="1"/>
  <c r="AA150" i="2"/>
  <c r="Z188" i="2"/>
  <c r="AA188" i="2" s="1"/>
  <c r="AD236" i="2"/>
  <c r="Z250" i="2"/>
  <c r="AA250" i="2" s="1"/>
  <c r="AD194" i="2"/>
  <c r="AA235" i="2"/>
  <c r="AD154" i="2"/>
  <c r="AD178" i="2"/>
  <c r="AA181" i="2"/>
  <c r="AD202" i="2"/>
  <c r="AA218" i="2"/>
  <c r="AD246" i="2"/>
  <c r="AA232" i="2"/>
  <c r="AA174" i="2"/>
  <c r="AA199" i="2"/>
  <c r="AD4" i="2"/>
  <c r="AC70" i="2"/>
  <c r="AC66" i="2"/>
  <c r="AC9" i="2"/>
  <c r="AC96" i="2"/>
  <c r="AD96" i="2" s="1"/>
  <c r="AA184" i="2"/>
  <c r="AC176" i="2"/>
  <c r="AD176" i="2" s="1"/>
  <c r="Z234" i="2"/>
  <c r="AA234" i="2" s="1"/>
  <c r="AA217" i="2"/>
  <c r="AC100" i="2"/>
  <c r="AD100" i="2" s="1"/>
  <c r="Z148" i="2"/>
  <c r="AA148" i="2" s="1"/>
  <c r="AC217" i="2"/>
  <c r="AD217" i="2" s="1"/>
  <c r="AC245" i="2"/>
  <c r="AD245" i="2" s="1"/>
  <c r="AD211" i="2"/>
  <c r="AD8" i="2"/>
  <c r="AI8" i="2" s="1"/>
  <c r="AD168" i="2"/>
  <c r="AA247" i="2"/>
  <c r="Z22" i="2"/>
  <c r="AA22" i="2" s="1"/>
  <c r="AC170" i="2"/>
  <c r="AD170" i="2" s="1"/>
  <c r="AA180" i="2"/>
  <c r="AA202" i="2"/>
  <c r="AD250" i="2"/>
  <c r="AC239" i="2"/>
  <c r="AD239" i="2" s="1"/>
  <c r="AA220" i="2"/>
  <c r="AA192" i="2"/>
  <c r="AA163" i="2"/>
  <c r="AD99" i="2"/>
  <c r="AA149" i="2"/>
  <c r="AD199" i="2"/>
  <c r="AA198" i="2"/>
  <c r="Z161" i="2"/>
  <c r="AA161" i="2" s="1"/>
  <c r="AA189" i="2"/>
  <c r="AD201" i="2"/>
  <c r="Z249" i="2"/>
  <c r="AA249" i="2" s="1"/>
  <c r="AA146" i="2"/>
  <c r="AD234" i="2"/>
  <c r="AA238" i="2"/>
  <c r="AA248" i="2"/>
  <c r="AA176" i="2"/>
  <c r="AD166" i="2"/>
  <c r="AA173" i="2"/>
  <c r="Z197" i="2"/>
  <c r="AA197" i="2" s="1"/>
  <c r="AC197" i="2"/>
  <c r="AD197" i="2" s="1"/>
  <c r="Z233" i="2"/>
  <c r="AA233" i="2" s="1"/>
  <c r="AC233" i="2"/>
  <c r="AD233" i="2" s="1"/>
  <c r="AC180" i="2"/>
  <c r="AD180" i="2" s="1"/>
  <c r="AD172" i="2"/>
  <c r="AA154" i="2"/>
  <c r="AC65" i="2"/>
  <c r="AC54" i="2"/>
  <c r="AC150" i="2"/>
  <c r="AD150" i="2" s="1"/>
  <c r="AA169" i="2"/>
  <c r="AA191" i="2"/>
  <c r="AC196" i="2"/>
  <c r="AD196" i="2" s="1"/>
  <c r="AC163" i="2"/>
  <c r="AD163" i="2" s="1"/>
  <c r="AC84" i="2"/>
  <c r="AC35" i="2"/>
  <c r="AA83" i="2"/>
  <c r="AC76" i="2"/>
  <c r="AC50" i="2"/>
  <c r="AC46" i="2"/>
  <c r="AC31" i="2"/>
  <c r="AC7" i="2"/>
  <c r="AD148" i="2"/>
  <c r="L159" i="2"/>
  <c r="V159" i="2" s="1"/>
  <c r="W159" i="2" s="1"/>
  <c r="AA210" i="2"/>
  <c r="Z237" i="2"/>
  <c r="AA237" i="2" s="1"/>
  <c r="AC237" i="2"/>
  <c r="AD237" i="2" s="1"/>
  <c r="AD232" i="2"/>
  <c r="Z80" i="2"/>
  <c r="AA80" i="2" s="1"/>
  <c r="Z11" i="2"/>
  <c r="AA11" i="2" s="1"/>
  <c r="Z94" i="2"/>
  <c r="AA94" i="2" s="1"/>
  <c r="AC158" i="2"/>
  <c r="AD158" i="2" s="1"/>
  <c r="AC155" i="2"/>
  <c r="AD155" i="2" s="1"/>
  <c r="AD188" i="2"/>
  <c r="Z219" i="2"/>
  <c r="AA219" i="2" s="1"/>
  <c r="AC219" i="2"/>
  <c r="AD219" i="2" s="1"/>
  <c r="AA111" i="2"/>
  <c r="AD81" i="2"/>
  <c r="Z98" i="2"/>
  <c r="AA98" i="2" s="1"/>
  <c r="AC98" i="2"/>
  <c r="AD98" i="2" s="1"/>
  <c r="Z185" i="2"/>
  <c r="AA185" i="2" s="1"/>
  <c r="AC185" i="2"/>
  <c r="AD185" i="2" s="1"/>
  <c r="Z209" i="2"/>
  <c r="AA209" i="2" s="1"/>
  <c r="Z211" i="2"/>
  <c r="AA211" i="2" s="1"/>
  <c r="AD216" i="2"/>
  <c r="Z246" i="2"/>
  <c r="AA246" i="2" s="1"/>
  <c r="Z177" i="2"/>
  <c r="AA177" i="2" s="1"/>
  <c r="AC177" i="2"/>
  <c r="AD177" i="2" s="1"/>
  <c r="AC83" i="2"/>
  <c r="AC79" i="2"/>
  <c r="AC64" i="2"/>
  <c r="AC53" i="2"/>
  <c r="AC34" i="2"/>
  <c r="AC10" i="2"/>
  <c r="AC101" i="2"/>
  <c r="AD101" i="2" s="1"/>
  <c r="AC93" i="2"/>
  <c r="AD93" i="2" s="1"/>
  <c r="AC147" i="2"/>
  <c r="AD147" i="2" s="1"/>
  <c r="AA158" i="2"/>
  <c r="AA155" i="2"/>
  <c r="AA171" i="2"/>
  <c r="AD209" i="2"/>
  <c r="AC45" i="2"/>
  <c r="AG45" i="2" s="1"/>
  <c r="AI45" i="2" s="1"/>
  <c r="AA170" i="2"/>
  <c r="AC205" i="2"/>
  <c r="AD205" i="2" s="1"/>
  <c r="AC195" i="2"/>
  <c r="AD195" i="2" s="1"/>
  <c r="AC212" i="2"/>
  <c r="AD212" i="2" s="1"/>
  <c r="Z212" i="2"/>
  <c r="AA212" i="2" s="1"/>
  <c r="Z236" i="2"/>
  <c r="AA236" i="2" s="1"/>
  <c r="AC75" i="2"/>
  <c r="AC49" i="2"/>
  <c r="AC26" i="2"/>
  <c r="Z6" i="2"/>
  <c r="AA6" i="2" s="1"/>
  <c r="Z162" i="2"/>
  <c r="AA162" i="2" s="1"/>
  <c r="AC192" i="2"/>
  <c r="AD192" i="2" s="1"/>
  <c r="AA187" i="2"/>
  <c r="AC184" i="2"/>
  <c r="AD184" i="2" s="1"/>
  <c r="Z208" i="2"/>
  <c r="AA208" i="2" s="1"/>
  <c r="Z221" i="2"/>
  <c r="AA221" i="2" s="1"/>
  <c r="AC235" i="2"/>
  <c r="AD235" i="2" s="1"/>
  <c r="Z244" i="2"/>
  <c r="AA244" i="2" s="1"/>
  <c r="AD14" i="2"/>
  <c r="AA147" i="2"/>
  <c r="AA168" i="2"/>
  <c r="AD253" i="2"/>
  <c r="AD162" i="2"/>
  <c r="AA179" i="2"/>
  <c r="Z215" i="2"/>
  <c r="AA215" i="2" s="1"/>
  <c r="AC215" i="2"/>
  <c r="AD215" i="2" s="1"/>
  <c r="Z243" i="2"/>
  <c r="AA243" i="2" s="1"/>
  <c r="AD164" i="2"/>
  <c r="AA183" i="2"/>
  <c r="AA206" i="2"/>
  <c r="AA193" i="2"/>
  <c r="AA175" i="2"/>
  <c r="R7" i="5"/>
  <c r="R8" i="5"/>
  <c r="Y34" i="1"/>
  <c r="AC34" i="1" s="1"/>
  <c r="Y70" i="1"/>
  <c r="Y52" i="1"/>
  <c r="AC52" i="1" s="1"/>
  <c r="Y16" i="1"/>
  <c r="AC16" i="1" s="1"/>
  <c r="Y7" i="1"/>
  <c r="Y69" i="1"/>
  <c r="AC69" i="1" s="1"/>
  <c r="Y51" i="1"/>
  <c r="AC51" i="1" s="1"/>
  <c r="Y15" i="1"/>
  <c r="AC15" i="1" s="1"/>
  <c r="Y50" i="1"/>
  <c r="AC50" i="1" s="1"/>
  <c r="Y14" i="1"/>
  <c r="AC14" i="1" s="1"/>
  <c r="S4" i="5"/>
  <c r="Y81" i="1"/>
  <c r="Y49" i="1"/>
  <c r="AC49" i="1" s="1"/>
  <c r="Y13" i="1"/>
  <c r="AC13" i="1" s="1"/>
  <c r="Y47" i="1"/>
  <c r="AC47" i="1" s="1"/>
  <c r="Y29" i="1"/>
  <c r="AC29" i="1" s="1"/>
  <c r="Y45" i="1"/>
  <c r="AC45" i="1" s="1"/>
  <c r="Y27" i="1"/>
  <c r="AC27" i="1" s="1"/>
  <c r="S9" i="5"/>
  <c r="Y33" i="1"/>
  <c r="AC33" i="1" s="1"/>
  <c r="Y68" i="1"/>
  <c r="AC68" i="1" s="1"/>
  <c r="Y11" i="1"/>
  <c r="AC11" i="1" s="1"/>
  <c r="Y46" i="1"/>
  <c r="Y63" i="1"/>
  <c r="Y84" i="1"/>
  <c r="AC84" i="1" s="1"/>
  <c r="F23" i="5"/>
  <c r="F21" i="5"/>
  <c r="X4" i="5"/>
  <c r="Y26" i="1"/>
  <c r="AC26" i="1" s="1"/>
  <c r="T16" i="5"/>
  <c r="S16" i="5"/>
  <c r="S8" i="5"/>
  <c r="R14" i="5"/>
  <c r="X78" i="1"/>
  <c r="R4" i="5"/>
  <c r="R17" i="5"/>
  <c r="Y28" i="1"/>
  <c r="AC28" i="1" s="1"/>
  <c r="T17" i="5"/>
  <c r="W14" i="5"/>
  <c r="X7" i="5"/>
  <c r="T10" i="5"/>
  <c r="Y9" i="1"/>
  <c r="AC9" i="1" s="1"/>
  <c r="Y82" i="1"/>
  <c r="W7" i="5"/>
  <c r="W16" i="5"/>
  <c r="F22" i="5"/>
  <c r="T14" i="5"/>
  <c r="R9" i="5"/>
  <c r="W10" i="5"/>
  <c r="Y25" i="1"/>
  <c r="W8" i="5"/>
  <c r="W4" i="5"/>
  <c r="T7" i="5"/>
  <c r="W17" i="5"/>
  <c r="Y64" i="1"/>
  <c r="AC64" i="1" s="1"/>
  <c r="W9" i="5"/>
  <c r="Y83" i="1"/>
  <c r="AC83" i="1" s="1"/>
  <c r="Y4" i="1"/>
  <c r="AC4" i="1" s="1"/>
  <c r="X10" i="5"/>
  <c r="Y40" i="1"/>
  <c r="AC40" i="1" s="1"/>
  <c r="X17" i="5"/>
  <c r="Y21" i="1"/>
  <c r="X14" i="5"/>
  <c r="Y65" i="1"/>
  <c r="AC65" i="1" s="1"/>
  <c r="X8" i="5"/>
  <c r="Q16" i="5"/>
  <c r="Q4" i="5"/>
  <c r="S17" i="5"/>
  <c r="Q9" i="5"/>
  <c r="Q17" i="5"/>
  <c r="Q8" i="5"/>
  <c r="U84" i="1"/>
  <c r="V84" i="1" s="1"/>
  <c r="Q7" i="5"/>
  <c r="X16" i="5"/>
  <c r="Y32" i="1"/>
  <c r="AC32" i="1" s="1"/>
  <c r="R10" i="5"/>
  <c r="Q10" i="5"/>
  <c r="S10" i="5"/>
  <c r="S14" i="5"/>
  <c r="S7" i="5"/>
  <c r="Q14" i="5"/>
  <c r="AD243" i="2"/>
  <c r="AD244" i="2"/>
  <c r="AD251" i="2"/>
  <c r="AC231" i="2"/>
  <c r="AD231" i="2" s="1"/>
  <c r="Z231" i="2"/>
  <c r="AA231" i="2" s="1"/>
  <c r="AC230" i="2"/>
  <c r="AD230" i="2" s="1"/>
  <c r="Z230" i="2"/>
  <c r="AA230" i="2" s="1"/>
  <c r="AC229" i="2"/>
  <c r="AD229" i="2" s="1"/>
  <c r="Z229" i="2"/>
  <c r="AA229" i="2" s="1"/>
  <c r="AC228" i="2"/>
  <c r="AD228" i="2" s="1"/>
  <c r="Z228" i="2"/>
  <c r="AA228" i="2" s="1"/>
  <c r="AC227" i="2"/>
  <c r="AD227" i="2" s="1"/>
  <c r="Z227" i="2"/>
  <c r="AA227" i="2" s="1"/>
  <c r="AC226" i="2"/>
  <c r="AD226" i="2" s="1"/>
  <c r="Z226" i="2"/>
  <c r="AA226" i="2" s="1"/>
  <c r="AC225" i="2"/>
  <c r="AD225" i="2" s="1"/>
  <c r="Z225" i="2"/>
  <c r="AA225" i="2" s="1"/>
  <c r="Z224" i="2"/>
  <c r="AA224" i="2" s="1"/>
  <c r="AC224" i="2"/>
  <c r="AD224" i="2" s="1"/>
  <c r="AC223" i="2"/>
  <c r="AD223" i="2" s="1"/>
  <c r="Z223" i="2"/>
  <c r="AA223" i="2" s="1"/>
  <c r="AC222" i="2"/>
  <c r="AD222" i="2" s="1"/>
  <c r="Z222" i="2"/>
  <c r="AA222" i="2" s="1"/>
  <c r="AD213" i="2"/>
  <c r="AA213" i="2"/>
  <c r="AA214" i="2"/>
  <c r="AA196" i="2"/>
  <c r="AD200" i="2"/>
  <c r="AA203" i="2"/>
  <c r="AD203" i="2"/>
  <c r="AD204" i="2"/>
  <c r="AD207" i="2"/>
  <c r="AA207" i="2"/>
  <c r="AA160" i="2"/>
  <c r="AD160" i="2"/>
  <c r="Z152" i="2"/>
  <c r="AA152" i="2" s="1"/>
  <c r="AC152" i="2"/>
  <c r="AD152" i="2" s="1"/>
  <c r="AA153" i="2"/>
  <c r="AD157" i="2"/>
  <c r="Z159" i="2"/>
  <c r="AC159" i="2"/>
  <c r="AA156" i="2"/>
  <c r="AC145" i="2"/>
  <c r="AD145" i="2" s="1"/>
  <c r="Z145" i="2"/>
  <c r="AA145" i="2" s="1"/>
  <c r="AC144" i="2"/>
  <c r="AD144" i="2" s="1"/>
  <c r="Z144" i="2"/>
  <c r="AA144" i="2" s="1"/>
  <c r="AC143" i="2"/>
  <c r="AD143" i="2" s="1"/>
  <c r="Z143" i="2"/>
  <c r="AA143" i="2" s="1"/>
  <c r="AC142" i="2"/>
  <c r="AD142" i="2" s="1"/>
  <c r="Z142" i="2"/>
  <c r="AA142" i="2" s="1"/>
  <c r="AC141" i="2"/>
  <c r="AD141" i="2" s="1"/>
  <c r="Z141" i="2"/>
  <c r="AA141" i="2" s="1"/>
  <c r="AC140" i="2"/>
  <c r="AD140" i="2" s="1"/>
  <c r="Z140" i="2"/>
  <c r="AA140" i="2" s="1"/>
  <c r="AC139" i="2"/>
  <c r="AD139" i="2" s="1"/>
  <c r="Z139" i="2"/>
  <c r="AA139" i="2" s="1"/>
  <c r="AC138" i="2"/>
  <c r="AD138" i="2" s="1"/>
  <c r="Z138" i="2"/>
  <c r="AA138" i="2" s="1"/>
  <c r="AC137" i="2"/>
  <c r="AD137" i="2" s="1"/>
  <c r="Z137" i="2"/>
  <c r="AA137" i="2" s="1"/>
  <c r="AC136" i="2"/>
  <c r="AD136" i="2" s="1"/>
  <c r="Z136" i="2"/>
  <c r="AA136" i="2" s="1"/>
  <c r="AC135" i="2"/>
  <c r="AD135" i="2" s="1"/>
  <c r="Z135" i="2"/>
  <c r="AA135" i="2" s="1"/>
  <c r="AC134" i="2"/>
  <c r="AD134" i="2" s="1"/>
  <c r="Z134" i="2"/>
  <c r="AA134" i="2" s="1"/>
  <c r="AC133" i="2"/>
  <c r="AD133" i="2" s="1"/>
  <c r="Z133" i="2"/>
  <c r="AA133" i="2" s="1"/>
  <c r="AC132" i="2"/>
  <c r="AD132" i="2" s="1"/>
  <c r="Z132" i="2"/>
  <c r="AA132" i="2" s="1"/>
  <c r="AC131" i="2"/>
  <c r="AD131" i="2" s="1"/>
  <c r="Z131" i="2"/>
  <c r="AA131" i="2" s="1"/>
  <c r="AC130" i="2"/>
  <c r="AD130" i="2" s="1"/>
  <c r="Z130" i="2"/>
  <c r="AA130" i="2" s="1"/>
  <c r="AC129" i="2"/>
  <c r="AD129" i="2" s="1"/>
  <c r="Z129" i="2"/>
  <c r="AA129" i="2" s="1"/>
  <c r="AC128" i="2"/>
  <c r="AD128" i="2" s="1"/>
  <c r="Z128" i="2"/>
  <c r="AA128" i="2" s="1"/>
  <c r="AC127" i="2"/>
  <c r="AD127" i="2" s="1"/>
  <c r="Z127" i="2"/>
  <c r="AA127" i="2" s="1"/>
  <c r="AC126" i="2"/>
  <c r="AD126" i="2" s="1"/>
  <c r="Z126" i="2"/>
  <c r="AA126" i="2" s="1"/>
  <c r="AC125" i="2"/>
  <c r="AD125" i="2" s="1"/>
  <c r="Z125" i="2"/>
  <c r="AA125" i="2" s="1"/>
  <c r="Z124" i="2"/>
  <c r="AA124" i="2" s="1"/>
  <c r="AC124" i="2"/>
  <c r="AD124" i="2" s="1"/>
  <c r="AC123" i="2"/>
  <c r="AD123" i="2" s="1"/>
  <c r="Z123" i="2"/>
  <c r="AA123" i="2" s="1"/>
  <c r="AC122" i="2"/>
  <c r="AD122" i="2" s="1"/>
  <c r="Z122" i="2"/>
  <c r="AA122" i="2" s="1"/>
  <c r="AC121" i="2"/>
  <c r="AD121" i="2" s="1"/>
  <c r="Z121" i="2"/>
  <c r="AA121" i="2" s="1"/>
  <c r="Z120" i="2"/>
  <c r="AA120" i="2" s="1"/>
  <c r="AC120" i="2"/>
  <c r="AD120" i="2" s="1"/>
  <c r="Z119" i="2"/>
  <c r="AA119" i="2" s="1"/>
  <c r="AC119" i="2"/>
  <c r="AD119" i="2" s="1"/>
  <c r="AC118" i="2"/>
  <c r="AD118" i="2" s="1"/>
  <c r="Z118" i="2"/>
  <c r="AA118" i="2" s="1"/>
  <c r="AC117" i="2"/>
  <c r="AD117" i="2" s="1"/>
  <c r="Z117" i="2"/>
  <c r="AA117" i="2" s="1"/>
  <c r="Z116" i="2"/>
  <c r="AA116" i="2" s="1"/>
  <c r="AC116" i="2"/>
  <c r="AD116" i="2" s="1"/>
  <c r="AC115" i="2"/>
  <c r="AD115" i="2" s="1"/>
  <c r="Z115" i="2"/>
  <c r="AA115" i="2" s="1"/>
  <c r="AA91" i="2"/>
  <c r="AA92" i="2"/>
  <c r="AA93" i="2"/>
  <c r="AD94" i="2"/>
  <c r="AA95" i="2"/>
  <c r="AA96" i="2"/>
  <c r="AA97" i="2"/>
  <c r="AA100" i="2"/>
  <c r="AA101" i="2"/>
  <c r="AA102" i="2"/>
  <c r="AA103" i="2"/>
  <c r="AD104" i="2"/>
  <c r="AD105" i="2"/>
  <c r="AA105" i="2"/>
  <c r="AA106" i="2"/>
  <c r="AA107" i="2"/>
  <c r="AD12" i="2"/>
  <c r="AA109" i="2"/>
  <c r="AD112" i="2"/>
  <c r="AA113" i="2"/>
  <c r="AD113" i="2"/>
  <c r="AC88" i="2"/>
  <c r="AD88" i="2" s="1"/>
  <c r="Z88" i="2"/>
  <c r="AA88" i="2" s="1"/>
  <c r="AC87" i="2"/>
  <c r="AD87" i="2" s="1"/>
  <c r="Z87" i="2"/>
  <c r="AA87" i="2" s="1"/>
  <c r="AC3" i="2"/>
  <c r="Z3" i="2"/>
  <c r="AA3" i="2" s="1"/>
  <c r="AA75" i="2"/>
  <c r="AA76" i="2"/>
  <c r="AA84" i="2"/>
  <c r="AD74" i="2"/>
  <c r="AI74" i="2" s="1"/>
  <c r="AA59" i="2"/>
  <c r="AD60" i="2"/>
  <c r="AI60" i="2" s="1"/>
  <c r="AD61" i="2"/>
  <c r="AI61" i="2" s="1"/>
  <c r="AA61" i="2"/>
  <c r="AA62" i="2"/>
  <c r="AA63" i="2"/>
  <c r="AA64" i="2"/>
  <c r="AA65" i="2"/>
  <c r="AA66" i="2"/>
  <c r="AD67" i="2"/>
  <c r="AI67" i="2" s="1"/>
  <c r="AD68" i="2"/>
  <c r="AI68" i="2" s="1"/>
  <c r="AA68" i="2"/>
  <c r="AD69" i="2"/>
  <c r="AA69" i="2"/>
  <c r="AA70" i="2"/>
  <c r="AD71" i="2"/>
  <c r="AA71" i="2"/>
  <c r="AD32" i="2"/>
  <c r="AI32" i="2" s="1"/>
  <c r="AA33" i="2"/>
  <c r="AA34" i="2"/>
  <c r="AA35" i="2"/>
  <c r="AD36" i="2"/>
  <c r="AA36" i="2"/>
  <c r="AD37" i="2"/>
  <c r="AI37" i="2" s="1"/>
  <c r="AD38" i="2"/>
  <c r="AD39" i="2"/>
  <c r="AA39" i="2"/>
  <c r="AD40" i="2"/>
  <c r="AA40" i="2"/>
  <c r="AD41" i="2"/>
  <c r="AI41" i="2" s="1"/>
  <c r="AA41" i="2"/>
  <c r="AD42" i="2"/>
  <c r="AD43" i="2"/>
  <c r="AI43" i="2" s="1"/>
  <c r="AD44" i="2"/>
  <c r="AI44" i="2" s="1"/>
  <c r="AA44" i="2"/>
  <c r="AD45" i="2"/>
  <c r="AA45" i="2"/>
  <c r="AA46" i="2"/>
  <c r="AD48" i="2"/>
  <c r="AI48" i="2" s="1"/>
  <c r="AA49" i="2"/>
  <c r="AA50" i="2"/>
  <c r="AD51" i="2"/>
  <c r="AI51" i="2" s="1"/>
  <c r="AA51" i="2"/>
  <c r="AD52" i="2"/>
  <c r="AA53" i="2"/>
  <c r="AA54" i="2"/>
  <c r="AD55" i="2"/>
  <c r="AH55" i="2" s="1"/>
  <c r="AA55" i="2"/>
  <c r="AD56" i="2"/>
  <c r="AA56" i="2"/>
  <c r="AD57" i="2"/>
  <c r="AI57" i="2" s="1"/>
  <c r="AA58" i="2"/>
  <c r="AA31" i="2"/>
  <c r="AD19" i="2"/>
  <c r="AA19" i="2"/>
  <c r="AD20" i="2"/>
  <c r="AA20" i="2"/>
  <c r="AD21" i="2"/>
  <c r="AD22" i="2"/>
  <c r="AI22" i="2" s="1"/>
  <c r="AD23" i="2"/>
  <c r="AI23" i="2" s="1"/>
  <c r="AD24" i="2"/>
  <c r="AI24" i="2" s="1"/>
  <c r="AA24" i="2"/>
  <c r="AA25" i="2"/>
  <c r="AA26" i="2"/>
  <c r="AD27" i="2"/>
  <c r="AI27" i="2" s="1"/>
  <c r="AA27" i="2"/>
  <c r="AA28" i="2"/>
  <c r="AD29" i="2"/>
  <c r="AD30" i="2"/>
  <c r="AD18" i="2"/>
  <c r="AI18" i="2" s="1"/>
  <c r="AA15" i="2"/>
  <c r="AD15" i="2"/>
  <c r="AH15" i="2" s="1"/>
  <c r="AD6" i="2"/>
  <c r="AA9" i="2"/>
  <c r="AD11" i="2"/>
  <c r="AI11" i="2" s="1"/>
  <c r="AA5" i="2"/>
  <c r="AA4" i="2"/>
  <c r="AA10" i="2"/>
  <c r="AA14" i="2"/>
  <c r="AA16" i="2"/>
  <c r="AA7" i="2"/>
  <c r="AA12" i="2"/>
  <c r="AD108" i="2"/>
  <c r="AA110" i="2"/>
  <c r="AD110" i="2"/>
  <c r="AC114" i="2"/>
  <c r="AD114" i="2" s="1"/>
  <c r="Z114" i="2"/>
  <c r="AA114" i="2" s="1"/>
  <c r="AC90" i="2"/>
  <c r="AD90" i="2" s="1"/>
  <c r="Z90" i="2"/>
  <c r="AA90" i="2" s="1"/>
  <c r="AA81" i="2"/>
  <c r="AA78" i="2"/>
  <c r="AD82" i="2"/>
  <c r="AD72" i="2"/>
  <c r="AA73" i="2"/>
  <c r="AA79" i="2"/>
  <c r="AD13" i="2"/>
  <c r="AI13" i="2" s="1"/>
  <c r="Z47" i="2"/>
  <c r="AA47" i="2" s="1"/>
  <c r="AC47" i="2"/>
  <c r="AD77" i="2"/>
  <c r="AI77" i="2" s="1"/>
  <c r="AD80" i="2"/>
  <c r="AI80" i="2" s="1"/>
  <c r="AA85" i="2"/>
  <c r="AA86" i="2"/>
  <c r="AD86" i="2"/>
  <c r="X15" i="5"/>
  <c r="Y15" i="5" s="1"/>
  <c r="U15" i="5"/>
  <c r="V15" i="5" s="1"/>
  <c r="X18" i="5"/>
  <c r="Y18" i="5" s="1"/>
  <c r="U18" i="5"/>
  <c r="V18" i="5" s="1"/>
  <c r="X6" i="5"/>
  <c r="Y6" i="5" s="1"/>
  <c r="U6" i="5"/>
  <c r="V6" i="5" s="1"/>
  <c r="X5" i="5"/>
  <c r="Y5" i="5" s="1"/>
  <c r="U5" i="5"/>
  <c r="V5" i="5" s="1"/>
  <c r="X3" i="5"/>
  <c r="Y3" i="5" s="1"/>
  <c r="U3" i="5"/>
  <c r="V3" i="5" s="1"/>
  <c r="X13" i="5"/>
  <c r="Y13" i="5" s="1"/>
  <c r="U13" i="5"/>
  <c r="V13" i="5" s="1"/>
  <c r="X2" i="5"/>
  <c r="U2" i="5"/>
  <c r="V2" i="5" s="1"/>
  <c r="X12" i="5"/>
  <c r="Y12" i="5" s="1"/>
  <c r="U12" i="5"/>
  <c r="V12" i="5" s="1"/>
  <c r="X11" i="5"/>
  <c r="Y11" i="5" s="1"/>
  <c r="U11" i="5"/>
  <c r="V11" i="5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U25" i="1"/>
  <c r="U26" i="1"/>
  <c r="U27" i="1"/>
  <c r="V27" i="1" s="1"/>
  <c r="U28" i="1"/>
  <c r="V28" i="1" s="1"/>
  <c r="U29" i="1"/>
  <c r="V29" i="1" s="1"/>
  <c r="U30" i="1"/>
  <c r="V30" i="1" s="1"/>
  <c r="U31" i="1"/>
  <c r="V31" i="1" s="1"/>
  <c r="U32" i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V24" i="1"/>
  <c r="V25" i="1"/>
  <c r="V26" i="1"/>
  <c r="AI40" i="2" l="1"/>
  <c r="AI4" i="2"/>
  <c r="AI19" i="2"/>
  <c r="AH45" i="2"/>
  <c r="AI71" i="2"/>
  <c r="AI30" i="2"/>
  <c r="AI29" i="2"/>
  <c r="AI42" i="2"/>
  <c r="AI56" i="2"/>
  <c r="AH81" i="2"/>
  <c r="AI69" i="2"/>
  <c r="AI52" i="2"/>
  <c r="AI39" i="2"/>
  <c r="AI38" i="2"/>
  <c r="AI21" i="2"/>
  <c r="AI36" i="2"/>
  <c r="AI12" i="2"/>
  <c r="AI72" i="2"/>
  <c r="AH14" i="2"/>
  <c r="AI20" i="2"/>
  <c r="AI82" i="2"/>
  <c r="AI6" i="2"/>
  <c r="AC18" i="1"/>
  <c r="AC24" i="1"/>
  <c r="AC25" i="1"/>
  <c r="AC81" i="1"/>
  <c r="AC43" i="1"/>
  <c r="AC61" i="1"/>
  <c r="AC79" i="1"/>
  <c r="AC76" i="1"/>
  <c r="AC62" i="1"/>
  <c r="AC39" i="1"/>
  <c r="AC21" i="1"/>
  <c r="AC10" i="1"/>
  <c r="AC82" i="1"/>
  <c r="AC60" i="1"/>
  <c r="AC63" i="1"/>
  <c r="AC5" i="1"/>
  <c r="AC46" i="1"/>
  <c r="AC7" i="1"/>
  <c r="AC19" i="1"/>
  <c r="AH21" i="2"/>
  <c r="AH29" i="2"/>
  <c r="AH80" i="2"/>
  <c r="AH68" i="2"/>
  <c r="AD34" i="2"/>
  <c r="AG34" i="2"/>
  <c r="AI34" i="2" s="1"/>
  <c r="AD49" i="2"/>
  <c r="AG49" i="2"/>
  <c r="AI49" i="2" s="1"/>
  <c r="AD35" i="2"/>
  <c r="AG35" i="2"/>
  <c r="AI35" i="2" s="1"/>
  <c r="AD58" i="2"/>
  <c r="AG58" i="2"/>
  <c r="AD16" i="2"/>
  <c r="AG16" i="2"/>
  <c r="AI16" i="2" s="1"/>
  <c r="AD3" i="2"/>
  <c r="AI3" i="2"/>
  <c r="AD7" i="2"/>
  <c r="AG7" i="2"/>
  <c r="AD25" i="2"/>
  <c r="AG25" i="2"/>
  <c r="AI25" i="2" s="1"/>
  <c r="AD26" i="2"/>
  <c r="AG26" i="2"/>
  <c r="AI26" i="2" s="1"/>
  <c r="AD79" i="2"/>
  <c r="AG79" i="2"/>
  <c r="AI79" i="2" s="1"/>
  <c r="AD83" i="2"/>
  <c r="AG83" i="2"/>
  <c r="AI83" i="2" s="1"/>
  <c r="AD54" i="2"/>
  <c r="AG54" i="2"/>
  <c r="AI54" i="2" s="1"/>
  <c r="AD73" i="2"/>
  <c r="AG73" i="2"/>
  <c r="AD31" i="2"/>
  <c r="AG31" i="2"/>
  <c r="AI31" i="2" s="1"/>
  <c r="AH12" i="2"/>
  <c r="AH20" i="2"/>
  <c r="AH71" i="2"/>
  <c r="AH69" i="2"/>
  <c r="AH13" i="2"/>
  <c r="AD64" i="2"/>
  <c r="AG64" i="2"/>
  <c r="AI64" i="2" s="1"/>
  <c r="AD70" i="2"/>
  <c r="AG70" i="2"/>
  <c r="AI70" i="2" s="1"/>
  <c r="AD33" i="2"/>
  <c r="AG33" i="2"/>
  <c r="AI33" i="2" s="1"/>
  <c r="AD65" i="2"/>
  <c r="AG65" i="2"/>
  <c r="AI65" i="2" s="1"/>
  <c r="AD46" i="2"/>
  <c r="AG46" i="2"/>
  <c r="AI46" i="2" s="1"/>
  <c r="AD59" i="2"/>
  <c r="AG59" i="2"/>
  <c r="AH11" i="2"/>
  <c r="AH61" i="2"/>
  <c r="AH60" i="2"/>
  <c r="AH40" i="2"/>
  <c r="AD62" i="2"/>
  <c r="AG62" i="2"/>
  <c r="AI62" i="2" s="1"/>
  <c r="AD9" i="2"/>
  <c r="AG9" i="2"/>
  <c r="AI9" i="2" s="1"/>
  <c r="AD75" i="2"/>
  <c r="AG75" i="2"/>
  <c r="AI75" i="2" s="1"/>
  <c r="AD5" i="2"/>
  <c r="AH5" i="2" s="1"/>
  <c r="AD78" i="2"/>
  <c r="AG78" i="2"/>
  <c r="AI78" i="2" s="1"/>
  <c r="AD28" i="2"/>
  <c r="AG28" i="2"/>
  <c r="AI28" i="2" s="1"/>
  <c r="AD50" i="2"/>
  <c r="AG50" i="2"/>
  <c r="AD47" i="2"/>
  <c r="AG47" i="2"/>
  <c r="AI47" i="2" s="1"/>
  <c r="AD10" i="2"/>
  <c r="AG10" i="2"/>
  <c r="AI10" i="2" s="1"/>
  <c r="AD76" i="2"/>
  <c r="AG76" i="2"/>
  <c r="AH82" i="2"/>
  <c r="AH52" i="2"/>
  <c r="AH51" i="2"/>
  <c r="AH41" i="2"/>
  <c r="AH22" i="2"/>
  <c r="AH74" i="2"/>
  <c r="AH44" i="2"/>
  <c r="AH43" i="2"/>
  <c r="AH42" i="2"/>
  <c r="AH32" i="2"/>
  <c r="AH4" i="2"/>
  <c r="AH57" i="2"/>
  <c r="AH36" i="2"/>
  <c r="AH23" i="2"/>
  <c r="AH48" i="2"/>
  <c r="AH56" i="2"/>
  <c r="AH37" i="2"/>
  <c r="AH27" i="2"/>
  <c r="AH24" i="2"/>
  <c r="AH72" i="2"/>
  <c r="AH39" i="2"/>
  <c r="AH18" i="2"/>
  <c r="AH77" i="2"/>
  <c r="AD63" i="2"/>
  <c r="AG63" i="2"/>
  <c r="AI63" i="2" s="1"/>
  <c r="AH30" i="2"/>
  <c r="AH38" i="2"/>
  <c r="AH19" i="2"/>
  <c r="AH8" i="2"/>
  <c r="AH6" i="2"/>
  <c r="AH67" i="2"/>
  <c r="AD53" i="2"/>
  <c r="AG53" i="2"/>
  <c r="AI53" i="2" s="1"/>
  <c r="AD84" i="2"/>
  <c r="AG84" i="2"/>
  <c r="AI84" i="2" s="1"/>
  <c r="AD66" i="2"/>
  <c r="AG66" i="2"/>
  <c r="AI66" i="2" s="1"/>
  <c r="AD66" i="1"/>
  <c r="AD60" i="1"/>
  <c r="AD83" i="1"/>
  <c r="AD84" i="1"/>
  <c r="AC67" i="1"/>
  <c r="AD15" i="1"/>
  <c r="AD8" i="1"/>
  <c r="AC31" i="1"/>
  <c r="AC35" i="1"/>
  <c r="AD51" i="1"/>
  <c r="AD76" i="1"/>
  <c r="AD6" i="1"/>
  <c r="AD55" i="1"/>
  <c r="AD25" i="1"/>
  <c r="AD79" i="1"/>
  <c r="AD56" i="1"/>
  <c r="AC20" i="1"/>
  <c r="AD20" i="1"/>
  <c r="AC71" i="1"/>
  <c r="AD61" i="1"/>
  <c r="AD52" i="1"/>
  <c r="AD13" i="1"/>
  <c r="AD21" i="1"/>
  <c r="AD81" i="1"/>
  <c r="AD58" i="1"/>
  <c r="AD18" i="1"/>
  <c r="AC70" i="1"/>
  <c r="AD27" i="1"/>
  <c r="AD4" i="1"/>
  <c r="AC74" i="1"/>
  <c r="AD74" i="1"/>
  <c r="AD26" i="1"/>
  <c r="AD63" i="1"/>
  <c r="AD5" i="1"/>
  <c r="AD19" i="1"/>
  <c r="AD49" i="1"/>
  <c r="AD44" i="1"/>
  <c r="AD37" i="1"/>
  <c r="AC12" i="1"/>
  <c r="AC36" i="1"/>
  <c r="AD62" i="1"/>
  <c r="AD10" i="1"/>
  <c r="AD65" i="1"/>
  <c r="AD54" i="1"/>
  <c r="AC75" i="1"/>
  <c r="AD75" i="1"/>
  <c r="AD80" i="1"/>
  <c r="AD28" i="1"/>
  <c r="AD73" i="1"/>
  <c r="AD38" i="1"/>
  <c r="AD32" i="1"/>
  <c r="Y78" i="1"/>
  <c r="AA78" i="1" a="1"/>
  <c r="AA78" i="1" s="1"/>
  <c r="AB78" i="1" s="1"/>
  <c r="AD78" i="1" s="1"/>
  <c r="AC48" i="1"/>
  <c r="AC3" i="1"/>
  <c r="AD77" i="1"/>
  <c r="AD46" i="1"/>
  <c r="AD41" i="1"/>
  <c r="AD39" i="1"/>
  <c r="Y16" i="5"/>
  <c r="AD159" i="2"/>
  <c r="AA159" i="2"/>
  <c r="X9" i="5"/>
  <c r="Y4" i="5"/>
  <c r="Y8" i="5"/>
  <c r="Y14" i="5"/>
  <c r="Y17" i="5"/>
  <c r="Y7" i="5"/>
  <c r="Y10" i="5"/>
  <c r="V16" i="5"/>
  <c r="U7" i="5"/>
  <c r="V10" i="5"/>
  <c r="V14" i="5"/>
  <c r="U10" i="5"/>
  <c r="U16" i="5"/>
  <c r="V17" i="5"/>
  <c r="U4" i="5"/>
  <c r="U17" i="5"/>
  <c r="U14" i="5"/>
  <c r="V4" i="5"/>
  <c r="V32" i="1"/>
  <c r="V7" i="5" s="1"/>
  <c r="AH7" i="2" l="1"/>
  <c r="AH50" i="2"/>
  <c r="AH58" i="2"/>
  <c r="AH76" i="2"/>
  <c r="AH59" i="2"/>
  <c r="AH73" i="2"/>
  <c r="AH46" i="2"/>
  <c r="AH54" i="2"/>
  <c r="AH83" i="2"/>
  <c r="AH10" i="2"/>
  <c r="AH47" i="2"/>
  <c r="AI59" i="2"/>
  <c r="AH31" i="2"/>
  <c r="AH16" i="2"/>
  <c r="AH28" i="2"/>
  <c r="AH65" i="2"/>
  <c r="AH78" i="2"/>
  <c r="AH63" i="2"/>
  <c r="AH33" i="2"/>
  <c r="AH84" i="2"/>
  <c r="AH3" i="2"/>
  <c r="AH53" i="2"/>
  <c r="AI50" i="2"/>
  <c r="AI73" i="2"/>
  <c r="AI58" i="2"/>
  <c r="AH35" i="2"/>
  <c r="AH49" i="2"/>
  <c r="AH79" i="2"/>
  <c r="AH34" i="2"/>
  <c r="AH75" i="2"/>
  <c r="AH70" i="2"/>
  <c r="AH26" i="2"/>
  <c r="AH9" i="2"/>
  <c r="AH64" i="2"/>
  <c r="AH25" i="2"/>
  <c r="AH66" i="2"/>
  <c r="AI76" i="2"/>
  <c r="AH62" i="2"/>
  <c r="AI7" i="2"/>
  <c r="AI5" i="2"/>
  <c r="AC78" i="1"/>
  <c r="Y9" i="5"/>
  <c r="Y22" i="5" s="1"/>
  <c r="Y28" i="5" s="1"/>
  <c r="Y21" i="5"/>
  <c r="Y27" i="5" s="1"/>
  <c r="Y23" i="5" l="1"/>
  <c r="Y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tc={76AB268B-E487-44E9-970A-6CFA9A9FDAB2}</author>
    <author>tc={731AAB45-B1BF-4B70-A70E-AE74683AEED3}</author>
    <author>tc={288675CE-79B8-4272-975F-C52DAB19C291}</author>
    <author>tc={3336BBF7-14B3-4D8B-AD7A-A8909286E7F6}</author>
  </authors>
  <commentList>
    <comment ref="M64" authorId="0" shapeId="0" xr:uid="{76AB268B-E487-44E9-970A-6CFA9A9FDA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Martin dataset, ref 87</t>
      </text>
    </comment>
    <comment ref="M68" authorId="1" shapeId="0" xr:uid="{731AAB45-B1BF-4B70-A70E-AE74683AEE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Martin dataset ref 98</t>
      </text>
    </comment>
    <comment ref="M73" authorId="2" shapeId="0" xr:uid="{288675CE-79B8-4272-975F-C52DAB19C2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Martin dataset ref 98</t>
      </text>
    </comment>
    <comment ref="M78" authorId="3" shapeId="0" xr:uid="{3336BBF7-14B3-4D8B-AD7A-A8909286E7F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SI .xlsx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tc={1F00F474-7ED1-41DF-958F-CE7CFF93F67A}</author>
    <author>tc={0FA03E2B-1CCB-41C0-A752-297A98AD431F}</author>
    <author>tc={BFFBA6D8-B30B-4DC7-9BE3-043485B6D943}</author>
    <author>tc={4DE79FB6-52DA-47AC-ACCB-48F168ECAB5F}</author>
    <author>tc={44C31201-1F34-4AB3-8AE8-AE5B01785718}</author>
    <author>tc={10AA66BC-0D65-421E-B59B-167C4C7419B6}</author>
    <author>tc={9F97FD10-AABF-429E-B64F-6481033EC866}</author>
    <author>tc={7DFE3C00-89AA-4F6E-84D5-D532C0C7C47B}</author>
    <author>tc={C37A3D57-F35B-4B80-8B96-A100A29677EA}</author>
    <author>tc={F34267B0-44CD-4AAB-B637-01ACE7329DB6}</author>
    <author>tc={7D04F965-F50D-4E17-B1A7-B3662B8FEF02}</author>
    <author>tc={E00E875A-10CD-4603-8F49-DC86B905DA87}</author>
    <author>tc={EC0712A2-C986-492A-A021-B6CF5165146E}</author>
    <author>tc={6A57B87F-8F31-4A22-962F-EA6C17B15255}</author>
    <author>tc={FD6E8807-8D59-468B-AC58-BB678C29FF23}</author>
    <author>tc={3F18B18C-5463-412C-ACF2-4D40FA42FDC2}</author>
    <author>tc={49C8B0FF-A8BC-4748-8187-9FDD850B14AB}</author>
    <author>tc={A8AA5AE1-3D2E-4918-A1FC-BFCB246990CD}</author>
    <author>tc={FD21F0FD-90D6-492E-B87A-76D857A604B2}</author>
    <author>tc={D493C6DC-5309-4865-BE0F-BE3DEF01780B}</author>
    <author>tc={E8CE0288-1B07-41E5-82CE-35579279BBC8}</author>
    <author>tc={7A045E60-8D07-472E-B8DF-4CA42D7BABD7}</author>
    <author>tc={621E65E9-7214-441E-98C9-22649CDB2DCC}</author>
    <author>tc={A09132D5-375E-43B3-8FEF-814B90CE2830}</author>
  </authors>
  <commentList>
    <comment ref="S3" authorId="0" shapeId="0" xr:uid="{1F00F474-7ED1-41DF-958F-CE7CFF93F6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Corrected. The last sampled sediment containing MPs corresponds to the year 1950</t>
      </text>
    </comment>
    <comment ref="N6" authorId="1" shapeId="0" xr:uid="{0FA03E2B-1CCB-41C0-A752-297A98AD43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Estimated</t>
      </text>
    </comment>
    <comment ref="I12" authorId="2" shapeId="0" xr:uid="{BFFBA6D8-B30B-4DC7-9BE3-043485B6D9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Concentration corrected: only used bins considered</t>
      </text>
    </comment>
    <comment ref="I18" authorId="3" shapeId="0" xr:uid="{4DE79FB6-52DA-47AC-ACCB-48F168ECAB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Concentration corrected: only MPs&gt;500</t>
      </text>
    </comment>
    <comment ref="I31" authorId="4" shapeId="0" xr:uid="{44C31201-1F34-4AB3-8AE8-AE5B017857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Concentration correcteD : only MPs&gt;500; 54%</t>
      </text>
    </comment>
    <comment ref="G75" authorId="5" shapeId="0" xr:uid="{10AA66BC-0D65-421E-B59B-167C4C7419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significant difference, in context of the database, was found between before and after typhoon. The mean value (between+after/2) is thus computed for each location.</t>
      </text>
    </comment>
    <comment ref="I75" authorId="6" shapeId="0" xr:uid="{9F97FD10-AABF-429E-B64F-6481033EC8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significant difference, in context of the database, was found between before and after typhoon. The mean value (between+after/2) is thus computed for each location.</t>
      </text>
    </comment>
    <comment ref="I87" authorId="7" shapeId="0" xr:uid="{7DFE3C00-89AA-4F6E-84D5-D532C0C7C4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 value : only concnetration for MP&gt;501 µm is considered (42% of total)</t>
      </text>
    </comment>
    <comment ref="F90" authorId="8" shapeId="0" xr:uid="{C37A3D57-F35B-4B80-8B96-A100A29677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Here the shape info is used to understand the differences within one study. Before it was used to understand how trustworthy the deducted slope was.</t>
      </text>
    </comment>
    <comment ref="I90" authorId="9" shapeId="0" xr:uid="{F34267B0-44CD-4AAB-B637-01ACE7329D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Corrected: only fragments+granulas =51% and only MP&gt;500 = 76%</t>
      </text>
    </comment>
    <comment ref="I115" authorId="10" shapeId="0" xr:uid="{7D04F965-F50D-4E17-B1A7-B3662B8FEF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Corrected: only fragments+granulas =51% and only MP&gt;500 = 76%</t>
      </text>
    </comment>
    <comment ref="I140" authorId="11" shapeId="0" xr:uid="{E00E875A-10CD-4603-8F49-DC86B905DA8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Table 2; differs from Martin 2021 dataset</t>
      </text>
    </comment>
    <comment ref="I172" authorId="12" shapeId="0" xr:uid="{EC0712A2-C986-492A-A021-B6CF516514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Corrected: concentration from Table  2 in MP/m2 is converted to MP/kgdw and multiplied by 0,784 since 78,4% of all MP found are &lt;5mm. =&gt; Conc = Table2/(dry bulk density * thickness)*0,1*0,784.</t>
      </text>
    </comment>
    <comment ref="P172" authorId="13" shapeId="0" xr:uid="{6A57B87F-8F31-4A22-962F-EA6C17B152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 hope I associated it correctly.</t>
      </text>
    </comment>
    <comment ref="P183" authorId="14" shapeId="0" xr:uid="{FD6E8807-8D59-468B-AC58-BB678C29FF2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 hope I associated it correctly.</t>
      </text>
    </comment>
    <comment ref="I194" authorId="15" shapeId="0" xr:uid="{3F18B18C-5463-412C-ACF2-4D40FA42FD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Orrected: Only 57% of total concentration is considered (MPs&gt;100µm)</t>
      </text>
    </comment>
    <comment ref="R194" authorId="16" shapeId="0" xr:uid="{49C8B0FF-A8BC-4748-8187-9FDD850B14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ref 50 from Martin 2021 dataset</t>
      </text>
    </comment>
    <comment ref="S194" authorId="17" shapeId="0" xr:uid="{A8AA5AE1-3D2E-4918-A1FC-BFCB246990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ref 50 from Martin 2021 dataset</t>
      </text>
    </comment>
    <comment ref="I212" authorId="18" shapeId="0" xr:uid="{FD21F0FD-90D6-492E-B87A-76D857A60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 : Authors report MP/100 g, only 52,8% are fibers, and 54,8% asre MP&gt;500 µm. Conc = reported*10*0,528*0,548.</t>
      </text>
    </comment>
    <comment ref="R212" authorId="19" shapeId="0" xr:uid="{D493C6DC-5309-4865-BE0F-BE3DEF0178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ref 14 from Martin 2021 dataset.</t>
      </text>
    </comment>
    <comment ref="I222" authorId="20" shapeId="0" xr:uid="{E8CE0288-1B07-41E5-82CE-35579279BB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Corrected : Authors report MP/100 g, only 35,5% are fibers, and 54,8% asre MP&gt;500 µm. Conc = reported*10*0,355*0,548.</t>
      </text>
    </comment>
    <comment ref="R222" authorId="21" shapeId="0" xr:uid="{7A045E60-8D07-472E-B8DF-4CA42D7BAB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ref 14 from Martin 2021 dataset.</t>
      </text>
    </comment>
    <comment ref="R232" authorId="22" shapeId="0" xr:uid="{621E65E9-7214-441E-98C9-22649CDB2D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Ref 93 from Martin 2021 dataset.</t>
      </text>
    </comment>
    <comment ref="R248" authorId="23" shapeId="0" xr:uid="{A09132D5-375E-43B3-8FEF-814B90CE28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Ref 92 from martin 2021 dataset..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<sst xmlns="http://schemas.openxmlformats.org/spreadsheetml/2006/main" count="3184" uniqueCount="274">
  <si>
    <t>PSD ID</t>
  </si>
  <si>
    <t>Lat</t>
  </si>
  <si>
    <t>Lon</t>
  </si>
  <si>
    <t>Shape</t>
  </si>
  <si>
    <t>Info shape</t>
  </si>
  <si>
    <t>Slope</t>
  </si>
  <si>
    <t>MP mass observation extrapolated to 1-5000 µm (µg/kg) from MPsizeBase</t>
  </si>
  <si>
    <t>Wan19a_A_1</t>
  </si>
  <si>
    <t>Fibers</t>
  </si>
  <si>
    <t>Mu19_A_1</t>
  </si>
  <si>
    <t>64% fibers</t>
  </si>
  <si>
    <t>Alv20_A_1</t>
  </si>
  <si>
    <t>100% fibers</t>
  </si>
  <si>
    <t>Alv20_A_2</t>
  </si>
  <si>
    <t>Fragments</t>
  </si>
  <si>
    <t>100% fragments</t>
  </si>
  <si>
    <t>Zha20_A_1</t>
  </si>
  <si>
    <t>92% fibers</t>
  </si>
  <si>
    <t>Hua20_A_1</t>
  </si>
  <si>
    <t>68% fibers</t>
  </si>
  <si>
    <t>Hua20_A_2</t>
  </si>
  <si>
    <t>56% fibers</t>
  </si>
  <si>
    <t>Hua20_A_3</t>
  </si>
  <si>
    <t>71% fibers</t>
  </si>
  <si>
    <t>Hua20_A_4</t>
  </si>
  <si>
    <t>61% fragments</t>
  </si>
  <si>
    <t>Alv19_A_1</t>
  </si>
  <si>
    <t>81% fibers</t>
  </si>
  <si>
    <t>Haa19_A_1</t>
  </si>
  <si>
    <t>no</t>
  </si>
  <si>
    <t>Haa19_A_2</t>
  </si>
  <si>
    <t>Haa19_A_3</t>
  </si>
  <si>
    <t>Lor19_A_1</t>
  </si>
  <si>
    <t>Jah19_A_1</t>
  </si>
  <si>
    <t>80% fragments</t>
  </si>
  <si>
    <t>Lin17_A_1</t>
  </si>
  <si>
    <t>Fibres</t>
  </si>
  <si>
    <t>Lin17_A_2</t>
  </si>
  <si>
    <t>Lin17_A_3</t>
  </si>
  <si>
    <t>Lin17_A_4</t>
  </si>
  <si>
    <t>Lin17_A_5</t>
  </si>
  <si>
    <t>Lin17_A_6</t>
  </si>
  <si>
    <t>Lin17_A_7</t>
  </si>
  <si>
    <t>Lin17_A_8</t>
  </si>
  <si>
    <t>Nor14_A_1</t>
  </si>
  <si>
    <t>72% fibers</t>
  </si>
  <si>
    <t>Wanb19_A_1</t>
  </si>
  <si>
    <t>Wanb19_A_2</t>
  </si>
  <si>
    <t>Wanb19_A_3</t>
  </si>
  <si>
    <t>Wanb19_A_4</t>
  </si>
  <si>
    <t>Wanb19_A_5</t>
  </si>
  <si>
    <t>Wanb19_A_6</t>
  </si>
  <si>
    <t>Wanb19_A_7</t>
  </si>
  <si>
    <t>Wanb19_A_8</t>
  </si>
  <si>
    <t>Wanb19_A_9</t>
  </si>
  <si>
    <t>Wanb19_A_10</t>
  </si>
  <si>
    <t>Wanb19_A_11</t>
  </si>
  <si>
    <t>Wanb19_A_12</t>
  </si>
  <si>
    <t>Wanb19_A_13</t>
  </si>
  <si>
    <t>Wanb19_A_14</t>
  </si>
  <si>
    <t>Wanb19_A_15</t>
  </si>
  <si>
    <t>Wanb19_A_16</t>
  </si>
  <si>
    <t>Wanb19_A_17</t>
  </si>
  <si>
    <t>Wanb19_A_18</t>
  </si>
  <si>
    <t>Wanb19_A_19</t>
  </si>
  <si>
    <t>Wanb19_A_20</t>
  </si>
  <si>
    <t>Wanb19_A_21</t>
  </si>
  <si>
    <t>Wanb19_A_22</t>
  </si>
  <si>
    <t>Wanb19_A_23</t>
  </si>
  <si>
    <t>Wanb19_A_24</t>
  </si>
  <si>
    <t>Bik23_A_1</t>
  </si>
  <si>
    <t>73% fragments</t>
  </si>
  <si>
    <t>Bik23_A_2</t>
  </si>
  <si>
    <t>Bik23_A_3</t>
  </si>
  <si>
    <t>Bik23_A_4</t>
  </si>
  <si>
    <t>Bik23_A_5</t>
  </si>
  <si>
    <t>Bik23_A_6</t>
  </si>
  <si>
    <t>Bik23_A_7</t>
  </si>
  <si>
    <t>Bik23_A_8</t>
  </si>
  <si>
    <t>Bik23_A_9</t>
  </si>
  <si>
    <t>Bik23_A_10</t>
  </si>
  <si>
    <t>Bik23_A_12</t>
  </si>
  <si>
    <t>Bik23_A_13</t>
  </si>
  <si>
    <t>Bik23_A_14</t>
  </si>
  <si>
    <t>Bik23_A_15</t>
  </si>
  <si>
    <t>Kim23_A_1</t>
  </si>
  <si>
    <t>Kim23_A_2</t>
  </si>
  <si>
    <t>Kim23_A_3</t>
  </si>
  <si>
    <t>Kim23_A_4</t>
  </si>
  <si>
    <t>Kim23_A_5</t>
  </si>
  <si>
    <t>Kim23_A_6</t>
  </si>
  <si>
    <t>Accumulation rate from Restreppo</t>
  </si>
  <si>
    <t>year of sampling</t>
  </si>
  <si>
    <t> thickness of the sampled sediment layer (cm)</t>
  </si>
  <si>
    <t>Nela</t>
  </si>
  <si>
    <t>Dry bulk density of the sediments (g/cm³) Martin dataset</t>
  </si>
  <si>
    <t>reference numbrer in Martin  dataset</t>
  </si>
  <si>
    <t>Distance_land (m) Martin dataset</t>
  </si>
  <si>
    <t>Water_Depth (m)  Martin dataset</t>
  </si>
  <si>
    <t>accumulation rate (cm/yr) Martin dataset</t>
  </si>
  <si>
    <t>Distance to land NASA Ocean Biology Processing Group (m)</t>
  </si>
  <si>
    <t>Author</t>
  </si>
  <si>
    <t>link</t>
  </si>
  <si>
    <t>Wang et al.,</t>
  </si>
  <si>
    <t>HS1</t>
  </si>
  <si>
    <t>HS3</t>
  </si>
  <si>
    <t>Wan19a_A_2</t>
  </si>
  <si>
    <t>Wan19a_A_3</t>
  </si>
  <si>
    <t>Wan19a_A_4</t>
  </si>
  <si>
    <t>Wan19a_A_5</t>
  </si>
  <si>
    <t>Wan19a_A_6</t>
  </si>
  <si>
    <t>Wan19a_A_7</t>
  </si>
  <si>
    <t>Wan19a_A_8</t>
  </si>
  <si>
    <t>Wan19a_A_9</t>
  </si>
  <si>
    <t>Wan19a_A_10</t>
  </si>
  <si>
    <t>Wan19a_A_11</t>
  </si>
  <si>
    <t>Wan19a_A_12</t>
  </si>
  <si>
    <t>Wan19a_A_13</t>
  </si>
  <si>
    <t>Wan19a_A_14</t>
  </si>
  <si>
    <t>Intercept</t>
  </si>
  <si>
    <t>Intercept new</t>
  </si>
  <si>
    <t>Mass extrapolated µg/kg</t>
  </si>
  <si>
    <t>Smallest</t>
  </si>
  <si>
    <t>High levels of microplastic pollution in the sediments and benthic organisms of the South Yellow Sea, China - ScienceDirect</t>
  </si>
  <si>
    <t>Zhang et al.,</t>
  </si>
  <si>
    <t>Microplastic pollution in water, sediment, and fish from artificial reefs around the Ma’an Archipelago, Shengsi, China - ScienceDirect</t>
  </si>
  <si>
    <t>land</t>
  </si>
  <si>
    <t>mass converted to g/cm³</t>
  </si>
  <si>
    <t>mass converted to g/cm²</t>
  </si>
  <si>
    <t>accumulation time (yr) since 1950</t>
  </si>
  <si>
    <t xml:space="preserve"> time represented by the sampled sediment layer (yr)</t>
  </si>
  <si>
    <t xml:space="preserve">total thickness of the sediments (cm) since 1950 </t>
  </si>
  <si>
    <t>MP stock (g/m2) in year of study</t>
  </si>
  <si>
    <t>Che18_A_1</t>
  </si>
  <si>
    <t>29.51</t>
  </si>
  <si>
    <t>121.504</t>
  </si>
  <si>
    <t>63% fibers</t>
  </si>
  <si>
    <t>Chen et al.,</t>
  </si>
  <si>
    <t>Assessment of microplastics derived from mariculture in Xiangshan Bay, China - ScienceDirect</t>
  </si>
  <si>
    <t>82% fibers</t>
  </si>
  <si>
    <t>47% fibers</t>
  </si>
  <si>
    <t>61% fibers</t>
  </si>
  <si>
    <t>Zhao et al.,</t>
  </si>
  <si>
    <t>Detailed studies in MPsizeBase</t>
  </si>
  <si>
    <t xml:space="preserve">Extrapolated studies using mean slope from studies in Chinese seas : -1,55 </t>
  </si>
  <si>
    <t>Microplastic pollution in sediments from the Bohai Sea and the Yellow Sea, China - ScienceDirect</t>
  </si>
  <si>
    <t>94% fibers</t>
  </si>
  <si>
    <t xml:space="preserve">Zhang et al., </t>
  </si>
  <si>
    <t>Zheng et al.,</t>
  </si>
  <si>
    <t>Distribution characteristics of microplastics in the seawater and sediment: A case study in Jiaozhou Bay, China - ScienceDirect</t>
  </si>
  <si>
    <t>Wang et al,,</t>
  </si>
  <si>
    <t>Typhoons increase the abundance of microplastics in the marine environment and cultured organisms: A case study in Sanggou Bay, China - ScienceDirect</t>
  </si>
  <si>
    <t>Name</t>
  </si>
  <si>
    <t>Huang2020</t>
  </si>
  <si>
    <t>Wang2019a</t>
  </si>
  <si>
    <t>Alvarez-Ramirez2020</t>
  </si>
  <si>
    <t>Alvarez-Ramirez2021</t>
  </si>
  <si>
    <t>Mu2019</t>
  </si>
  <si>
    <t>Zhang2020</t>
  </si>
  <si>
    <t>65% fibers</t>
  </si>
  <si>
    <t>Haave2019</t>
  </si>
  <si>
    <t>none</t>
  </si>
  <si>
    <t>Lorentz2019</t>
  </si>
  <si>
    <t>Jahan2019</t>
  </si>
  <si>
    <t>Ling2019</t>
  </si>
  <si>
    <t>Wang2019b</t>
  </si>
  <si>
    <t>Bikir2023</t>
  </si>
  <si>
    <t>Kim2023</t>
  </si>
  <si>
    <t>Chen2018</t>
  </si>
  <si>
    <t>mean slope fibers :</t>
  </si>
  <si>
    <t>mean slope fragments :</t>
  </si>
  <si>
    <t xml:space="preserve">mean slope fragments confident: </t>
  </si>
  <si>
    <t>First estimation</t>
  </si>
  <si>
    <t>Surface (from Sonke 22)</t>
  </si>
  <si>
    <t>m2</t>
  </si>
  <si>
    <t>g/m2</t>
  </si>
  <si>
    <t xml:space="preserve">geomean stock fibers g/m2 : </t>
  </si>
  <si>
    <t>geomean stock fragments g/m2 :</t>
  </si>
  <si>
    <t xml:space="preserve">geomean stock confident fragments g/m2 : </t>
  </si>
  <si>
    <t xml:space="preserve">Total stock of marine sediments fibers : </t>
  </si>
  <si>
    <t xml:space="preserve">Total stock of marine sediments fragments : </t>
  </si>
  <si>
    <t xml:space="preserve">Total stock of confident marine sediments fragments : </t>
  </si>
  <si>
    <t>Tg</t>
  </si>
  <si>
    <t>Extrapolated studies using mean slope from MPsizeBase : fibers = -1,77; fragments = -2,09</t>
  </si>
  <si>
    <t>Microplastic ingestion by the farmed sea cucumber Apostichopus japonicus in China - ScienceDirect</t>
  </si>
  <si>
    <t>Mohsen et al.,</t>
  </si>
  <si>
    <t>97% fibers</t>
  </si>
  <si>
    <t>Falahudin et al.,</t>
  </si>
  <si>
    <t>The first occurrence, spatial distribution and characteristics of microplastic particles in sediments from Banten Bay, Indonesia - ScienceDirect</t>
  </si>
  <si>
    <t>51% fragments</t>
  </si>
  <si>
    <t>(PDF) Microplastics in the sediment of intertidal areas of Lamongan, Indonesia</t>
  </si>
  <si>
    <t>Asadi et al.,</t>
  </si>
  <si>
    <t>49% fibers</t>
  </si>
  <si>
    <t>48% fibers</t>
  </si>
  <si>
    <t>23% fragments</t>
  </si>
  <si>
    <t>The impact of sediment dumping sites on the concentrations of microplastic in the inner continental shelf of Rio de Janeiro/Brazil - ScienceDirect</t>
  </si>
  <si>
    <t>Neto et al.,</t>
  </si>
  <si>
    <t>6,1% fragments</t>
  </si>
  <si>
    <t>Occurrence and Composition of Microplastics in the Seabed Sediments of the Coral Communities in Proximity of a Metropolitan Area - PMC</t>
  </si>
  <si>
    <t>Cheang et al.,</t>
  </si>
  <si>
    <t>Concentration reported MP/kgdw</t>
  </si>
  <si>
    <t>Microplastics in Sediment Cores from Asia and Africa as Indicators of Temporal Trends in Plastic Pollution | Archives of Environmental Contamination and Toxicology | Springer Nature Link</t>
  </si>
  <si>
    <t>Matsuguma et al.,</t>
  </si>
  <si>
    <t>Microplastics in Baltic bottom sediments: Quantification procedures and first results - ScienceDirect</t>
  </si>
  <si>
    <t>Zobkov and Esiukova</t>
  </si>
  <si>
    <t>Microplastics in the sediments of Terra Nova Bay (Ross Sea, Antarctica) - ScienceDirect</t>
  </si>
  <si>
    <t>Munari et al.,</t>
  </si>
  <si>
    <t>Piazolla et al.,</t>
  </si>
  <si>
    <t>Microlitter pollution in coastal sediments of the northern Tyrrhenian Sea, Italy: microplastics and fly-ash occurrence and distribution - ScienceDirect</t>
  </si>
  <si>
    <t>Boskovic et al.,</t>
  </si>
  <si>
    <t>Distribution and characterization of microplastics in marine sediments from the Montenegrin coast | Journal of Soils and Sediments | Springer Nature Link</t>
  </si>
  <si>
    <t>42.436738</t>
  </si>
  <si>
    <t>18.762041</t>
  </si>
  <si>
    <t>42.486974</t>
  </si>
  <si>
    <t>18.753844</t>
  </si>
  <si>
    <t>42.457092</t>
  </si>
  <si>
    <t>18.674193</t>
  </si>
  <si>
    <t>42.437744</t>
  </si>
  <si>
    <t>18.677641</t>
  </si>
  <si>
    <t>42.446168</t>
  </si>
  <si>
    <t>18.658379</t>
  </si>
  <si>
    <t>42.446485</t>
  </si>
  <si>
    <t>18.532894</t>
  </si>
  <si>
    <t>42.397888</t>
  </si>
  <si>
    <t>18.566368</t>
  </si>
  <si>
    <t>42.262911</t>
  </si>
  <si>
    <t>18.833523</t>
  </si>
  <si>
    <t>42.104562</t>
  </si>
  <si>
    <t>19.057053</t>
  </si>
  <si>
    <t>41.863054</t>
  </si>
  <si>
    <t>19.323559</t>
  </si>
  <si>
    <t>52,8% fibers</t>
  </si>
  <si>
    <t>35,5% fragments</t>
  </si>
  <si>
    <t>Goswami et al.,</t>
  </si>
  <si>
    <t>Microplastics particles in seafloor sediments along the Arabian Sea and the Andaman Sea continental shelves: First insight on the occurrence, identification, and characterization - ScienceDirect</t>
  </si>
  <si>
    <t>ID</t>
  </si>
  <si>
    <t>MP stock (g/m2) in year of study Martin</t>
  </si>
  <si>
    <t>HS2</t>
  </si>
  <si>
    <t>Abundance and distribution of microplastics in the surface sediments from the northern Bering and Chukchi Seas - ScienceDirect</t>
  </si>
  <si>
    <t>Mu et al.,</t>
  </si>
  <si>
    <t>Microplastics: Sources and distribution in surface waters and sediments of Todos Santos Bay, Mexico - ScienceDirect</t>
  </si>
  <si>
    <t>Alvarez-Ramirez et al.,</t>
  </si>
  <si>
    <t>Huang et al.,</t>
  </si>
  <si>
    <t>Seagrass beds acting as a trap of microplastics - Emerging hotspot in the coastal region? - ScienceDirect</t>
  </si>
  <si>
    <t>Alvez et al.,</t>
  </si>
  <si>
    <t>Microplastic in the sediments of a highly eutrophic tropical estuary - ScienceDirect</t>
  </si>
  <si>
    <t>Haave et al.,</t>
  </si>
  <si>
    <t>Different stories told by small and large microplastics in sediment - first report of microplastic concentrations in an urban recipient in Norway - ScienceDirect</t>
  </si>
  <si>
    <t>Lorentz et al.,</t>
  </si>
  <si>
    <t>Spatial distribution of microplastics in sediments and surface waters of the southern North Sea - ScienceDirect</t>
  </si>
  <si>
    <t>Jahan et al.,</t>
  </si>
  <si>
    <t>Interrelationship of microplastic pollution in sediments and oysters in a seaport environment of the eastern coast of Australia - ScienceDirect</t>
  </si>
  <si>
    <t>Ling et al.,</t>
  </si>
  <si>
    <t>Ubiquity of microplastics in coastal seafloor sediments - ScienceDirect</t>
  </si>
  <si>
    <t>Redirecting</t>
  </si>
  <si>
    <t>Nor and Obbard</t>
  </si>
  <si>
    <t xml:space="preserve">Wang et al., </t>
  </si>
  <si>
    <t>Bikir et al.,</t>
  </si>
  <si>
    <t>Frontiers | A spatial and temporal assessment of microplastics in seafloor sediments: A case study for the UK</t>
  </si>
  <si>
    <t>Kim et al.,</t>
  </si>
  <si>
    <t>Arctic Ocean sediments as important current and future sinks for marine microplastics missing in the global microplastic budget | Science Advances</t>
  </si>
  <si>
    <t>MP stock (g/m2) in 2021</t>
  </si>
  <si>
    <t>Difference</t>
  </si>
  <si>
    <t>% Difference</t>
  </si>
  <si>
    <t>parameter a</t>
  </si>
  <si>
    <t>FROM MPSIZEBASE</t>
  </si>
  <si>
    <t>INFO SAMPLING</t>
  </si>
  <si>
    <t>FROM MARTIN DATASET</t>
  </si>
  <si>
    <t>NOT FROM MARTIN</t>
  </si>
  <si>
    <t>MASS IN g/cm2</t>
  </si>
  <si>
    <t>COMPUTED USING MARIN DATA</t>
  </si>
  <si>
    <t>COMPUTED USING RESTREPPO DATA</t>
  </si>
  <si>
    <t>EXTRAPOLATED TO 2021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</si>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</sst>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0000"/>
    <numFmt numFmtId="165" formatCode="0.00000000"/>
    <numFmt numFmtId="166" formatCode="0.0000"/>
    <numFmt numFmtId="167" formatCode="0.0"/>
    <numFmt numFmtId="168" formatCode="0.000000"/>
    <numFmt numFmtId="169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2"/>
      <name val="Calibri"/>
      <family val="2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1"/>
      <color rgb="FF222222"/>
      <name val="Arial"/>
      <family val="2"/>
    </font>
    <font>
      <sz val="11"/>
      <color rgb="FF222222"/>
      <name val="Calibri"/>
      <family val="2"/>
    </font>
    <font>
      <sz val="11"/>
      <color rgb="FF2C2C2C"/>
      <name val="Calibri"/>
      <family val="2"/>
    </font>
    <font>
      <sz val="11"/>
      <color rgb="FF1F1F1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03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left"/>
    </xf>
    <xf numFmtId="11" fontId="3" fillId="2" borderId="1" xfId="0" applyNumberFormat="1" applyFont="1" applyFill="1" applyBorder="1"/>
    <xf numFmtId="2" fontId="3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left"/>
    </xf>
    <xf numFmtId="11" fontId="0" fillId="2" borderId="1" xfId="0" applyNumberFormat="1" applyFill="1" applyBorder="1"/>
    <xf numFmtId="11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wrapText="1"/>
    </xf>
    <xf numFmtId="9" fontId="3" fillId="2" borderId="1" xfId="1" applyFont="1" applyFill="1" applyBorder="1" applyAlignment="1">
      <alignment horizontal="left" wrapText="1"/>
    </xf>
    <xf numFmtId="11" fontId="3" fillId="2" borderId="1" xfId="0" applyNumberFormat="1" applyFont="1" applyFill="1" applyBorder="1" applyAlignment="1">
      <alignment horizontal="right" wrapText="1"/>
    </xf>
    <xf numFmtId="0" fontId="0" fillId="2" borderId="1" xfId="0" applyFill="1" applyBorder="1"/>
    <xf numFmtId="0" fontId="4" fillId="2" borderId="1" xfId="0" applyFont="1" applyFill="1" applyBorder="1"/>
    <xf numFmtId="0" fontId="0" fillId="3" borderId="1" xfId="0" applyFill="1" applyBorder="1"/>
    <xf numFmtId="1" fontId="3" fillId="3" borderId="1" xfId="0" applyNumberFormat="1" applyFont="1" applyFill="1" applyBorder="1"/>
    <xf numFmtId="0" fontId="0" fillId="3" borderId="2" xfId="0" applyFill="1" applyBorder="1"/>
    <xf numFmtId="1" fontId="0" fillId="3" borderId="1" xfId="0" applyNumberFormat="1" applyFill="1" applyBorder="1"/>
    <xf numFmtId="1" fontId="3" fillId="3" borderId="1" xfId="0" applyNumberFormat="1" applyFont="1" applyFill="1" applyBorder="1" applyAlignment="1">
      <alignment horizontal="right"/>
    </xf>
    <xf numFmtId="0" fontId="5" fillId="3" borderId="0" xfId="0" applyFont="1" applyFill="1" applyAlignment="1">
      <alignment vertical="center"/>
    </xf>
    <xf numFmtId="2" fontId="6" fillId="2" borderId="1" xfId="0" applyNumberFormat="1" applyFont="1" applyFill="1" applyBorder="1"/>
    <xf numFmtId="2" fontId="0" fillId="2" borderId="1" xfId="0" applyNumberFormat="1" applyFill="1" applyBorder="1" applyAlignment="1">
      <alignment horizontal="right"/>
    </xf>
    <xf numFmtId="2" fontId="3" fillId="2" borderId="1" xfId="0" applyNumberFormat="1" applyFont="1" applyFill="1" applyBorder="1"/>
    <xf numFmtId="2" fontId="0" fillId="2" borderId="1" xfId="0" applyNumberFormat="1" applyFill="1" applyBorder="1"/>
    <xf numFmtId="1" fontId="3" fillId="3" borderId="1" xfId="0" applyNumberFormat="1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/>
    <xf numFmtId="0" fontId="0" fillId="5" borderId="3" xfId="0" applyFill="1" applyBorder="1"/>
    <xf numFmtId="0" fontId="2" fillId="0" borderId="0" xfId="0" applyFont="1"/>
    <xf numFmtId="0" fontId="3" fillId="5" borderId="1" xfId="0" applyFont="1" applyFill="1" applyBorder="1" applyAlignment="1">
      <alignment vertical="center"/>
    </xf>
    <xf numFmtId="0" fontId="0" fillId="5" borderId="1" xfId="0" applyFill="1" applyBorder="1"/>
    <xf numFmtId="0" fontId="3" fillId="3" borderId="1" xfId="0" applyFont="1" applyFill="1" applyBorder="1"/>
    <xf numFmtId="10" fontId="3" fillId="2" borderId="1" xfId="0" applyNumberFormat="1" applyFont="1" applyFill="1" applyBorder="1"/>
    <xf numFmtId="0" fontId="3" fillId="2" borderId="1" xfId="0" applyFont="1" applyFill="1" applyBorder="1" applyAlignment="1">
      <alignment horizontal="right" wrapText="1"/>
    </xf>
    <xf numFmtId="0" fontId="0" fillId="3" borderId="5" xfId="0" applyFill="1" applyBorder="1"/>
    <xf numFmtId="0" fontId="0" fillId="3" borderId="6" xfId="0" applyFill="1" applyBorder="1"/>
    <xf numFmtId="0" fontId="3" fillId="2" borderId="5" xfId="0" applyFont="1" applyFill="1" applyBorder="1"/>
    <xf numFmtId="0" fontId="9" fillId="0" borderId="0" xfId="2"/>
    <xf numFmtId="0" fontId="0" fillId="3" borderId="0" xfId="0" applyFill="1"/>
    <xf numFmtId="0" fontId="0" fillId="6" borderId="1" xfId="0" applyFill="1" applyBorder="1"/>
    <xf numFmtId="0" fontId="0" fillId="5" borderId="7" xfId="0" applyFill="1" applyBorder="1"/>
    <xf numFmtId="0" fontId="9" fillId="0" borderId="0" xfId="2" applyFill="1"/>
    <xf numFmtId="0" fontId="3" fillId="0" borderId="1" xfId="0" applyFont="1" applyBorder="1"/>
    <xf numFmtId="0" fontId="0" fillId="0" borderId="1" xfId="0" applyBorder="1"/>
    <xf numFmtId="0" fontId="0" fillId="0" borderId="4" xfId="0" applyBorder="1"/>
    <xf numFmtId="11" fontId="0" fillId="0" borderId="1" xfId="0" applyNumberFormat="1" applyBorder="1"/>
    <xf numFmtId="0" fontId="0" fillId="0" borderId="7" xfId="0" applyBorder="1"/>
    <xf numFmtId="1" fontId="0" fillId="0" borderId="2" xfId="0" applyNumberFormat="1" applyBorder="1"/>
    <xf numFmtId="0" fontId="3" fillId="0" borderId="4" xfId="0" applyFont="1" applyBorder="1"/>
    <xf numFmtId="9" fontId="0" fillId="0" borderId="0" xfId="1" applyFont="1" applyFill="1"/>
    <xf numFmtId="0" fontId="0" fillId="5" borderId="8" xfId="0" applyFill="1" applyBorder="1"/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" fontId="7" fillId="5" borderId="7" xfId="0" applyNumberFormat="1" applyFont="1" applyFill="1" applyBorder="1" applyAlignment="1">
      <alignment vertical="center"/>
    </xf>
    <xf numFmtId="11" fontId="0" fillId="7" borderId="1" xfId="0" applyNumberFormat="1" applyFill="1" applyBorder="1"/>
    <xf numFmtId="0" fontId="0" fillId="7" borderId="1" xfId="0" applyFill="1" applyBorder="1"/>
    <xf numFmtId="11" fontId="3" fillId="6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11" fontId="3" fillId="8" borderId="1" xfId="0" applyNumberFormat="1" applyFont="1" applyFill="1" applyBorder="1" applyAlignment="1">
      <alignment vertical="center"/>
    </xf>
    <xf numFmtId="1" fontId="0" fillId="3" borderId="5" xfId="0" applyNumberFormat="1" applyFill="1" applyBorder="1" applyAlignment="1">
      <alignment horizontal="right"/>
    </xf>
    <xf numFmtId="1" fontId="0" fillId="3" borderId="5" xfId="0" applyNumberFormat="1" applyFill="1" applyBorder="1"/>
    <xf numFmtId="11" fontId="0" fillId="6" borderId="1" xfId="0" applyNumberFormat="1" applyFill="1" applyBorder="1"/>
    <xf numFmtId="0" fontId="0" fillId="8" borderId="1" xfId="0" applyFill="1" applyBorder="1"/>
    <xf numFmtId="11" fontId="0" fillId="8" borderId="1" xfId="0" applyNumberFormat="1" applyFill="1" applyBorder="1"/>
    <xf numFmtId="11" fontId="0" fillId="0" borderId="0" xfId="0" applyNumberFormat="1"/>
    <xf numFmtId="0" fontId="11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5" xfId="0" applyFont="1" applyBorder="1"/>
    <xf numFmtId="0" fontId="0" fillId="0" borderId="5" xfId="0" applyBorder="1"/>
    <xf numFmtId="0" fontId="0" fillId="0" borderId="9" xfId="0" applyBorder="1"/>
    <xf numFmtId="11" fontId="0" fillId="0" borderId="5" xfId="0" applyNumberFormat="1" applyBorder="1"/>
    <xf numFmtId="1" fontId="0" fillId="0" borderId="10" xfId="0" applyNumberFormat="1" applyBorder="1"/>
    <xf numFmtId="0" fontId="0" fillId="0" borderId="8" xfId="0" applyBorder="1"/>
    <xf numFmtId="0" fontId="9" fillId="0" borderId="1" xfId="2" applyFill="1" applyBorder="1"/>
    <xf numFmtId="0" fontId="9" fillId="0" borderId="0" xfId="2" applyFill="1" applyBorder="1"/>
    <xf numFmtId="0" fontId="3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2" fillId="0" borderId="4" xfId="0" applyFont="1" applyBorder="1"/>
    <xf numFmtId="0" fontId="2" fillId="0" borderId="9" xfId="0" applyFont="1" applyBorder="1"/>
    <xf numFmtId="0" fontId="3" fillId="0" borderId="1" xfId="0" applyFont="1" applyBorder="1" applyAlignment="1">
      <alignment vertical="center"/>
    </xf>
    <xf numFmtId="0" fontId="11" fillId="0" borderId="1" xfId="0" applyFont="1" applyBorder="1"/>
    <xf numFmtId="0" fontId="9" fillId="0" borderId="1" xfId="2" applyBorder="1"/>
    <xf numFmtId="0" fontId="13" fillId="0" borderId="1" xfId="0" applyFont="1" applyBorder="1"/>
    <xf numFmtId="9" fontId="0" fillId="0" borderId="1" xfId="1" applyFont="1" applyFill="1" applyBorder="1"/>
    <xf numFmtId="0" fontId="5" fillId="0" borderId="1" xfId="0" applyFont="1" applyBorder="1" applyAlignment="1">
      <alignment vertical="center"/>
    </xf>
    <xf numFmtId="2" fontId="7" fillId="0" borderId="1" xfId="0" applyNumberFormat="1" applyFont="1" applyBorder="1" applyAlignment="1">
      <alignment vertical="center"/>
    </xf>
    <xf numFmtId="9" fontId="3" fillId="0" borderId="1" xfId="1" applyFont="1" applyFill="1" applyBorder="1" applyAlignment="1">
      <alignment horizontal="right" wrapText="1"/>
    </xf>
    <xf numFmtId="2" fontId="0" fillId="0" borderId="0" xfId="0" applyNumberFormat="1"/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1" fontId="3" fillId="3" borderId="5" xfId="0" applyNumberFormat="1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3" fillId="3" borderId="1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11" fontId="3" fillId="6" borderId="5" xfId="0" applyNumberFormat="1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11" fontId="3" fillId="8" borderId="5" xfId="0" applyNumberFormat="1" applyFont="1" applyFill="1" applyBorder="1" applyAlignment="1">
      <alignment vertical="center"/>
    </xf>
    <xf numFmtId="2" fontId="0" fillId="6" borderId="1" xfId="0" applyNumberFormat="1" applyFill="1" applyBorder="1"/>
    <xf numFmtId="2" fontId="3" fillId="6" borderId="1" xfId="0" applyNumberFormat="1" applyFont="1" applyFill="1" applyBorder="1" applyAlignment="1">
      <alignment wrapText="1"/>
    </xf>
    <xf numFmtId="2" fontId="0" fillId="8" borderId="1" xfId="0" applyNumberFormat="1" applyFill="1" applyBorder="1"/>
    <xf numFmtId="2" fontId="3" fillId="8" borderId="1" xfId="0" applyNumberFormat="1" applyFont="1" applyFill="1" applyBorder="1" applyAlignment="1">
      <alignment wrapText="1"/>
    </xf>
    <xf numFmtId="2" fontId="0" fillId="2" borderId="1" xfId="0" applyNumberForma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 wrapText="1"/>
    </xf>
    <xf numFmtId="9" fontId="3" fillId="2" borderId="1" xfId="1" applyFont="1" applyFill="1" applyBorder="1" applyAlignment="1">
      <alignment horizontal="left"/>
    </xf>
    <xf numFmtId="9" fontId="0" fillId="2" borderId="1" xfId="1" applyFont="1" applyFill="1" applyBorder="1" applyAlignment="1">
      <alignment horizontal="left"/>
    </xf>
    <xf numFmtId="9" fontId="4" fillId="2" borderId="1" xfId="1" applyFont="1" applyFill="1" applyBorder="1" applyAlignment="1">
      <alignment horizontal="left"/>
    </xf>
    <xf numFmtId="11" fontId="3" fillId="2" borderId="1" xfId="0" applyNumberFormat="1" applyFont="1" applyFill="1" applyBorder="1" applyAlignment="1">
      <alignment wrapText="1"/>
    </xf>
    <xf numFmtId="1" fontId="0" fillId="4" borderId="1" xfId="0" applyNumberFormat="1" applyFill="1" applyBorder="1"/>
    <xf numFmtId="1" fontId="3" fillId="4" borderId="1" xfId="0" applyNumberFormat="1" applyFont="1" applyFill="1" applyBorder="1" applyAlignment="1">
      <alignment wrapText="1"/>
    </xf>
    <xf numFmtId="1" fontId="3" fillId="3" borderId="1" xfId="0" applyNumberFormat="1" applyFont="1" applyFill="1" applyBorder="1" applyAlignment="1">
      <alignment wrapText="1"/>
    </xf>
    <xf numFmtId="164" fontId="0" fillId="3" borderId="1" xfId="0" applyNumberFormat="1" applyFill="1" applyBorder="1"/>
    <xf numFmtId="164" fontId="3" fillId="3" borderId="1" xfId="0" applyNumberFormat="1" applyFont="1" applyFill="1" applyBorder="1" applyAlignment="1">
      <alignment wrapText="1"/>
    </xf>
    <xf numFmtId="164" fontId="0" fillId="5" borderId="1" xfId="0" applyNumberFormat="1" applyFill="1" applyBorder="1"/>
    <xf numFmtId="164" fontId="3" fillId="5" borderId="1" xfId="0" applyNumberFormat="1" applyFont="1" applyFill="1" applyBorder="1" applyAlignment="1">
      <alignment wrapText="1"/>
    </xf>
    <xf numFmtId="1" fontId="0" fillId="5" borderId="1" xfId="0" applyNumberFormat="1" applyFill="1" applyBorder="1"/>
    <xf numFmtId="1" fontId="3" fillId="5" borderId="1" xfId="0" applyNumberFormat="1" applyFont="1" applyFill="1" applyBorder="1" applyAlignment="1">
      <alignment wrapText="1"/>
    </xf>
    <xf numFmtId="11" fontId="3" fillId="7" borderId="1" xfId="0" applyNumberFormat="1" applyFont="1" applyFill="1" applyBorder="1" applyAlignment="1">
      <alignment wrapText="1"/>
    </xf>
    <xf numFmtId="1" fontId="0" fillId="7" borderId="1" xfId="0" applyNumberFormat="1" applyFill="1" applyBorder="1"/>
    <xf numFmtId="1" fontId="3" fillId="7" borderId="1" xfId="0" applyNumberFormat="1" applyFont="1" applyFill="1" applyBorder="1" applyAlignment="1">
      <alignment wrapText="1"/>
    </xf>
    <xf numFmtId="11" fontId="3" fillId="6" borderId="1" xfId="0" applyNumberFormat="1" applyFont="1" applyFill="1" applyBorder="1" applyAlignment="1">
      <alignment wrapText="1"/>
    </xf>
    <xf numFmtId="11" fontId="3" fillId="8" borderId="1" xfId="0" applyNumberFormat="1" applyFont="1" applyFill="1" applyBorder="1" applyAlignment="1">
      <alignment wrapText="1"/>
    </xf>
    <xf numFmtId="0" fontId="0" fillId="2" borderId="4" xfId="0" applyFill="1" applyBorder="1"/>
    <xf numFmtId="2" fontId="0" fillId="2" borderId="4" xfId="0" applyNumberFormat="1" applyFill="1" applyBorder="1"/>
    <xf numFmtId="2" fontId="0" fillId="2" borderId="4" xfId="0" applyNumberFormat="1" applyFill="1" applyBorder="1" applyAlignment="1">
      <alignment horizontal="center"/>
    </xf>
    <xf numFmtId="9" fontId="0" fillId="2" borderId="4" xfId="1" applyFont="1" applyFill="1" applyBorder="1" applyAlignment="1">
      <alignment horizontal="left"/>
    </xf>
    <xf numFmtId="11" fontId="0" fillId="2" borderId="4" xfId="0" applyNumberFormat="1" applyFill="1" applyBorder="1"/>
    <xf numFmtId="1" fontId="0" fillId="4" borderId="4" xfId="0" applyNumberFormat="1" applyFill="1" applyBorder="1"/>
    <xf numFmtId="1" fontId="0" fillId="3" borderId="4" xfId="0" applyNumberFormat="1" applyFill="1" applyBorder="1"/>
    <xf numFmtId="164" fontId="0" fillId="3" borderId="4" xfId="0" applyNumberFormat="1" applyFill="1" applyBorder="1"/>
    <xf numFmtId="164" fontId="0" fillId="5" borderId="4" xfId="0" applyNumberFormat="1" applyFill="1" applyBorder="1"/>
    <xf numFmtId="1" fontId="0" fillId="5" borderId="4" xfId="0" applyNumberFormat="1" applyFill="1" applyBorder="1"/>
    <xf numFmtId="11" fontId="0" fillId="7" borderId="4" xfId="0" applyNumberFormat="1" applyFill="1" applyBorder="1"/>
    <xf numFmtId="1" fontId="0" fillId="7" borderId="4" xfId="0" applyNumberFormat="1" applyFill="1" applyBorder="1"/>
    <xf numFmtId="2" fontId="0" fillId="6" borderId="4" xfId="0" applyNumberFormat="1" applyFill="1" applyBorder="1"/>
    <xf numFmtId="11" fontId="0" fillId="6" borderId="4" xfId="0" applyNumberFormat="1" applyFill="1" applyBorder="1"/>
    <xf numFmtId="2" fontId="0" fillId="8" borderId="4" xfId="0" applyNumberFormat="1" applyFill="1" applyBorder="1"/>
    <xf numFmtId="11" fontId="0" fillId="8" borderId="4" xfId="0" applyNumberFormat="1" applyFill="1" applyBorder="1"/>
    <xf numFmtId="0" fontId="0" fillId="2" borderId="6" xfId="0" applyFill="1" applyBorder="1"/>
    <xf numFmtId="2" fontId="0" fillId="2" borderId="6" xfId="0" applyNumberFormat="1" applyFill="1" applyBorder="1"/>
    <xf numFmtId="0" fontId="0" fillId="2" borderId="6" xfId="0" applyFill="1" applyBorder="1" applyAlignment="1">
      <alignment horizontal="center"/>
    </xf>
    <xf numFmtId="9" fontId="0" fillId="2" borderId="6" xfId="1" applyFont="1" applyFill="1" applyBorder="1" applyAlignment="1">
      <alignment horizontal="left"/>
    </xf>
    <xf numFmtId="11" fontId="0" fillId="2" borderId="6" xfId="0" applyNumberFormat="1" applyFill="1" applyBorder="1"/>
    <xf numFmtId="1" fontId="0" fillId="4" borderId="6" xfId="0" applyNumberFormat="1" applyFill="1" applyBorder="1"/>
    <xf numFmtId="1" fontId="0" fillId="3" borderId="6" xfId="0" applyNumberFormat="1" applyFill="1" applyBorder="1"/>
    <xf numFmtId="164" fontId="0" fillId="3" borderId="6" xfId="0" applyNumberFormat="1" applyFill="1" applyBorder="1"/>
    <xf numFmtId="164" fontId="0" fillId="5" borderId="6" xfId="0" applyNumberFormat="1" applyFill="1" applyBorder="1"/>
    <xf numFmtId="1" fontId="0" fillId="5" borderId="6" xfId="0" applyNumberFormat="1" applyFill="1" applyBorder="1"/>
    <xf numFmtId="11" fontId="0" fillId="7" borderId="6" xfId="0" applyNumberFormat="1" applyFill="1" applyBorder="1"/>
    <xf numFmtId="1" fontId="0" fillId="7" borderId="6" xfId="0" applyNumberFormat="1" applyFill="1" applyBorder="1"/>
    <xf numFmtId="2" fontId="0" fillId="6" borderId="6" xfId="0" applyNumberFormat="1" applyFill="1" applyBorder="1"/>
    <xf numFmtId="11" fontId="0" fillId="6" borderId="6" xfId="0" applyNumberFormat="1" applyFill="1" applyBorder="1"/>
    <xf numFmtId="2" fontId="0" fillId="8" borderId="6" xfId="0" applyNumberFormat="1" applyFill="1" applyBorder="1"/>
    <xf numFmtId="11" fontId="0" fillId="8" borderId="6" xfId="0" applyNumberFormat="1" applyFill="1" applyBorder="1"/>
    <xf numFmtId="0" fontId="0" fillId="0" borderId="6" xfId="0" applyBorder="1"/>
    <xf numFmtId="0" fontId="5" fillId="0" borderId="0" xfId="0" applyFont="1" applyAlignment="1">
      <alignment vertical="center"/>
    </xf>
    <xf numFmtId="2" fontId="2" fillId="0" borderId="0" xfId="0" applyNumberFormat="1" applyFont="1"/>
    <xf numFmtId="167" fontId="0" fillId="6" borderId="1" xfId="0" applyNumberFormat="1" applyFill="1" applyBorder="1"/>
    <xf numFmtId="167" fontId="0" fillId="0" borderId="0" xfId="0" applyNumberFormat="1"/>
    <xf numFmtId="1" fontId="0" fillId="0" borderId="0" xfId="0" applyNumberFormat="1"/>
    <xf numFmtId="167" fontId="0" fillId="8" borderId="1" xfId="0" applyNumberFormat="1" applyFill="1" applyBorder="1"/>
    <xf numFmtId="0" fontId="5" fillId="0" borderId="0" xfId="0" applyFont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1" fontId="8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horizontal="right" vertical="top"/>
    </xf>
    <xf numFmtId="1" fontId="3" fillId="0" borderId="1" xfId="0" applyNumberFormat="1" applyFont="1" applyBorder="1" applyAlignment="1">
      <alignment horizontal="right" wrapText="1"/>
    </xf>
    <xf numFmtId="1" fontId="8" fillId="2" borderId="1" xfId="0" applyNumberFormat="1" applyFont="1" applyFill="1" applyBorder="1" applyAlignment="1">
      <alignment vertical="top"/>
    </xf>
    <xf numFmtId="1" fontId="8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wrapText="1"/>
    </xf>
    <xf numFmtId="1" fontId="3" fillId="2" borderId="1" xfId="0" applyNumberFormat="1" applyFont="1" applyFill="1" applyBorder="1" applyAlignment="1">
      <alignment wrapText="1"/>
    </xf>
    <xf numFmtId="1" fontId="6" fillId="2" borderId="1" xfId="0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/>
    <xf numFmtId="0" fontId="14" fillId="0" borderId="0" xfId="2" applyFont="1" applyFill="1" applyBorder="1"/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11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" fontId="4" fillId="0" borderId="0" xfId="0" applyNumberFormat="1" applyFont="1"/>
    <xf numFmtId="165" fontId="3" fillId="0" borderId="0" xfId="0" applyNumberFormat="1" applyFont="1"/>
    <xf numFmtId="0" fontId="15" fillId="0" borderId="0" xfId="0" applyFont="1"/>
    <xf numFmtId="1" fontId="4" fillId="0" borderId="0" xfId="0" applyNumberFormat="1" applyFont="1" applyAlignment="1">
      <alignment horizontal="right"/>
    </xf>
    <xf numFmtId="1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right" vertical="top"/>
    </xf>
    <xf numFmtId="9" fontId="3" fillId="0" borderId="0" xfId="1" applyFont="1" applyFill="1" applyBorder="1"/>
    <xf numFmtId="0" fontId="5" fillId="0" borderId="0" xfId="0" applyFont="1" applyAlignment="1">
      <alignment horizontal="right" vertical="center" wrapText="1"/>
    </xf>
    <xf numFmtId="169" fontId="5" fillId="0" borderId="0" xfId="0" applyNumberFormat="1" applyFont="1" applyAlignment="1">
      <alignment horizontal="right" vertical="top"/>
    </xf>
    <xf numFmtId="168" fontId="5" fillId="0" borderId="0" xfId="0" applyNumberFormat="1" applyFont="1" applyAlignment="1">
      <alignment horizontal="right"/>
    </xf>
    <xf numFmtId="167" fontId="15" fillId="0" borderId="0" xfId="0" applyNumberFormat="1" applyFont="1"/>
    <xf numFmtId="0" fontId="5" fillId="0" borderId="0" xfId="0" applyFont="1" applyAlignment="1">
      <alignment vertical="center" wrapText="1"/>
    </xf>
    <xf numFmtId="167" fontId="5" fillId="0" borderId="0" xfId="0" applyNumberFormat="1" applyFont="1"/>
    <xf numFmtId="0" fontId="5" fillId="0" borderId="0" xfId="0" applyFont="1" applyAlignment="1">
      <alignment wrapText="1"/>
    </xf>
    <xf numFmtId="0" fontId="17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8" fillId="9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3" fillId="2" borderId="4" xfId="0" applyFont="1" applyFill="1" applyBorder="1"/>
    <xf numFmtId="0" fontId="9" fillId="2" borderId="1" xfId="2" applyFill="1" applyBorder="1"/>
    <xf numFmtId="9" fontId="0" fillId="2" borderId="1" xfId="1" applyFont="1" applyFill="1" applyBorder="1"/>
    <xf numFmtId="9" fontId="3" fillId="2" borderId="1" xfId="1" applyFont="1" applyFill="1" applyBorder="1" applyAlignment="1">
      <alignment horizontal="right" wrapText="1"/>
    </xf>
    <xf numFmtId="8" fontId="0" fillId="2" borderId="1" xfId="0" applyNumberFormat="1" applyFill="1" applyBorder="1"/>
    <xf numFmtId="0" fontId="19" fillId="2" borderId="1" xfId="0" applyFont="1" applyFill="1" applyBorder="1"/>
    <xf numFmtId="0" fontId="14" fillId="2" borderId="1" xfId="2" applyFont="1" applyFill="1" applyBorder="1"/>
    <xf numFmtId="1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/>
    <xf numFmtId="1" fontId="4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vertical="top"/>
    </xf>
    <xf numFmtId="1" fontId="3" fillId="2" borderId="1" xfId="0" applyNumberFormat="1" applyFont="1" applyFill="1" applyBorder="1" applyAlignment="1">
      <alignment horizontal="right" vertical="top"/>
    </xf>
    <xf numFmtId="168" fontId="3" fillId="2" borderId="1" xfId="0" applyNumberFormat="1" applyFont="1" applyFill="1" applyBorder="1" applyAlignment="1">
      <alignment vertical="top"/>
    </xf>
    <xf numFmtId="168" fontId="3" fillId="2" borderId="1" xfId="0" applyNumberFormat="1" applyFont="1" applyFill="1" applyBorder="1" applyAlignment="1">
      <alignment horizontal="right" vertical="top"/>
    </xf>
    <xf numFmtId="9" fontId="3" fillId="2" borderId="1" xfId="1" applyFont="1" applyFill="1" applyBorder="1"/>
    <xf numFmtId="0" fontId="5" fillId="2" borderId="1" xfId="0" applyFont="1" applyFill="1" applyBorder="1" applyAlignment="1">
      <alignment horizontal="right" vertical="center" wrapText="1"/>
    </xf>
    <xf numFmtId="169" fontId="5" fillId="2" borderId="1" xfId="0" applyNumberFormat="1" applyFont="1" applyFill="1" applyBorder="1" applyAlignment="1">
      <alignment horizontal="right" vertical="top"/>
    </xf>
    <xf numFmtId="168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vertical="center" wrapText="1"/>
    </xf>
    <xf numFmtId="11" fontId="3" fillId="6" borderId="1" xfId="0" applyNumberFormat="1" applyFont="1" applyFill="1" applyBorder="1" applyAlignment="1">
      <alignment horizontal="right" wrapText="1"/>
    </xf>
    <xf numFmtId="11" fontId="3" fillId="6" borderId="1" xfId="0" applyNumberFormat="1" applyFont="1" applyFill="1" applyBorder="1"/>
    <xf numFmtId="11" fontId="3" fillId="6" borderId="1" xfId="0" applyNumberFormat="1" applyFont="1" applyFill="1" applyBorder="1" applyAlignment="1">
      <alignment horizontal="right"/>
    </xf>
    <xf numFmtId="0" fontId="9" fillId="2" borderId="4" xfId="2" applyFill="1" applyBorder="1"/>
    <xf numFmtId="1" fontId="8" fillId="2" borderId="4" xfId="0" applyNumberFormat="1" applyFont="1" applyFill="1" applyBorder="1" applyAlignment="1">
      <alignment vertical="top"/>
    </xf>
    <xf numFmtId="1" fontId="8" fillId="2" borderId="4" xfId="0" applyNumberFormat="1" applyFont="1" applyFill="1" applyBorder="1" applyAlignment="1">
      <alignment horizontal="right" vertical="top"/>
    </xf>
    <xf numFmtId="10" fontId="3" fillId="2" borderId="4" xfId="0" applyNumberFormat="1" applyFont="1" applyFill="1" applyBorder="1"/>
    <xf numFmtId="11" fontId="3" fillId="6" borderId="4" xfId="0" applyNumberFormat="1" applyFont="1" applyFill="1" applyBorder="1" applyAlignment="1">
      <alignment horizontal="right" wrapText="1"/>
    </xf>
    <xf numFmtId="0" fontId="0" fillId="6" borderId="4" xfId="0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11" fontId="3" fillId="6" borderId="6" xfId="0" applyNumberFormat="1" applyFont="1" applyFill="1" applyBorder="1" applyAlignment="1">
      <alignment vertical="center"/>
    </xf>
    <xf numFmtId="0" fontId="0" fillId="0" borderId="11" xfId="0" applyBorder="1"/>
    <xf numFmtId="0" fontId="3" fillId="11" borderId="1" xfId="0" applyFont="1" applyFill="1" applyBorder="1" applyAlignment="1">
      <alignment vertical="center"/>
    </xf>
    <xf numFmtId="11" fontId="3" fillId="11" borderId="1" xfId="0" applyNumberFormat="1" applyFont="1" applyFill="1" applyBorder="1" applyAlignment="1">
      <alignment vertical="center"/>
    </xf>
    <xf numFmtId="11" fontId="3" fillId="8" borderId="7" xfId="0" applyNumberFormat="1" applyFont="1" applyFill="1" applyBorder="1" applyAlignment="1">
      <alignment vertical="center"/>
    </xf>
    <xf numFmtId="11" fontId="0" fillId="8" borderId="7" xfId="0" applyNumberFormat="1" applyFill="1" applyBorder="1"/>
    <xf numFmtId="0" fontId="0" fillId="11" borderId="1" xfId="0" applyFill="1" applyBorder="1"/>
    <xf numFmtId="11" fontId="3" fillId="11" borderId="7" xfId="0" applyNumberFormat="1" applyFont="1" applyFill="1" applyBorder="1" applyAlignment="1">
      <alignment vertical="center"/>
    </xf>
    <xf numFmtId="11" fontId="0" fillId="11" borderId="7" xfId="0" applyNumberFormat="1" applyFill="1" applyBorder="1"/>
    <xf numFmtId="0" fontId="3" fillId="10" borderId="1" xfId="0" applyFont="1" applyFill="1" applyBorder="1" applyAlignment="1">
      <alignment vertical="center"/>
    </xf>
    <xf numFmtId="11" fontId="0" fillId="10" borderId="1" xfId="0" applyNumberFormat="1" applyFill="1" applyBorder="1"/>
    <xf numFmtId="2" fontId="0" fillId="10" borderId="1" xfId="0" applyNumberFormat="1" applyFill="1" applyBorder="1"/>
    <xf numFmtId="1" fontId="3" fillId="2" borderId="5" xfId="0" applyNumberFormat="1" applyFont="1" applyFill="1" applyBorder="1" applyAlignment="1">
      <alignment horizontal="right" wrapText="1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2" fontId="3" fillId="2" borderId="5" xfId="0" applyNumberFormat="1" applyFont="1" applyFill="1" applyBorder="1" applyAlignment="1">
      <alignment horizontal="right" wrapText="1"/>
    </xf>
    <xf numFmtId="11" fontId="3" fillId="2" borderId="5" xfId="0" applyNumberFormat="1" applyFont="1" applyFill="1" applyBorder="1"/>
    <xf numFmtId="0" fontId="0" fillId="4" borderId="5" xfId="0" applyFill="1" applyBorder="1"/>
    <xf numFmtId="0" fontId="0" fillId="3" borderId="5" xfId="0" applyFill="1" applyBorder="1" applyAlignment="1">
      <alignment horizontal="right"/>
    </xf>
    <xf numFmtId="0" fontId="0" fillId="5" borderId="5" xfId="0" applyFill="1" applyBorder="1"/>
    <xf numFmtId="11" fontId="0" fillId="7" borderId="5" xfId="0" applyNumberFormat="1" applyFill="1" applyBorder="1"/>
    <xf numFmtId="0" fontId="0" fillId="7" borderId="5" xfId="0" applyFill="1" applyBorder="1"/>
    <xf numFmtId="0" fontId="0" fillId="6" borderId="5" xfId="0" applyFill="1" applyBorder="1"/>
    <xf numFmtId="11" fontId="0" fillId="6" borderId="5" xfId="0" applyNumberFormat="1" applyFill="1" applyBorder="1"/>
    <xf numFmtId="0" fontId="0" fillId="8" borderId="5" xfId="0" applyFill="1" applyBorder="1"/>
    <xf numFmtId="11" fontId="0" fillId="8" borderId="8" xfId="0" applyNumberFormat="1" applyFill="1" applyBorder="1"/>
    <xf numFmtId="0" fontId="0" fillId="11" borderId="5" xfId="0" applyFill="1" applyBorder="1"/>
    <xf numFmtId="11" fontId="0" fillId="11" borderId="8" xfId="0" applyNumberFormat="1" applyFill="1" applyBorder="1"/>
    <xf numFmtId="11" fontId="0" fillId="10" borderId="5" xfId="0" applyNumberFormat="1" applyFill="1" applyBorder="1"/>
    <xf numFmtId="2" fontId="0" fillId="10" borderId="5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8" borderId="7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la Dobiášová" id="{AFF04887-933F-47FD-BAF7-D6028729BE7C}" userId="b4810adcdc48c016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4" dT="2026-04-07T16:00:18.27" personId="{AFF04887-933F-47FD-BAF7-D6028729BE7C}" id="{76AB268B-E487-44E9-970A-6CFA9A9FDAB2}">
    <text>From Martin dataset, ref 87</text>
  </threadedComment>
  <threadedComment ref="M68" dT="2026-04-07T16:52:04.81" personId="{AFF04887-933F-47FD-BAF7-D6028729BE7C}" id="{731AAB45-B1BF-4B70-A70E-AE74683AEED3}">
    <text>From Martin dataset ref 98</text>
  </threadedComment>
  <threadedComment ref="M73" dT="2026-04-07T16:05:18.85" personId="{AFF04887-933F-47FD-BAF7-D6028729BE7C}" id="{288675CE-79B8-4272-975F-C52DAB19C291}">
    <text>From Martin dataset ref 98</text>
  </threadedComment>
  <threadedComment ref="M78" dT="2026-04-09T13:14:10.66" personId="{AFF04887-933F-47FD-BAF7-D6028729BE7C}" id="{3336BBF7-14B3-4D8B-AD7A-A8909286E7F6}">
    <text>From SI .xlsx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3" dT="2026-04-12T20:46:11.74" personId="{AFF04887-933F-47FD-BAF7-D6028729BE7C}" id="{1F00F474-7ED1-41DF-958F-CE7CFF93F67A}">
    <text>Corrected. The last sampled sediment containing MPs corresponds to the year 1950</text>
  </threadedComment>
  <threadedComment ref="N6" dT="2026-04-13T07:43:37.40" personId="{AFF04887-933F-47FD-BAF7-D6028729BE7C}" id="{0FA03E2B-1CCB-41C0-A752-297A98AD431F}">
    <text>Estimated</text>
  </threadedComment>
  <threadedComment ref="I12" dT="2026-03-29T15:13:20.06" personId="{AFF04887-933F-47FD-BAF7-D6028729BE7C}" id="{BFFBA6D8-B30B-4DC7-9BE3-043485B6D943}">
    <text>Concentration corrected: only used bins considered</text>
  </threadedComment>
  <threadedComment ref="I18" dT="2026-03-30T11:30:52.68" personId="{AFF04887-933F-47FD-BAF7-D6028729BE7C}" id="{4DE79FB6-52DA-47AC-ACCB-48F168ECAB5F}">
    <text>Concentration corrected: only MPs&gt;500</text>
  </threadedComment>
  <threadedComment ref="I31" dT="2026-03-30T11:51:22.39" personId="{AFF04887-933F-47FD-BAF7-D6028729BE7C}" id="{44C31201-1F34-4AB3-8AE8-AE5B01785718}">
    <text>Concentration correcteD : only MPs&gt;500; 54%</text>
  </threadedComment>
  <threadedComment ref="G75" dT="2026-04-13T11:24:47.49" personId="{AFF04887-933F-47FD-BAF7-D6028729BE7C}" id="{10AA66BC-0D65-421E-B59B-167C4C7419B6}">
    <text>No significant difference, in context of the database, was found between before and after typhoon. The mean value (between+after/2) is thus computed for each location.</text>
  </threadedComment>
  <threadedComment ref="I75" dT="2026-04-13T11:26:12.07" personId="{AFF04887-933F-47FD-BAF7-D6028729BE7C}" id="{9F97FD10-AABF-429E-B64F-6481033EC866}">
    <text>No significant difference, in context of the database, was found between before and after typhoon. The mean value (between+after/2) is thus computed for each location.</text>
  </threadedComment>
  <threadedComment ref="I87" dT="2026-04-13T13:11:13.91" personId="{AFF04887-933F-47FD-BAF7-D6028729BE7C}" id="{7DFE3C00-89AA-4F6E-84D5-D532C0C7C47B}">
    <text>Corrected value : only concnetration for MP&gt;501 µm is considered (42% of total)</text>
  </threadedComment>
  <threadedComment ref="F90" dT="2026-04-15T08:11:26.90" personId="{AFF04887-933F-47FD-BAF7-D6028729BE7C}" id="{C37A3D57-F35B-4B80-8B96-A100A29677EA}">
    <text>Here the shape info is used to understand the differences within one study. Before it was used to understand how trustworthy the deducted slope was.</text>
  </threadedComment>
  <threadedComment ref="I90" dT="2026-04-13T14:07:16.43" personId="{AFF04887-933F-47FD-BAF7-D6028729BE7C}" id="{F34267B0-44CD-4AAB-B637-01ACE7329DB6}">
    <text>Corrected: only fragments+granulas =51% and only MP&gt;500 = 76%</text>
  </threadedComment>
  <threadedComment ref="I115" dT="2026-04-13T14:07:16.43" personId="{AFF04887-933F-47FD-BAF7-D6028729BE7C}" id="{7D04F965-F50D-4E17-B1A7-B3662B8FEF02}">
    <text>Corrected: only fragments+granulas =51% and only MP&gt;500 = 76%</text>
  </threadedComment>
  <threadedComment ref="I140" dT="2026-04-14T08:59:12.12" personId="{AFF04887-933F-47FD-BAF7-D6028729BE7C}" id="{E00E875A-10CD-4603-8F49-DC86B905DA87}">
    <text>From Table 2; differs from Martin 2021 dataset</text>
  </threadedComment>
  <threadedComment ref="I172" dT="2026-04-15T09:08:46.59" personId="{AFF04887-933F-47FD-BAF7-D6028729BE7C}" id="{EC0712A2-C986-492A-A021-B6CF5165146E}">
    <text>Corrected: concentration from Table  2 in MP/m2 is converted to MP/kgdw and multiplied by 0,784 since 78,4% of all MP found are &lt;5mm. =&gt; Conc = Table2/(dry bulk density * thickness)*0,1*0,784.</text>
  </threadedComment>
  <threadedComment ref="P172" dT="2026-04-15T09:16:21.56" personId="{AFF04887-933F-47FD-BAF7-D6028729BE7C}" id="{6A57B87F-8F31-4A22-962F-EA6C17B15255}">
    <text>I hope I associated it correctly.</text>
  </threadedComment>
  <threadedComment ref="P183" dT="2026-04-15T09:16:21.56" personId="{AFF04887-933F-47FD-BAF7-D6028729BE7C}" id="{FD6E8807-8D59-468B-AC58-BB678C29FF23}">
    <text>I hope I associated it correctly.</text>
  </threadedComment>
  <threadedComment ref="I194" dT="2026-04-15T10:54:30.81" personId="{AFF04887-933F-47FD-BAF7-D6028729BE7C}" id="{3F18B18C-5463-412C-ACF2-4D40FA42FDC2}">
    <text>Orrected: Only 57% of total concentration is considered (MPs&gt;100µm)</text>
  </threadedComment>
  <threadedComment ref="R194" dT="2026-04-15T11:22:16.37" personId="{AFF04887-933F-47FD-BAF7-D6028729BE7C}" id="{49C8B0FF-A8BC-4748-8187-9FDD850B14AB}">
    <text>From ref 50 from Martin 2021 dataset</text>
  </threadedComment>
  <threadedComment ref="S194" dT="2026-04-15T11:23:27.10" personId="{AFF04887-933F-47FD-BAF7-D6028729BE7C}" id="{A8AA5AE1-3D2E-4918-A1FC-BFCB246990CD}">
    <text>From ref 50 from Martin 2021 dataset</text>
  </threadedComment>
  <threadedComment ref="I212" dT="2026-04-15T12:06:53.32" personId="{AFF04887-933F-47FD-BAF7-D6028729BE7C}" id="{FD21F0FD-90D6-492E-B87A-76D857A604B2}">
    <text>Corrected : Authors report MP/100 g, only 52,8% are fibers, and 54,8% asre MP&gt;500 µm. Conc = reported*10*0,528*0,548.</text>
  </threadedComment>
  <threadedComment ref="R212" dT="2026-04-15T12:21:57.18" personId="{AFF04887-933F-47FD-BAF7-D6028729BE7C}" id="{D493C6DC-5309-4865-BE0F-BE3DEF01780B}">
    <text>From ref 14 from Martin 2021 dataset.</text>
  </threadedComment>
  <threadedComment ref="I222" dT="2026-04-15T12:06:53.32" personId="{AFF04887-933F-47FD-BAF7-D6028729BE7C}" id="{E8CE0288-1B07-41E5-82CE-35579279BBC8}">
    <text>Corrected : Authors report MP/100 g, only 35,5% are fibers, and 54,8% asre MP&gt;500 µm. Conc = reported*10*0,355*0,548.</text>
  </threadedComment>
  <threadedComment ref="R222" dT="2026-04-15T12:21:57.18" personId="{AFF04887-933F-47FD-BAF7-D6028729BE7C}" id="{7A045E60-8D07-472E-B8DF-4CA42D7BABD7}">
    <text>From ref 14 from Martin 2021 dataset.</text>
  </threadedComment>
  <threadedComment ref="R232" dT="2026-04-15T13:46:37.20" personId="{AFF04887-933F-47FD-BAF7-D6028729BE7C}" id="{621E65E9-7214-441E-98C9-22649CDB2DCC}">
    <text>Ref 93 from Martin 2021 dataset.</text>
  </threadedComment>
  <threadedComment ref="R248" dT="2026-04-15T13:47:31.82" personId="{AFF04887-933F-47FD-BAF7-D6028729BE7C}" id="{A09132D5-375E-43B3-8FEF-814B90CE2830}">
    <text>Ref 92 from martin 2021 dataset..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abs/pii/S0048969719308769?via%3Dihub" TargetMode="External"/><Relationship Id="rId18" Type="http://schemas.openxmlformats.org/officeDocument/2006/relationships/hyperlink" Target="https://www-sciencedirect-com.sid2nomade-1.grenet.fr/science/article/pii/S0048969719352969" TargetMode="External"/><Relationship Id="rId26" Type="http://schemas.openxmlformats.org/officeDocument/2006/relationships/hyperlink" Target="https://pmc-ncbi-nlm-nih-gov.sid2nomade-2.grenet.fr/articles/PMC6210488/" TargetMode="External"/><Relationship Id="rId39" Type="http://schemas.openxmlformats.org/officeDocument/2006/relationships/hyperlink" Target="https://www-sciencedirect-com.sid2nomade-1.grenet.fr/science/article/pii/S0272771419311758" TargetMode="External"/><Relationship Id="rId21" Type="http://schemas.openxmlformats.org/officeDocument/2006/relationships/hyperlink" Target="https://www-sciencedirect-com.sid2nomade-1.grenet.fr/science/article/pii/S0048969719352969" TargetMode="External"/><Relationship Id="rId34" Type="http://schemas.openxmlformats.org/officeDocument/2006/relationships/hyperlink" Target="https://www-sciencedirect-com.sid2nomade-1.grenet.fr/science/article/pii/S0272771419311758" TargetMode="External"/><Relationship Id="rId42" Type="http://schemas.openxmlformats.org/officeDocument/2006/relationships/hyperlink" Target="https://www-sciencedirect-com.sid2nomade-1.grenet.fr/science/article/pii/S0272771419311758" TargetMode="External"/><Relationship Id="rId47" Type="http://schemas.openxmlformats.org/officeDocument/2006/relationships/hyperlink" Target="https://link-springer-com.sid2nomade-1.grenet.fr/article/10.1007/s11368-022-03166-3" TargetMode="External"/><Relationship Id="rId50" Type="http://schemas.openxmlformats.org/officeDocument/2006/relationships/hyperlink" Target="https://www-sciencedirect-com.sid2nomade-2.grenet.fr/science/article/pii/S0025326X21003453" TargetMode="External"/><Relationship Id="rId7" Type="http://schemas.openxmlformats.org/officeDocument/2006/relationships/hyperlink" Target="https://www.sciencedirect.com/science/article/abs/pii/S0048969718319995" TargetMode="External"/><Relationship Id="rId2" Type="http://schemas.openxmlformats.org/officeDocument/2006/relationships/hyperlink" Target="https://www-sciencedirect-com.sid2nomade-1.grenet.fr/science/article/pii/S0048969718338786" TargetMode="External"/><Relationship Id="rId16" Type="http://schemas.openxmlformats.org/officeDocument/2006/relationships/hyperlink" Target="https://www-sciencedirect-com.sid2nomade-1.grenet.fr/science/article/pii/S0269749118339757" TargetMode="External"/><Relationship Id="rId29" Type="http://schemas.openxmlformats.org/officeDocument/2006/relationships/hyperlink" Target="https://link-springer-com.sid2nomade-1.grenet.fr/article/10.1007/s00244-017-0414-9" TargetMode="External"/><Relationship Id="rId11" Type="http://schemas.openxmlformats.org/officeDocument/2006/relationships/hyperlink" Target="https://www.sciencedirect.com/science/article/abs/pii/S0048969719315219?via%3Dihub" TargetMode="External"/><Relationship Id="rId24" Type="http://schemas.openxmlformats.org/officeDocument/2006/relationships/hyperlink" Target="https://www-sciencedirect-com.sid2nomade-2.grenet.fr/science/article/pii/S0025326X19307027" TargetMode="External"/><Relationship Id="rId32" Type="http://schemas.openxmlformats.org/officeDocument/2006/relationships/hyperlink" Target="https://www-sciencedirect-com.sid2nomade-2.grenet.fr/science/article/pii/S0025326X17305192" TargetMode="External"/><Relationship Id="rId37" Type="http://schemas.openxmlformats.org/officeDocument/2006/relationships/hyperlink" Target="https://www-sciencedirect-com.sid2nomade-1.grenet.fr/science/article/pii/S0272771419311758" TargetMode="External"/><Relationship Id="rId40" Type="http://schemas.openxmlformats.org/officeDocument/2006/relationships/hyperlink" Target="https://www-sciencedirect-com.sid2nomade-1.grenet.fr/science/article/pii/S0272771419311758" TargetMode="External"/><Relationship Id="rId45" Type="http://schemas.openxmlformats.org/officeDocument/2006/relationships/hyperlink" Target="https://link-springer-com.sid2nomade-1.grenet.fr/article/10.1007/s11368-022-03166-3" TargetMode="External"/><Relationship Id="rId53" Type="http://schemas.microsoft.com/office/2017/10/relationships/threadedComment" Target="../threadedComments/threadedComment2.xml"/><Relationship Id="rId5" Type="http://schemas.openxmlformats.org/officeDocument/2006/relationships/hyperlink" Target="https://www-sciencedirect-com.sid2nomade-2.grenet.fr/science/article/pii/S0269749118322474?via%3Dihub" TargetMode="External"/><Relationship Id="rId10" Type="http://schemas.openxmlformats.org/officeDocument/2006/relationships/hyperlink" Target="https://www-sciencedirect-com.sid2nomade-1.grenet.fr/science/article/pii/S004896971934759X?via%3Dihub" TargetMode="External"/><Relationship Id="rId19" Type="http://schemas.openxmlformats.org/officeDocument/2006/relationships/hyperlink" Target="https://www.researchgate.net/publication/335365727_Microplastics_in_the_sediment_of_intertidal_areas_of_Lamongan_Indonesia" TargetMode="External"/><Relationship Id="rId31" Type="http://schemas.openxmlformats.org/officeDocument/2006/relationships/hyperlink" Target="https://www.sciencedirect.com/science/article/abs/pii/S0025326X16308761?via%3Dihub" TargetMode="External"/><Relationship Id="rId44" Type="http://schemas.openxmlformats.org/officeDocument/2006/relationships/hyperlink" Target="https://www-sciencedirect-com.sid2nomade-1.grenet.fr/science/article/pii/S0272771419311758" TargetMode="External"/><Relationship Id="rId52" Type="http://schemas.openxmlformats.org/officeDocument/2006/relationships/comments" Target="../comments2.xml"/><Relationship Id="rId4" Type="http://schemas.openxmlformats.org/officeDocument/2006/relationships/hyperlink" Target="https://www-sciencedirect-com.sid2nomade-1.grenet.fr/science/article/pii/S004896971934759X" TargetMode="External"/><Relationship Id="rId9" Type="http://schemas.openxmlformats.org/officeDocument/2006/relationships/hyperlink" Target="https://www-sciencedirect-com.sid2nomade-1.grenet.fr/science/article/pii/S004896971934759X?via%3Dihub" TargetMode="External"/><Relationship Id="rId14" Type="http://schemas.openxmlformats.org/officeDocument/2006/relationships/hyperlink" Target="https://www.sciencedirect.com/science/article/abs/pii/S0048969719308769?via%3Dihub" TargetMode="External"/><Relationship Id="rId22" Type="http://schemas.openxmlformats.org/officeDocument/2006/relationships/hyperlink" Target="https://www.researchgate.net/publication/335365727_Microplastics_in_the_sediment_of_intertidal_areas_of_Lamongan_Indonesia" TargetMode="External"/><Relationship Id="rId27" Type="http://schemas.openxmlformats.org/officeDocument/2006/relationships/hyperlink" Target="https://pmc-ncbi-nlm-nih-gov.sid2nomade-2.grenet.fr/articles/PMC6210488/" TargetMode="External"/><Relationship Id="rId30" Type="http://schemas.openxmlformats.org/officeDocument/2006/relationships/hyperlink" Target="https://www.sciencedirect.com/science/article/abs/pii/S0025326X16308761?via%3Dihub" TargetMode="External"/><Relationship Id="rId35" Type="http://schemas.openxmlformats.org/officeDocument/2006/relationships/hyperlink" Target="https://www-sciencedirect-com.sid2nomade-1.grenet.fr/science/article/pii/S0272771419311758" TargetMode="External"/><Relationship Id="rId43" Type="http://schemas.openxmlformats.org/officeDocument/2006/relationships/hyperlink" Target="https://www-sciencedirect-com.sid2nomade-1.grenet.fr/science/article/pii/S0272771419311758" TargetMode="External"/><Relationship Id="rId48" Type="http://schemas.openxmlformats.org/officeDocument/2006/relationships/hyperlink" Target="https://link-springer-com.sid2nomade-1.grenet.fr/article/10.1007/s11368-022-03166-3" TargetMode="External"/><Relationship Id="rId8" Type="http://schemas.openxmlformats.org/officeDocument/2006/relationships/hyperlink" Target="https://www.sciencedirect.com/science/article/abs/pii/S0048969718319995" TargetMode="External"/><Relationship Id="rId51" Type="http://schemas.openxmlformats.org/officeDocument/2006/relationships/vmlDrawing" Target="../drawings/vmlDrawing2.vml"/><Relationship Id="rId3" Type="http://schemas.openxmlformats.org/officeDocument/2006/relationships/hyperlink" Target="https://www-sciencedirect-com.sid2nomade-1.grenet.fr/science/article/pii/S004896971934759X" TargetMode="External"/><Relationship Id="rId12" Type="http://schemas.openxmlformats.org/officeDocument/2006/relationships/hyperlink" Target="https://www.sciencedirect.com/science/article/abs/pii/S0048969719315219?via%3Dihub" TargetMode="External"/><Relationship Id="rId17" Type="http://schemas.openxmlformats.org/officeDocument/2006/relationships/hyperlink" Target="https://www-sciencedirect-com.sid2nomade-1.grenet.fr/science/article/pii/S0048969719352969" TargetMode="External"/><Relationship Id="rId25" Type="http://schemas.openxmlformats.org/officeDocument/2006/relationships/hyperlink" Target="https://www-sciencedirect-com.sid2nomade-2.grenet.fr/science/article/pii/S0025326X19307027" TargetMode="External"/><Relationship Id="rId33" Type="http://schemas.openxmlformats.org/officeDocument/2006/relationships/hyperlink" Target="https://www-sciencedirect-com.sid2nomade-2.grenet.fr/science/article/pii/S0025326X17305192" TargetMode="External"/><Relationship Id="rId38" Type="http://schemas.openxmlformats.org/officeDocument/2006/relationships/hyperlink" Target="https://www-sciencedirect-com.sid2nomade-1.grenet.fr/science/article/pii/S0272771419311758" TargetMode="External"/><Relationship Id="rId46" Type="http://schemas.openxmlformats.org/officeDocument/2006/relationships/hyperlink" Target="https://link-springer-com.sid2nomade-1.grenet.fr/article/10.1007/s11368-022-03166-3" TargetMode="External"/><Relationship Id="rId20" Type="http://schemas.openxmlformats.org/officeDocument/2006/relationships/hyperlink" Target="https://www-sciencedirect-com.sid2nomade-1.grenet.fr/science/article/pii/S0048969719352969" TargetMode="External"/><Relationship Id="rId41" Type="http://schemas.openxmlformats.org/officeDocument/2006/relationships/hyperlink" Target="https://www-sciencedirect-com.sid2nomade-1.grenet.fr/science/article/pii/S0272771419311758" TargetMode="External"/><Relationship Id="rId1" Type="http://schemas.openxmlformats.org/officeDocument/2006/relationships/hyperlink" Target="https://www-sciencedirect-com.sid2nomade-1.grenet.fr/science/article/pii/S0048969718338786" TargetMode="External"/><Relationship Id="rId6" Type="http://schemas.openxmlformats.org/officeDocument/2006/relationships/hyperlink" Target="https://www-sciencedirect-com.sid2nomade-2.grenet.fr/science/article/pii/S0269749118322474?via%3Dihub" TargetMode="External"/><Relationship Id="rId15" Type="http://schemas.openxmlformats.org/officeDocument/2006/relationships/hyperlink" Target="https://www-sciencedirect-com.sid2nomade-1.grenet.fr/science/article/pii/S0269749118339757" TargetMode="External"/><Relationship Id="rId23" Type="http://schemas.openxmlformats.org/officeDocument/2006/relationships/hyperlink" Target="https://www.researchgate.net/publication/335365727_Microplastics_in_the_sediment_of_intertidal_areas_of_Lamongan_Indonesia" TargetMode="External"/><Relationship Id="rId28" Type="http://schemas.openxmlformats.org/officeDocument/2006/relationships/hyperlink" Target="https://link-springer-com.sid2nomade-1.grenet.fr/article/10.1007/s00244-017-0414-9" TargetMode="External"/><Relationship Id="rId36" Type="http://schemas.openxmlformats.org/officeDocument/2006/relationships/hyperlink" Target="https://www-sciencedirect-com.sid2nomade-1.grenet.fr/science/article/pii/S0272771419311758" TargetMode="External"/><Relationship Id="rId49" Type="http://schemas.openxmlformats.org/officeDocument/2006/relationships/hyperlink" Target="https://www-sciencedirect-com.sid2nomade-2.grenet.fr/science/article/pii/S0025326X21003453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mc-ncbi-nlm-nih-gov.sid2nomade-2.grenet.fr/articles/PMC6210488/" TargetMode="External"/><Relationship Id="rId21" Type="http://schemas.openxmlformats.org/officeDocument/2006/relationships/hyperlink" Target="https://www-sciencedirect-com.sid2nomade-1.grenet.fr/science/article/pii/S0048969719352969" TargetMode="External"/><Relationship Id="rId42" Type="http://schemas.openxmlformats.org/officeDocument/2006/relationships/hyperlink" Target="https://www-sciencedirect-com.sid2nomade-1.grenet.fr/science/article/pii/S0272771419311758" TargetMode="External"/><Relationship Id="rId47" Type="http://schemas.openxmlformats.org/officeDocument/2006/relationships/hyperlink" Target="https://link-springer-com.sid2nomade-1.grenet.fr/article/10.1007/s11368-022-03166-3" TargetMode="External"/><Relationship Id="rId63" Type="http://schemas.openxmlformats.org/officeDocument/2006/relationships/hyperlink" Target="https://www-sciencedirect-com.sid2nomade-2.grenet.fr/science/article/pii/S0048969719338744?via%3Dihub" TargetMode="External"/><Relationship Id="rId68" Type="http://schemas.openxmlformats.org/officeDocument/2006/relationships/hyperlink" Target="https://www-sciencedirect-com.sid2nomade-1.grenet.fr/science/article/pii/S0048969719308769?via%3Dihub" TargetMode="External"/><Relationship Id="rId2" Type="http://schemas.openxmlformats.org/officeDocument/2006/relationships/hyperlink" Target="https://www-sciencedirect-com.sid2nomade-1.grenet.fr/science/article/pii/S0048969718338786" TargetMode="External"/><Relationship Id="rId16" Type="http://schemas.openxmlformats.org/officeDocument/2006/relationships/hyperlink" Target="https://www-sciencedirect-com.sid2nomade-1.grenet.fr/science/article/pii/S0269749118339757" TargetMode="External"/><Relationship Id="rId29" Type="http://schemas.openxmlformats.org/officeDocument/2006/relationships/hyperlink" Target="https://link-springer-com.sid2nomade-1.grenet.fr/article/10.1007/s00244-017-0414-9" TargetMode="External"/><Relationship Id="rId11" Type="http://schemas.openxmlformats.org/officeDocument/2006/relationships/hyperlink" Target="https://www.sciencedirect.com/science/article/abs/pii/S0048969719315219?via%3Dihub" TargetMode="External"/><Relationship Id="rId24" Type="http://schemas.openxmlformats.org/officeDocument/2006/relationships/hyperlink" Target="https://www-sciencedirect-com.sid2nomade-2.grenet.fr/science/article/pii/S0025326X19307027" TargetMode="External"/><Relationship Id="rId32" Type="http://schemas.openxmlformats.org/officeDocument/2006/relationships/hyperlink" Target="https://www-sciencedirect-com.sid2nomade-2.grenet.fr/science/article/pii/S0025326X17305192" TargetMode="External"/><Relationship Id="rId37" Type="http://schemas.openxmlformats.org/officeDocument/2006/relationships/hyperlink" Target="https://www-sciencedirect-com.sid2nomade-1.grenet.fr/science/article/pii/S0272771419311758" TargetMode="External"/><Relationship Id="rId40" Type="http://schemas.openxmlformats.org/officeDocument/2006/relationships/hyperlink" Target="https://www-sciencedirect-com.sid2nomade-1.grenet.fr/science/article/pii/S0272771419311758" TargetMode="External"/><Relationship Id="rId45" Type="http://schemas.openxmlformats.org/officeDocument/2006/relationships/hyperlink" Target="https://link-springer-com.sid2nomade-1.grenet.fr/article/10.1007/s11368-022-03166-3" TargetMode="External"/><Relationship Id="rId53" Type="http://schemas.openxmlformats.org/officeDocument/2006/relationships/hyperlink" Target="https://www-sciencedirect-com.sid2nomade-1.grenet.fr/science/article/pii/S0269749118330720?via%3Dihub" TargetMode="External"/><Relationship Id="rId58" Type="http://schemas.openxmlformats.org/officeDocument/2006/relationships/hyperlink" Target="https://www-sciencedirect-com.sid2nomade-2.grenet.fr/science/article/pii/S0269749119316744?via%3Dihub" TargetMode="External"/><Relationship Id="rId66" Type="http://schemas.openxmlformats.org/officeDocument/2006/relationships/hyperlink" Target="https://linkinghub-elsevier-com.sid2nomade-1.grenet.fr/retrieve/pii/S0025326X13007261" TargetMode="External"/><Relationship Id="rId5" Type="http://schemas.openxmlformats.org/officeDocument/2006/relationships/hyperlink" Target="https://www-sciencedirect-com.sid2nomade-2.grenet.fr/science/article/pii/S0269749118322474?via%3Dihub" TargetMode="External"/><Relationship Id="rId61" Type="http://schemas.openxmlformats.org/officeDocument/2006/relationships/hyperlink" Target="https://www-sciencedirect-com.sid2nomade-1.grenet.fr/science/article/pii/S0025326X19301043?via%3Dihub" TargetMode="External"/><Relationship Id="rId19" Type="http://schemas.openxmlformats.org/officeDocument/2006/relationships/hyperlink" Target="https://www.researchgate.net/publication/335365727_Microplastics_in_the_sediment_of_intertidal_areas_of_Lamongan_Indonesia" TargetMode="External"/><Relationship Id="rId14" Type="http://schemas.openxmlformats.org/officeDocument/2006/relationships/hyperlink" Target="https://www.sciencedirect.com/science/article/abs/pii/S0048969719308769?via%3Dihub" TargetMode="External"/><Relationship Id="rId22" Type="http://schemas.openxmlformats.org/officeDocument/2006/relationships/hyperlink" Target="https://www.researchgate.net/publication/335365727_Microplastics_in_the_sediment_of_intertidal_areas_of_Lamongan_Indonesia" TargetMode="External"/><Relationship Id="rId27" Type="http://schemas.openxmlformats.org/officeDocument/2006/relationships/hyperlink" Target="https://pmc-ncbi-nlm-nih-gov.sid2nomade-2.grenet.fr/articles/PMC6210488/" TargetMode="External"/><Relationship Id="rId30" Type="http://schemas.openxmlformats.org/officeDocument/2006/relationships/hyperlink" Target="https://www.sciencedirect.com/science/article/abs/pii/S0025326X16308761?via%3Dihub" TargetMode="External"/><Relationship Id="rId35" Type="http://schemas.openxmlformats.org/officeDocument/2006/relationships/hyperlink" Target="https://www-sciencedirect-com.sid2nomade-1.grenet.fr/science/article/pii/S0272771419311758" TargetMode="External"/><Relationship Id="rId43" Type="http://schemas.openxmlformats.org/officeDocument/2006/relationships/hyperlink" Target="https://www-sciencedirect-com.sid2nomade-1.grenet.fr/science/article/pii/S0272771419311758" TargetMode="External"/><Relationship Id="rId48" Type="http://schemas.openxmlformats.org/officeDocument/2006/relationships/hyperlink" Target="https://link-springer-com.sid2nomade-1.grenet.fr/article/10.1007/s11368-022-03166-3" TargetMode="External"/><Relationship Id="rId56" Type="http://schemas.openxmlformats.org/officeDocument/2006/relationships/hyperlink" Target="https://www-sciencedirect-com.sid2nomade-1.grenet.fr/science/article/pii/S004896971934759X?via%3Dihub" TargetMode="External"/><Relationship Id="rId64" Type="http://schemas.openxmlformats.org/officeDocument/2006/relationships/hyperlink" Target="https://www-sciencedirect-com.sid2nomade-2.grenet.fr/science/article/pii/S0025326X17304265?via%3Dihub" TargetMode="External"/><Relationship Id="rId69" Type="http://schemas.openxmlformats.org/officeDocument/2006/relationships/hyperlink" Target="https://www.frontiersin.org/journals/marine-science/articles/10.3389/fmars.2022.1093815/full" TargetMode="External"/><Relationship Id="rId8" Type="http://schemas.openxmlformats.org/officeDocument/2006/relationships/hyperlink" Target="https://www.sciencedirect.com/science/article/abs/pii/S0048969718319995" TargetMode="External"/><Relationship Id="rId51" Type="http://schemas.openxmlformats.org/officeDocument/2006/relationships/hyperlink" Target="https://www-sciencedirect-com.sid2nomade-1.grenet.fr/science/article/pii/S0048969718338786" TargetMode="External"/><Relationship Id="rId72" Type="http://schemas.openxmlformats.org/officeDocument/2006/relationships/hyperlink" Target="https://www.science.org/doi/10.1126/sciadv.add2348" TargetMode="External"/><Relationship Id="rId3" Type="http://schemas.openxmlformats.org/officeDocument/2006/relationships/hyperlink" Target="https://www-sciencedirect-com.sid2nomade-1.grenet.fr/science/article/pii/S004896971934759X" TargetMode="External"/><Relationship Id="rId12" Type="http://schemas.openxmlformats.org/officeDocument/2006/relationships/hyperlink" Target="https://www.sciencedirect.com/science/article/abs/pii/S0048969719315219?via%3Dihub" TargetMode="External"/><Relationship Id="rId17" Type="http://schemas.openxmlformats.org/officeDocument/2006/relationships/hyperlink" Target="https://www-sciencedirect-com.sid2nomade-1.grenet.fr/science/article/pii/S0048969719352969" TargetMode="External"/><Relationship Id="rId25" Type="http://schemas.openxmlformats.org/officeDocument/2006/relationships/hyperlink" Target="https://www-sciencedirect-com.sid2nomade-2.grenet.fr/science/article/pii/S0025326X19307027" TargetMode="External"/><Relationship Id="rId33" Type="http://schemas.openxmlformats.org/officeDocument/2006/relationships/hyperlink" Target="https://www-sciencedirect-com.sid2nomade-2.grenet.fr/science/article/pii/S0025326X17305192" TargetMode="External"/><Relationship Id="rId38" Type="http://schemas.openxmlformats.org/officeDocument/2006/relationships/hyperlink" Target="https://www-sciencedirect-com.sid2nomade-1.grenet.fr/science/article/pii/S0272771419311758" TargetMode="External"/><Relationship Id="rId46" Type="http://schemas.openxmlformats.org/officeDocument/2006/relationships/hyperlink" Target="https://link-springer-com.sid2nomade-1.grenet.fr/article/10.1007/s11368-022-03166-3" TargetMode="External"/><Relationship Id="rId59" Type="http://schemas.openxmlformats.org/officeDocument/2006/relationships/hyperlink" Target="https://www-sciencedirect-com.sid2nomade-2.grenet.fr/science/article/pii/S0025326X19304886?via%3Dihub" TargetMode="External"/><Relationship Id="rId67" Type="http://schemas.openxmlformats.org/officeDocument/2006/relationships/hyperlink" Target="https://www-sciencedirect-com.sid2nomade-1.grenet.fr/science/article/pii/S0048969719308769?via%3Dihub" TargetMode="External"/><Relationship Id="rId20" Type="http://schemas.openxmlformats.org/officeDocument/2006/relationships/hyperlink" Target="https://www-sciencedirect-com.sid2nomade-1.grenet.fr/science/article/pii/S0048969719352969" TargetMode="External"/><Relationship Id="rId41" Type="http://schemas.openxmlformats.org/officeDocument/2006/relationships/hyperlink" Target="https://www-sciencedirect-com.sid2nomade-1.grenet.fr/science/article/pii/S0272771419311758" TargetMode="External"/><Relationship Id="rId54" Type="http://schemas.openxmlformats.org/officeDocument/2006/relationships/hyperlink" Target="https://www-sciencedirect-com.sid2nomade-1.grenet.fr/science/article/pii/S0048969719348302?via%3Dihub" TargetMode="External"/><Relationship Id="rId62" Type="http://schemas.openxmlformats.org/officeDocument/2006/relationships/hyperlink" Target="https://www-sciencedirect-com.sid2nomade-1.grenet.fr/science/article/pii/S0269749119318548?via%3Dihub" TargetMode="External"/><Relationship Id="rId70" Type="http://schemas.openxmlformats.org/officeDocument/2006/relationships/hyperlink" Target="https://www.frontiersin.org/journals/marine-science/articles/10.3389/fmars.2022.1093815/full" TargetMode="External"/><Relationship Id="rId1" Type="http://schemas.openxmlformats.org/officeDocument/2006/relationships/hyperlink" Target="https://www-sciencedirect-com.sid2nomade-1.grenet.fr/science/article/pii/S0048969718338786" TargetMode="External"/><Relationship Id="rId6" Type="http://schemas.openxmlformats.org/officeDocument/2006/relationships/hyperlink" Target="https://www-sciencedirect-com.sid2nomade-2.grenet.fr/science/article/pii/S0269749118322474?via%3Dihub" TargetMode="External"/><Relationship Id="rId15" Type="http://schemas.openxmlformats.org/officeDocument/2006/relationships/hyperlink" Target="https://www-sciencedirect-com.sid2nomade-1.grenet.fr/science/article/pii/S0269749118339757" TargetMode="External"/><Relationship Id="rId23" Type="http://schemas.openxmlformats.org/officeDocument/2006/relationships/hyperlink" Target="https://www.researchgate.net/publication/335365727_Microplastics_in_the_sediment_of_intertidal_areas_of_Lamongan_Indonesia" TargetMode="External"/><Relationship Id="rId28" Type="http://schemas.openxmlformats.org/officeDocument/2006/relationships/hyperlink" Target="https://link-springer-com.sid2nomade-1.grenet.fr/article/10.1007/s00244-017-0414-9" TargetMode="External"/><Relationship Id="rId36" Type="http://schemas.openxmlformats.org/officeDocument/2006/relationships/hyperlink" Target="https://www-sciencedirect-com.sid2nomade-1.grenet.fr/science/article/pii/S0272771419311758" TargetMode="External"/><Relationship Id="rId49" Type="http://schemas.openxmlformats.org/officeDocument/2006/relationships/hyperlink" Target="https://www-sciencedirect-com.sid2nomade-2.grenet.fr/science/article/pii/S0025326X21003453" TargetMode="External"/><Relationship Id="rId57" Type="http://schemas.openxmlformats.org/officeDocument/2006/relationships/hyperlink" Target="https://www-sciencedirect-com.sid2nomade-2.grenet.fr/science/article/pii/S0269749119316744?via%3Dihub" TargetMode="External"/><Relationship Id="rId10" Type="http://schemas.openxmlformats.org/officeDocument/2006/relationships/hyperlink" Target="https://www-sciencedirect-com.sid2nomade-1.grenet.fr/science/article/pii/S004896971934759X?via%3Dihub" TargetMode="External"/><Relationship Id="rId31" Type="http://schemas.openxmlformats.org/officeDocument/2006/relationships/hyperlink" Target="https://www.sciencedirect.com/science/article/abs/pii/S0025326X16308761?via%3Dihub" TargetMode="External"/><Relationship Id="rId44" Type="http://schemas.openxmlformats.org/officeDocument/2006/relationships/hyperlink" Target="https://www-sciencedirect-com.sid2nomade-1.grenet.fr/science/article/pii/S0272771419311758" TargetMode="External"/><Relationship Id="rId52" Type="http://schemas.openxmlformats.org/officeDocument/2006/relationships/hyperlink" Target="https://www-sciencedirect-com.sid2nomade-1.grenet.fr/science/article/pii/S0048969718338786" TargetMode="External"/><Relationship Id="rId60" Type="http://schemas.openxmlformats.org/officeDocument/2006/relationships/hyperlink" Target="https://www-sciencedirect-com.sid2nomade-1.grenet.fr/science/article/pii/S0025326X19301043?via%3Dihub" TargetMode="External"/><Relationship Id="rId65" Type="http://schemas.openxmlformats.org/officeDocument/2006/relationships/hyperlink" Target="https://www-sciencedirect-com.sid2nomade-2.grenet.fr/science/article/pii/S0025326X17304265?via%3Dihub" TargetMode="External"/><Relationship Id="rId73" Type="http://schemas.openxmlformats.org/officeDocument/2006/relationships/hyperlink" Target="https://www-sciencedirect-com.sid2nomade-2.grenet.fr/science/article/pii/S0269749118322474?via%3Dihub" TargetMode="External"/><Relationship Id="rId4" Type="http://schemas.openxmlformats.org/officeDocument/2006/relationships/hyperlink" Target="https://www-sciencedirect-com.sid2nomade-1.grenet.fr/science/article/pii/S004896971934759X" TargetMode="External"/><Relationship Id="rId9" Type="http://schemas.openxmlformats.org/officeDocument/2006/relationships/hyperlink" Target="https://www-sciencedirect-com.sid2nomade-1.grenet.fr/science/article/pii/S004896971934759X?via%3Dihub" TargetMode="External"/><Relationship Id="rId13" Type="http://schemas.openxmlformats.org/officeDocument/2006/relationships/hyperlink" Target="https://www.sciencedirect.com/science/article/abs/pii/S0048969719308769?via%3Dihub" TargetMode="External"/><Relationship Id="rId18" Type="http://schemas.openxmlformats.org/officeDocument/2006/relationships/hyperlink" Target="https://www-sciencedirect-com.sid2nomade-1.grenet.fr/science/article/pii/S0048969719352969" TargetMode="External"/><Relationship Id="rId39" Type="http://schemas.openxmlformats.org/officeDocument/2006/relationships/hyperlink" Target="https://www-sciencedirect-com.sid2nomade-1.grenet.fr/science/article/pii/S0272771419311758" TargetMode="External"/><Relationship Id="rId34" Type="http://schemas.openxmlformats.org/officeDocument/2006/relationships/hyperlink" Target="https://www-sciencedirect-com.sid2nomade-1.grenet.fr/science/article/pii/S0272771419311758" TargetMode="External"/><Relationship Id="rId50" Type="http://schemas.openxmlformats.org/officeDocument/2006/relationships/hyperlink" Target="https://www-sciencedirect-com.sid2nomade-2.grenet.fr/science/article/pii/S0025326X21003453" TargetMode="External"/><Relationship Id="rId55" Type="http://schemas.openxmlformats.org/officeDocument/2006/relationships/hyperlink" Target="https://www-sciencedirect-com.sid2nomade-1.grenet.fr/science/article/pii/S0048969719348302?via%3Dihub" TargetMode="External"/><Relationship Id="rId7" Type="http://schemas.openxmlformats.org/officeDocument/2006/relationships/hyperlink" Target="https://www.sciencedirect.com/science/article/abs/pii/S0048969718319995" TargetMode="External"/><Relationship Id="rId71" Type="http://schemas.openxmlformats.org/officeDocument/2006/relationships/hyperlink" Target="https://www.science.org/doi/10.1126/sciadv.add2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5C8-4132-49ED-ABF4-8F027832DAC2}">
  <dimension ref="A1:AD93"/>
  <sheetViews>
    <sheetView workbookViewId="0">
      <pane ySplit="2" topLeftCell="A62" activePane="bottomLeft" state="frozen"/>
      <selection pane="bottomLeft" activeCell="AB3" sqref="AB3:AB84"/>
    </sheetView>
  </sheetViews>
  <sheetFormatPr baseColWidth="10" defaultRowHeight="14.25" x14ac:dyDescent="0.45"/>
  <cols>
    <col min="1" max="1" width="12.6640625" customWidth="1"/>
    <col min="3" max="3" width="10.6640625" style="283"/>
    <col min="7" max="8" width="10.53125" customWidth="1"/>
    <col min="9" max="9" width="10.6640625" style="284"/>
    <col min="21" max="21" width="10.6640625" style="71"/>
    <col min="24" max="24" width="10.6640625" style="71"/>
    <col min="27" max="27" width="11.73046875" bestFit="1" customWidth="1"/>
  </cols>
  <sheetData>
    <row r="1" spans="1:30" x14ac:dyDescent="0.45">
      <c r="A1" s="292" t="s">
        <v>265</v>
      </c>
      <c r="B1" s="292"/>
      <c r="C1" s="292"/>
      <c r="D1" s="292"/>
      <c r="E1" s="292"/>
      <c r="F1" s="292"/>
      <c r="G1" s="292"/>
      <c r="H1" s="293" t="s">
        <v>266</v>
      </c>
      <c r="I1" s="293"/>
      <c r="J1" s="294" t="s">
        <v>267</v>
      </c>
      <c r="K1" s="294"/>
      <c r="L1" s="294"/>
      <c r="M1" s="294"/>
      <c r="N1" s="294"/>
      <c r="O1" s="295" t="s">
        <v>268</v>
      </c>
      <c r="P1" s="296"/>
      <c r="Q1" s="297" t="s">
        <v>269</v>
      </c>
      <c r="R1" s="298"/>
      <c r="S1" s="299"/>
      <c r="T1" s="300" t="s">
        <v>270</v>
      </c>
      <c r="U1" s="301"/>
      <c r="V1" s="302"/>
      <c r="W1" s="285" t="s">
        <v>271</v>
      </c>
      <c r="X1" s="286"/>
      <c r="Y1" s="287"/>
      <c r="Z1" s="288" t="s">
        <v>272</v>
      </c>
      <c r="AA1" s="289"/>
      <c r="AB1" s="289"/>
      <c r="AC1" s="290" t="s">
        <v>273</v>
      </c>
      <c r="AD1" s="291"/>
    </row>
    <row r="2" spans="1:30" x14ac:dyDescent="0.4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3" t="s">
        <v>6</v>
      </c>
      <c r="H2" s="32" t="s">
        <v>92</v>
      </c>
      <c r="I2" s="32" t="s">
        <v>93</v>
      </c>
      <c r="J2" s="26" t="s">
        <v>96</v>
      </c>
      <c r="K2" s="29" t="s">
        <v>97</v>
      </c>
      <c r="L2" s="29" t="s">
        <v>98</v>
      </c>
      <c r="M2" s="30" t="s">
        <v>95</v>
      </c>
      <c r="N2" s="31" t="s">
        <v>99</v>
      </c>
      <c r="O2" s="36" t="s">
        <v>91</v>
      </c>
      <c r="P2" s="57" t="s">
        <v>100</v>
      </c>
      <c r="Q2" s="59" t="s">
        <v>127</v>
      </c>
      <c r="R2" s="59" t="s">
        <v>128</v>
      </c>
      <c r="S2" s="59" t="s">
        <v>129</v>
      </c>
      <c r="T2" s="58" t="s">
        <v>130</v>
      </c>
      <c r="U2" s="58" t="s">
        <v>131</v>
      </c>
      <c r="V2" s="63" t="s">
        <v>132</v>
      </c>
      <c r="W2" s="64" t="s">
        <v>130</v>
      </c>
      <c r="X2" s="64" t="s">
        <v>131</v>
      </c>
      <c r="Y2" s="257" t="s">
        <v>132</v>
      </c>
      <c r="Z2" s="255" t="s">
        <v>129</v>
      </c>
      <c r="AA2" s="255" t="s">
        <v>264</v>
      </c>
      <c r="AB2" s="260" t="s">
        <v>261</v>
      </c>
      <c r="AC2" s="262" t="s">
        <v>262</v>
      </c>
      <c r="AD2" s="262" t="s">
        <v>263</v>
      </c>
    </row>
    <row r="3" spans="1:30" ht="15.75" x14ac:dyDescent="0.45">
      <c r="A3" s="14" t="s">
        <v>7</v>
      </c>
      <c r="B3" s="182">
        <v>33</v>
      </c>
      <c r="C3" s="183">
        <v>122.21</v>
      </c>
      <c r="D3" s="1" t="s">
        <v>8</v>
      </c>
      <c r="E3" s="39">
        <v>0.91</v>
      </c>
      <c r="F3" s="40">
        <v>-1.28</v>
      </c>
      <c r="G3" s="13">
        <v>28.4</v>
      </c>
      <c r="H3" s="32">
        <v>2017</v>
      </c>
      <c r="I3" s="32">
        <v>3</v>
      </c>
      <c r="J3" s="20">
        <v>1</v>
      </c>
      <c r="K3" s="38">
        <v>112.65408000000001</v>
      </c>
      <c r="L3" s="29">
        <v>12</v>
      </c>
      <c r="M3" s="30">
        <v>0.61037440899999995</v>
      </c>
      <c r="N3" s="31">
        <v>0.1318241227762269</v>
      </c>
      <c r="O3" s="36">
        <v>0.33732978102801497</v>
      </c>
      <c r="P3" s="47">
        <v>104000</v>
      </c>
      <c r="Q3" s="61">
        <f>G3*M3*0.000000001</f>
        <v>1.7334633215599999E-8</v>
      </c>
      <c r="R3" s="61">
        <f>Q3*I3</f>
        <v>5.2003899646799994E-8</v>
      </c>
      <c r="S3" s="62">
        <f>H3-1950</f>
        <v>67</v>
      </c>
      <c r="T3" s="46">
        <f>I3/N3</f>
        <v>22.757595019938329</v>
      </c>
      <c r="U3" s="46">
        <f>N3*S3</f>
        <v>8.832216226007203</v>
      </c>
      <c r="V3" s="68">
        <f>IF(I3&lt;U3,R3/(1-(1-I3/U3)^3),R3)*10000</f>
        <v>7.3032334924034211E-4</v>
      </c>
      <c r="W3" s="69">
        <f>I3/O3</f>
        <v>8.8933742845279724</v>
      </c>
      <c r="X3" s="69">
        <f>O3*S3</f>
        <v>22.601095328877005</v>
      </c>
      <c r="Y3" s="258">
        <f>IF(I3&lt;X3,R3/(1-(1-I3/X3)^3),R3)*10000</f>
        <v>1.4956877751919825E-3</v>
      </c>
      <c r="Z3" s="259">
        <f>2021-1950</f>
        <v>71</v>
      </c>
      <c r="AA3" s="259" cm="1">
        <f t="array" ref="AA3">_xlfn.IFS(I3&lt;=X3,R3*(3/(S3^3 - (S3-W3)^3)),I3&gt;X3,R3*(3/S3^3))</f>
        <v>1.4918933929957962E-12</v>
      </c>
      <c r="AB3" s="261">
        <f xml:space="preserve"> (AA3/3)*(Z3^3)*10000</f>
        <v>1.7798835206017279E-3</v>
      </c>
      <c r="AC3" s="263">
        <f>Y3-AB3</f>
        <v>-2.8419574540974532E-4</v>
      </c>
      <c r="AD3" s="264">
        <f>AB3*100/Y3</f>
        <v>119.00100743774993</v>
      </c>
    </row>
    <row r="4" spans="1:30" ht="15.75" x14ac:dyDescent="0.45">
      <c r="A4" s="14" t="s">
        <v>106</v>
      </c>
      <c r="B4" s="182">
        <v>34</v>
      </c>
      <c r="C4" s="183">
        <v>121.24</v>
      </c>
      <c r="D4" s="1" t="s">
        <v>8</v>
      </c>
      <c r="E4" s="39">
        <v>0.96</v>
      </c>
      <c r="F4" s="40">
        <v>-1.65</v>
      </c>
      <c r="G4" s="13">
        <v>111</v>
      </c>
      <c r="H4" s="32">
        <v>2017</v>
      </c>
      <c r="I4" s="32">
        <v>3</v>
      </c>
      <c r="J4" s="20">
        <v>1</v>
      </c>
      <c r="K4" s="38">
        <v>96.560640000000006</v>
      </c>
      <c r="L4" s="29">
        <v>19</v>
      </c>
      <c r="M4" s="30">
        <v>0.61037440899999995</v>
      </c>
      <c r="N4" s="31">
        <v>0.13090283430916907</v>
      </c>
      <c r="O4" s="36">
        <v>0.82634632117513296</v>
      </c>
      <c r="P4" s="47">
        <v>73000</v>
      </c>
      <c r="Q4" s="61">
        <f t="shared" ref="Q4:Q34" si="0">G4*M4*0.000000001</f>
        <v>6.7751559399000003E-8</v>
      </c>
      <c r="R4" s="61">
        <f t="shared" ref="R4:R34" si="1">Q4*I4</f>
        <v>2.0325467819700001E-7</v>
      </c>
      <c r="S4" s="62">
        <f t="shared" ref="S4:S34" si="2">H4-1950</f>
        <v>67</v>
      </c>
      <c r="T4" s="46">
        <f t="shared" ref="T4:T34" si="3">I4/N4</f>
        <v>22.91776198607386</v>
      </c>
      <c r="U4" s="46">
        <f t="shared" ref="U4:U34" si="4">N4*S4</f>
        <v>8.7704898987143274</v>
      </c>
      <c r="V4" s="68">
        <f t="shared" ref="V4:V34" si="5">IF(I4&lt;U4,R4/(1-(1-I4/U4)^3),R4)*10000</f>
        <v>2.8419969167391111E-3</v>
      </c>
      <c r="W4" s="69">
        <f t="shared" ref="W4:W67" si="6">I4/O4</f>
        <v>3.6304391066130135</v>
      </c>
      <c r="X4" s="69">
        <f t="shared" ref="X4:X67" si="7">O4*S4</f>
        <v>55.365203518733907</v>
      </c>
      <c r="Y4" s="258">
        <f t="shared" ref="Y4:Y67" si="8">IF(I4&lt;X4,R4/(1-(1-I4/X4)^3),R4)*10000</f>
        <v>1.320626130780027E-2</v>
      </c>
      <c r="Z4" s="259">
        <f t="shared" ref="Z4:Z67" si="9">2021-1950</f>
        <v>71</v>
      </c>
      <c r="AA4" s="259" cm="1">
        <f t="array" ref="AA4">_xlfn.IFS(I4&lt;=X4,R4*(3/(S4^3 - (S4-W4)^3)),I4&gt;X4,R4*(3/S4^3))</f>
        <v>1.3172758591781839E-11</v>
      </c>
      <c r="AB4" s="261">
        <f t="shared" ref="AB4:AB67" si="10" xml:space="preserve"> (AA4/3)*(Z4^3)*10000</f>
        <v>1.5715584001144096E-2</v>
      </c>
      <c r="AC4" s="263">
        <f t="shared" ref="AC4:AC67" si="11">Y4-AB4</f>
        <v>-2.5093226933438264E-3</v>
      </c>
      <c r="AD4" s="264">
        <f t="shared" ref="AD4:AD67" si="12">AB4*100/Y4</f>
        <v>119.00100743774998</v>
      </c>
    </row>
    <row r="5" spans="1:30" ht="15.75" x14ac:dyDescent="0.45">
      <c r="A5" s="14" t="s">
        <v>107</v>
      </c>
      <c r="B5" s="182">
        <v>36</v>
      </c>
      <c r="C5" s="183">
        <v>121</v>
      </c>
      <c r="D5" s="1" t="s">
        <v>8</v>
      </c>
      <c r="E5" s="39">
        <v>0.96</v>
      </c>
      <c r="F5" s="40">
        <v>-1.35</v>
      </c>
      <c r="G5" s="13">
        <v>180</v>
      </c>
      <c r="H5" s="32">
        <v>2017</v>
      </c>
      <c r="I5" s="32">
        <v>3</v>
      </c>
      <c r="J5" s="20">
        <v>1</v>
      </c>
      <c r="K5" s="38">
        <v>32.186880000000002</v>
      </c>
      <c r="L5" s="29">
        <v>20</v>
      </c>
      <c r="M5" s="30">
        <v>0.61037440899999995</v>
      </c>
      <c r="N5" s="31">
        <v>0.13077174832993385</v>
      </c>
      <c r="O5" s="36">
        <v>0.23090016408609401</v>
      </c>
      <c r="P5" s="47">
        <v>16000</v>
      </c>
      <c r="Q5" s="61">
        <f t="shared" si="0"/>
        <v>1.0986739361999999E-7</v>
      </c>
      <c r="R5" s="61">
        <f t="shared" si="1"/>
        <v>3.2960218085999997E-7</v>
      </c>
      <c r="S5" s="62">
        <f t="shared" si="2"/>
        <v>67</v>
      </c>
      <c r="T5" s="46">
        <f t="shared" si="3"/>
        <v>22.940734817057542</v>
      </c>
      <c r="U5" s="46">
        <f t="shared" si="4"/>
        <v>8.7617071381055673</v>
      </c>
      <c r="V5" s="68">
        <f t="shared" si="5"/>
        <v>4.6057775028643623E-3</v>
      </c>
      <c r="W5" s="69">
        <f t="shared" si="6"/>
        <v>12.992628272370618</v>
      </c>
      <c r="X5" s="69">
        <f t="shared" si="7"/>
        <v>15.470310993768299</v>
      </c>
      <c r="Y5" s="258">
        <f t="shared" si="8"/>
        <v>6.920967952712056E-3</v>
      </c>
      <c r="Z5" s="259">
        <f t="shared" si="9"/>
        <v>71</v>
      </c>
      <c r="AA5" s="259" cm="1">
        <f t="array" ref="AA5">_xlfn.IFS(I5&lt;=X5,R5*(3/(S5^3 - (S5-W5)^3)),I5&gt;X5,R5*(3/S5^3))</f>
        <v>6.9034102792351988E-12</v>
      </c>
      <c r="AB5" s="261">
        <f t="shared" si="10"/>
        <v>8.2360215881711642E-3</v>
      </c>
      <c r="AC5" s="263">
        <f t="shared" si="11"/>
        <v>-1.3150536354591081E-3</v>
      </c>
      <c r="AD5" s="264">
        <f t="shared" si="12"/>
        <v>119.00100743774995</v>
      </c>
    </row>
    <row r="6" spans="1:30" ht="15.75" x14ac:dyDescent="0.45">
      <c r="A6" s="14" t="s">
        <v>108</v>
      </c>
      <c r="B6" s="182">
        <v>33</v>
      </c>
      <c r="C6" s="183">
        <v>123</v>
      </c>
      <c r="D6" s="1" t="s">
        <v>8</v>
      </c>
      <c r="E6" s="39">
        <v>0.81</v>
      </c>
      <c r="F6" s="40">
        <v>-1.47</v>
      </c>
      <c r="G6" s="13">
        <v>74.8</v>
      </c>
      <c r="H6" s="32">
        <v>2017</v>
      </c>
      <c r="I6" s="32">
        <v>3</v>
      </c>
      <c r="J6" s="20">
        <v>1</v>
      </c>
      <c r="K6" s="38">
        <v>160.93440000000001</v>
      </c>
      <c r="L6" s="29">
        <v>29</v>
      </c>
      <c r="M6" s="30">
        <v>0.61037440899999995</v>
      </c>
      <c r="N6" s="31">
        <v>0.12959786589218056</v>
      </c>
      <c r="O6" s="36">
        <v>0.41044831869999299</v>
      </c>
      <c r="P6" s="47">
        <v>161000</v>
      </c>
      <c r="Q6" s="61">
        <f t="shared" si="0"/>
        <v>4.56560057932E-8</v>
      </c>
      <c r="R6" s="61">
        <f t="shared" si="1"/>
        <v>1.3696801737960001E-7</v>
      </c>
      <c r="S6" s="62">
        <f t="shared" si="2"/>
        <v>67</v>
      </c>
      <c r="T6" s="46">
        <f t="shared" si="3"/>
        <v>23.148529332233462</v>
      </c>
      <c r="U6" s="46">
        <f t="shared" si="4"/>
        <v>8.6830570147760966</v>
      </c>
      <c r="V6" s="68">
        <f t="shared" si="5"/>
        <v>1.9033057568913529E-3</v>
      </c>
      <c r="W6" s="69">
        <f t="shared" si="6"/>
        <v>7.3090809812593616</v>
      </c>
      <c r="X6" s="69">
        <f t="shared" si="7"/>
        <v>27.500037352899529</v>
      </c>
      <c r="Y6" s="258">
        <f t="shared" si="8"/>
        <v>4.6767806397714625E-3</v>
      </c>
      <c r="Z6" s="259">
        <f t="shared" si="9"/>
        <v>71</v>
      </c>
      <c r="AA6" s="259" cm="1">
        <f t="array" ref="AA6">_xlfn.IFS(I6&lt;=X6,R6*(3/(S6^3 - (S6-W6)^3)),I6&gt;X6,R6*(3/S6^3))</f>
        <v>4.6649162028954311E-12</v>
      </c>
      <c r="AB6" s="261">
        <f t="shared" si="10"/>
        <v>5.5654160769816885E-3</v>
      </c>
      <c r="AC6" s="263">
        <f t="shared" si="11"/>
        <v>-8.8863543721022595E-4</v>
      </c>
      <c r="AD6" s="264">
        <f t="shared" si="12"/>
        <v>119.00100743774996</v>
      </c>
    </row>
    <row r="7" spans="1:30" ht="15.75" x14ac:dyDescent="0.45">
      <c r="A7" s="14" t="s">
        <v>109</v>
      </c>
      <c r="B7" s="182">
        <v>35</v>
      </c>
      <c r="C7" s="183">
        <v>121.39</v>
      </c>
      <c r="D7" s="1" t="s">
        <v>8</v>
      </c>
      <c r="E7" s="39">
        <v>0.91</v>
      </c>
      <c r="F7" s="40">
        <v>-1.67</v>
      </c>
      <c r="G7" s="13">
        <v>81.900000000000006</v>
      </c>
      <c r="H7" s="32">
        <v>2017</v>
      </c>
      <c r="I7" s="32">
        <v>3</v>
      </c>
      <c r="J7" s="20">
        <v>1</v>
      </c>
      <c r="K7" s="38">
        <v>144.84096</v>
      </c>
      <c r="L7" s="29">
        <v>36</v>
      </c>
      <c r="M7" s="30">
        <v>0.61037440899999995</v>
      </c>
      <c r="N7" s="31">
        <v>0.12869213622231998</v>
      </c>
      <c r="O7" s="36">
        <v>0.14227124115916101</v>
      </c>
      <c r="P7" s="47">
        <v>110000</v>
      </c>
      <c r="Q7" s="61">
        <f t="shared" si="0"/>
        <v>4.9989664097099998E-8</v>
      </c>
      <c r="R7" s="61">
        <f t="shared" si="1"/>
        <v>1.4996899229129999E-7</v>
      </c>
      <c r="S7" s="62">
        <f t="shared" si="2"/>
        <v>67</v>
      </c>
      <c r="T7" s="46">
        <f t="shared" si="3"/>
        <v>23.31144767709349</v>
      </c>
      <c r="U7" s="46">
        <f t="shared" si="4"/>
        <v>8.6223731268954396</v>
      </c>
      <c r="V7" s="68">
        <f t="shared" si="5"/>
        <v>2.0749902379767235E-3</v>
      </c>
      <c r="W7" s="69">
        <f t="shared" si="6"/>
        <v>21.086482240243157</v>
      </c>
      <c r="X7" s="69">
        <f t="shared" si="7"/>
        <v>9.532173157663788</v>
      </c>
      <c r="Y7" s="258">
        <f t="shared" si="8"/>
        <v>2.2113069427308007E-3</v>
      </c>
      <c r="Z7" s="259">
        <f t="shared" si="9"/>
        <v>71</v>
      </c>
      <c r="AA7" s="259" cm="1">
        <f t="array" ref="AA7">_xlfn.IFS(I7&lt;=X7,R7*(3/(S7^3 - (S7-W7)^3)),I7&gt;X7,R7*(3/S7^3))</f>
        <v>2.2056971197229723E-12</v>
      </c>
      <c r="AB7" s="261">
        <f t="shared" si="10"/>
        <v>2.6314775393905627E-3</v>
      </c>
      <c r="AC7" s="263">
        <f t="shared" si="11"/>
        <v>-4.2017059665976205E-4</v>
      </c>
      <c r="AD7" s="264">
        <f t="shared" si="12"/>
        <v>119.00100743775002</v>
      </c>
    </row>
    <row r="8" spans="1:30" ht="15.75" x14ac:dyDescent="0.45">
      <c r="A8" s="14" t="s">
        <v>110</v>
      </c>
      <c r="B8" s="182">
        <v>36</v>
      </c>
      <c r="C8" s="183">
        <v>121.4</v>
      </c>
      <c r="D8" s="1" t="s">
        <v>8</v>
      </c>
      <c r="E8" s="39">
        <v>0.86</v>
      </c>
      <c r="F8" s="40">
        <v>-1.19</v>
      </c>
      <c r="G8" s="13">
        <v>108</v>
      </c>
      <c r="H8" s="32">
        <v>2017</v>
      </c>
      <c r="I8" s="32">
        <v>3</v>
      </c>
      <c r="J8" s="20">
        <v>1</v>
      </c>
      <c r="K8" s="38">
        <v>80.467200000000005</v>
      </c>
      <c r="L8" s="29">
        <v>36</v>
      </c>
      <c r="M8" s="30">
        <v>0.61037440899999995</v>
      </c>
      <c r="N8" s="31">
        <v>0.12869213622231998</v>
      </c>
      <c r="O8" s="36">
        <v>0.144689629681273</v>
      </c>
      <c r="P8" s="47">
        <v>48000</v>
      </c>
      <c r="Q8" s="61">
        <f t="shared" si="0"/>
        <v>6.5920436171999997E-8</v>
      </c>
      <c r="R8" s="61">
        <f t="shared" si="1"/>
        <v>1.97761308516E-7</v>
      </c>
      <c r="S8" s="62">
        <f t="shared" si="2"/>
        <v>67</v>
      </c>
      <c r="T8" s="46">
        <f t="shared" si="3"/>
        <v>23.31144767709349</v>
      </c>
      <c r="U8" s="46">
        <f t="shared" si="4"/>
        <v>8.6223731268954396</v>
      </c>
      <c r="V8" s="68">
        <f t="shared" si="5"/>
        <v>2.736250863266009E-3</v>
      </c>
      <c r="W8" s="69">
        <f t="shared" si="6"/>
        <v>20.734036064702753</v>
      </c>
      <c r="X8" s="69">
        <f t="shared" si="7"/>
        <v>9.6942051886452916</v>
      </c>
      <c r="Y8" s="258">
        <f t="shared" si="8"/>
        <v>2.9484764056608168E-3</v>
      </c>
      <c r="Z8" s="259">
        <f t="shared" si="9"/>
        <v>71</v>
      </c>
      <c r="AA8" s="259" cm="1">
        <f t="array" ref="AA8">_xlfn.IFS(I8&lt;=X8,R8*(3/(S8^3 - (S8-W8)^3)),I8&gt;X8,R8*(3/S8^3))</f>
        <v>2.9409964713021388E-12</v>
      </c>
      <c r="AB8" s="261">
        <f t="shared" si="10"/>
        <v>3.5087166268007327E-3</v>
      </c>
      <c r="AC8" s="263">
        <f t="shared" si="11"/>
        <v>-5.6024022113991588E-4</v>
      </c>
      <c r="AD8" s="264">
        <f t="shared" si="12"/>
        <v>119.00100743775</v>
      </c>
    </row>
    <row r="9" spans="1:30" ht="15.75" x14ac:dyDescent="0.45">
      <c r="A9" s="14" t="s">
        <v>111</v>
      </c>
      <c r="B9" s="182">
        <v>35</v>
      </c>
      <c r="C9" s="183">
        <v>123</v>
      </c>
      <c r="D9" s="1" t="s">
        <v>8</v>
      </c>
      <c r="E9" s="39">
        <v>0.84</v>
      </c>
      <c r="F9" s="40">
        <v>-1.69</v>
      </c>
      <c r="G9" s="13">
        <v>114</v>
      </c>
      <c r="H9" s="32">
        <v>2017</v>
      </c>
      <c r="I9" s="32">
        <v>3</v>
      </c>
      <c r="J9" s="20">
        <v>1</v>
      </c>
      <c r="K9" s="38">
        <v>209.21472</v>
      </c>
      <c r="L9" s="29">
        <v>45</v>
      </c>
      <c r="M9" s="30">
        <v>0.61037440899999995</v>
      </c>
      <c r="N9" s="31">
        <v>0.12753692157911437</v>
      </c>
      <c r="O9" s="36">
        <v>0.14101779901188399</v>
      </c>
      <c r="P9" s="47">
        <v>202000</v>
      </c>
      <c r="Q9" s="61">
        <f t="shared" si="0"/>
        <v>6.9582682625999997E-8</v>
      </c>
      <c r="R9" s="61">
        <f t="shared" si="1"/>
        <v>2.0874804787799999E-7</v>
      </c>
      <c r="S9" s="62">
        <f t="shared" si="2"/>
        <v>67</v>
      </c>
      <c r="T9" s="46">
        <f t="shared" si="3"/>
        <v>23.52260006635823</v>
      </c>
      <c r="U9" s="46">
        <f t="shared" si="4"/>
        <v>8.5449737458006627</v>
      </c>
      <c r="V9" s="68">
        <f t="shared" si="5"/>
        <v>2.8723653637581512E-3</v>
      </c>
      <c r="W9" s="69">
        <f t="shared" si="6"/>
        <v>21.273910251195886</v>
      </c>
      <c r="X9" s="69">
        <f t="shared" si="7"/>
        <v>9.4481925337962274</v>
      </c>
      <c r="Y9" s="258">
        <f t="shared" si="8"/>
        <v>3.0602983928645065E-3</v>
      </c>
      <c r="Z9" s="259">
        <f t="shared" si="9"/>
        <v>71</v>
      </c>
      <c r="AA9" s="259" cm="1">
        <f t="array" ref="AA9">_xlfn.IFS(I9&lt;=X9,R9*(3/(S9^3 - (S9-W9)^3)),I9&gt;X9,R9*(3/S9^3))</f>
        <v>3.0525347794088768E-12</v>
      </c>
      <c r="AB9" s="261">
        <f t="shared" si="10"/>
        <v>3.6417859181100349E-3</v>
      </c>
      <c r="AC9" s="263">
        <f t="shared" si="11"/>
        <v>-5.8148752524552838E-4</v>
      </c>
      <c r="AD9" s="264">
        <f t="shared" si="12"/>
        <v>119.00100743774999</v>
      </c>
    </row>
    <row r="10" spans="1:30" ht="15.75" x14ac:dyDescent="0.45">
      <c r="A10" s="14" t="s">
        <v>112</v>
      </c>
      <c r="B10" s="182">
        <v>34</v>
      </c>
      <c r="C10" s="183">
        <v>124</v>
      </c>
      <c r="D10" s="1" t="s">
        <v>8</v>
      </c>
      <c r="E10" s="39">
        <v>0.85</v>
      </c>
      <c r="F10" s="40">
        <v>-1.67</v>
      </c>
      <c r="G10" s="13">
        <v>90.9</v>
      </c>
      <c r="H10" s="32">
        <v>2017</v>
      </c>
      <c r="I10" s="32">
        <v>3</v>
      </c>
      <c r="J10" s="20">
        <v>1</v>
      </c>
      <c r="K10" s="38">
        <v>209.21472</v>
      </c>
      <c r="L10" s="29">
        <v>50</v>
      </c>
      <c r="M10" s="30">
        <v>0.61037440899999995</v>
      </c>
      <c r="N10" s="31">
        <v>0.12689962245301062</v>
      </c>
      <c r="O10" s="36">
        <v>0.34369892330201302</v>
      </c>
      <c r="P10" s="47">
        <v>100000</v>
      </c>
      <c r="Q10" s="61">
        <f t="shared" si="0"/>
        <v>5.5483033778100005E-8</v>
      </c>
      <c r="R10" s="61">
        <f t="shared" si="1"/>
        <v>1.6644910133430001E-7</v>
      </c>
      <c r="S10" s="62">
        <f t="shared" si="2"/>
        <v>67</v>
      </c>
      <c r="T10" s="46">
        <f t="shared" si="3"/>
        <v>23.640732273343552</v>
      </c>
      <c r="U10" s="46">
        <f t="shared" si="4"/>
        <v>8.5022747043517111</v>
      </c>
      <c r="V10" s="68">
        <f t="shared" si="5"/>
        <v>2.283354288523675E-3</v>
      </c>
      <c r="W10" s="69">
        <f t="shared" si="6"/>
        <v>8.7285696771411132</v>
      </c>
      <c r="X10" s="69">
        <f t="shared" si="7"/>
        <v>23.027827861234872</v>
      </c>
      <c r="Y10" s="258">
        <f t="shared" si="8"/>
        <v>4.8651383013826694E-3</v>
      </c>
      <c r="Z10" s="259">
        <f t="shared" si="9"/>
        <v>71</v>
      </c>
      <c r="AA10" s="259" cm="1">
        <f t="array" ref="AA10">_xlfn.IFS(I10&lt;=X10,R10*(3/(S10^3 - (S10-W10)^3)),I10&gt;X10,R10*(3/S10^3))</f>
        <v>4.8527960234962452E-12</v>
      </c>
      <c r="AB10" s="261">
        <f t="shared" si="10"/>
        <v>5.7895635918852155E-3</v>
      </c>
      <c r="AC10" s="263">
        <f t="shared" si="11"/>
        <v>-9.2442529050254605E-4</v>
      </c>
      <c r="AD10" s="264">
        <f t="shared" si="12"/>
        <v>119.00100743775002</v>
      </c>
    </row>
    <row r="11" spans="1:30" ht="15.75" x14ac:dyDescent="0.45">
      <c r="A11" s="14" t="s">
        <v>113</v>
      </c>
      <c r="B11" s="182">
        <v>36</v>
      </c>
      <c r="C11" s="183">
        <v>122</v>
      </c>
      <c r="D11" s="1" t="s">
        <v>8</v>
      </c>
      <c r="E11" s="39">
        <v>0.74</v>
      </c>
      <c r="F11" s="40">
        <v>-1.66</v>
      </c>
      <c r="G11" s="13">
        <v>83.2</v>
      </c>
      <c r="H11" s="32">
        <v>2017</v>
      </c>
      <c r="I11" s="32">
        <v>3</v>
      </c>
      <c r="J11" s="20">
        <v>1</v>
      </c>
      <c r="K11" s="38">
        <v>96.560640000000006</v>
      </c>
      <c r="L11" s="29">
        <v>50</v>
      </c>
      <c r="M11" s="30">
        <v>0.61037440899999995</v>
      </c>
      <c r="N11" s="31">
        <v>0.12689962245301062</v>
      </c>
      <c r="O11" s="36">
        <v>0.14041206689384</v>
      </c>
      <c r="P11" s="47">
        <v>87000</v>
      </c>
      <c r="Q11" s="61">
        <f t="shared" si="0"/>
        <v>5.0783150828800001E-8</v>
      </c>
      <c r="R11" s="61">
        <f t="shared" si="1"/>
        <v>1.523494524864E-7</v>
      </c>
      <c r="S11" s="62">
        <f t="shared" si="2"/>
        <v>67</v>
      </c>
      <c r="T11" s="46">
        <f t="shared" si="3"/>
        <v>23.640732273343552</v>
      </c>
      <c r="U11" s="46">
        <f t="shared" si="4"/>
        <v>8.5022747043517111</v>
      </c>
      <c r="V11" s="68">
        <f t="shared" si="5"/>
        <v>2.0899348383407014E-3</v>
      </c>
      <c r="W11" s="69">
        <f t="shared" si="6"/>
        <v>21.365685060872874</v>
      </c>
      <c r="X11" s="69">
        <f t="shared" si="7"/>
        <v>9.40760848188728</v>
      </c>
      <c r="Y11" s="258">
        <f t="shared" si="8"/>
        <v>2.227243790340908E-3</v>
      </c>
      <c r="Z11" s="259">
        <f t="shared" si="9"/>
        <v>71</v>
      </c>
      <c r="AA11" s="259" cm="1">
        <f t="array" ref="AA11">_xlfn.IFS(I11&lt;=X11,R11*(3/(S11^3 - (S11-W11)^3)),I11&gt;X11,R11*(3/S11^3))</f>
        <v>2.2215935374440086E-12</v>
      </c>
      <c r="AB11" s="261">
        <f t="shared" si="10"/>
        <v>2.6504425486004084E-3</v>
      </c>
      <c r="AC11" s="263">
        <f t="shared" si="11"/>
        <v>-4.2319875825950039E-4</v>
      </c>
      <c r="AD11" s="264">
        <f t="shared" si="12"/>
        <v>119.00100743774998</v>
      </c>
    </row>
    <row r="12" spans="1:30" ht="15.75" x14ac:dyDescent="0.45">
      <c r="A12" s="14" t="s">
        <v>114</v>
      </c>
      <c r="B12" s="182">
        <v>35</v>
      </c>
      <c r="C12" s="183">
        <v>124</v>
      </c>
      <c r="D12" s="1" t="s">
        <v>8</v>
      </c>
      <c r="E12" s="39">
        <v>0.67</v>
      </c>
      <c r="F12" s="40">
        <v>-1.65</v>
      </c>
      <c r="G12" s="13">
        <v>77.400000000000006</v>
      </c>
      <c r="H12" s="32">
        <v>2017</v>
      </c>
      <c r="I12" s="32">
        <v>3</v>
      </c>
      <c r="J12" s="20">
        <v>1</v>
      </c>
      <c r="K12" s="38">
        <v>193.12128000000001</v>
      </c>
      <c r="L12" s="29">
        <v>64</v>
      </c>
      <c r="M12" s="30">
        <v>0.61037440899999995</v>
      </c>
      <c r="N12" s="31">
        <v>0.12513207606482871</v>
      </c>
      <c r="O12" s="36">
        <v>0.14089302123934799</v>
      </c>
      <c r="P12" s="47">
        <v>113000</v>
      </c>
      <c r="Q12" s="61">
        <f t="shared" si="0"/>
        <v>4.7242979256600007E-8</v>
      </c>
      <c r="R12" s="61">
        <f t="shared" si="1"/>
        <v>1.4172893776980003E-7</v>
      </c>
      <c r="S12" s="62">
        <f t="shared" si="2"/>
        <v>67</v>
      </c>
      <c r="T12" s="46">
        <f t="shared" si="3"/>
        <v>23.974668161389356</v>
      </c>
      <c r="U12" s="46">
        <f t="shared" si="4"/>
        <v>8.383849096343523</v>
      </c>
      <c r="V12" s="68">
        <f t="shared" si="5"/>
        <v>1.9278087470240637E-3</v>
      </c>
      <c r="W12" s="69">
        <f t="shared" si="6"/>
        <v>21.292750865946886</v>
      </c>
      <c r="X12" s="69">
        <f t="shared" si="7"/>
        <v>9.4398324230363162</v>
      </c>
      <c r="Y12" s="258">
        <f t="shared" si="8"/>
        <v>2.0765858126276528E-3</v>
      </c>
      <c r="Z12" s="259">
        <f t="shared" si="9"/>
        <v>71</v>
      </c>
      <c r="AA12" s="259" cm="1">
        <f t="array" ref="AA12">_xlfn.IFS(I12&lt;=X12,R12*(3/(S12^3 - (S12-W12)^3)),I12&gt;X12,R12*(3/S12^3))</f>
        <v>2.0713177611218658E-12</v>
      </c>
      <c r="AB12" s="261">
        <f t="shared" si="10"/>
        <v>2.471158037336294E-3</v>
      </c>
      <c r="AC12" s="263">
        <f t="shared" si="11"/>
        <v>-3.9457222470864117E-4</v>
      </c>
      <c r="AD12" s="264">
        <f t="shared" si="12"/>
        <v>119.00100743774998</v>
      </c>
    </row>
    <row r="13" spans="1:30" ht="15.75" x14ac:dyDescent="0.45">
      <c r="A13" s="14" t="s">
        <v>115</v>
      </c>
      <c r="B13" s="182">
        <v>36</v>
      </c>
      <c r="C13" s="183">
        <v>123</v>
      </c>
      <c r="D13" s="1" t="s">
        <v>8</v>
      </c>
      <c r="E13" s="39">
        <v>0.82</v>
      </c>
      <c r="F13" s="40">
        <v>-1.61</v>
      </c>
      <c r="G13" s="13">
        <v>94.9</v>
      </c>
      <c r="H13" s="32">
        <v>2017</v>
      </c>
      <c r="I13" s="32">
        <v>3</v>
      </c>
      <c r="J13" s="20">
        <v>1</v>
      </c>
      <c r="K13" s="38">
        <v>112.65408000000001</v>
      </c>
      <c r="L13" s="29">
        <v>70</v>
      </c>
      <c r="M13" s="30">
        <v>0.61037440899999995</v>
      </c>
      <c r="N13" s="31">
        <v>0.12438211290744003</v>
      </c>
      <c r="O13" s="36">
        <v>0.13914417883080701</v>
      </c>
      <c r="P13" s="47">
        <v>107000</v>
      </c>
      <c r="Q13" s="61">
        <f t="shared" si="0"/>
        <v>5.7924531414100005E-8</v>
      </c>
      <c r="R13" s="61">
        <f t="shared" si="1"/>
        <v>1.7377359424230001E-7</v>
      </c>
      <c r="S13" s="62">
        <f t="shared" si="2"/>
        <v>67</v>
      </c>
      <c r="T13" s="46">
        <f t="shared" si="3"/>
        <v>24.119223655836066</v>
      </c>
      <c r="U13" s="46">
        <f t="shared" si="4"/>
        <v>8.3336015647984816</v>
      </c>
      <c r="V13" s="68">
        <f t="shared" si="5"/>
        <v>2.3551607315144539E-3</v>
      </c>
      <c r="W13" s="69">
        <f t="shared" si="6"/>
        <v>21.560370151365536</v>
      </c>
      <c r="X13" s="69">
        <f t="shared" si="7"/>
        <v>9.3226599816640707</v>
      </c>
      <c r="Y13" s="258">
        <f t="shared" si="8"/>
        <v>2.5255821431145742E-3</v>
      </c>
      <c r="Z13" s="259">
        <f t="shared" si="9"/>
        <v>71</v>
      </c>
      <c r="AA13" s="259" cm="1">
        <f t="array" ref="AA13">_xlfn.IFS(I13&lt;=X13,R13*(3/(S13^3 - (S13-W13)^3)),I13&gt;X13,R13*(3/S13^3))</f>
        <v>2.5191750412596374E-12</v>
      </c>
      <c r="AB13" s="261">
        <f t="shared" si="10"/>
        <v>3.0054681939742606E-3</v>
      </c>
      <c r="AC13" s="263">
        <f t="shared" si="11"/>
        <v>-4.7988605085968637E-4</v>
      </c>
      <c r="AD13" s="264">
        <f t="shared" si="12"/>
        <v>119.00100743775</v>
      </c>
    </row>
    <row r="14" spans="1:30" ht="15.75" x14ac:dyDescent="0.45">
      <c r="A14" s="14" t="s">
        <v>116</v>
      </c>
      <c r="B14" s="182">
        <v>35</v>
      </c>
      <c r="C14" s="183">
        <v>124</v>
      </c>
      <c r="D14" s="1" t="s">
        <v>8</v>
      </c>
      <c r="E14" s="39">
        <v>0.67</v>
      </c>
      <c r="F14" s="40">
        <v>-1.69</v>
      </c>
      <c r="G14" s="13">
        <v>135</v>
      </c>
      <c r="H14" s="32">
        <v>2017</v>
      </c>
      <c r="I14" s="32">
        <v>3</v>
      </c>
      <c r="J14" s="20">
        <v>1</v>
      </c>
      <c r="K14" s="38">
        <v>193.12128000000001</v>
      </c>
      <c r="L14" s="29">
        <v>72</v>
      </c>
      <c r="M14" s="30">
        <v>0.61037440899999995</v>
      </c>
      <c r="N14" s="31">
        <v>0.12413312536833321</v>
      </c>
      <c r="O14" s="36">
        <v>0.14089302123934799</v>
      </c>
      <c r="P14" s="47">
        <v>113000</v>
      </c>
      <c r="Q14" s="61">
        <f t="shared" si="0"/>
        <v>8.2400545215000006E-8</v>
      </c>
      <c r="R14" s="61">
        <f t="shared" si="1"/>
        <v>2.4720163564500002E-7</v>
      </c>
      <c r="S14" s="62">
        <f t="shared" si="2"/>
        <v>67</v>
      </c>
      <c r="T14" s="46">
        <f t="shared" si="3"/>
        <v>24.16760225039263</v>
      </c>
      <c r="U14" s="46">
        <f t="shared" si="4"/>
        <v>8.3169193996783246</v>
      </c>
      <c r="V14" s="68">
        <f t="shared" si="5"/>
        <v>3.3463143674179259E-3</v>
      </c>
      <c r="W14" s="69">
        <f t="shared" si="6"/>
        <v>21.292750865946886</v>
      </c>
      <c r="X14" s="69">
        <f t="shared" si="7"/>
        <v>9.4398324230363162</v>
      </c>
      <c r="Y14" s="258">
        <f t="shared" si="8"/>
        <v>3.6219519987691611E-3</v>
      </c>
      <c r="Z14" s="259">
        <f t="shared" si="9"/>
        <v>71</v>
      </c>
      <c r="AA14" s="259" cm="1">
        <f t="array" ref="AA14">_xlfn.IFS(I14&lt;=X14,R14*(3/(S14^3 - (S14-W14)^3)),I14&gt;X14,R14*(3/S14^3))</f>
        <v>3.6127635368404633E-12</v>
      </c>
      <c r="AB14" s="261">
        <f t="shared" si="10"/>
        <v>4.3101593674470234E-3</v>
      </c>
      <c r="AC14" s="263">
        <f t="shared" si="11"/>
        <v>-6.8820736867786225E-4</v>
      </c>
      <c r="AD14" s="264">
        <f t="shared" si="12"/>
        <v>119.00100743774998</v>
      </c>
    </row>
    <row r="15" spans="1:30" ht="15.75" x14ac:dyDescent="0.45">
      <c r="A15" s="14" t="s">
        <v>117</v>
      </c>
      <c r="B15" s="182">
        <v>34</v>
      </c>
      <c r="C15" s="183">
        <v>123.44</v>
      </c>
      <c r="D15" s="1" t="s">
        <v>8</v>
      </c>
      <c r="E15" s="39">
        <v>0.87990000000000002</v>
      </c>
      <c r="F15" s="40">
        <v>-1.64</v>
      </c>
      <c r="G15" s="13">
        <v>86.3</v>
      </c>
      <c r="H15" s="32">
        <v>2017</v>
      </c>
      <c r="I15" s="32">
        <v>3</v>
      </c>
      <c r="J15" s="20">
        <v>1</v>
      </c>
      <c r="K15" s="38">
        <v>241.4016</v>
      </c>
      <c r="L15" s="29">
        <v>77</v>
      </c>
      <c r="M15" s="30">
        <v>0.61037440899999995</v>
      </c>
      <c r="N15" s="31">
        <v>0.12351283493527079</v>
      </c>
      <c r="O15" s="36">
        <v>0.14174114396088899</v>
      </c>
      <c r="P15" s="47">
        <v>151000</v>
      </c>
      <c r="Q15" s="61">
        <f t="shared" si="0"/>
        <v>5.2675311496699998E-8</v>
      </c>
      <c r="R15" s="61">
        <f t="shared" si="1"/>
        <v>1.580259344901E-7</v>
      </c>
      <c r="S15" s="62">
        <f t="shared" si="2"/>
        <v>67</v>
      </c>
      <c r="T15" s="46">
        <f t="shared" si="3"/>
        <v>24.28897370522024</v>
      </c>
      <c r="U15" s="46">
        <f t="shared" si="4"/>
        <v>8.2753599406631437</v>
      </c>
      <c r="V15" s="68">
        <f t="shared" si="5"/>
        <v>2.1327682465322401E-3</v>
      </c>
      <c r="W15" s="69">
        <f t="shared" si="6"/>
        <v>21.165343499893002</v>
      </c>
      <c r="X15" s="69">
        <f t="shared" si="7"/>
        <v>9.4966566453795629</v>
      </c>
      <c r="Y15" s="258">
        <f t="shared" si="8"/>
        <v>2.3244336956260232E-3</v>
      </c>
      <c r="Z15" s="259">
        <f t="shared" si="9"/>
        <v>71</v>
      </c>
      <c r="AA15" s="259" cm="1">
        <f t="array" ref="AA15">_xlfn.IFS(I15&lt;=X15,R15*(3/(S15^3 - (S15-W15)^3)),I15&gt;X15,R15*(3/S15^3))</f>
        <v>2.318536883485691E-12</v>
      </c>
      <c r="AB15" s="261">
        <f t="shared" si="10"/>
        <v>2.7660995150174902E-3</v>
      </c>
      <c r="AC15" s="263">
        <f t="shared" si="11"/>
        <v>-4.4166581939146694E-4</v>
      </c>
      <c r="AD15" s="264">
        <f t="shared" si="12"/>
        <v>119.00100743774995</v>
      </c>
    </row>
    <row r="16" spans="1:30" ht="15.75" x14ac:dyDescent="0.45">
      <c r="A16" s="14" t="s">
        <v>118</v>
      </c>
      <c r="B16" s="182">
        <v>32.299999999999997</v>
      </c>
      <c r="C16" s="183">
        <v>122.12</v>
      </c>
      <c r="D16" s="1" t="s">
        <v>8</v>
      </c>
      <c r="E16" s="39">
        <v>0.87970000000000004</v>
      </c>
      <c r="F16" s="40">
        <v>-1.43</v>
      </c>
      <c r="G16" s="13">
        <v>38</v>
      </c>
      <c r="H16" s="32">
        <v>2017</v>
      </c>
      <c r="I16" s="32">
        <v>3</v>
      </c>
      <c r="J16" s="20">
        <v>1</v>
      </c>
      <c r="K16" s="38">
        <v>80.467200000000005</v>
      </c>
      <c r="L16" s="29">
        <v>26</v>
      </c>
      <c r="M16" s="30">
        <v>0.61037440899999995</v>
      </c>
      <c r="N16" s="45">
        <v>9.1815619744330876E-2</v>
      </c>
      <c r="O16" s="36">
        <v>1.9778785462855999</v>
      </c>
      <c r="P16" s="47">
        <v>48000</v>
      </c>
      <c r="Q16" s="61">
        <f t="shared" si="0"/>
        <v>2.3194227541999997E-8</v>
      </c>
      <c r="R16" s="61">
        <f t="shared" si="1"/>
        <v>6.9582682625999997E-8</v>
      </c>
      <c r="S16" s="62">
        <f t="shared" si="2"/>
        <v>67</v>
      </c>
      <c r="T16" s="46">
        <f t="shared" si="3"/>
        <v>32.674179059660858</v>
      </c>
      <c r="U16" s="46">
        <f t="shared" si="4"/>
        <v>6.1516465228701689</v>
      </c>
      <c r="V16" s="68">
        <f t="shared" si="5"/>
        <v>8.03935228773505E-4</v>
      </c>
      <c r="W16" s="69">
        <f t="shared" si="6"/>
        <v>1.5167766522539594</v>
      </c>
      <c r="X16" s="69">
        <f t="shared" si="7"/>
        <v>132.51786260113519</v>
      </c>
      <c r="Y16" s="258">
        <f t="shared" si="8"/>
        <v>1.048098093655557E-2</v>
      </c>
      <c r="Z16" s="259">
        <f t="shared" si="9"/>
        <v>71</v>
      </c>
      <c r="AA16" s="259" cm="1">
        <f t="array" ref="AA16">_xlfn.IFS(I16&lt;=X16,R16*(3/(S16^3 - (S16-W16)^3)),I16&gt;X16,R16*(3/S16^3))</f>
        <v>1.0454391933072476E-11</v>
      </c>
      <c r="AB16" s="261">
        <f t="shared" si="10"/>
        <v>1.2472472903859676E-2</v>
      </c>
      <c r="AC16" s="263">
        <f t="shared" si="11"/>
        <v>-1.9914919673041064E-3</v>
      </c>
      <c r="AD16" s="264">
        <f t="shared" si="12"/>
        <v>119.00100743775022</v>
      </c>
    </row>
    <row r="17" spans="1:30" x14ac:dyDescent="0.45">
      <c r="A17" s="1" t="s">
        <v>9</v>
      </c>
      <c r="B17" s="184">
        <v>66</v>
      </c>
      <c r="C17" s="184">
        <v>-168</v>
      </c>
      <c r="D17" s="28" t="s">
        <v>8</v>
      </c>
      <c r="E17" s="2" t="s">
        <v>10</v>
      </c>
      <c r="F17" s="24">
        <v>-1.22</v>
      </c>
      <c r="G17" s="6">
        <v>1.31</v>
      </c>
      <c r="H17" s="33">
        <v>2017</v>
      </c>
      <c r="I17" s="33">
        <v>5</v>
      </c>
      <c r="J17" s="20">
        <v>2</v>
      </c>
      <c r="K17" s="17">
        <v>155053.85699999999</v>
      </c>
      <c r="L17" s="17">
        <v>71.16</v>
      </c>
      <c r="M17" s="18">
        <v>0.81517198859999984</v>
      </c>
      <c r="N17" s="16">
        <v>0.12429490644949237</v>
      </c>
      <c r="O17" s="37">
        <v>6.3551594930660704E-2</v>
      </c>
      <c r="P17" s="47">
        <v>27000</v>
      </c>
      <c r="Q17" s="61">
        <f t="shared" si="0"/>
        <v>1.067875305066E-9</v>
      </c>
      <c r="R17" s="61">
        <f t="shared" si="1"/>
        <v>5.3393765253299999E-9</v>
      </c>
      <c r="S17" s="62">
        <f t="shared" si="2"/>
        <v>67</v>
      </c>
      <c r="T17" s="46">
        <f t="shared" si="3"/>
        <v>40.226909877692904</v>
      </c>
      <c r="U17" s="46">
        <f t="shared" si="4"/>
        <v>8.3277587321159885</v>
      </c>
      <c r="V17" s="68">
        <f t="shared" si="5"/>
        <v>5.7032885769744484E-5</v>
      </c>
      <c r="W17" s="69">
        <f t="shared" si="6"/>
        <v>78.676231579323144</v>
      </c>
      <c r="X17" s="69">
        <f t="shared" si="7"/>
        <v>4.257956860354267</v>
      </c>
      <c r="Y17" s="258">
        <f t="shared" si="8"/>
        <v>5.33937652533E-5</v>
      </c>
      <c r="Z17" s="259">
        <f t="shared" si="9"/>
        <v>71</v>
      </c>
      <c r="AA17" s="259" cm="1">
        <f t="array" ref="AA17">_xlfn.IFS(I17&lt;=X17,R17*(3/(S17^3 - (S17-W17)^3)),I17&gt;X17,R17*(3/S17^3))</f>
        <v>5.3258311614094817E-14</v>
      </c>
      <c r="AB17" s="261">
        <f t="shared" si="10"/>
        <v>6.3539118560374303E-5</v>
      </c>
      <c r="AC17" s="263">
        <f t="shared" si="11"/>
        <v>-1.0145353307074303E-5</v>
      </c>
      <c r="AD17" s="264">
        <f t="shared" si="12"/>
        <v>119.00100743774999</v>
      </c>
    </row>
    <row r="18" spans="1:30" x14ac:dyDescent="0.45">
      <c r="A18" s="14" t="s">
        <v>11</v>
      </c>
      <c r="B18" s="185">
        <v>31.82</v>
      </c>
      <c r="C18" s="185">
        <v>-116.72</v>
      </c>
      <c r="D18" s="28" t="s">
        <v>8</v>
      </c>
      <c r="E18" s="5" t="s">
        <v>12</v>
      </c>
      <c r="F18" s="25">
        <v>-2.16</v>
      </c>
      <c r="G18" s="6">
        <v>27.7</v>
      </c>
      <c r="H18" s="33">
        <v>2016</v>
      </c>
      <c r="I18" s="33">
        <v>5</v>
      </c>
      <c r="J18" s="20">
        <v>74</v>
      </c>
      <c r="K18" s="17">
        <v>4912.5225600000003</v>
      </c>
      <c r="L18" s="17">
        <v>72.416666669999998</v>
      </c>
      <c r="M18" s="18">
        <v>0.49520066000000001</v>
      </c>
      <c r="N18" s="16">
        <v>0.13261895760437301</v>
      </c>
      <c r="O18" s="37">
        <v>0.18873248583999</v>
      </c>
      <c r="P18" s="47">
        <v>5000</v>
      </c>
      <c r="Q18" s="61">
        <f t="shared" si="0"/>
        <v>1.3717058282000001E-8</v>
      </c>
      <c r="R18" s="61">
        <f t="shared" si="1"/>
        <v>6.8585291409999997E-8</v>
      </c>
      <c r="S18" s="62">
        <f t="shared" si="2"/>
        <v>66</v>
      </c>
      <c r="T18" s="46">
        <f t="shared" si="3"/>
        <v>37.702000455439631</v>
      </c>
      <c r="U18" s="46">
        <f t="shared" si="4"/>
        <v>8.7528512018886175</v>
      </c>
      <c r="V18" s="68">
        <f t="shared" si="5"/>
        <v>7.445371965683989E-4</v>
      </c>
      <c r="W18" s="69">
        <f t="shared" si="6"/>
        <v>26.492524473179827</v>
      </c>
      <c r="X18" s="69">
        <f t="shared" si="7"/>
        <v>12.456344065439341</v>
      </c>
      <c r="Y18" s="258">
        <f t="shared" si="8"/>
        <v>8.7313016476065072E-4</v>
      </c>
      <c r="Z18" s="259">
        <f t="shared" si="9"/>
        <v>71</v>
      </c>
      <c r="AA18" s="259" cm="1">
        <f t="array" ref="AA18">_xlfn.IFS(I18&lt;=X18,R18*(3/(S18^3 - (S18-W18)^3)),I18&gt;X18,R18*(3/S18^3))</f>
        <v>9.1110502208098635E-13</v>
      </c>
      <c r="AB18" s="261">
        <f t="shared" si="10"/>
        <v>1.0869816985267595E-3</v>
      </c>
      <c r="AC18" s="263">
        <f t="shared" si="11"/>
        <v>-2.1385153376610882E-4</v>
      </c>
      <c r="AD18" s="264">
        <f t="shared" si="12"/>
        <v>124.4925146784651</v>
      </c>
    </row>
    <row r="19" spans="1:30" x14ac:dyDescent="0.45">
      <c r="A19" s="14" t="s">
        <v>13</v>
      </c>
      <c r="B19" s="185">
        <v>31.82</v>
      </c>
      <c r="C19" s="185">
        <v>-116.72</v>
      </c>
      <c r="D19" s="28" t="s">
        <v>14</v>
      </c>
      <c r="E19" s="5" t="s">
        <v>15</v>
      </c>
      <c r="F19" s="25">
        <v>-3.83</v>
      </c>
      <c r="G19" s="6">
        <v>495</v>
      </c>
      <c r="H19" s="33">
        <v>2016</v>
      </c>
      <c r="I19" s="33">
        <v>5</v>
      </c>
      <c r="J19" s="20">
        <v>74</v>
      </c>
      <c r="K19" s="17">
        <v>4912.5225600000003</v>
      </c>
      <c r="L19" s="17">
        <v>72.416666669999998</v>
      </c>
      <c r="M19" s="18">
        <v>0.49520066000000001</v>
      </c>
      <c r="N19" s="16">
        <v>0.13261895760437301</v>
      </c>
      <c r="O19" s="37">
        <v>0.18873248583999</v>
      </c>
      <c r="P19" s="47">
        <v>5000</v>
      </c>
      <c r="Q19" s="61">
        <f t="shared" si="0"/>
        <v>2.4512432670000003E-7</v>
      </c>
      <c r="R19" s="61">
        <f t="shared" si="1"/>
        <v>1.2256216335000001E-6</v>
      </c>
      <c r="S19" s="62">
        <f t="shared" si="2"/>
        <v>66</v>
      </c>
      <c r="T19" s="46">
        <f t="shared" si="3"/>
        <v>37.702000455439631</v>
      </c>
      <c r="U19" s="46">
        <f t="shared" si="4"/>
        <v>8.7528512018886175</v>
      </c>
      <c r="V19" s="68">
        <f t="shared" si="5"/>
        <v>1.3304906581276445E-2</v>
      </c>
      <c r="W19" s="69">
        <f t="shared" si="6"/>
        <v>26.492524473179827</v>
      </c>
      <c r="X19" s="69">
        <f t="shared" si="7"/>
        <v>12.456344065439341</v>
      </c>
      <c r="Y19" s="258">
        <f t="shared" si="8"/>
        <v>1.5602867565217409E-2</v>
      </c>
      <c r="Z19" s="259">
        <f t="shared" si="9"/>
        <v>71</v>
      </c>
      <c r="AA19" s="259" cm="1">
        <f t="array" ref="AA19">_xlfn.IFS(I19&lt;=X19,R19*(3/(S19^3 - (S19-W19)^3)),I19&gt;X19,R19*(3/S19^3))</f>
        <v>1.6281479636465283E-11</v>
      </c>
      <c r="AB19" s="261">
        <f t="shared" si="10"/>
        <v>1.9424402193889755E-2</v>
      </c>
      <c r="AC19" s="263">
        <f t="shared" si="11"/>
        <v>-3.8215346286723465E-3</v>
      </c>
      <c r="AD19" s="264">
        <f t="shared" si="12"/>
        <v>124.49251467846513</v>
      </c>
    </row>
    <row r="20" spans="1:30" x14ac:dyDescent="0.45">
      <c r="A20" s="14" t="s">
        <v>16</v>
      </c>
      <c r="B20" s="185">
        <v>30.45</v>
      </c>
      <c r="C20" s="185">
        <v>122.45</v>
      </c>
      <c r="D20" s="28" t="s">
        <v>8</v>
      </c>
      <c r="E20" s="8" t="s">
        <v>17</v>
      </c>
      <c r="F20" s="25">
        <v>-1.27</v>
      </c>
      <c r="G20" s="6">
        <v>3.56</v>
      </c>
      <c r="H20" s="33">
        <v>2018</v>
      </c>
      <c r="I20" s="33">
        <v>5</v>
      </c>
      <c r="J20" s="20">
        <v>75</v>
      </c>
      <c r="K20" s="17">
        <v>50416.724159999998</v>
      </c>
      <c r="L20" s="17">
        <v>21.65</v>
      </c>
      <c r="M20" s="18">
        <v>0.61037440930769205</v>
      </c>
      <c r="N20" s="16">
        <v>0.1310077976949317</v>
      </c>
      <c r="O20" s="37">
        <v>1.0224485774944601</v>
      </c>
      <c r="P20" s="47">
        <v>1000</v>
      </c>
      <c r="Q20" s="61">
        <f t="shared" si="0"/>
        <v>2.1729328971353837E-9</v>
      </c>
      <c r="R20" s="61">
        <f t="shared" si="1"/>
        <v>1.0864664485676918E-8</v>
      </c>
      <c r="S20" s="62">
        <f t="shared" si="2"/>
        <v>68</v>
      </c>
      <c r="T20" s="46">
        <f t="shared" si="3"/>
        <v>38.165667143288182</v>
      </c>
      <c r="U20" s="46">
        <f t="shared" si="4"/>
        <v>8.9085302432553561</v>
      </c>
      <c r="V20" s="68">
        <f t="shared" si="5"/>
        <v>1.1866874161317924E-4</v>
      </c>
      <c r="W20" s="69">
        <f t="shared" si="6"/>
        <v>4.8902214840502252</v>
      </c>
      <c r="X20" s="69">
        <f t="shared" si="7"/>
        <v>69.526503269623277</v>
      </c>
      <c r="Y20" s="258">
        <f t="shared" si="8"/>
        <v>5.4160385685147084E-4</v>
      </c>
      <c r="Z20" s="259">
        <f t="shared" si="9"/>
        <v>71</v>
      </c>
      <c r="AA20" s="259" cm="1">
        <f t="array" ref="AA20">_xlfn.IFS(I20&lt;=X20,R20*(3/(S20^3 - (S20-W20)^3)),I20&gt;X20,R20*(3/S20^3))</f>
        <v>5.1674497842281079E-13</v>
      </c>
      <c r="AB20" s="261">
        <f t="shared" si="10"/>
        <v>6.1649570657428888E-4</v>
      </c>
      <c r="AC20" s="263">
        <f t="shared" si="11"/>
        <v>-7.489184972281804E-5</v>
      </c>
      <c r="AD20" s="264">
        <f t="shared" si="12"/>
        <v>113.82779106452271</v>
      </c>
    </row>
    <row r="21" spans="1:30" x14ac:dyDescent="0.45">
      <c r="A21" s="14" t="s">
        <v>18</v>
      </c>
      <c r="B21" s="186">
        <v>18.407564000000001</v>
      </c>
      <c r="C21" s="187">
        <v>109.98518</v>
      </c>
      <c r="D21" s="28" t="s">
        <v>8</v>
      </c>
      <c r="E21" s="8" t="s">
        <v>19</v>
      </c>
      <c r="F21" s="25">
        <v>-1.8</v>
      </c>
      <c r="G21" s="9">
        <v>2.12</v>
      </c>
      <c r="H21" s="33">
        <v>2018</v>
      </c>
      <c r="I21" s="33">
        <v>5</v>
      </c>
      <c r="J21" s="27">
        <v>76</v>
      </c>
      <c r="K21" s="16">
        <v>160.93440000000001</v>
      </c>
      <c r="L21" s="16">
        <v>4.2</v>
      </c>
      <c r="M21" s="18">
        <v>1.3837435549999999</v>
      </c>
      <c r="N21" s="16">
        <v>0.13285834127193899</v>
      </c>
      <c r="O21" s="37">
        <v>0.54845272579627202</v>
      </c>
      <c r="P21" s="47">
        <v>1000</v>
      </c>
      <c r="Q21" s="61">
        <f t="shared" si="0"/>
        <v>2.9335363366000003E-9</v>
      </c>
      <c r="R21" s="61">
        <f t="shared" si="1"/>
        <v>1.4667681683000001E-8</v>
      </c>
      <c r="S21" s="62">
        <f t="shared" si="2"/>
        <v>68</v>
      </c>
      <c r="T21" s="46">
        <f t="shared" si="3"/>
        <v>37.634069130562374</v>
      </c>
      <c r="U21" s="46">
        <f t="shared" si="4"/>
        <v>9.0343672064918508</v>
      </c>
      <c r="V21" s="68">
        <f t="shared" si="5"/>
        <v>1.6101519103468588E-4</v>
      </c>
      <c r="W21" s="69">
        <f t="shared" si="6"/>
        <v>9.1165560217441559</v>
      </c>
      <c r="X21" s="69">
        <f t="shared" si="7"/>
        <v>37.294785354146498</v>
      </c>
      <c r="Y21" s="258">
        <f t="shared" si="8"/>
        <v>4.1825345582810296E-4</v>
      </c>
      <c r="Z21" s="259">
        <f t="shared" si="9"/>
        <v>71</v>
      </c>
      <c r="AA21" s="259" cm="1">
        <f t="array" ref="AA21">_xlfn.IFS(I21&lt;=X21,R21*(3/(S21^3 - (S21-W21)^3)),I21&gt;X21,R21*(3/S21^3))</f>
        <v>3.9905619258991099E-13</v>
      </c>
      <c r="AB21" s="261">
        <f t="shared" si="10"/>
        <v>4.7608866982015876E-4</v>
      </c>
      <c r="AC21" s="263">
        <f t="shared" si="11"/>
        <v>-5.7835213992055796E-5</v>
      </c>
      <c r="AD21" s="264">
        <f t="shared" si="12"/>
        <v>113.8277910645227</v>
      </c>
    </row>
    <row r="22" spans="1:30" x14ac:dyDescent="0.45">
      <c r="A22" s="14" t="s">
        <v>20</v>
      </c>
      <c r="B22" s="186">
        <v>18.407564000000001</v>
      </c>
      <c r="C22" s="187">
        <v>109.98518</v>
      </c>
      <c r="D22" s="28" t="s">
        <v>8</v>
      </c>
      <c r="E22" s="8" t="s">
        <v>21</v>
      </c>
      <c r="F22" s="25">
        <v>-2.11</v>
      </c>
      <c r="G22" s="9">
        <v>9.6999999999999993</v>
      </c>
      <c r="H22" s="33">
        <v>2018</v>
      </c>
      <c r="I22" s="33">
        <v>5</v>
      </c>
      <c r="J22" s="27">
        <v>76</v>
      </c>
      <c r="K22" s="19">
        <v>144.84096</v>
      </c>
      <c r="L22" s="16">
        <v>4.2</v>
      </c>
      <c r="M22" s="18">
        <v>1.658930486</v>
      </c>
      <c r="N22" s="16">
        <v>0.20269999999999999</v>
      </c>
      <c r="O22" s="37">
        <v>0.54845272579627202</v>
      </c>
      <c r="P22" s="47">
        <v>1000</v>
      </c>
      <c r="Q22" s="61">
        <f t="shared" si="0"/>
        <v>1.6091625714199999E-8</v>
      </c>
      <c r="R22" s="61">
        <f t="shared" si="1"/>
        <v>8.045812857099999E-8</v>
      </c>
      <c r="S22" s="62">
        <f t="shared" si="2"/>
        <v>68</v>
      </c>
      <c r="T22" s="46">
        <f t="shared" si="3"/>
        <v>24.666995559940801</v>
      </c>
      <c r="U22" s="46">
        <f t="shared" si="4"/>
        <v>13.7836</v>
      </c>
      <c r="V22" s="68">
        <f t="shared" si="5"/>
        <v>1.0854815187854503E-3</v>
      </c>
      <c r="W22" s="69">
        <f t="shared" si="6"/>
        <v>9.1165560217441559</v>
      </c>
      <c r="X22" s="69">
        <f t="shared" si="7"/>
        <v>37.294785354146498</v>
      </c>
      <c r="Y22" s="258">
        <f t="shared" si="8"/>
        <v>2.2942882898314781E-3</v>
      </c>
      <c r="Z22" s="259">
        <f t="shared" si="9"/>
        <v>71</v>
      </c>
      <c r="AA22" s="259" cm="1">
        <f t="array" ref="AA22">_xlfn.IFS(I22&lt;=X22,R22*(3/(S22^3 - (S22-W22)^3)),I22&gt;X22,R22*(3/S22^3))</f>
        <v>2.1889835861154195E-12</v>
      </c>
      <c r="AB22" s="261">
        <f t="shared" si="10"/>
        <v>2.611537680967186E-3</v>
      </c>
      <c r="AC22" s="263">
        <f t="shared" si="11"/>
        <v>-3.1724939113570794E-4</v>
      </c>
      <c r="AD22" s="264">
        <f t="shared" si="12"/>
        <v>113.8277910645227</v>
      </c>
    </row>
    <row r="23" spans="1:30" x14ac:dyDescent="0.45">
      <c r="A23" s="14" t="s">
        <v>22</v>
      </c>
      <c r="B23" s="186">
        <v>18.415724000000001</v>
      </c>
      <c r="C23" s="188">
        <v>110.05434099999999</v>
      </c>
      <c r="D23" s="28" t="s">
        <v>8</v>
      </c>
      <c r="E23" s="8" t="s">
        <v>23</v>
      </c>
      <c r="F23" s="24">
        <v>-1.22</v>
      </c>
      <c r="G23" s="6">
        <v>98.2</v>
      </c>
      <c r="H23" s="33">
        <v>2018</v>
      </c>
      <c r="I23" s="33">
        <v>5</v>
      </c>
      <c r="J23" s="20">
        <v>76</v>
      </c>
      <c r="K23" s="17">
        <v>241.4016</v>
      </c>
      <c r="L23" s="16">
        <v>5.5</v>
      </c>
      <c r="M23" s="18">
        <v>1.3837435549999999</v>
      </c>
      <c r="N23" s="16">
        <v>0.13285834127193899</v>
      </c>
      <c r="O23" s="37">
        <v>0.25807987002081401</v>
      </c>
      <c r="P23" s="47">
        <v>1000</v>
      </c>
      <c r="Q23" s="61">
        <f t="shared" si="0"/>
        <v>1.3588361710100001E-7</v>
      </c>
      <c r="R23" s="61">
        <f t="shared" si="1"/>
        <v>6.7941808550500006E-7</v>
      </c>
      <c r="S23" s="62">
        <f t="shared" si="2"/>
        <v>68</v>
      </c>
      <c r="T23" s="46">
        <f t="shared" si="3"/>
        <v>37.634069130562374</v>
      </c>
      <c r="U23" s="46">
        <f t="shared" si="4"/>
        <v>9.0343672064918508</v>
      </c>
      <c r="V23" s="68">
        <f t="shared" si="5"/>
        <v>7.4583451696255436E-3</v>
      </c>
      <c r="W23" s="69">
        <f t="shared" si="6"/>
        <v>19.373847327173376</v>
      </c>
      <c r="X23" s="69">
        <f t="shared" si="7"/>
        <v>17.549431161415352</v>
      </c>
      <c r="Y23" s="258">
        <f t="shared" si="8"/>
        <v>1.071070840442136E-2</v>
      </c>
      <c r="Z23" s="259">
        <f t="shared" si="9"/>
        <v>71</v>
      </c>
      <c r="AA23" s="259" cm="1">
        <f t="array" ref="AA23">_xlfn.IFS(I23&lt;=X23,R23*(3/(S23^3 - (S23-W23)^3)),I23&gt;X23,R23*(3/S23^3))</f>
        <v>1.021910149516082E-11</v>
      </c>
      <c r="AB23" s="261">
        <f t="shared" si="10"/>
        <v>1.2191762784115016E-2</v>
      </c>
      <c r="AC23" s="263">
        <f t="shared" si="11"/>
        <v>-1.4810543796936557E-3</v>
      </c>
      <c r="AD23" s="264">
        <f t="shared" si="12"/>
        <v>113.82779106452267</v>
      </c>
    </row>
    <row r="24" spans="1:30" x14ac:dyDescent="0.45">
      <c r="A24" s="14" t="s">
        <v>24</v>
      </c>
      <c r="B24" s="186">
        <v>18.415724000000001</v>
      </c>
      <c r="C24" s="188">
        <v>110.05434099999999</v>
      </c>
      <c r="D24" s="28" t="s">
        <v>14</v>
      </c>
      <c r="E24" s="8" t="s">
        <v>25</v>
      </c>
      <c r="F24" s="24">
        <v>-1.59</v>
      </c>
      <c r="G24" s="6">
        <v>2060</v>
      </c>
      <c r="H24" s="33">
        <v>2018</v>
      </c>
      <c r="I24" s="33">
        <v>5</v>
      </c>
      <c r="J24" s="20">
        <v>76</v>
      </c>
      <c r="K24" s="17">
        <v>257.49504000000002</v>
      </c>
      <c r="L24" s="16">
        <v>5.5</v>
      </c>
      <c r="M24" s="18">
        <v>1.658930486</v>
      </c>
      <c r="N24" s="16">
        <v>0.20269999999999999</v>
      </c>
      <c r="O24" s="37">
        <v>0.25807987002081401</v>
      </c>
      <c r="P24" s="47">
        <v>1000</v>
      </c>
      <c r="Q24" s="61">
        <f t="shared" si="0"/>
        <v>3.4173968011600001E-6</v>
      </c>
      <c r="R24" s="61">
        <f t="shared" si="1"/>
        <v>1.7086984005800001E-5</v>
      </c>
      <c r="S24" s="62">
        <f t="shared" si="2"/>
        <v>68</v>
      </c>
      <c r="T24" s="46">
        <f t="shared" si="3"/>
        <v>24.666995559940801</v>
      </c>
      <c r="U24" s="46">
        <f t="shared" si="4"/>
        <v>13.7836</v>
      </c>
      <c r="V24" s="68">
        <f t="shared" si="5"/>
        <v>0.23052494110288949</v>
      </c>
      <c r="W24" s="69">
        <f t="shared" si="6"/>
        <v>19.373847327173376</v>
      </c>
      <c r="X24" s="69">
        <f t="shared" si="7"/>
        <v>17.549431161415352</v>
      </c>
      <c r="Y24" s="258">
        <f t="shared" si="8"/>
        <v>0.26936831253337101</v>
      </c>
      <c r="Z24" s="259">
        <f t="shared" si="9"/>
        <v>71</v>
      </c>
      <c r="AA24" s="259" cm="1">
        <f t="array" ref="AA24">_xlfn.IFS(I24&lt;=X24,R24*(3/(S24^3 - (S24-W24)^3)),I24&gt;X24,R24*(3/S24^3))</f>
        <v>2.5700467433343706E-10</v>
      </c>
      <c r="AB24" s="261">
        <f t="shared" si="10"/>
        <v>0.30661599998451594</v>
      </c>
      <c r="AC24" s="263">
        <f t="shared" si="11"/>
        <v>-3.7247687451144929E-2</v>
      </c>
      <c r="AD24" s="264">
        <f t="shared" si="12"/>
        <v>113.82779106452264</v>
      </c>
    </row>
    <row r="25" spans="1:30" x14ac:dyDescent="0.45">
      <c r="A25" s="14" t="s">
        <v>26</v>
      </c>
      <c r="B25" s="185">
        <v>-22.84</v>
      </c>
      <c r="C25" s="185">
        <v>-43.16</v>
      </c>
      <c r="D25" s="28" t="s">
        <v>8</v>
      </c>
      <c r="E25" s="8" t="s">
        <v>27</v>
      </c>
      <c r="F25" s="24">
        <v>-2.67</v>
      </c>
      <c r="G25" s="6">
        <v>6470</v>
      </c>
      <c r="H25" s="33">
        <v>2017</v>
      </c>
      <c r="I25" s="33">
        <v>5</v>
      </c>
      <c r="J25" s="20">
        <v>84</v>
      </c>
      <c r="K25" s="17">
        <v>2321.4787200000001</v>
      </c>
      <c r="L25" s="17">
        <v>0</v>
      </c>
      <c r="M25" s="18">
        <v>1.373883272</v>
      </c>
      <c r="N25" s="16">
        <v>0.13341858489683281</v>
      </c>
      <c r="O25" s="37">
        <v>0.89874913739892104</v>
      </c>
      <c r="P25" s="47">
        <v>2000</v>
      </c>
      <c r="Q25" s="61">
        <f t="shared" si="0"/>
        <v>8.8890247698400003E-6</v>
      </c>
      <c r="R25" s="61">
        <f t="shared" si="1"/>
        <v>4.4445123849200005E-5</v>
      </c>
      <c r="S25" s="62">
        <f t="shared" si="2"/>
        <v>67</v>
      </c>
      <c r="T25" s="46">
        <f t="shared" si="3"/>
        <v>37.476038318546834</v>
      </c>
      <c r="U25" s="46">
        <f t="shared" si="4"/>
        <v>8.9390451880877979</v>
      </c>
      <c r="V25" s="68">
        <f t="shared" si="5"/>
        <v>0.48603953038379094</v>
      </c>
      <c r="W25" s="69">
        <f t="shared" si="6"/>
        <v>5.5632876761034238</v>
      </c>
      <c r="X25" s="69">
        <f t="shared" si="7"/>
        <v>60.216192205727708</v>
      </c>
      <c r="Y25" s="258">
        <f t="shared" si="8"/>
        <v>1.9409120712501557</v>
      </c>
      <c r="Z25" s="259">
        <f t="shared" si="9"/>
        <v>71</v>
      </c>
      <c r="AA25" s="259" cm="1">
        <f t="array" ref="AA25">_xlfn.IFS(I25&lt;=X25,R25*(3/(S25^3 - (S25-W25)^3)),I25&gt;X25,R25*(3/S25^3))</f>
        <v>1.9359882079080434E-9</v>
      </c>
      <c r="AB25" s="261">
        <f t="shared" si="10"/>
        <v>2.309704918268586</v>
      </c>
      <c r="AC25" s="263">
        <f t="shared" si="11"/>
        <v>-0.36879284701843029</v>
      </c>
      <c r="AD25" s="264">
        <f t="shared" si="12"/>
        <v>119.00100743775002</v>
      </c>
    </row>
    <row r="26" spans="1:30" x14ac:dyDescent="0.45">
      <c r="A26" s="15" t="s">
        <v>28</v>
      </c>
      <c r="B26" s="185">
        <v>60.435399179999997</v>
      </c>
      <c r="C26" s="185">
        <v>5.2579669759999996</v>
      </c>
      <c r="D26" s="28" t="s">
        <v>14</v>
      </c>
      <c r="E26" s="8" t="s">
        <v>29</v>
      </c>
      <c r="F26" s="24">
        <v>-2.62</v>
      </c>
      <c r="G26" s="6">
        <v>512000</v>
      </c>
      <c r="H26" s="33">
        <v>2015</v>
      </c>
      <c r="I26" s="33">
        <v>1</v>
      </c>
      <c r="J26" s="20">
        <v>72</v>
      </c>
      <c r="K26" s="16">
        <f t="shared" ref="K26:K28" si="13">J26*1609.344</f>
        <v>115872.76800000001</v>
      </c>
      <c r="L26" s="16">
        <v>333</v>
      </c>
      <c r="M26" s="18">
        <v>3.4884441220000002</v>
      </c>
      <c r="N26" s="16">
        <v>9.5569952465544492E-2</v>
      </c>
      <c r="O26" s="37">
        <v>7.2594822429560099E-2</v>
      </c>
      <c r="P26" s="47">
        <v>1000</v>
      </c>
      <c r="Q26" s="61">
        <f t="shared" si="0"/>
        <v>1.7860833904640003E-3</v>
      </c>
      <c r="R26" s="61">
        <f t="shared" si="1"/>
        <v>1.7860833904640003E-3</v>
      </c>
      <c r="S26" s="62">
        <f t="shared" si="2"/>
        <v>65</v>
      </c>
      <c r="T26" s="46">
        <f t="shared" si="3"/>
        <v>10.46353978632067</v>
      </c>
      <c r="U26" s="46">
        <f t="shared" si="4"/>
        <v>6.2120469102603924</v>
      </c>
      <c r="V26" s="68">
        <f t="shared" si="5"/>
        <v>43.630814006861407</v>
      </c>
      <c r="W26" s="69">
        <f t="shared" si="6"/>
        <v>13.775087072777342</v>
      </c>
      <c r="X26" s="69">
        <f t="shared" si="7"/>
        <v>4.7186634579214068</v>
      </c>
      <c r="Y26" s="258">
        <f t="shared" si="8"/>
        <v>34.98315143335298</v>
      </c>
      <c r="Z26" s="259">
        <f t="shared" si="9"/>
        <v>71</v>
      </c>
      <c r="AA26" s="259" cm="1">
        <f t="array" ref="AA26">_xlfn.IFS(I26&lt;=X26,R26*(3/(S26^3 - (S26-W26)^3)),I26&gt;X26,R26*(3/S26^3))</f>
        <v>3.8215550040986427E-8</v>
      </c>
      <c r="AB26" s="261">
        <f t="shared" si="10"/>
        <v>45.592552435731641</v>
      </c>
      <c r="AC26" s="263">
        <f t="shared" si="11"/>
        <v>-10.609401002378661</v>
      </c>
      <c r="AD26" s="264">
        <f t="shared" si="12"/>
        <v>130.32717341829772</v>
      </c>
    </row>
    <row r="27" spans="1:30" x14ac:dyDescent="0.45">
      <c r="A27" s="15" t="s">
        <v>30</v>
      </c>
      <c r="B27" s="185">
        <v>60.39709654</v>
      </c>
      <c r="C27" s="185">
        <v>5.2166773859999997</v>
      </c>
      <c r="D27" s="28" t="s">
        <v>14</v>
      </c>
      <c r="E27" s="8" t="s">
        <v>29</v>
      </c>
      <c r="F27" s="24">
        <v>-2.67</v>
      </c>
      <c r="G27" s="6">
        <v>62400</v>
      </c>
      <c r="H27" s="33">
        <v>2015</v>
      </c>
      <c r="I27" s="33">
        <v>1</v>
      </c>
      <c r="J27" s="20">
        <v>72</v>
      </c>
      <c r="K27" s="16">
        <f t="shared" si="13"/>
        <v>115872.76800000001</v>
      </c>
      <c r="L27" s="16">
        <v>322</v>
      </c>
      <c r="M27" s="18">
        <v>3.4884441220000002</v>
      </c>
      <c r="N27" s="16">
        <v>9.6629045587365153E-2</v>
      </c>
      <c r="O27" s="37">
        <v>7.2594822429560099E-2</v>
      </c>
      <c r="P27" s="47" t="s">
        <v>126</v>
      </c>
      <c r="Q27" s="61">
        <f t="shared" si="0"/>
        <v>2.1767891321280004E-4</v>
      </c>
      <c r="R27" s="61">
        <f t="shared" si="1"/>
        <v>2.1767891321280004E-4</v>
      </c>
      <c r="S27" s="62">
        <f t="shared" si="2"/>
        <v>65</v>
      </c>
      <c r="T27" s="46">
        <f t="shared" si="3"/>
        <v>10.348855190708374</v>
      </c>
      <c r="U27" s="46">
        <f t="shared" si="4"/>
        <v>6.2808879631787349</v>
      </c>
      <c r="V27" s="68">
        <f t="shared" si="5"/>
        <v>5.3664554044687938</v>
      </c>
      <c r="W27" s="69">
        <f t="shared" si="6"/>
        <v>13.775087072777342</v>
      </c>
      <c r="X27" s="69">
        <f t="shared" si="7"/>
        <v>4.7186634579214068</v>
      </c>
      <c r="Y27" s="258">
        <f t="shared" si="8"/>
        <v>4.2635715809398942</v>
      </c>
      <c r="Z27" s="259">
        <f t="shared" si="9"/>
        <v>71</v>
      </c>
      <c r="AA27" s="259" cm="1">
        <f t="array" ref="AA27">_xlfn.IFS(I27&lt;=X27,R27*(3/(S27^3 - (S27-W27)^3)),I27&gt;X27,R27*(3/S27^3))</f>
        <v>4.6575201612452213E-9</v>
      </c>
      <c r="AB27" s="261">
        <f t="shared" si="10"/>
        <v>5.5565923281047942</v>
      </c>
      <c r="AC27" s="263">
        <f t="shared" si="11"/>
        <v>-1.2930207471649</v>
      </c>
      <c r="AD27" s="264">
        <f t="shared" si="12"/>
        <v>130.32717341829775</v>
      </c>
    </row>
    <row r="28" spans="1:30" x14ac:dyDescent="0.45">
      <c r="A28" s="15" t="s">
        <v>31</v>
      </c>
      <c r="B28" s="185">
        <v>60.479749660000003</v>
      </c>
      <c r="C28" s="185">
        <v>5.2385479210000003</v>
      </c>
      <c r="D28" s="28" t="s">
        <v>14</v>
      </c>
      <c r="E28" s="8" t="s">
        <v>29</v>
      </c>
      <c r="F28" s="24">
        <v>-3.3</v>
      </c>
      <c r="G28" s="6">
        <v>39000</v>
      </c>
      <c r="H28" s="33">
        <v>2015</v>
      </c>
      <c r="I28" s="33">
        <v>1</v>
      </c>
      <c r="J28" s="20">
        <v>72</v>
      </c>
      <c r="K28" s="16">
        <f t="shared" si="13"/>
        <v>115872.76800000001</v>
      </c>
      <c r="L28" s="16">
        <v>315</v>
      </c>
      <c r="M28" s="18">
        <v>3.4884441220000002</v>
      </c>
      <c r="N28" s="16">
        <v>9.7309116616783722E-2</v>
      </c>
      <c r="O28" s="37">
        <v>7.2594822429560099E-2</v>
      </c>
      <c r="P28" s="47">
        <v>1000</v>
      </c>
      <c r="Q28" s="61">
        <f t="shared" si="0"/>
        <v>1.3604932075800003E-4</v>
      </c>
      <c r="R28" s="61">
        <f t="shared" si="1"/>
        <v>1.3604932075800003E-4</v>
      </c>
      <c r="S28" s="62">
        <f t="shared" si="2"/>
        <v>65</v>
      </c>
      <c r="T28" s="46">
        <f t="shared" si="3"/>
        <v>10.276529422604188</v>
      </c>
      <c r="U28" s="46">
        <f t="shared" si="4"/>
        <v>6.3250925800909421</v>
      </c>
      <c r="V28" s="68">
        <f t="shared" si="5"/>
        <v>3.3736873805208449</v>
      </c>
      <c r="W28" s="69">
        <f t="shared" si="6"/>
        <v>13.775087072777342</v>
      </c>
      <c r="X28" s="69">
        <f t="shared" si="7"/>
        <v>4.7186634579214068</v>
      </c>
      <c r="Y28" s="258">
        <f t="shared" si="8"/>
        <v>2.6647322380874345</v>
      </c>
      <c r="Z28" s="259">
        <f t="shared" si="9"/>
        <v>71</v>
      </c>
      <c r="AA28" s="259" cm="1">
        <f t="array" ref="AA28">_xlfn.IFS(I28&lt;=X28,R28*(3/(S28^3 - (S28-W28)^3)),I28&gt;X28,R28*(3/S28^3))</f>
        <v>2.9109501007782634E-9</v>
      </c>
      <c r="AB28" s="261">
        <f t="shared" si="10"/>
        <v>3.4728702050654969</v>
      </c>
      <c r="AC28" s="263">
        <f t="shared" si="11"/>
        <v>-0.80813796697806239</v>
      </c>
      <c r="AD28" s="264">
        <f t="shared" si="12"/>
        <v>130.32717341829772</v>
      </c>
    </row>
    <row r="29" spans="1:30" x14ac:dyDescent="0.45">
      <c r="A29" s="14" t="s">
        <v>32</v>
      </c>
      <c r="B29" s="184">
        <v>53.5</v>
      </c>
      <c r="C29" s="184">
        <v>4.5</v>
      </c>
      <c r="D29" s="28" t="s">
        <v>14</v>
      </c>
      <c r="E29" s="8" t="s">
        <v>29</v>
      </c>
      <c r="F29" s="24">
        <v>-3.49</v>
      </c>
      <c r="G29" s="10">
        <v>9.59</v>
      </c>
      <c r="H29" s="33">
        <v>2014</v>
      </c>
      <c r="I29" s="33">
        <v>5</v>
      </c>
      <c r="J29" s="20">
        <v>87</v>
      </c>
      <c r="K29" s="20">
        <v>24790.195029999999</v>
      </c>
      <c r="L29" s="20">
        <v>22.086956520000001</v>
      </c>
      <c r="M29" s="18">
        <v>1.2247536255853542</v>
      </c>
      <c r="N29" s="16">
        <v>0.13286296939514275</v>
      </c>
      <c r="O29" s="37">
        <v>0.181469011502217</v>
      </c>
      <c r="P29" s="47">
        <v>39000</v>
      </c>
      <c r="Q29" s="61">
        <f t="shared" si="0"/>
        <v>1.1745387269363546E-8</v>
      </c>
      <c r="R29" s="61">
        <f t="shared" si="1"/>
        <v>5.8726936346817733E-8</v>
      </c>
      <c r="S29" s="62">
        <f t="shared" si="2"/>
        <v>64</v>
      </c>
      <c r="T29" s="46">
        <f t="shared" si="3"/>
        <v>37.632758192613387</v>
      </c>
      <c r="U29" s="46">
        <f t="shared" si="4"/>
        <v>8.503230041289136</v>
      </c>
      <c r="V29" s="68">
        <f t="shared" si="5"/>
        <v>6.314238857754778E-4</v>
      </c>
      <c r="W29" s="69">
        <f t="shared" si="6"/>
        <v>27.552913627563981</v>
      </c>
      <c r="X29" s="69">
        <f t="shared" si="7"/>
        <v>11.614016736141888</v>
      </c>
      <c r="Y29" s="258">
        <f t="shared" si="8"/>
        <v>7.2030385913703077E-4</v>
      </c>
      <c r="Z29" s="259">
        <f t="shared" si="9"/>
        <v>71</v>
      </c>
      <c r="AA29" s="259" cm="1">
        <f t="array" ref="AA29">_xlfn.IFS(I29&lt;=X29,R29*(3/(S29^3 - (S29-W29)^3)),I29&gt;X29,R29*(3/S29^3))</f>
        <v>8.2432234856074997E-13</v>
      </c>
      <c r="AB29" s="261">
        <f t="shared" si="10"/>
        <v>9.8344678698575523E-4</v>
      </c>
      <c r="AC29" s="263">
        <f t="shared" si="11"/>
        <v>-2.6314292784872446E-4</v>
      </c>
      <c r="AD29" s="264">
        <f t="shared" si="12"/>
        <v>136.53221130371094</v>
      </c>
    </row>
    <row r="30" spans="1:30" x14ac:dyDescent="0.45">
      <c r="A30" s="14" t="s">
        <v>33</v>
      </c>
      <c r="B30" s="185">
        <v>-32.620109999999997</v>
      </c>
      <c r="C30" s="185">
        <v>152.40007700000001</v>
      </c>
      <c r="D30" s="28" t="s">
        <v>14</v>
      </c>
      <c r="E30" s="8" t="s">
        <v>34</v>
      </c>
      <c r="F30" s="24">
        <v>-2.04</v>
      </c>
      <c r="G30" s="6">
        <v>64300</v>
      </c>
      <c r="H30" s="33">
        <v>2017</v>
      </c>
      <c r="I30" s="33">
        <v>5</v>
      </c>
      <c r="J30" s="20">
        <v>100</v>
      </c>
      <c r="K30" s="17">
        <v>0</v>
      </c>
      <c r="L30" s="17">
        <v>0</v>
      </c>
      <c r="M30" s="18">
        <v>1.0774796689999999</v>
      </c>
      <c r="N30" s="16">
        <v>0.13341858489683281</v>
      </c>
      <c r="O30" s="37">
        <v>1.54038056602995E-2</v>
      </c>
      <c r="P30" s="47">
        <v>7000</v>
      </c>
      <c r="Q30" s="61">
        <f t="shared" si="0"/>
        <v>6.9281942716699994E-5</v>
      </c>
      <c r="R30" s="61">
        <f t="shared" si="1"/>
        <v>3.4640971358349996E-4</v>
      </c>
      <c r="S30" s="62">
        <f t="shared" si="2"/>
        <v>67</v>
      </c>
      <c r="T30" s="46">
        <f t="shared" si="3"/>
        <v>37.476038318546834</v>
      </c>
      <c r="U30" s="46">
        <f t="shared" si="4"/>
        <v>8.9390451880877979</v>
      </c>
      <c r="V30" s="68">
        <f t="shared" si="5"/>
        <v>3.7882404171439479</v>
      </c>
      <c r="W30" s="69">
        <f t="shared" si="6"/>
        <v>324.59511047238072</v>
      </c>
      <c r="X30" s="69">
        <f t="shared" si="7"/>
        <v>1.0320549792400666</v>
      </c>
      <c r="Y30" s="258">
        <f t="shared" si="8"/>
        <v>3.4640971358349995</v>
      </c>
      <c r="Z30" s="259">
        <f t="shared" si="9"/>
        <v>71</v>
      </c>
      <c r="AA30" s="259" cm="1">
        <f t="array" ref="AA30">_xlfn.IFS(I30&lt;=X30,R30*(3/(S30^3 - (S30-W30)^3)),I30&gt;X30,R30*(3/S30^3))</f>
        <v>3.4553091329402215E-9</v>
      </c>
      <c r="AB30" s="261">
        <f t="shared" si="10"/>
        <v>4.1223104902658925</v>
      </c>
      <c r="AC30" s="263">
        <f t="shared" si="11"/>
        <v>-0.65821335443089302</v>
      </c>
      <c r="AD30" s="264">
        <f t="shared" si="12"/>
        <v>119.00100743774999</v>
      </c>
    </row>
    <row r="31" spans="1:30" x14ac:dyDescent="0.45">
      <c r="A31" s="14" t="s">
        <v>35</v>
      </c>
      <c r="B31" s="185">
        <v>-34.97</v>
      </c>
      <c r="C31" s="185">
        <v>150.79</v>
      </c>
      <c r="D31" s="28" t="s">
        <v>36</v>
      </c>
      <c r="E31" s="8" t="s">
        <v>12</v>
      </c>
      <c r="F31" s="24">
        <v>-1.43</v>
      </c>
      <c r="G31" s="6">
        <v>78.8</v>
      </c>
      <c r="H31" s="33">
        <v>2015</v>
      </c>
      <c r="I31" s="33">
        <v>7</v>
      </c>
      <c r="J31" s="20">
        <v>55</v>
      </c>
      <c r="K31" s="17">
        <v>200.16216</v>
      </c>
      <c r="L31" s="17">
        <v>6.421875</v>
      </c>
      <c r="M31" s="18">
        <v>1.0774796689999999</v>
      </c>
      <c r="N31" s="16">
        <v>0.13271872257930653</v>
      </c>
      <c r="O31" s="37">
        <v>1.56818744685376E-2</v>
      </c>
      <c r="P31" s="47" t="s">
        <v>126</v>
      </c>
      <c r="Q31" s="61">
        <f t="shared" si="0"/>
        <v>8.4905397917199994E-8</v>
      </c>
      <c r="R31" s="61">
        <f t="shared" si="1"/>
        <v>5.9433778542039995E-7</v>
      </c>
      <c r="S31" s="62">
        <f t="shared" si="2"/>
        <v>65</v>
      </c>
      <c r="T31" s="46">
        <f t="shared" si="3"/>
        <v>52.74312368262229</v>
      </c>
      <c r="U31" s="46">
        <f t="shared" si="4"/>
        <v>8.6267169676549251</v>
      </c>
      <c r="V31" s="68">
        <f t="shared" si="5"/>
        <v>5.9834972549385216E-3</v>
      </c>
      <c r="W31" s="69">
        <f t="shared" si="6"/>
        <v>446.37520942053425</v>
      </c>
      <c r="X31" s="69">
        <f t="shared" si="7"/>
        <v>1.019321840454944</v>
      </c>
      <c r="Y31" s="258">
        <f t="shared" si="8"/>
        <v>5.9433778542039998E-3</v>
      </c>
      <c r="Z31" s="259">
        <f t="shared" si="9"/>
        <v>71</v>
      </c>
      <c r="AA31" s="259" cm="1">
        <f t="array" ref="AA31">_xlfn.IFS(I31&lt;=X31,R31*(3/(S31^3 - (S31-W31)^3)),I31&gt;X31,R31*(3/S31^3))</f>
        <v>6.4925383933043235E-12</v>
      </c>
      <c r="AB31" s="261">
        <f t="shared" si="10"/>
        <v>7.7458363629531457E-3</v>
      </c>
      <c r="AC31" s="263">
        <f t="shared" si="11"/>
        <v>-1.8024585087491459E-3</v>
      </c>
      <c r="AD31" s="264">
        <f t="shared" si="12"/>
        <v>130.32717341829766</v>
      </c>
    </row>
    <row r="32" spans="1:30" x14ac:dyDescent="0.45">
      <c r="A32" s="14" t="s">
        <v>37</v>
      </c>
      <c r="B32" s="185">
        <v>-34.97</v>
      </c>
      <c r="C32" s="185">
        <v>150.79</v>
      </c>
      <c r="D32" s="28" t="s">
        <v>14</v>
      </c>
      <c r="E32" s="8" t="s">
        <v>15</v>
      </c>
      <c r="F32" s="24">
        <v>-1.88</v>
      </c>
      <c r="G32" s="6">
        <v>36700</v>
      </c>
      <c r="H32" s="33">
        <v>2015</v>
      </c>
      <c r="I32" s="33">
        <v>7</v>
      </c>
      <c r="J32" s="20">
        <v>55</v>
      </c>
      <c r="K32" s="17">
        <v>200.16216</v>
      </c>
      <c r="L32" s="17">
        <v>6.421875</v>
      </c>
      <c r="M32" s="18">
        <v>1.0774796689999999</v>
      </c>
      <c r="N32" s="16">
        <v>0.13271872257930653</v>
      </c>
      <c r="O32" s="37">
        <v>1.56818744685376E-2</v>
      </c>
      <c r="P32" s="47" t="s">
        <v>126</v>
      </c>
      <c r="Q32" s="61">
        <f t="shared" si="0"/>
        <v>3.9543503852300001E-5</v>
      </c>
      <c r="R32" s="61">
        <f t="shared" si="1"/>
        <v>2.768045269661E-4</v>
      </c>
      <c r="S32" s="62">
        <f t="shared" si="2"/>
        <v>65</v>
      </c>
      <c r="T32" s="46">
        <f t="shared" si="3"/>
        <v>52.74312368262229</v>
      </c>
      <c r="U32" s="46">
        <f t="shared" si="4"/>
        <v>8.6267169676549251</v>
      </c>
      <c r="V32" s="68">
        <f t="shared" si="5"/>
        <v>2.7867303205107077</v>
      </c>
      <c r="W32" s="69">
        <f t="shared" si="6"/>
        <v>446.37520942053425</v>
      </c>
      <c r="X32" s="69">
        <f t="shared" si="7"/>
        <v>1.019321840454944</v>
      </c>
      <c r="Y32" s="258">
        <f t="shared" si="8"/>
        <v>2.7680452696610001</v>
      </c>
      <c r="Z32" s="259">
        <f t="shared" si="9"/>
        <v>71</v>
      </c>
      <c r="AA32" s="259" cm="1">
        <f t="array" ref="AA32">_xlfn.IFS(I32&lt;=X32,R32*(3/(S32^3 - (S32-W32)^3)),I32&gt;X32,R32*(3/S32^3))</f>
        <v>3.0238091248003644E-9</v>
      </c>
      <c r="AB32" s="261">
        <f t="shared" si="10"/>
        <v>3.6075151588880772</v>
      </c>
      <c r="AC32" s="263">
        <f t="shared" si="11"/>
        <v>-0.8394698892270771</v>
      </c>
      <c r="AD32" s="264">
        <f t="shared" si="12"/>
        <v>130.32717341829769</v>
      </c>
    </row>
    <row r="33" spans="1:30" x14ac:dyDescent="0.45">
      <c r="A33" s="14" t="s">
        <v>38</v>
      </c>
      <c r="B33" s="184">
        <v>-35.24</v>
      </c>
      <c r="C33" s="184">
        <v>138.41</v>
      </c>
      <c r="D33" s="28" t="s">
        <v>36</v>
      </c>
      <c r="E33" s="8" t="s">
        <v>12</v>
      </c>
      <c r="F33" s="25">
        <v>-1.82</v>
      </c>
      <c r="G33" s="6">
        <v>129</v>
      </c>
      <c r="H33" s="33">
        <v>2015</v>
      </c>
      <c r="I33" s="33">
        <v>7</v>
      </c>
      <c r="J33" s="20">
        <v>55</v>
      </c>
      <c r="K33" s="17">
        <v>2402.5206859999998</v>
      </c>
      <c r="L33" s="17">
        <v>6.7957142859999999</v>
      </c>
      <c r="M33" s="18">
        <v>0.82293429299999998</v>
      </c>
      <c r="N33" s="16">
        <v>0.13257546559776412</v>
      </c>
      <c r="O33" s="37">
        <v>2.3202468212742699E-2</v>
      </c>
      <c r="P33" s="47">
        <v>4000</v>
      </c>
      <c r="Q33" s="61">
        <f t="shared" si="0"/>
        <v>1.06158523797E-7</v>
      </c>
      <c r="R33" s="61">
        <f t="shared" si="1"/>
        <v>7.4310966657900001E-7</v>
      </c>
      <c r="S33" s="62">
        <f t="shared" si="2"/>
        <v>65</v>
      </c>
      <c r="T33" s="46">
        <f t="shared" si="3"/>
        <v>52.800116284245995</v>
      </c>
      <c r="U33" s="46">
        <f t="shared" si="4"/>
        <v>8.6174052638546677</v>
      </c>
      <c r="V33" s="68">
        <f t="shared" si="5"/>
        <v>7.4805574463700179E-3</v>
      </c>
      <c r="W33" s="69">
        <f t="shared" si="6"/>
        <v>301.6920413732376</v>
      </c>
      <c r="X33" s="69">
        <f t="shared" si="7"/>
        <v>1.5081604338282755</v>
      </c>
      <c r="Y33" s="258">
        <f t="shared" si="8"/>
        <v>7.4310966657900003E-3</v>
      </c>
      <c r="Z33" s="259">
        <f t="shared" si="9"/>
        <v>71</v>
      </c>
      <c r="AA33" s="259" cm="1">
        <f t="array" ref="AA33">_xlfn.IFS(I33&lt;=X33,R33*(3/(S33^3 - (S33-W33)^3)),I33&gt;X33,R33*(3/S33^3))</f>
        <v>8.1177205270350487E-12</v>
      </c>
      <c r="AB33" s="261">
        <f t="shared" si="10"/>
        <v>9.6847382385054706E-3</v>
      </c>
      <c r="AC33" s="263">
        <f t="shared" si="11"/>
        <v>-2.2536415727154703E-3</v>
      </c>
      <c r="AD33" s="264">
        <f t="shared" si="12"/>
        <v>130.32717341829769</v>
      </c>
    </row>
    <row r="34" spans="1:30" x14ac:dyDescent="0.45">
      <c r="A34" s="14" t="s">
        <v>39</v>
      </c>
      <c r="B34" s="184">
        <v>-35.24</v>
      </c>
      <c r="C34" s="184">
        <v>138.41</v>
      </c>
      <c r="D34" s="28" t="s">
        <v>14</v>
      </c>
      <c r="E34" s="8" t="s">
        <v>15</v>
      </c>
      <c r="F34" s="25">
        <v>-1.85</v>
      </c>
      <c r="G34" s="9">
        <v>214000</v>
      </c>
      <c r="H34" s="33">
        <v>2015</v>
      </c>
      <c r="I34" s="33">
        <v>7</v>
      </c>
      <c r="J34" s="20">
        <v>55</v>
      </c>
      <c r="K34" s="17">
        <v>2402.5206859999998</v>
      </c>
      <c r="L34" s="17">
        <v>6.7957142859999999</v>
      </c>
      <c r="M34" s="18">
        <v>0.82293429299999998</v>
      </c>
      <c r="N34" s="16">
        <v>0.13257546559776412</v>
      </c>
      <c r="O34" s="37">
        <v>2.3202468212742699E-2</v>
      </c>
      <c r="P34" s="47">
        <v>4000</v>
      </c>
      <c r="Q34" s="61">
        <f t="shared" si="0"/>
        <v>1.76107938702E-4</v>
      </c>
      <c r="R34" s="61">
        <f t="shared" si="1"/>
        <v>1.232755570914E-3</v>
      </c>
      <c r="S34" s="62">
        <f t="shared" si="2"/>
        <v>65</v>
      </c>
      <c r="T34" s="46">
        <f t="shared" si="3"/>
        <v>52.800116284245995</v>
      </c>
      <c r="U34" s="46">
        <f t="shared" si="4"/>
        <v>8.6174052638546677</v>
      </c>
      <c r="V34" s="68">
        <f t="shared" si="5"/>
        <v>12.409606926536307</v>
      </c>
      <c r="W34" s="69">
        <f t="shared" si="6"/>
        <v>301.6920413732376</v>
      </c>
      <c r="X34" s="69">
        <f t="shared" si="7"/>
        <v>1.5081604338282755</v>
      </c>
      <c r="Y34" s="258">
        <f t="shared" si="8"/>
        <v>12.32755570914</v>
      </c>
      <c r="Z34" s="259">
        <f t="shared" si="9"/>
        <v>71</v>
      </c>
      <c r="AA34" s="259" cm="1">
        <f t="array" ref="AA34">_xlfn.IFS(I34&lt;=X34,R34*(3/(S34^3 - (S34-W34)^3)),I34&gt;X34,R34*(3/S34^3))</f>
        <v>1.3466606145624033E-8</v>
      </c>
      <c r="AB34" s="261">
        <f t="shared" si="10"/>
        <v>16.066154907288144</v>
      </c>
      <c r="AC34" s="263">
        <f t="shared" si="11"/>
        <v>-3.7385991981481439</v>
      </c>
      <c r="AD34" s="264">
        <f t="shared" si="12"/>
        <v>130.32717341829766</v>
      </c>
    </row>
    <row r="35" spans="1:30" x14ac:dyDescent="0.45">
      <c r="A35" s="14" t="s">
        <v>40</v>
      </c>
      <c r="B35" s="184">
        <v>-42.74</v>
      </c>
      <c r="C35" s="184">
        <v>147.61000000000001</v>
      </c>
      <c r="D35" s="28" t="s">
        <v>36</v>
      </c>
      <c r="E35" s="8" t="s">
        <v>12</v>
      </c>
      <c r="F35" s="25">
        <v>-1.64</v>
      </c>
      <c r="G35" s="6">
        <v>106</v>
      </c>
      <c r="H35" s="33">
        <v>2015</v>
      </c>
      <c r="I35" s="33">
        <v>7</v>
      </c>
      <c r="J35" s="20">
        <v>55</v>
      </c>
      <c r="K35" s="17">
        <v>352.81772310000002</v>
      </c>
      <c r="L35" s="17">
        <v>6.269230769</v>
      </c>
      <c r="M35" s="18">
        <v>1.0774796689999999</v>
      </c>
      <c r="N35" s="16">
        <v>0.13261939527488203</v>
      </c>
      <c r="O35" s="37">
        <v>0.10082447448897</v>
      </c>
      <c r="P35" s="47" t="s">
        <v>126</v>
      </c>
      <c r="Q35" s="61">
        <f t="shared" ref="Q35:Q66" si="14">G35*M35*0.000000001</f>
        <v>1.1421284491399999E-7</v>
      </c>
      <c r="R35" s="61">
        <f t="shared" ref="R35:R66" si="15">Q35*I35</f>
        <v>7.994899143979999E-7</v>
      </c>
      <c r="S35" s="62">
        <f t="shared" ref="S35:S66" si="16">H35-1950</f>
        <v>65</v>
      </c>
      <c r="T35" s="46">
        <f t="shared" ref="T35:T63" si="17">I35/N35</f>
        <v>52.782626443824483</v>
      </c>
      <c r="U35" s="46">
        <f t="shared" ref="U35:U63" si="18">N35*S35</f>
        <v>8.6202606928673315</v>
      </c>
      <c r="V35" s="68">
        <f t="shared" ref="V35:V63" si="19">IF(I35&lt;U35,R35/(1-(1-I35/U35)^3),R35)*10000</f>
        <v>8.0483432701069797E-3</v>
      </c>
      <c r="W35" s="69">
        <f t="shared" si="6"/>
        <v>69.427587254776981</v>
      </c>
      <c r="X35" s="69">
        <f t="shared" si="7"/>
        <v>6.5535908417830502</v>
      </c>
      <c r="Y35" s="258">
        <f t="shared" si="8"/>
        <v>7.9948991439799996E-3</v>
      </c>
      <c r="Z35" s="259">
        <f t="shared" si="9"/>
        <v>71</v>
      </c>
      <c r="AA35" s="259" cm="1">
        <f t="array" ref="AA35">_xlfn.IFS(I35&lt;=X35,R35*(3/(S35^3 - (S35-W35)^3)),I35&gt;X35,R35*(3/S35^3))</f>
        <v>8.7336176356631759E-12</v>
      </c>
      <c r="AB35" s="261">
        <f t="shared" si="10"/>
        <v>1.0419526071992811E-2</v>
      </c>
      <c r="AC35" s="263">
        <f t="shared" si="11"/>
        <v>-2.4246269280128116E-3</v>
      </c>
      <c r="AD35" s="264">
        <f t="shared" si="12"/>
        <v>130.32717341829769</v>
      </c>
    </row>
    <row r="36" spans="1:30" x14ac:dyDescent="0.45">
      <c r="A36" s="14" t="s">
        <v>41</v>
      </c>
      <c r="B36" s="184">
        <v>-42.74</v>
      </c>
      <c r="C36" s="184">
        <v>147.61000000000001</v>
      </c>
      <c r="D36" s="28" t="s">
        <v>14</v>
      </c>
      <c r="E36" s="8" t="s">
        <v>15</v>
      </c>
      <c r="F36" s="25">
        <v>-2.0099999999999998</v>
      </c>
      <c r="G36" s="6">
        <v>61200</v>
      </c>
      <c r="H36" s="33">
        <v>2015</v>
      </c>
      <c r="I36" s="33">
        <v>7</v>
      </c>
      <c r="J36" s="20">
        <v>55</v>
      </c>
      <c r="K36" s="17">
        <v>352.81772310000002</v>
      </c>
      <c r="L36" s="17">
        <v>6.269230769</v>
      </c>
      <c r="M36" s="18">
        <v>1.0774796689999999</v>
      </c>
      <c r="N36" s="16">
        <v>0.13261939527488203</v>
      </c>
      <c r="O36" s="37">
        <v>0.10082447448897</v>
      </c>
      <c r="P36" s="47" t="s">
        <v>126</v>
      </c>
      <c r="Q36" s="61">
        <f t="shared" si="14"/>
        <v>6.5941755742800003E-5</v>
      </c>
      <c r="R36" s="61">
        <f t="shared" si="15"/>
        <v>4.6159229019960001E-4</v>
      </c>
      <c r="S36" s="62">
        <f t="shared" si="16"/>
        <v>65</v>
      </c>
      <c r="T36" s="46">
        <f t="shared" si="17"/>
        <v>52.782626443824483</v>
      </c>
      <c r="U36" s="46">
        <f t="shared" si="18"/>
        <v>8.6202606928673315</v>
      </c>
      <c r="V36" s="68">
        <f t="shared" si="19"/>
        <v>4.646779321986295</v>
      </c>
      <c r="W36" s="69">
        <f t="shared" si="6"/>
        <v>69.427587254776981</v>
      </c>
      <c r="X36" s="69">
        <f t="shared" si="7"/>
        <v>6.5535908417830502</v>
      </c>
      <c r="Y36" s="258">
        <f t="shared" si="8"/>
        <v>4.615922901996</v>
      </c>
      <c r="Z36" s="259">
        <f t="shared" si="9"/>
        <v>71</v>
      </c>
      <c r="AA36" s="259" cm="1">
        <f t="array" ref="AA36">_xlfn.IFS(I36&lt;=X36,R36*(3/(S36^3 - (S36-W36)^3)),I36&gt;X36,R36*(3/S36^3))</f>
        <v>5.0424282953074199E-9</v>
      </c>
      <c r="AB36" s="261">
        <f t="shared" si="10"/>
        <v>6.0158018453392472</v>
      </c>
      <c r="AC36" s="263">
        <f t="shared" si="11"/>
        <v>-1.3998789433432473</v>
      </c>
      <c r="AD36" s="264">
        <f t="shared" si="12"/>
        <v>130.32717341829772</v>
      </c>
    </row>
    <row r="37" spans="1:30" x14ac:dyDescent="0.45">
      <c r="A37" s="14" t="s">
        <v>42</v>
      </c>
      <c r="B37" s="184">
        <v>-38.08</v>
      </c>
      <c r="C37" s="184">
        <v>144.80000000000001</v>
      </c>
      <c r="D37" s="28" t="s">
        <v>36</v>
      </c>
      <c r="E37" s="8" t="s">
        <v>12</v>
      </c>
      <c r="F37" s="25">
        <v>-1.65</v>
      </c>
      <c r="G37" s="6">
        <v>99.5</v>
      </c>
      <c r="H37" s="33">
        <v>2015</v>
      </c>
      <c r="I37" s="33">
        <v>7</v>
      </c>
      <c r="J37" s="20">
        <v>55</v>
      </c>
      <c r="K37" s="17">
        <v>1818.55872</v>
      </c>
      <c r="L37" s="17">
        <v>7.1449999999999996</v>
      </c>
      <c r="M37" s="18">
        <v>1.0774796689999999</v>
      </c>
      <c r="N37" s="16">
        <v>0.1324675537305248</v>
      </c>
      <c r="O37" s="37">
        <v>0.32499762642448499</v>
      </c>
      <c r="P37" s="47">
        <v>10000</v>
      </c>
      <c r="Q37" s="61">
        <f t="shared" si="14"/>
        <v>1.0720922706549999E-7</v>
      </c>
      <c r="R37" s="61">
        <f t="shared" si="15"/>
        <v>7.5046458945849992E-7</v>
      </c>
      <c r="S37" s="62">
        <f t="shared" si="16"/>
        <v>65</v>
      </c>
      <c r="T37" s="46">
        <f t="shared" si="17"/>
        <v>52.843128772800569</v>
      </c>
      <c r="U37" s="46">
        <f t="shared" si="18"/>
        <v>8.6103909924841115</v>
      </c>
      <c r="V37" s="68">
        <f t="shared" si="19"/>
        <v>7.5540662848511174E-3</v>
      </c>
      <c r="W37" s="69">
        <f t="shared" si="6"/>
        <v>21.538618841656337</v>
      </c>
      <c r="X37" s="69">
        <f t="shared" si="7"/>
        <v>21.124845717591523</v>
      </c>
      <c r="Y37" s="258">
        <f t="shared" si="8"/>
        <v>1.0704570519760847E-2</v>
      </c>
      <c r="Z37" s="259">
        <f t="shared" si="9"/>
        <v>71</v>
      </c>
      <c r="AA37" s="259" cm="1">
        <f t="array" ref="AA37">_xlfn.IFS(I37&lt;=X37,R37*(3/(S37^3 - (S37-W37)^3)),I37&gt;X37,R37*(3/S37^3))</f>
        <v>1.1693659193184356E-11</v>
      </c>
      <c r="AB37" s="261">
        <f t="shared" si="10"/>
        <v>1.3950964184972688E-2</v>
      </c>
      <c r="AC37" s="263">
        <f t="shared" si="11"/>
        <v>-3.2463936652118407E-3</v>
      </c>
      <c r="AD37" s="264">
        <f t="shared" si="12"/>
        <v>130.32717341829766</v>
      </c>
    </row>
    <row r="38" spans="1:30" x14ac:dyDescent="0.45">
      <c r="A38" s="14" t="s">
        <v>43</v>
      </c>
      <c r="B38" s="184">
        <v>-38.08</v>
      </c>
      <c r="C38" s="184">
        <v>144.80000000000001</v>
      </c>
      <c r="D38" s="28" t="s">
        <v>14</v>
      </c>
      <c r="E38" s="8" t="s">
        <v>15</v>
      </c>
      <c r="F38" s="25">
        <v>-1.74</v>
      </c>
      <c r="G38" s="6">
        <v>100000</v>
      </c>
      <c r="H38" s="33">
        <v>2015</v>
      </c>
      <c r="I38" s="33">
        <v>7</v>
      </c>
      <c r="J38" s="20">
        <v>55</v>
      </c>
      <c r="K38" s="17">
        <v>1818.55872</v>
      </c>
      <c r="L38" s="17">
        <v>7.1449999999999996</v>
      </c>
      <c r="M38" s="18">
        <v>1.0774796689999999</v>
      </c>
      <c r="N38" s="16">
        <v>0.1324675537305248</v>
      </c>
      <c r="O38" s="37">
        <v>0.32499762642448499</v>
      </c>
      <c r="P38" s="47">
        <v>10000</v>
      </c>
      <c r="Q38" s="61">
        <f t="shared" si="14"/>
        <v>1.0774796689999999E-4</v>
      </c>
      <c r="R38" s="61">
        <f t="shared" si="15"/>
        <v>7.5423576829999992E-4</v>
      </c>
      <c r="S38" s="62">
        <f t="shared" si="16"/>
        <v>65</v>
      </c>
      <c r="T38" s="46">
        <f t="shared" si="17"/>
        <v>52.843128772800569</v>
      </c>
      <c r="U38" s="46">
        <f t="shared" si="18"/>
        <v>8.6103909924841115</v>
      </c>
      <c r="V38" s="68">
        <f t="shared" si="19"/>
        <v>7.5920264169357958</v>
      </c>
      <c r="W38" s="69">
        <f t="shared" si="6"/>
        <v>21.538618841656337</v>
      </c>
      <c r="X38" s="69">
        <f t="shared" si="7"/>
        <v>21.124845717591523</v>
      </c>
      <c r="Y38" s="258">
        <f t="shared" si="8"/>
        <v>10.758362331417938</v>
      </c>
      <c r="Z38" s="259">
        <f t="shared" si="9"/>
        <v>71</v>
      </c>
      <c r="AA38" s="259" cm="1">
        <f t="array" ref="AA38">_xlfn.IFS(I38&lt;=X38,R38*(3/(S38^3 - (S38-W38)^3)),I38&gt;X38,R38*(3/S38^3))</f>
        <v>1.175242129968277E-8</v>
      </c>
      <c r="AB38" s="261">
        <f t="shared" si="10"/>
        <v>14.021069532635867</v>
      </c>
      <c r="AC38" s="263">
        <f t="shared" si="11"/>
        <v>-3.2627072012179283</v>
      </c>
      <c r="AD38" s="264">
        <f t="shared" si="12"/>
        <v>130.32717341829766</v>
      </c>
    </row>
    <row r="39" spans="1:30" x14ac:dyDescent="0.45">
      <c r="A39" s="14" t="s">
        <v>44</v>
      </c>
      <c r="B39" s="185">
        <v>1.2667619999999999</v>
      </c>
      <c r="C39" s="185">
        <v>103.800499</v>
      </c>
      <c r="D39" s="28" t="s">
        <v>8</v>
      </c>
      <c r="E39" s="8" t="s">
        <v>45</v>
      </c>
      <c r="F39" s="25">
        <v>-1.29</v>
      </c>
      <c r="G39" s="6">
        <v>0.57699999999999996</v>
      </c>
      <c r="H39" s="33">
        <v>2012</v>
      </c>
      <c r="I39" s="33">
        <v>4</v>
      </c>
      <c r="J39" s="27">
        <v>16</v>
      </c>
      <c r="K39" s="19">
        <v>55.177508570000001</v>
      </c>
      <c r="L39" s="19">
        <v>0</v>
      </c>
      <c r="M39" s="18">
        <v>1.6356766886</v>
      </c>
      <c r="N39" s="16">
        <v>0.55269999999999997</v>
      </c>
      <c r="O39" s="37">
        <v>1.2212830601232401</v>
      </c>
      <c r="P39" s="47" t="s">
        <v>126</v>
      </c>
      <c r="Q39" s="61">
        <f t="shared" si="14"/>
        <v>9.4378544932220004E-10</v>
      </c>
      <c r="R39" s="61">
        <f t="shared" si="15"/>
        <v>3.7751417972888002E-9</v>
      </c>
      <c r="S39" s="62">
        <f t="shared" si="16"/>
        <v>62</v>
      </c>
      <c r="T39" s="46">
        <f t="shared" si="17"/>
        <v>7.2371992039080881</v>
      </c>
      <c r="U39" s="46">
        <f t="shared" si="18"/>
        <v>34.267399999999995</v>
      </c>
      <c r="V39" s="68">
        <f t="shared" si="19"/>
        <v>1.2142601461374064E-4</v>
      </c>
      <c r="W39" s="69">
        <f t="shared" si="6"/>
        <v>3.2752439877421691</v>
      </c>
      <c r="X39" s="69">
        <f t="shared" si="7"/>
        <v>75.719549727640882</v>
      </c>
      <c r="Y39" s="258">
        <f t="shared" si="8"/>
        <v>2.5124892083100528E-4</v>
      </c>
      <c r="Z39" s="259">
        <f t="shared" si="9"/>
        <v>71</v>
      </c>
      <c r="AA39" s="259" cm="1">
        <f t="array" ref="AA39">_xlfn.IFS(I39&lt;=X39,R39*(3/(S39^3 - (S39-W39)^3)),I39&gt;X39,R39*(3/S39^3))</f>
        <v>3.1626446011086163E-13</v>
      </c>
      <c r="AB39" s="261">
        <f t="shared" si="10"/>
        <v>3.773150972757953E-4</v>
      </c>
      <c r="AC39" s="263">
        <f t="shared" si="11"/>
        <v>-1.2606617644479002E-4</v>
      </c>
      <c r="AD39" s="264">
        <f t="shared" si="12"/>
        <v>150.17580812997181</v>
      </c>
    </row>
    <row r="40" spans="1:30" ht="15.75" x14ac:dyDescent="0.45">
      <c r="A40" s="11" t="s">
        <v>46</v>
      </c>
      <c r="B40" s="184">
        <v>37.115560000000002</v>
      </c>
      <c r="C40" s="184">
        <v>122.48</v>
      </c>
      <c r="D40" s="28" t="s">
        <v>8</v>
      </c>
      <c r="E40" s="12">
        <v>0.96</v>
      </c>
      <c r="F40" s="4">
        <v>-1.69</v>
      </c>
      <c r="G40" s="13">
        <v>118</v>
      </c>
      <c r="H40" s="33">
        <v>2017</v>
      </c>
      <c r="I40" s="33">
        <v>5</v>
      </c>
      <c r="J40" s="27">
        <v>102</v>
      </c>
      <c r="K40" s="19"/>
      <c r="L40" s="19"/>
      <c r="M40" s="16">
        <v>0.61037440899999995</v>
      </c>
      <c r="N40" s="16">
        <v>0.13241980072875215</v>
      </c>
      <c r="O40" s="37">
        <v>0.49764695215524202</v>
      </c>
      <c r="P40" s="60">
        <v>2000</v>
      </c>
      <c r="Q40" s="61">
        <f t="shared" si="14"/>
        <v>7.2024180261999997E-8</v>
      </c>
      <c r="R40" s="61">
        <f t="shared" si="15"/>
        <v>3.6012090130999999E-7</v>
      </c>
      <c r="S40" s="62">
        <f t="shared" si="16"/>
        <v>67</v>
      </c>
      <c r="T40" s="46">
        <f t="shared" si="17"/>
        <v>37.758703551004182</v>
      </c>
      <c r="U40" s="46">
        <f t="shared" si="18"/>
        <v>8.8721266488263932</v>
      </c>
      <c r="V40" s="68">
        <f t="shared" si="19"/>
        <v>3.9277267104442038E-3</v>
      </c>
      <c r="W40" s="69">
        <f t="shared" si="6"/>
        <v>10.04728347746464</v>
      </c>
      <c r="X40" s="69">
        <f t="shared" si="7"/>
        <v>33.342345794401218</v>
      </c>
      <c r="Y40" s="258">
        <f t="shared" si="8"/>
        <v>9.3347052813099012E-3</v>
      </c>
      <c r="Z40" s="259">
        <f t="shared" si="9"/>
        <v>71</v>
      </c>
      <c r="AA40" s="259" cm="1">
        <f t="array" ref="AA40">_xlfn.IFS(I40&lt;=X40,R40*(3/(S40^3 - (S40-W40)^3)),I40&gt;X40,R40*(3/S40^3))</f>
        <v>9.3110242429852399E-12</v>
      </c>
      <c r="AB40" s="261">
        <f t="shared" si="10"/>
        <v>1.1108393326103635E-2</v>
      </c>
      <c r="AC40" s="263">
        <f t="shared" si="11"/>
        <v>-1.7736880447937337E-3</v>
      </c>
      <c r="AD40" s="264">
        <f t="shared" si="12"/>
        <v>119.00100743774996</v>
      </c>
    </row>
    <row r="41" spans="1:30" ht="15.75" x14ac:dyDescent="0.45">
      <c r="A41" s="11" t="s">
        <v>47</v>
      </c>
      <c r="B41" s="184">
        <v>37.115560000000002</v>
      </c>
      <c r="C41" s="184">
        <v>122.50917</v>
      </c>
      <c r="D41" s="28" t="s">
        <v>8</v>
      </c>
      <c r="E41" s="12">
        <v>0.95</v>
      </c>
      <c r="F41" s="4">
        <v>-1.69</v>
      </c>
      <c r="G41" s="13">
        <v>77.599999999999994</v>
      </c>
      <c r="H41" s="33">
        <v>2017</v>
      </c>
      <c r="I41" s="33">
        <v>5</v>
      </c>
      <c r="J41" s="27">
        <v>102</v>
      </c>
      <c r="K41" s="19"/>
      <c r="L41" s="19"/>
      <c r="M41" s="16">
        <v>0.61037440899999995</v>
      </c>
      <c r="N41" s="16">
        <v>0.13241980072875215</v>
      </c>
      <c r="O41" s="37">
        <v>0.47844016393621902</v>
      </c>
      <c r="P41" s="60">
        <v>3000</v>
      </c>
      <c r="Q41" s="61">
        <f t="shared" si="14"/>
        <v>4.7365054138399994E-8</v>
      </c>
      <c r="R41" s="61">
        <f t="shared" si="15"/>
        <v>2.3682527069199996E-7</v>
      </c>
      <c r="S41" s="62">
        <f t="shared" si="16"/>
        <v>67</v>
      </c>
      <c r="T41" s="46">
        <f t="shared" si="17"/>
        <v>37.758703551004182</v>
      </c>
      <c r="U41" s="46">
        <f t="shared" si="18"/>
        <v>8.8721266488263932</v>
      </c>
      <c r="V41" s="68">
        <f t="shared" si="19"/>
        <v>2.5829795994107641E-3</v>
      </c>
      <c r="W41" s="69">
        <f t="shared" si="6"/>
        <v>10.450627637245253</v>
      </c>
      <c r="X41" s="69">
        <f t="shared" si="7"/>
        <v>32.055490983726678</v>
      </c>
      <c r="Y41" s="258">
        <f t="shared" si="8"/>
        <v>5.9392715392828452E-3</v>
      </c>
      <c r="Z41" s="259">
        <f t="shared" si="9"/>
        <v>71</v>
      </c>
      <c r="AA41" s="259" cm="1">
        <f t="array" ref="AA41">_xlfn.IFS(I41&lt;=X41,R41*(3/(S41^3 - (S41-W41)^3)),I41&gt;X41,R41*(3/S41^3))</f>
        <v>5.9242043129801636E-12</v>
      </c>
      <c r="AB41" s="261">
        <f t="shared" si="10"/>
        <v>7.0677929662101438E-3</v>
      </c>
      <c r="AC41" s="263">
        <f t="shared" si="11"/>
        <v>-1.1285214269272986E-3</v>
      </c>
      <c r="AD41" s="264">
        <f t="shared" si="12"/>
        <v>119.00100743774993</v>
      </c>
    </row>
    <row r="42" spans="1:30" ht="15.75" x14ac:dyDescent="0.45">
      <c r="A42" s="11" t="s">
        <v>48</v>
      </c>
      <c r="B42" s="184">
        <v>37.115560000000002</v>
      </c>
      <c r="C42" s="184">
        <v>122.57056</v>
      </c>
      <c r="D42" s="28" t="s">
        <v>8</v>
      </c>
      <c r="E42" s="12">
        <v>0.81</v>
      </c>
      <c r="F42" s="4">
        <v>-1.69</v>
      </c>
      <c r="G42" s="13">
        <v>89.5</v>
      </c>
      <c r="H42" s="33">
        <v>2017</v>
      </c>
      <c r="I42" s="33">
        <v>5</v>
      </c>
      <c r="J42" s="27">
        <v>102</v>
      </c>
      <c r="K42" s="19"/>
      <c r="L42" s="19"/>
      <c r="M42" s="16">
        <v>0.61037440899999995</v>
      </c>
      <c r="N42" s="16">
        <v>0.13241980072875215</v>
      </c>
      <c r="O42" s="37">
        <v>0.47844016393621902</v>
      </c>
      <c r="P42" s="60">
        <v>4000</v>
      </c>
      <c r="Q42" s="61">
        <f t="shared" si="14"/>
        <v>5.4628509605499998E-8</v>
      </c>
      <c r="R42" s="61">
        <f t="shared" si="15"/>
        <v>2.7314254802749998E-7</v>
      </c>
      <c r="S42" s="62">
        <f t="shared" si="16"/>
        <v>67</v>
      </c>
      <c r="T42" s="46">
        <f t="shared" si="17"/>
        <v>37.758703551004182</v>
      </c>
      <c r="U42" s="46">
        <f t="shared" si="18"/>
        <v>8.8721266488263932</v>
      </c>
      <c r="V42" s="68">
        <f t="shared" si="19"/>
        <v>2.9790808524131885E-3</v>
      </c>
      <c r="W42" s="69">
        <f t="shared" si="6"/>
        <v>10.450627637245253</v>
      </c>
      <c r="X42" s="69">
        <f t="shared" si="7"/>
        <v>32.055490983726678</v>
      </c>
      <c r="Y42" s="258">
        <f t="shared" si="8"/>
        <v>6.850061891312046E-3</v>
      </c>
      <c r="Z42" s="259">
        <f t="shared" si="9"/>
        <v>71</v>
      </c>
      <c r="AA42" s="259" cm="1">
        <f t="array" ref="AA42">_xlfn.IFS(I42&lt;=X42,R42*(3/(S42^3 - (S42-W42)^3)),I42&gt;X42,R42*(3/S42^3))</f>
        <v>6.8326840980892361E-12</v>
      </c>
      <c r="AB42" s="261">
        <f t="shared" si="10"/>
        <v>8.1516426607707235E-3</v>
      </c>
      <c r="AC42" s="263">
        <f t="shared" si="11"/>
        <v>-1.3015807694586774E-3</v>
      </c>
      <c r="AD42" s="264">
        <f t="shared" si="12"/>
        <v>119.00100743774996</v>
      </c>
    </row>
    <row r="43" spans="1:30" ht="15.75" x14ac:dyDescent="0.45">
      <c r="A43" s="11" t="s">
        <v>49</v>
      </c>
      <c r="B43" s="184">
        <v>37.115560000000002</v>
      </c>
      <c r="C43" s="184">
        <v>122.59721999999999</v>
      </c>
      <c r="D43" s="28" t="s">
        <v>8</v>
      </c>
      <c r="E43" s="12">
        <v>0.9</v>
      </c>
      <c r="F43" s="4">
        <v>-1.7</v>
      </c>
      <c r="G43" s="13">
        <v>121</v>
      </c>
      <c r="H43" s="33">
        <v>2017</v>
      </c>
      <c r="I43" s="33">
        <v>5</v>
      </c>
      <c r="J43" s="27">
        <v>102</v>
      </c>
      <c r="K43" s="19"/>
      <c r="L43" s="19"/>
      <c r="M43" s="16">
        <v>0.61037440899999995</v>
      </c>
      <c r="N43" s="16">
        <v>0.13241980072875215</v>
      </c>
      <c r="O43" s="37">
        <v>0.54292459018842598</v>
      </c>
      <c r="P43" s="60">
        <v>5000</v>
      </c>
      <c r="Q43" s="61">
        <f t="shared" si="14"/>
        <v>7.3855303489000004E-8</v>
      </c>
      <c r="R43" s="61">
        <f t="shared" si="15"/>
        <v>3.6927651744500004E-7</v>
      </c>
      <c r="S43" s="62">
        <f t="shared" si="16"/>
        <v>67</v>
      </c>
      <c r="T43" s="46">
        <f t="shared" si="17"/>
        <v>37.758703551004182</v>
      </c>
      <c r="U43" s="46">
        <f t="shared" si="18"/>
        <v>8.8721266488263932</v>
      </c>
      <c r="V43" s="68">
        <f t="shared" si="19"/>
        <v>4.0275841691843114E-3</v>
      </c>
      <c r="W43" s="69">
        <f t="shared" si="6"/>
        <v>9.209382095337979</v>
      </c>
      <c r="X43" s="69">
        <f t="shared" si="7"/>
        <v>36.375947542624537</v>
      </c>
      <c r="Y43" s="258">
        <f t="shared" si="8"/>
        <v>1.0307011578504952E-2</v>
      </c>
      <c r="Z43" s="259">
        <f t="shared" si="9"/>
        <v>71</v>
      </c>
      <c r="AA43" s="259" cm="1">
        <f t="array" ref="AA43">_xlfn.IFS(I43&lt;=X43,R43*(3/(S43^3 - (S43-W43)^3)),I43&gt;X43,R43*(3/S43^3))</f>
        <v>1.0280863914615448E-11</v>
      </c>
      <c r="AB43" s="261">
        <f t="shared" si="10"/>
        <v>1.2265447615146431E-2</v>
      </c>
      <c r="AC43" s="263">
        <f t="shared" si="11"/>
        <v>-1.9584360366414789E-3</v>
      </c>
      <c r="AD43" s="264">
        <f t="shared" si="12"/>
        <v>119.00100743774999</v>
      </c>
    </row>
    <row r="44" spans="1:30" ht="15.75" x14ac:dyDescent="0.45">
      <c r="A44" s="11" t="s">
        <v>50</v>
      </c>
      <c r="B44" s="184">
        <v>37.115560000000002</v>
      </c>
      <c r="C44" s="184">
        <v>122.66889</v>
      </c>
      <c r="D44" s="28" t="s">
        <v>8</v>
      </c>
      <c r="E44" s="12">
        <v>0.83</v>
      </c>
      <c r="F44" s="4">
        <v>-1.65</v>
      </c>
      <c r="G44" s="13">
        <v>78.599999999999994</v>
      </c>
      <c r="H44" s="33">
        <v>2017</v>
      </c>
      <c r="I44" s="33">
        <v>5</v>
      </c>
      <c r="J44" s="27">
        <v>102</v>
      </c>
      <c r="K44" s="19"/>
      <c r="L44" s="19"/>
      <c r="M44" s="16">
        <v>0.61037440899999995</v>
      </c>
      <c r="N44" s="16">
        <v>0.13241980072875215</v>
      </c>
      <c r="O44" s="37">
        <v>0.33336596938596103</v>
      </c>
      <c r="P44" s="60">
        <v>9000</v>
      </c>
      <c r="Q44" s="61">
        <f t="shared" si="14"/>
        <v>4.7975428547399994E-8</v>
      </c>
      <c r="R44" s="61">
        <f t="shared" si="15"/>
        <v>2.3987714273699999E-7</v>
      </c>
      <c r="S44" s="62">
        <f t="shared" si="16"/>
        <v>67</v>
      </c>
      <c r="T44" s="46">
        <f t="shared" si="17"/>
        <v>37.758703551004182</v>
      </c>
      <c r="U44" s="46">
        <f t="shared" si="18"/>
        <v>8.8721266488263932</v>
      </c>
      <c r="V44" s="68">
        <f t="shared" si="19"/>
        <v>2.6162654189908004E-3</v>
      </c>
      <c r="W44" s="69">
        <f t="shared" si="6"/>
        <v>14.998531521407788</v>
      </c>
      <c r="X44" s="69">
        <f t="shared" si="7"/>
        <v>22.335519948859389</v>
      </c>
      <c r="Y44" s="258">
        <f t="shared" si="8"/>
        <v>4.5051066685418382E-3</v>
      </c>
      <c r="Z44" s="259">
        <f t="shared" si="9"/>
        <v>71</v>
      </c>
      <c r="AA44" s="259" cm="1">
        <f t="array" ref="AA44">_xlfn.IFS(I44&lt;=X44,R44*(3/(S44^3 - (S44-W44)^3)),I44&gt;X44,R44*(3/S44^3))</f>
        <v>4.4936777481357472E-12</v>
      </c>
      <c r="AB44" s="261">
        <f t="shared" si="10"/>
        <v>5.3611223217100443E-3</v>
      </c>
      <c r="AC44" s="263">
        <f t="shared" si="11"/>
        <v>-8.5601565316820605E-4</v>
      </c>
      <c r="AD44" s="264">
        <f t="shared" si="12"/>
        <v>119.00100743775</v>
      </c>
    </row>
    <row r="45" spans="1:30" ht="15.75" x14ac:dyDescent="0.45">
      <c r="A45" s="11" t="s">
        <v>51</v>
      </c>
      <c r="B45" s="184">
        <v>37.069389999999999</v>
      </c>
      <c r="C45" s="184">
        <v>122.48</v>
      </c>
      <c r="D45" s="28" t="s">
        <v>8</v>
      </c>
      <c r="E45" s="12">
        <v>0.69</v>
      </c>
      <c r="F45" s="4">
        <v>-1.6</v>
      </c>
      <c r="G45" s="13">
        <v>87.4</v>
      </c>
      <c r="H45" s="33">
        <v>2017</v>
      </c>
      <c r="I45" s="33">
        <v>5</v>
      </c>
      <c r="J45" s="27">
        <v>102</v>
      </c>
      <c r="K45" s="19"/>
      <c r="L45" s="19"/>
      <c r="M45" s="16">
        <v>0.61037440899999995</v>
      </c>
      <c r="N45" s="16">
        <v>0.13241980072875215</v>
      </c>
      <c r="O45" s="37">
        <v>0.49715752015609799</v>
      </c>
      <c r="P45" s="60">
        <v>2000</v>
      </c>
      <c r="Q45" s="61">
        <f t="shared" si="14"/>
        <v>5.3346723346600001E-8</v>
      </c>
      <c r="R45" s="61">
        <f t="shared" si="15"/>
        <v>2.6673361673300002E-7</v>
      </c>
      <c r="S45" s="62">
        <f t="shared" si="16"/>
        <v>67</v>
      </c>
      <c r="T45" s="46">
        <f t="shared" si="17"/>
        <v>37.758703551004182</v>
      </c>
      <c r="U45" s="46">
        <f t="shared" si="18"/>
        <v>8.8721266488263932</v>
      </c>
      <c r="V45" s="68">
        <f t="shared" si="19"/>
        <v>2.9091806312951142E-3</v>
      </c>
      <c r="W45" s="69">
        <f t="shared" si="6"/>
        <v>10.057174632358162</v>
      </c>
      <c r="X45" s="69">
        <f t="shared" si="7"/>
        <v>33.309553850458563</v>
      </c>
      <c r="Y45" s="258">
        <f t="shared" si="8"/>
        <v>6.9082809841638018E-3</v>
      </c>
      <c r="Z45" s="259">
        <f t="shared" si="9"/>
        <v>71</v>
      </c>
      <c r="AA45" s="259" cm="1">
        <f t="array" ref="AA45">_xlfn.IFS(I45&lt;=X45,R45*(3/(S45^3 - (S45-W45)^3)),I45&gt;X45,R45*(3/S45^3))</f>
        <v>6.890755496018925E-12</v>
      </c>
      <c r="AB45" s="261">
        <f t="shared" si="10"/>
        <v>8.2209239677854314E-3</v>
      </c>
      <c r="AC45" s="263">
        <f t="shared" si="11"/>
        <v>-1.3126429836216296E-3</v>
      </c>
      <c r="AD45" s="264">
        <f t="shared" si="12"/>
        <v>119.00100743774996</v>
      </c>
    </row>
    <row r="46" spans="1:30" ht="15.75" x14ac:dyDescent="0.45">
      <c r="A46" s="11" t="s">
        <v>52</v>
      </c>
      <c r="B46" s="184">
        <v>37.069389999999999</v>
      </c>
      <c r="C46" s="184">
        <v>122.50833</v>
      </c>
      <c r="D46" s="28" t="s">
        <v>8</v>
      </c>
      <c r="E46" s="12">
        <v>0.97</v>
      </c>
      <c r="F46" s="4">
        <v>-1.74</v>
      </c>
      <c r="G46" s="13">
        <v>70</v>
      </c>
      <c r="H46" s="33">
        <v>2017</v>
      </c>
      <c r="I46" s="33">
        <v>5</v>
      </c>
      <c r="J46" s="27">
        <v>102</v>
      </c>
      <c r="K46" s="19"/>
      <c r="L46" s="19"/>
      <c r="M46" s="16">
        <v>0.61037440899999995</v>
      </c>
      <c r="N46" s="16">
        <v>0.13241980072875215</v>
      </c>
      <c r="O46" s="37">
        <v>0.53254045161430896</v>
      </c>
      <c r="P46" s="60">
        <v>3000</v>
      </c>
      <c r="Q46" s="61">
        <f t="shared" si="14"/>
        <v>4.272620863E-8</v>
      </c>
      <c r="R46" s="61">
        <f t="shared" si="15"/>
        <v>2.1363104314999999E-7</v>
      </c>
      <c r="S46" s="62">
        <f t="shared" si="16"/>
        <v>67</v>
      </c>
      <c r="T46" s="46">
        <f t="shared" si="17"/>
        <v>37.758703551004182</v>
      </c>
      <c r="U46" s="46">
        <f t="shared" si="18"/>
        <v>8.8721266488263932</v>
      </c>
      <c r="V46" s="68">
        <f t="shared" si="19"/>
        <v>2.3300073706024938E-3</v>
      </c>
      <c r="W46" s="69">
        <f t="shared" si="6"/>
        <v>9.3889581248585348</v>
      </c>
      <c r="X46" s="69">
        <f t="shared" si="7"/>
        <v>35.680210258158702</v>
      </c>
      <c r="Y46" s="258">
        <f t="shared" si="8"/>
        <v>5.8651076903133807E-3</v>
      </c>
      <c r="Z46" s="259">
        <f t="shared" si="9"/>
        <v>71</v>
      </c>
      <c r="AA46" s="259" cm="1">
        <f t="array" ref="AA46">_xlfn.IFS(I46&lt;=X46,R46*(3/(S46^3 - (S46-W46)^3)),I46&gt;X46,R46*(3/S46^3))</f>
        <v>5.8502286088847839E-12</v>
      </c>
      <c r="AB46" s="261">
        <f t="shared" si="10"/>
        <v>6.9795372387818719E-3</v>
      </c>
      <c r="AC46" s="263">
        <f t="shared" si="11"/>
        <v>-1.1144295484684912E-3</v>
      </c>
      <c r="AD46" s="264">
        <f t="shared" si="12"/>
        <v>119.00100743774998</v>
      </c>
    </row>
    <row r="47" spans="1:30" ht="15.75" x14ac:dyDescent="0.45">
      <c r="A47" s="11" t="s">
        <v>53</v>
      </c>
      <c r="B47" s="184">
        <v>37.069389999999999</v>
      </c>
      <c r="C47" s="184">
        <v>122.57111</v>
      </c>
      <c r="D47" s="28" t="s">
        <v>8</v>
      </c>
      <c r="E47" s="12">
        <v>0.95</v>
      </c>
      <c r="F47" s="4">
        <v>-1.57</v>
      </c>
      <c r="G47" s="13">
        <v>95.4</v>
      </c>
      <c r="H47" s="33">
        <v>2017</v>
      </c>
      <c r="I47" s="33">
        <v>5</v>
      </c>
      <c r="J47" s="27">
        <v>102</v>
      </c>
      <c r="K47" s="19"/>
      <c r="L47" s="19"/>
      <c r="M47" s="16">
        <v>0.61037440899999995</v>
      </c>
      <c r="N47" s="16">
        <v>0.13241980072875215</v>
      </c>
      <c r="O47" s="37">
        <v>0.53254045161430896</v>
      </c>
      <c r="P47" s="60">
        <v>2000</v>
      </c>
      <c r="Q47" s="61">
        <f t="shared" si="14"/>
        <v>5.8229718618600002E-8</v>
      </c>
      <c r="R47" s="61">
        <f t="shared" si="15"/>
        <v>2.9114859309300002E-7</v>
      </c>
      <c r="S47" s="62">
        <f t="shared" si="16"/>
        <v>67</v>
      </c>
      <c r="T47" s="46">
        <f t="shared" si="17"/>
        <v>37.758703551004182</v>
      </c>
      <c r="U47" s="46">
        <f t="shared" si="18"/>
        <v>8.8721266488263932</v>
      </c>
      <c r="V47" s="68">
        <f t="shared" si="19"/>
        <v>3.175467187935399E-3</v>
      </c>
      <c r="W47" s="69">
        <f t="shared" si="6"/>
        <v>9.3889581248585348</v>
      </c>
      <c r="X47" s="69">
        <f t="shared" si="7"/>
        <v>35.680210258158702</v>
      </c>
      <c r="Y47" s="258">
        <f t="shared" si="8"/>
        <v>7.9933039093699511E-3</v>
      </c>
      <c r="Z47" s="259">
        <f t="shared" si="9"/>
        <v>71</v>
      </c>
      <c r="AA47" s="259" cm="1">
        <f t="array" ref="AA47">_xlfn.IFS(I47&lt;=X47,R47*(3/(S47^3 - (S47-W47)^3)),I47&gt;X47,R47*(3/S47^3))</f>
        <v>7.9730258469658349E-12</v>
      </c>
      <c r="AB47" s="261">
        <f t="shared" si="10"/>
        <v>9.5121121797112958E-3</v>
      </c>
      <c r="AC47" s="263">
        <f t="shared" si="11"/>
        <v>-1.5188082703413448E-3</v>
      </c>
      <c r="AD47" s="264">
        <f t="shared" si="12"/>
        <v>119.00100743774999</v>
      </c>
    </row>
    <row r="48" spans="1:30" ht="15.75" x14ac:dyDescent="0.45">
      <c r="A48" s="11" t="s">
        <v>54</v>
      </c>
      <c r="B48" s="184">
        <v>37.069389999999999</v>
      </c>
      <c r="C48" s="184">
        <v>122.59889</v>
      </c>
      <c r="D48" s="28" t="s">
        <v>8</v>
      </c>
      <c r="E48" s="12">
        <v>0.86</v>
      </c>
      <c r="F48" s="4">
        <v>-1.66</v>
      </c>
      <c r="G48" s="13">
        <v>87.8</v>
      </c>
      <c r="H48" s="33">
        <v>2017</v>
      </c>
      <c r="I48" s="33">
        <v>5</v>
      </c>
      <c r="J48" s="27">
        <v>102</v>
      </c>
      <c r="K48" s="19"/>
      <c r="L48" s="19"/>
      <c r="M48" s="16">
        <v>0.61037440899999995</v>
      </c>
      <c r="N48" s="16">
        <v>0.13241980072875215</v>
      </c>
      <c r="O48" s="37">
        <v>0.34016312284385902</v>
      </c>
      <c r="P48" s="60">
        <v>4000</v>
      </c>
      <c r="Q48" s="61">
        <f t="shared" si="14"/>
        <v>5.3590873110199995E-8</v>
      </c>
      <c r="R48" s="61">
        <f t="shared" si="15"/>
        <v>2.6795436555099998E-7</v>
      </c>
      <c r="S48" s="62">
        <f t="shared" si="16"/>
        <v>67</v>
      </c>
      <c r="T48" s="46">
        <f t="shared" si="17"/>
        <v>37.758703551004182</v>
      </c>
      <c r="U48" s="46">
        <f t="shared" si="18"/>
        <v>8.8721266488263932</v>
      </c>
      <c r="V48" s="68">
        <f t="shared" si="19"/>
        <v>2.9224949591271279E-3</v>
      </c>
      <c r="W48" s="69">
        <f t="shared" si="6"/>
        <v>14.698830250024162</v>
      </c>
      <c r="X48" s="69">
        <f t="shared" si="7"/>
        <v>22.790929230538556</v>
      </c>
      <c r="Y48" s="258">
        <f t="shared" si="8"/>
        <v>5.1104576342244227E-3</v>
      </c>
      <c r="Z48" s="259">
        <f t="shared" si="9"/>
        <v>71</v>
      </c>
      <c r="AA48" s="259" cm="1">
        <f t="array" ref="AA48">_xlfn.IFS(I48&lt;=X48,R48*(3/(S48^3 - (S48-W48)^3)),I48&gt;X48,R48*(3/S48^3))</f>
        <v>5.0974930103348051E-12</v>
      </c>
      <c r="AB48" s="261">
        <f t="shared" si="10"/>
        <v>6.081496069406468E-3</v>
      </c>
      <c r="AC48" s="263">
        <f t="shared" si="11"/>
        <v>-9.7103843518204537E-4</v>
      </c>
      <c r="AD48" s="264">
        <f t="shared" si="12"/>
        <v>119.00100743775</v>
      </c>
    </row>
    <row r="49" spans="1:30" ht="15.75" x14ac:dyDescent="0.45">
      <c r="A49" s="11" t="s">
        <v>55</v>
      </c>
      <c r="B49" s="184">
        <v>37.069389999999999</v>
      </c>
      <c r="C49" s="184">
        <v>122.66889</v>
      </c>
      <c r="D49" s="28" t="s">
        <v>8</v>
      </c>
      <c r="E49" s="12">
        <v>0.91</v>
      </c>
      <c r="F49" s="4">
        <v>-1.66</v>
      </c>
      <c r="G49" s="13">
        <v>41.3</v>
      </c>
      <c r="H49" s="33">
        <v>2017</v>
      </c>
      <c r="I49" s="33">
        <v>5</v>
      </c>
      <c r="J49" s="27">
        <v>102</v>
      </c>
      <c r="K49" s="19"/>
      <c r="L49" s="19"/>
      <c r="M49" s="16">
        <v>0.61037440899999995</v>
      </c>
      <c r="N49" s="16">
        <v>0.13241980072875215</v>
      </c>
      <c r="O49" s="37">
        <v>0.22625905701124599</v>
      </c>
      <c r="P49" s="60">
        <v>9000</v>
      </c>
      <c r="Q49" s="61">
        <f t="shared" si="14"/>
        <v>2.5208463091699997E-8</v>
      </c>
      <c r="R49" s="61">
        <f t="shared" si="15"/>
        <v>1.2604231545849998E-7</v>
      </c>
      <c r="S49" s="62">
        <f t="shared" si="16"/>
        <v>67</v>
      </c>
      <c r="T49" s="46">
        <f t="shared" si="17"/>
        <v>37.758703551004182</v>
      </c>
      <c r="U49" s="46">
        <f t="shared" si="18"/>
        <v>8.8721266488263932</v>
      </c>
      <c r="V49" s="68">
        <f t="shared" si="19"/>
        <v>1.3747043486554711E-3</v>
      </c>
      <c r="W49" s="69">
        <f t="shared" si="6"/>
        <v>22.098562886485819</v>
      </c>
      <c r="X49" s="69">
        <f t="shared" si="7"/>
        <v>15.159356819753482</v>
      </c>
      <c r="Y49" s="258">
        <f t="shared" si="8"/>
        <v>1.8031622782211964E-3</v>
      </c>
      <c r="Z49" s="259">
        <f t="shared" si="9"/>
        <v>71</v>
      </c>
      <c r="AA49" s="259" cm="1">
        <f t="array" ref="AA49">_xlfn.IFS(I49&lt;=X49,R49*(3/(S49^3 - (S49-W49)^3)),I49&gt;X49,R49*(3/S49^3))</f>
        <v>1.7985878697391597E-12</v>
      </c>
      <c r="AB49" s="261">
        <f t="shared" si="10"/>
        <v>2.1457812768207077E-3</v>
      </c>
      <c r="AC49" s="263">
        <f t="shared" si="11"/>
        <v>-3.4261899859951129E-4</v>
      </c>
      <c r="AD49" s="264">
        <f t="shared" si="12"/>
        <v>119.00100743774996</v>
      </c>
    </row>
    <row r="50" spans="1:30" ht="15.75" x14ac:dyDescent="0.45">
      <c r="A50" s="11" t="s">
        <v>56</v>
      </c>
      <c r="B50" s="184">
        <v>37.040559999999999</v>
      </c>
      <c r="C50" s="184">
        <v>122.48</v>
      </c>
      <c r="D50" s="28" t="s">
        <v>8</v>
      </c>
      <c r="E50" s="12">
        <v>0.84</v>
      </c>
      <c r="F50" s="4">
        <v>-1.74</v>
      </c>
      <c r="G50" s="13">
        <v>68.400000000000006</v>
      </c>
      <c r="H50" s="33">
        <v>2017</v>
      </c>
      <c r="I50" s="33">
        <v>5</v>
      </c>
      <c r="J50" s="27">
        <v>102</v>
      </c>
      <c r="K50" s="19"/>
      <c r="L50" s="19"/>
      <c r="M50" s="16">
        <v>0.61037440899999995</v>
      </c>
      <c r="N50" s="16">
        <v>0.13241980072875215</v>
      </c>
      <c r="O50" s="37">
        <v>0.49715752015609799</v>
      </c>
      <c r="P50" s="60">
        <v>1000</v>
      </c>
      <c r="Q50" s="61">
        <f t="shared" si="14"/>
        <v>4.17496095756E-8</v>
      </c>
      <c r="R50" s="61">
        <f t="shared" si="15"/>
        <v>2.0874804787799999E-7</v>
      </c>
      <c r="S50" s="62">
        <f t="shared" si="16"/>
        <v>67</v>
      </c>
      <c r="T50" s="46">
        <f t="shared" si="17"/>
        <v>37.758703551004182</v>
      </c>
      <c r="U50" s="46">
        <f t="shared" si="18"/>
        <v>8.8721266488263932</v>
      </c>
      <c r="V50" s="68">
        <f t="shared" si="19"/>
        <v>2.276750059274437E-3</v>
      </c>
      <c r="W50" s="69">
        <f t="shared" si="6"/>
        <v>10.057174632358162</v>
      </c>
      <c r="X50" s="69">
        <f t="shared" si="7"/>
        <v>33.309553850458563</v>
      </c>
      <c r="Y50" s="258">
        <f t="shared" si="8"/>
        <v>5.4064807702151486E-3</v>
      </c>
      <c r="Z50" s="259">
        <f t="shared" si="9"/>
        <v>71</v>
      </c>
      <c r="AA50" s="259" cm="1">
        <f t="array" ref="AA50">_xlfn.IFS(I50&lt;=X50,R50*(3/(S50^3 - (S50-W50)^3)),I50&gt;X50,R50*(3/S50^3))</f>
        <v>5.3927651707974187E-12</v>
      </c>
      <c r="AB50" s="261">
        <f t="shared" si="10"/>
        <v>6.4337665834842501E-3</v>
      </c>
      <c r="AC50" s="263">
        <f t="shared" si="11"/>
        <v>-1.0272858132691015E-3</v>
      </c>
      <c r="AD50" s="264">
        <f t="shared" si="12"/>
        <v>119.00100743774996</v>
      </c>
    </row>
    <row r="51" spans="1:30" ht="15.75" x14ac:dyDescent="0.45">
      <c r="A51" s="11" t="s">
        <v>57</v>
      </c>
      <c r="B51" s="184">
        <v>37.040559999999999</v>
      </c>
      <c r="C51" s="184">
        <v>122.50722</v>
      </c>
      <c r="D51" s="28" t="s">
        <v>8</v>
      </c>
      <c r="E51" s="12">
        <v>0.94</v>
      </c>
      <c r="F51" s="4">
        <v>-1.51</v>
      </c>
      <c r="G51" s="13">
        <v>87.5</v>
      </c>
      <c r="H51" s="33">
        <v>2017</v>
      </c>
      <c r="I51" s="33">
        <v>5</v>
      </c>
      <c r="J51" s="27">
        <v>102</v>
      </c>
      <c r="K51" s="19"/>
      <c r="L51" s="19"/>
      <c r="M51" s="16">
        <v>0.61037440899999995</v>
      </c>
      <c r="N51" s="16">
        <v>0.13241980072875215</v>
      </c>
      <c r="O51" s="37">
        <v>0.53254045161430896</v>
      </c>
      <c r="P51" s="60">
        <v>2000</v>
      </c>
      <c r="Q51" s="61">
        <f t="shared" si="14"/>
        <v>5.3407760787499998E-8</v>
      </c>
      <c r="R51" s="61">
        <f t="shared" si="15"/>
        <v>2.6703880393749997E-7</v>
      </c>
      <c r="S51" s="62">
        <f t="shared" si="16"/>
        <v>67</v>
      </c>
      <c r="T51" s="46">
        <f t="shared" si="17"/>
        <v>37.758703551004182</v>
      </c>
      <c r="U51" s="46">
        <f t="shared" si="18"/>
        <v>8.8721266488263932</v>
      </c>
      <c r="V51" s="68">
        <f t="shared" si="19"/>
        <v>2.9125092132531172E-3</v>
      </c>
      <c r="W51" s="69">
        <f t="shared" si="6"/>
        <v>9.3889581248585348</v>
      </c>
      <c r="X51" s="69">
        <f t="shared" si="7"/>
        <v>35.680210258158702</v>
      </c>
      <c r="Y51" s="258">
        <f t="shared" si="8"/>
        <v>7.3313846128917259E-3</v>
      </c>
      <c r="Z51" s="259">
        <f t="shared" si="9"/>
        <v>71</v>
      </c>
      <c r="AA51" s="259" cm="1">
        <f t="array" ref="AA51">_xlfn.IFS(I51&lt;=X51,R51*(3/(S51^3 - (S51-W51)^3)),I51&gt;X51,R51*(3/S51^3))</f>
        <v>7.3127857611059797E-12</v>
      </c>
      <c r="AB51" s="261">
        <f t="shared" si="10"/>
        <v>8.7244215484773412E-3</v>
      </c>
      <c r="AC51" s="263">
        <f t="shared" si="11"/>
        <v>-1.3930369355856153E-3</v>
      </c>
      <c r="AD51" s="264">
        <f t="shared" si="12"/>
        <v>119.00100743774999</v>
      </c>
    </row>
    <row r="52" spans="1:30" ht="15.75" x14ac:dyDescent="0.45">
      <c r="A52" s="11" t="s">
        <v>58</v>
      </c>
      <c r="B52" s="184">
        <v>37.115560000000002</v>
      </c>
      <c r="C52" s="184">
        <v>122.48</v>
      </c>
      <c r="D52" s="28" t="s">
        <v>8</v>
      </c>
      <c r="E52" s="12">
        <v>0.96</v>
      </c>
      <c r="F52" s="4">
        <v>-1.63</v>
      </c>
      <c r="G52" s="13">
        <v>83</v>
      </c>
      <c r="H52" s="33">
        <v>2017</v>
      </c>
      <c r="I52" s="33">
        <v>5</v>
      </c>
      <c r="J52" s="27">
        <v>102</v>
      </c>
      <c r="K52" s="19"/>
      <c r="L52" s="19"/>
      <c r="M52" s="16">
        <v>0.61037440899999995</v>
      </c>
      <c r="N52" s="16">
        <v>0.13241980072875215</v>
      </c>
      <c r="O52" s="37">
        <v>0.49764695215524202</v>
      </c>
      <c r="P52" s="60">
        <v>2000</v>
      </c>
      <c r="Q52" s="61">
        <f t="shared" si="14"/>
        <v>5.0661075946999994E-8</v>
      </c>
      <c r="R52" s="61">
        <f t="shared" si="15"/>
        <v>2.5330537973499998E-7</v>
      </c>
      <c r="S52" s="62">
        <f t="shared" si="16"/>
        <v>67</v>
      </c>
      <c r="T52" s="46">
        <f t="shared" si="17"/>
        <v>37.758703551004182</v>
      </c>
      <c r="U52" s="46">
        <f t="shared" si="18"/>
        <v>8.8721266488263932</v>
      </c>
      <c r="V52" s="68">
        <f t="shared" si="19"/>
        <v>2.7627230251429571E-3</v>
      </c>
      <c r="W52" s="69">
        <f t="shared" si="6"/>
        <v>10.04728347746464</v>
      </c>
      <c r="X52" s="69">
        <f t="shared" si="7"/>
        <v>33.342345794401218</v>
      </c>
      <c r="Y52" s="258">
        <f t="shared" si="8"/>
        <v>6.5659367656671335E-3</v>
      </c>
      <c r="Z52" s="259">
        <f t="shared" si="9"/>
        <v>71</v>
      </c>
      <c r="AA52" s="259" cm="1">
        <f t="array" ref="AA52">_xlfn.IFS(I52&lt;=X52,R52*(3/(S52^3 - (S52-W52)^3)),I52&gt;X52,R52*(3/S52^3))</f>
        <v>6.5492797641336858E-12</v>
      </c>
      <c r="AB52" s="261">
        <f t="shared" si="10"/>
        <v>7.8135308988695057E-3</v>
      </c>
      <c r="AC52" s="263">
        <f t="shared" si="11"/>
        <v>-1.2475941332023722E-3</v>
      </c>
      <c r="AD52" s="264">
        <f t="shared" si="12"/>
        <v>119.00100743774996</v>
      </c>
    </row>
    <row r="53" spans="1:30" ht="15.75" x14ac:dyDescent="0.45">
      <c r="A53" s="11" t="s">
        <v>59</v>
      </c>
      <c r="B53" s="184">
        <v>37.115560000000002</v>
      </c>
      <c r="C53" s="184">
        <v>122.50917</v>
      </c>
      <c r="D53" s="28" t="s">
        <v>8</v>
      </c>
      <c r="E53" s="12">
        <v>0.95</v>
      </c>
      <c r="F53" s="4">
        <v>-1.55</v>
      </c>
      <c r="G53" s="13">
        <v>91.5</v>
      </c>
      <c r="H53" s="33">
        <v>2017</v>
      </c>
      <c r="I53" s="33">
        <v>5</v>
      </c>
      <c r="J53" s="27">
        <v>102</v>
      </c>
      <c r="K53" s="19"/>
      <c r="L53" s="19"/>
      <c r="M53" s="16">
        <v>0.61037440899999995</v>
      </c>
      <c r="N53" s="16">
        <v>0.13241980072875215</v>
      </c>
      <c r="O53" s="37">
        <v>0.47844016393621902</v>
      </c>
      <c r="P53" s="60">
        <v>3000</v>
      </c>
      <c r="Q53" s="61">
        <f t="shared" si="14"/>
        <v>5.5849258423499998E-8</v>
      </c>
      <c r="R53" s="61">
        <f t="shared" si="15"/>
        <v>2.792462921175E-7</v>
      </c>
      <c r="S53" s="62">
        <f t="shared" si="16"/>
        <v>67</v>
      </c>
      <c r="T53" s="46">
        <f t="shared" si="17"/>
        <v>37.758703551004182</v>
      </c>
      <c r="U53" s="46">
        <f t="shared" si="18"/>
        <v>8.8721266488263932</v>
      </c>
      <c r="V53" s="68">
        <f t="shared" si="19"/>
        <v>3.0456524915732598E-3</v>
      </c>
      <c r="W53" s="69">
        <f t="shared" si="6"/>
        <v>10.450627637245253</v>
      </c>
      <c r="X53" s="69">
        <f t="shared" si="7"/>
        <v>32.055490983726678</v>
      </c>
      <c r="Y53" s="258">
        <f t="shared" si="8"/>
        <v>7.0031359000564493E-3</v>
      </c>
      <c r="Z53" s="259">
        <f t="shared" si="9"/>
        <v>71</v>
      </c>
      <c r="AA53" s="259" cm="1">
        <f t="array" ref="AA53">_xlfn.IFS(I53&lt;=X53,R53*(3/(S53^3 - (S53-W53)^3)),I53&gt;X53,R53*(3/S53^3))</f>
        <v>6.9853697762588276E-12</v>
      </c>
      <c r="AB53" s="261">
        <f t="shared" si="10"/>
        <v>8.3338022733019119E-3</v>
      </c>
      <c r="AC53" s="263">
        <f t="shared" si="11"/>
        <v>-1.3306663732454626E-3</v>
      </c>
      <c r="AD53" s="264">
        <f t="shared" si="12"/>
        <v>119.00100743774995</v>
      </c>
    </row>
    <row r="54" spans="1:30" ht="15.75" x14ac:dyDescent="0.45">
      <c r="A54" s="11" t="s">
        <v>60</v>
      </c>
      <c r="B54" s="184">
        <v>37.115560000000002</v>
      </c>
      <c r="C54" s="184">
        <v>122.57056</v>
      </c>
      <c r="D54" s="28" t="s">
        <v>8</v>
      </c>
      <c r="E54" s="12">
        <v>0.81</v>
      </c>
      <c r="F54" s="4">
        <v>-1.7</v>
      </c>
      <c r="G54" s="13">
        <v>124</v>
      </c>
      <c r="H54" s="33">
        <v>2017</v>
      </c>
      <c r="I54" s="33">
        <v>5</v>
      </c>
      <c r="J54" s="27">
        <v>102</v>
      </c>
      <c r="K54" s="19"/>
      <c r="L54" s="19"/>
      <c r="M54" s="16">
        <v>0.61037440899999995</v>
      </c>
      <c r="N54" s="16">
        <v>0.13241980072875215</v>
      </c>
      <c r="O54" s="37">
        <v>0.47844016393621902</v>
      </c>
      <c r="P54" s="60">
        <v>4000</v>
      </c>
      <c r="Q54" s="61">
        <f t="shared" si="14"/>
        <v>7.5686426715999998E-8</v>
      </c>
      <c r="R54" s="61">
        <f t="shared" si="15"/>
        <v>3.7843213357999998E-7</v>
      </c>
      <c r="S54" s="62">
        <f t="shared" si="16"/>
        <v>67</v>
      </c>
      <c r="T54" s="46">
        <f t="shared" si="17"/>
        <v>37.758703551004182</v>
      </c>
      <c r="U54" s="46">
        <f t="shared" si="18"/>
        <v>8.8721266488263932</v>
      </c>
      <c r="V54" s="68">
        <f t="shared" si="19"/>
        <v>4.1274416279244172E-3</v>
      </c>
      <c r="W54" s="69">
        <f t="shared" si="6"/>
        <v>10.450627637245253</v>
      </c>
      <c r="X54" s="69">
        <f t="shared" si="7"/>
        <v>32.055490983726678</v>
      </c>
      <c r="Y54" s="258">
        <f t="shared" si="8"/>
        <v>9.4905885421530025E-3</v>
      </c>
      <c r="Z54" s="259">
        <f t="shared" si="9"/>
        <v>71</v>
      </c>
      <c r="AA54" s="259" cm="1">
        <f t="array" ref="AA54">_xlfn.IFS(I54&lt;=X54,R54*(3/(S54^3 - (S54-W54)^3)),I54&gt;X54,R54*(3/S54^3))</f>
        <v>9.4665120465146957E-12</v>
      </c>
      <c r="AB54" s="261">
        <f t="shared" si="10"/>
        <v>1.1293895976933737E-2</v>
      </c>
      <c r="AC54" s="263">
        <f t="shared" si="11"/>
        <v>-1.8033074347807345E-3</v>
      </c>
      <c r="AD54" s="264">
        <f t="shared" si="12"/>
        <v>119.00100743774992</v>
      </c>
    </row>
    <row r="55" spans="1:30" ht="15.75" x14ac:dyDescent="0.45">
      <c r="A55" s="11" t="s">
        <v>61</v>
      </c>
      <c r="B55" s="184">
        <v>37.115560000000002</v>
      </c>
      <c r="C55" s="184">
        <v>122.59721999999999</v>
      </c>
      <c r="D55" s="28" t="s">
        <v>8</v>
      </c>
      <c r="E55" s="12">
        <v>0.9</v>
      </c>
      <c r="F55" s="4">
        <v>-1.75</v>
      </c>
      <c r="G55" s="13">
        <v>78</v>
      </c>
      <c r="H55" s="33">
        <v>2017</v>
      </c>
      <c r="I55" s="33">
        <v>5</v>
      </c>
      <c r="J55" s="27">
        <v>102</v>
      </c>
      <c r="K55" s="19"/>
      <c r="L55" s="19"/>
      <c r="M55" s="16">
        <v>0.61037440899999995</v>
      </c>
      <c r="N55" s="16">
        <v>0.13241980072875215</v>
      </c>
      <c r="O55" s="37">
        <v>0.54292459018842598</v>
      </c>
      <c r="P55" s="60">
        <v>5000</v>
      </c>
      <c r="Q55" s="61">
        <f t="shared" si="14"/>
        <v>4.7609203902E-8</v>
      </c>
      <c r="R55" s="61">
        <f t="shared" si="15"/>
        <v>2.3804601951E-7</v>
      </c>
      <c r="S55" s="62">
        <f t="shared" si="16"/>
        <v>67</v>
      </c>
      <c r="T55" s="46">
        <f t="shared" si="17"/>
        <v>37.758703551004182</v>
      </c>
      <c r="U55" s="46">
        <f t="shared" si="18"/>
        <v>8.8721266488263932</v>
      </c>
      <c r="V55" s="68">
        <f t="shared" si="19"/>
        <v>2.596293927242779E-3</v>
      </c>
      <c r="W55" s="69">
        <f t="shared" si="6"/>
        <v>9.209382095337979</v>
      </c>
      <c r="X55" s="69">
        <f t="shared" si="7"/>
        <v>36.375947542624537</v>
      </c>
      <c r="Y55" s="258">
        <f t="shared" si="8"/>
        <v>6.6441892820114567E-3</v>
      </c>
      <c r="Z55" s="259">
        <f t="shared" si="9"/>
        <v>71</v>
      </c>
      <c r="AA55" s="259" cm="1">
        <f t="array" ref="AA55">_xlfn.IFS(I55&lt;=X55,R55*(3/(S55^3 - (S55-W55)^3)),I55&gt;X55,R55*(3/S55^3))</f>
        <v>6.6273337631405358E-12</v>
      </c>
      <c r="AB55" s="261">
        <f t="shared" si="10"/>
        <v>7.9066521816646418E-3</v>
      </c>
      <c r="AC55" s="263">
        <f t="shared" si="11"/>
        <v>-1.2624628996531851E-3</v>
      </c>
      <c r="AD55" s="264">
        <f t="shared" si="12"/>
        <v>119.00100743775</v>
      </c>
    </row>
    <row r="56" spans="1:30" ht="15.75" x14ac:dyDescent="0.45">
      <c r="A56" s="11" t="s">
        <v>62</v>
      </c>
      <c r="B56" s="184">
        <v>37.115560000000002</v>
      </c>
      <c r="C56" s="184">
        <v>122.66889</v>
      </c>
      <c r="D56" s="28" t="s">
        <v>8</v>
      </c>
      <c r="E56" s="12">
        <v>0.83</v>
      </c>
      <c r="F56" s="4">
        <v>-1.63</v>
      </c>
      <c r="G56" s="13">
        <v>118</v>
      </c>
      <c r="H56" s="33">
        <v>2017</v>
      </c>
      <c r="I56" s="33">
        <v>5</v>
      </c>
      <c r="J56" s="27">
        <v>102</v>
      </c>
      <c r="K56" s="19"/>
      <c r="L56" s="19"/>
      <c r="M56" s="16">
        <v>0.61037440899999995</v>
      </c>
      <c r="N56" s="16">
        <v>0.13241980072875215</v>
      </c>
      <c r="O56" s="37">
        <v>0.33336596938596103</v>
      </c>
      <c r="P56" s="60">
        <v>9000</v>
      </c>
      <c r="Q56" s="61">
        <f t="shared" si="14"/>
        <v>7.2024180261999997E-8</v>
      </c>
      <c r="R56" s="61">
        <f t="shared" si="15"/>
        <v>3.6012090130999999E-7</v>
      </c>
      <c r="S56" s="62">
        <f t="shared" si="16"/>
        <v>67</v>
      </c>
      <c r="T56" s="46">
        <f t="shared" si="17"/>
        <v>37.758703551004182</v>
      </c>
      <c r="U56" s="46">
        <f t="shared" si="18"/>
        <v>8.8721266488263932</v>
      </c>
      <c r="V56" s="68">
        <f t="shared" si="19"/>
        <v>3.9277267104442038E-3</v>
      </c>
      <c r="W56" s="69">
        <f t="shared" si="6"/>
        <v>14.998531521407788</v>
      </c>
      <c r="X56" s="69">
        <f t="shared" si="7"/>
        <v>22.335519948859389</v>
      </c>
      <c r="Y56" s="258">
        <f t="shared" si="8"/>
        <v>6.7633916906862206E-3</v>
      </c>
      <c r="Z56" s="259">
        <f t="shared" si="9"/>
        <v>71</v>
      </c>
      <c r="AA56" s="259" cm="1">
        <f t="array" ref="AA56">_xlfn.IFS(I56&lt;=X56,R56*(3/(S56^3 - (S56-W56)^3)),I56&gt;X56,R56*(3/S56^3))</f>
        <v>6.7462337694658804E-12</v>
      </c>
      <c r="AB56" s="261">
        <f t="shared" si="10"/>
        <v>8.0485042488776751E-3</v>
      </c>
      <c r="AC56" s="263">
        <f t="shared" si="11"/>
        <v>-1.2851125581914546E-3</v>
      </c>
      <c r="AD56" s="264">
        <f t="shared" si="12"/>
        <v>119.00100743775</v>
      </c>
    </row>
    <row r="57" spans="1:30" ht="15.75" x14ac:dyDescent="0.45">
      <c r="A57" s="11" t="s">
        <v>63</v>
      </c>
      <c r="B57" s="184">
        <v>37.069389999999999</v>
      </c>
      <c r="C57" s="184">
        <v>122.48</v>
      </c>
      <c r="D57" s="28" t="s">
        <v>8</v>
      </c>
      <c r="E57" s="12">
        <v>0.69</v>
      </c>
      <c r="F57" s="4">
        <v>-1.64</v>
      </c>
      <c r="G57" s="13">
        <v>101</v>
      </c>
      <c r="H57" s="33">
        <v>2017</v>
      </c>
      <c r="I57" s="33">
        <v>5</v>
      </c>
      <c r="J57" s="27">
        <v>102</v>
      </c>
      <c r="K57" s="19"/>
      <c r="L57" s="19"/>
      <c r="M57" s="16">
        <v>0.61037440899999995</v>
      </c>
      <c r="N57" s="16">
        <v>0.13241980072875215</v>
      </c>
      <c r="O57" s="37">
        <v>0.49715752015609799</v>
      </c>
      <c r="P57" s="60">
        <v>2000</v>
      </c>
      <c r="Q57" s="61">
        <f t="shared" si="14"/>
        <v>6.1647815309000003E-8</v>
      </c>
      <c r="R57" s="61">
        <f t="shared" si="15"/>
        <v>3.08239076545E-7</v>
      </c>
      <c r="S57" s="62">
        <f t="shared" si="16"/>
        <v>67</v>
      </c>
      <c r="T57" s="46">
        <f t="shared" si="17"/>
        <v>37.758703551004182</v>
      </c>
      <c r="U57" s="46">
        <f t="shared" si="18"/>
        <v>8.8721266488263932</v>
      </c>
      <c r="V57" s="68">
        <f t="shared" si="19"/>
        <v>3.3618677775835984E-3</v>
      </c>
      <c r="W57" s="69">
        <f t="shared" si="6"/>
        <v>10.057174632358162</v>
      </c>
      <c r="X57" s="69">
        <f t="shared" si="7"/>
        <v>33.309553850458563</v>
      </c>
      <c r="Y57" s="258">
        <f t="shared" si="8"/>
        <v>7.9832537688849427E-3</v>
      </c>
      <c r="Z57" s="259">
        <f t="shared" si="9"/>
        <v>71</v>
      </c>
      <c r="AA57" s="259" cm="1">
        <f t="array" ref="AA57">_xlfn.IFS(I57&lt;=X57,R57*(3/(S57^3 - (S57-W57)^3)),I57&gt;X57,R57*(3/S57^3))</f>
        <v>7.9630012024932643E-12</v>
      </c>
      <c r="AB57" s="261">
        <f t="shared" si="10"/>
        <v>9.5001524112852224E-3</v>
      </c>
      <c r="AC57" s="263">
        <f t="shared" si="11"/>
        <v>-1.5168986424002797E-3</v>
      </c>
      <c r="AD57" s="264">
        <f t="shared" si="12"/>
        <v>119.00100743774992</v>
      </c>
    </row>
    <row r="58" spans="1:30" ht="15.75" x14ac:dyDescent="0.45">
      <c r="A58" s="11" t="s">
        <v>64</v>
      </c>
      <c r="B58" s="184">
        <v>37.069389999999999</v>
      </c>
      <c r="C58" s="184">
        <v>122.50833</v>
      </c>
      <c r="D58" s="28" t="s">
        <v>8</v>
      </c>
      <c r="E58" s="12">
        <v>0.97</v>
      </c>
      <c r="F58" s="4">
        <v>-1.6</v>
      </c>
      <c r="G58" s="13">
        <v>85.7</v>
      </c>
      <c r="H58" s="33">
        <v>2017</v>
      </c>
      <c r="I58" s="33">
        <v>5</v>
      </c>
      <c r="J58" s="27">
        <v>102</v>
      </c>
      <c r="K58" s="19"/>
      <c r="L58" s="19"/>
      <c r="M58" s="16">
        <v>0.61037440899999995</v>
      </c>
      <c r="N58" s="16">
        <v>0.13241980072875215</v>
      </c>
      <c r="O58" s="37">
        <v>0.53254045161430896</v>
      </c>
      <c r="P58" s="60">
        <v>3000</v>
      </c>
      <c r="Q58" s="61">
        <f t="shared" si="14"/>
        <v>5.2309086851299998E-8</v>
      </c>
      <c r="R58" s="61">
        <f t="shared" si="15"/>
        <v>2.6154543425650002E-7</v>
      </c>
      <c r="S58" s="62">
        <f t="shared" si="16"/>
        <v>67</v>
      </c>
      <c r="T58" s="46">
        <f t="shared" si="17"/>
        <v>37.758703551004182</v>
      </c>
      <c r="U58" s="46">
        <f t="shared" si="18"/>
        <v>8.8721266488263932</v>
      </c>
      <c r="V58" s="68">
        <f t="shared" si="19"/>
        <v>2.8525947380090531E-3</v>
      </c>
      <c r="W58" s="69">
        <f t="shared" si="6"/>
        <v>9.3889581248585348</v>
      </c>
      <c r="X58" s="69">
        <f t="shared" si="7"/>
        <v>35.680210258158702</v>
      </c>
      <c r="Y58" s="258">
        <f t="shared" si="8"/>
        <v>7.1805675579979548E-3</v>
      </c>
      <c r="Z58" s="259">
        <f t="shared" si="9"/>
        <v>71</v>
      </c>
      <c r="AA58" s="259" cm="1">
        <f t="array" ref="AA58">_xlfn.IFS(I58&lt;=X58,R58*(3/(S58^3 - (S58-W58)^3)),I58&gt;X58,R58*(3/S58^3))</f>
        <v>7.1623513111632293E-12</v>
      </c>
      <c r="AB58" s="261">
        <f t="shared" si="10"/>
        <v>8.5449477337658092E-3</v>
      </c>
      <c r="AC58" s="263">
        <f t="shared" si="11"/>
        <v>-1.3643801757678544E-3</v>
      </c>
      <c r="AD58" s="264">
        <f t="shared" si="12"/>
        <v>119.00100743774999</v>
      </c>
    </row>
    <row r="59" spans="1:30" ht="15.75" x14ac:dyDescent="0.45">
      <c r="A59" s="11" t="s">
        <v>65</v>
      </c>
      <c r="B59" s="184">
        <v>37.069389999999999</v>
      </c>
      <c r="C59" s="184">
        <v>122.57111</v>
      </c>
      <c r="D59" s="28" t="s">
        <v>8</v>
      </c>
      <c r="E59" s="12">
        <v>0.95</v>
      </c>
      <c r="F59" s="4">
        <v>-1.73</v>
      </c>
      <c r="G59" s="13">
        <v>88.6</v>
      </c>
      <c r="H59" s="33">
        <v>2017</v>
      </c>
      <c r="I59" s="33">
        <v>5</v>
      </c>
      <c r="J59" s="27">
        <v>102</v>
      </c>
      <c r="K59" s="19"/>
      <c r="L59" s="19"/>
      <c r="M59" s="16">
        <v>0.61037440899999995</v>
      </c>
      <c r="N59" s="16">
        <v>0.13241980072875215</v>
      </c>
      <c r="O59" s="37">
        <v>0.53254045161430896</v>
      </c>
      <c r="P59" s="60">
        <v>2000</v>
      </c>
      <c r="Q59" s="61">
        <f t="shared" si="14"/>
        <v>5.4079172637399995E-8</v>
      </c>
      <c r="R59" s="61">
        <f t="shared" si="15"/>
        <v>2.7039586318699995E-7</v>
      </c>
      <c r="S59" s="62">
        <f t="shared" si="16"/>
        <v>67</v>
      </c>
      <c r="T59" s="46">
        <f t="shared" si="17"/>
        <v>37.758703551004182</v>
      </c>
      <c r="U59" s="46">
        <f t="shared" si="18"/>
        <v>8.8721266488263932</v>
      </c>
      <c r="V59" s="68">
        <f t="shared" si="19"/>
        <v>2.9491236147911565E-3</v>
      </c>
      <c r="W59" s="69">
        <f t="shared" si="6"/>
        <v>9.3889581248585348</v>
      </c>
      <c r="X59" s="69">
        <f t="shared" si="7"/>
        <v>35.680210258158702</v>
      </c>
      <c r="Y59" s="258">
        <f t="shared" si="8"/>
        <v>7.4235505908823649E-3</v>
      </c>
      <c r="Z59" s="259">
        <f t="shared" si="9"/>
        <v>71</v>
      </c>
      <c r="AA59" s="259" cm="1">
        <f t="array" ref="AA59">_xlfn.IFS(I59&lt;=X59,R59*(3/(S59^3 - (S59-W59)^3)),I59&gt;X59,R59*(3/S59^3))</f>
        <v>7.4047179249598838E-12</v>
      </c>
      <c r="AB59" s="261">
        <f t="shared" si="10"/>
        <v>8.8340999908010573E-3</v>
      </c>
      <c r="AC59" s="263">
        <f t="shared" si="11"/>
        <v>-1.4105493999186924E-3</v>
      </c>
      <c r="AD59" s="264">
        <f t="shared" si="12"/>
        <v>119.00100743775</v>
      </c>
    </row>
    <row r="60" spans="1:30" ht="15.75" x14ac:dyDescent="0.45">
      <c r="A60" s="11" t="s">
        <v>66</v>
      </c>
      <c r="B60" s="184">
        <v>37.069389999999999</v>
      </c>
      <c r="C60" s="184">
        <v>122.59889</v>
      </c>
      <c r="D60" s="28" t="s">
        <v>8</v>
      </c>
      <c r="E60" s="12">
        <v>0.86</v>
      </c>
      <c r="F60" s="4">
        <v>-1.5</v>
      </c>
      <c r="G60" s="13">
        <v>95.5</v>
      </c>
      <c r="H60" s="33">
        <v>2017</v>
      </c>
      <c r="I60" s="33">
        <v>5</v>
      </c>
      <c r="J60" s="27">
        <v>102</v>
      </c>
      <c r="K60" s="19"/>
      <c r="L60" s="19"/>
      <c r="M60" s="16">
        <v>0.61037440899999995</v>
      </c>
      <c r="N60" s="16">
        <v>0.13241980072875215</v>
      </c>
      <c r="O60" s="37">
        <v>0.34016312284385902</v>
      </c>
      <c r="P60" s="60">
        <v>4000</v>
      </c>
      <c r="Q60" s="61">
        <f t="shared" si="14"/>
        <v>5.8290756059499999E-8</v>
      </c>
      <c r="R60" s="61">
        <f t="shared" si="15"/>
        <v>2.9145378029749997E-7</v>
      </c>
      <c r="S60" s="62">
        <f t="shared" si="16"/>
        <v>67</v>
      </c>
      <c r="T60" s="46">
        <f t="shared" si="17"/>
        <v>37.758703551004182</v>
      </c>
      <c r="U60" s="46">
        <f t="shared" si="18"/>
        <v>8.8721266488263932</v>
      </c>
      <c r="V60" s="68">
        <f t="shared" si="19"/>
        <v>3.1787957698934024E-3</v>
      </c>
      <c r="W60" s="69">
        <f t="shared" si="6"/>
        <v>14.698830250024162</v>
      </c>
      <c r="X60" s="69">
        <f t="shared" si="7"/>
        <v>22.790929230538556</v>
      </c>
      <c r="Y60" s="258">
        <f t="shared" si="8"/>
        <v>5.5586412764058362E-3</v>
      </c>
      <c r="Z60" s="259">
        <f t="shared" si="9"/>
        <v>71</v>
      </c>
      <c r="AA60" s="259" cm="1">
        <f t="array" ref="AA60">_xlfn.IFS(I60&lt;=X60,R60*(3/(S60^3 - (S60-W60)^3)),I60&gt;X60,R60*(3/S60^3))</f>
        <v>5.54453966386075E-12</v>
      </c>
      <c r="AB60" s="261">
        <f t="shared" si="10"/>
        <v>6.6148391187735491E-3</v>
      </c>
      <c r="AC60" s="263">
        <f t="shared" si="11"/>
        <v>-1.0561978423677129E-3</v>
      </c>
      <c r="AD60" s="264">
        <f t="shared" si="12"/>
        <v>119.00100743774996</v>
      </c>
    </row>
    <row r="61" spans="1:30" ht="15.75" x14ac:dyDescent="0.45">
      <c r="A61" s="11" t="s">
        <v>67</v>
      </c>
      <c r="B61" s="184">
        <v>37.069389999999999</v>
      </c>
      <c r="C61" s="184">
        <v>122.66889</v>
      </c>
      <c r="D61" s="28" t="s">
        <v>8</v>
      </c>
      <c r="E61" s="12">
        <v>0.91</v>
      </c>
      <c r="F61" s="4">
        <v>-1.53</v>
      </c>
      <c r="G61" s="13">
        <v>72.400000000000006</v>
      </c>
      <c r="H61" s="33">
        <v>2017</v>
      </c>
      <c r="I61" s="33">
        <v>5</v>
      </c>
      <c r="J61" s="27">
        <v>102</v>
      </c>
      <c r="K61" s="19"/>
      <c r="L61" s="19"/>
      <c r="M61" s="16">
        <v>0.61037440899999995</v>
      </c>
      <c r="N61" s="16">
        <v>0.13241980072875215</v>
      </c>
      <c r="O61" s="37">
        <v>0.22625905701124599</v>
      </c>
      <c r="P61" s="60">
        <v>9000</v>
      </c>
      <c r="Q61" s="61">
        <f t="shared" si="14"/>
        <v>4.41911072116E-8</v>
      </c>
      <c r="R61" s="61">
        <f t="shared" si="15"/>
        <v>2.2095553605799999E-7</v>
      </c>
      <c r="S61" s="62">
        <f t="shared" si="16"/>
        <v>67</v>
      </c>
      <c r="T61" s="46">
        <f t="shared" si="17"/>
        <v>37.758703551004182</v>
      </c>
      <c r="U61" s="46">
        <f t="shared" si="18"/>
        <v>8.8721266488263932</v>
      </c>
      <c r="V61" s="68">
        <f t="shared" si="19"/>
        <v>2.4098933375945797E-3</v>
      </c>
      <c r="W61" s="69">
        <f t="shared" si="6"/>
        <v>22.098562886485819</v>
      </c>
      <c r="X61" s="69">
        <f t="shared" si="7"/>
        <v>15.159356819753482</v>
      </c>
      <c r="Y61" s="258">
        <f t="shared" si="8"/>
        <v>3.1609914998357051E-3</v>
      </c>
      <c r="Z61" s="259">
        <f t="shared" si="9"/>
        <v>71</v>
      </c>
      <c r="AA61" s="259" cm="1">
        <f t="array" ref="AA61">_xlfn.IFS(I61&lt;=X61,R61*(3/(S61^3 - (S61-W61)^3)),I61&gt;X61,R61*(3/S61^3))</f>
        <v>3.1529724399301494E-12</v>
      </c>
      <c r="AB61" s="261">
        <f t="shared" si="10"/>
        <v>3.7616117298261325E-3</v>
      </c>
      <c r="AC61" s="263">
        <f t="shared" si="11"/>
        <v>-6.0062022999042737E-4</v>
      </c>
      <c r="AD61" s="264">
        <f t="shared" si="12"/>
        <v>119.00100743774999</v>
      </c>
    </row>
    <row r="62" spans="1:30" ht="15.75" x14ac:dyDescent="0.45">
      <c r="A62" s="11" t="s">
        <v>68</v>
      </c>
      <c r="B62" s="184">
        <v>37.040559999999999</v>
      </c>
      <c r="C62" s="184">
        <v>122.48</v>
      </c>
      <c r="D62" s="28" t="s">
        <v>8</v>
      </c>
      <c r="E62" s="12">
        <v>0.84</v>
      </c>
      <c r="F62" s="4">
        <v>-1.82</v>
      </c>
      <c r="G62" s="13">
        <v>134</v>
      </c>
      <c r="H62" s="33">
        <v>2017</v>
      </c>
      <c r="I62" s="33">
        <v>5</v>
      </c>
      <c r="J62" s="27">
        <v>102</v>
      </c>
      <c r="K62" s="19"/>
      <c r="L62" s="19"/>
      <c r="M62" s="16">
        <v>0.61037440899999995</v>
      </c>
      <c r="N62" s="16">
        <v>0.13241980072875215</v>
      </c>
      <c r="O62" s="37">
        <v>0.49715752015609799</v>
      </c>
      <c r="P62" s="60">
        <v>1000</v>
      </c>
      <c r="Q62" s="61">
        <f t="shared" si="14"/>
        <v>8.1790170805999999E-8</v>
      </c>
      <c r="R62" s="61">
        <f t="shared" si="15"/>
        <v>4.0895085402999999E-7</v>
      </c>
      <c r="S62" s="62">
        <f t="shared" si="16"/>
        <v>67</v>
      </c>
      <c r="T62" s="46">
        <f t="shared" si="17"/>
        <v>37.758703551004182</v>
      </c>
      <c r="U62" s="46">
        <f t="shared" si="18"/>
        <v>8.8721266488263932</v>
      </c>
      <c r="V62" s="68">
        <f t="shared" si="19"/>
        <v>4.4602998237247742E-3</v>
      </c>
      <c r="W62" s="69">
        <f t="shared" si="6"/>
        <v>10.057174632358162</v>
      </c>
      <c r="X62" s="69">
        <f t="shared" si="7"/>
        <v>33.309553850458563</v>
      </c>
      <c r="Y62" s="258">
        <f t="shared" si="8"/>
        <v>1.0591643614164181E-2</v>
      </c>
      <c r="Z62" s="259">
        <f t="shared" si="9"/>
        <v>71</v>
      </c>
      <c r="AA62" s="259" cm="1">
        <f t="array" ref="AA62">_xlfn.IFS(I62&lt;=X62,R62*(3/(S62^3 - (S62-W62)^3)),I62&gt;X62,R62*(3/S62^3))</f>
        <v>1.0564773872614827E-11</v>
      </c>
      <c r="AB62" s="261">
        <f t="shared" si="10"/>
        <v>1.2604162605071485E-2</v>
      </c>
      <c r="AC62" s="263">
        <f t="shared" si="11"/>
        <v>-2.0125189909073037E-3</v>
      </c>
      <c r="AD62" s="264">
        <f t="shared" si="12"/>
        <v>119.00100743774995</v>
      </c>
    </row>
    <row r="63" spans="1:30" ht="15.75" x14ac:dyDescent="0.45">
      <c r="A63" s="11" t="s">
        <v>69</v>
      </c>
      <c r="B63" s="184">
        <v>37.040559999999999</v>
      </c>
      <c r="C63" s="184">
        <v>122.50722</v>
      </c>
      <c r="D63" s="28" t="s">
        <v>8</v>
      </c>
      <c r="E63" s="12">
        <v>0.94</v>
      </c>
      <c r="F63" s="4">
        <v>-1.77</v>
      </c>
      <c r="G63" s="13">
        <v>181</v>
      </c>
      <c r="H63" s="33">
        <v>2017</v>
      </c>
      <c r="I63" s="33">
        <v>5</v>
      </c>
      <c r="J63" s="27">
        <v>102</v>
      </c>
      <c r="K63" s="19"/>
      <c r="L63" s="19"/>
      <c r="M63" s="16">
        <v>0.61037440899999995</v>
      </c>
      <c r="N63" s="16">
        <v>0.13241980072875215</v>
      </c>
      <c r="O63" s="37">
        <v>0.53254045161430896</v>
      </c>
      <c r="P63" s="60">
        <v>2000</v>
      </c>
      <c r="Q63" s="61">
        <f t="shared" si="14"/>
        <v>1.10477768029E-7</v>
      </c>
      <c r="R63" s="61">
        <f t="shared" si="15"/>
        <v>5.5238884014499993E-7</v>
      </c>
      <c r="S63" s="62">
        <f t="shared" si="16"/>
        <v>67</v>
      </c>
      <c r="T63" s="46">
        <f t="shared" si="17"/>
        <v>37.758703551004182</v>
      </c>
      <c r="U63" s="46">
        <f t="shared" si="18"/>
        <v>8.8721266488263932</v>
      </c>
      <c r="V63" s="68">
        <f t="shared" si="19"/>
        <v>6.0247333439864478E-3</v>
      </c>
      <c r="W63" s="69">
        <f t="shared" si="6"/>
        <v>9.3889581248585348</v>
      </c>
      <c r="X63" s="69">
        <f t="shared" si="7"/>
        <v>35.680210258158702</v>
      </c>
      <c r="Y63" s="258">
        <f t="shared" si="8"/>
        <v>1.5165492742096028E-2</v>
      </c>
      <c r="Z63" s="259">
        <f t="shared" si="9"/>
        <v>71</v>
      </c>
      <c r="AA63" s="259" cm="1">
        <f t="array" ref="AA63">_xlfn.IFS(I63&lt;=X63,R63*(3/(S63^3 - (S63-W63)^3)),I63&gt;X63,R63*(3/S63^3))</f>
        <v>1.5127019688687797E-11</v>
      </c>
      <c r="AB63" s="261">
        <f t="shared" si="10"/>
        <v>1.8047089145993126E-2</v>
      </c>
      <c r="AC63" s="263">
        <f t="shared" si="11"/>
        <v>-2.8815964038970982E-3</v>
      </c>
      <c r="AD63" s="264">
        <f t="shared" si="12"/>
        <v>119.00100743774998</v>
      </c>
    </row>
    <row r="64" spans="1:30" x14ac:dyDescent="0.45">
      <c r="A64" s="11" t="s">
        <v>70</v>
      </c>
      <c r="B64" s="189">
        <v>54.994788999999997</v>
      </c>
      <c r="C64" s="189">
        <v>-0.158077</v>
      </c>
      <c r="D64" s="28" t="s">
        <v>14</v>
      </c>
      <c r="E64" s="5" t="s">
        <v>71</v>
      </c>
      <c r="F64" s="25">
        <v>-1.36</v>
      </c>
      <c r="G64" s="13">
        <v>3530000</v>
      </c>
      <c r="H64" s="33">
        <v>2017</v>
      </c>
      <c r="I64" s="33">
        <v>3.1053515811185166</v>
      </c>
      <c r="J64" s="27" t="s">
        <v>94</v>
      </c>
      <c r="K64" s="21">
        <v>62000</v>
      </c>
      <c r="L64" s="19"/>
      <c r="M64" s="16">
        <v>1.788789671</v>
      </c>
      <c r="N64" s="16"/>
      <c r="O64" s="37">
        <v>7.5668947639814604E-2</v>
      </c>
      <c r="P64" s="47">
        <v>62000</v>
      </c>
      <c r="Q64" s="61">
        <f t="shared" si="14"/>
        <v>6.3144275386300009E-3</v>
      </c>
      <c r="R64" s="61">
        <f t="shared" si="15"/>
        <v>1.9608517540942977E-2</v>
      </c>
      <c r="S64" s="62">
        <f t="shared" si="16"/>
        <v>67</v>
      </c>
      <c r="T64" s="46"/>
      <c r="U64" s="46"/>
      <c r="V64" s="68"/>
      <c r="W64" s="69">
        <f t="shared" si="6"/>
        <v>41.038651626292463</v>
      </c>
      <c r="X64" s="69">
        <f t="shared" si="7"/>
        <v>5.0698194918675785</v>
      </c>
      <c r="Y64" s="258">
        <f t="shared" si="8"/>
        <v>208.19765802583021</v>
      </c>
      <c r="Z64" s="259">
        <f t="shared" si="9"/>
        <v>71</v>
      </c>
      <c r="AA64" s="259" cm="1">
        <f t="array" ref="AA64">_xlfn.IFS(I64&lt;=X64,R64*(3/(S64^3 - (S64-W64)^3)),I64&gt;X64,R64*(3/S64^3))</f>
        <v>2.0766948530154661E-7</v>
      </c>
      <c r="AB64" s="261">
        <f t="shared" si="10"/>
        <v>247.75731051253948</v>
      </c>
      <c r="AC64" s="263">
        <f t="shared" si="11"/>
        <v>-39.559652486709268</v>
      </c>
      <c r="AD64" s="264">
        <f t="shared" si="12"/>
        <v>119.00100743774998</v>
      </c>
    </row>
    <row r="65" spans="1:30" x14ac:dyDescent="0.45">
      <c r="A65" s="11" t="s">
        <v>72</v>
      </c>
      <c r="B65" s="189">
        <v>54.889626</v>
      </c>
      <c r="C65" s="189">
        <v>1.641046</v>
      </c>
      <c r="D65" s="28" t="s">
        <v>14</v>
      </c>
      <c r="E65" s="5" t="s">
        <v>71</v>
      </c>
      <c r="F65" s="25">
        <v>-1.36</v>
      </c>
      <c r="G65" s="13">
        <v>469000</v>
      </c>
      <c r="H65" s="33">
        <v>2017</v>
      </c>
      <c r="I65" s="33">
        <v>3.2148511312582215</v>
      </c>
      <c r="J65" s="27" t="s">
        <v>94</v>
      </c>
      <c r="K65" s="21">
        <v>140000</v>
      </c>
      <c r="L65" s="19"/>
      <c r="M65" s="16">
        <v>1.788789671</v>
      </c>
      <c r="N65" s="16"/>
      <c r="O65" s="37">
        <v>8.9356391407277705E-2</v>
      </c>
      <c r="P65" s="47">
        <v>140000</v>
      </c>
      <c r="Q65" s="61">
        <f t="shared" si="14"/>
        <v>8.3894235569899995E-4</v>
      </c>
      <c r="R65" s="61">
        <f t="shared" si="15"/>
        <v>2.6970747812793674E-3</v>
      </c>
      <c r="S65" s="62">
        <f t="shared" si="16"/>
        <v>67</v>
      </c>
      <c r="T65" s="46"/>
      <c r="U65" s="46"/>
      <c r="V65" s="68"/>
      <c r="W65" s="69">
        <f t="shared" si="6"/>
        <v>35.977853185736251</v>
      </c>
      <c r="X65" s="69">
        <f t="shared" si="7"/>
        <v>5.9868782242876062</v>
      </c>
      <c r="Y65" s="258">
        <f t="shared" si="8"/>
        <v>29.943006028409794</v>
      </c>
      <c r="Z65" s="259">
        <f t="shared" si="9"/>
        <v>71</v>
      </c>
      <c r="AA65" s="259" cm="1">
        <f t="array" ref="AA65">_xlfn.IFS(I65&lt;=X65,R65*(3/(S65^3 - (S65-W65)^3)),I65&gt;X65,R65*(3/S65^3))</f>
        <v>2.986704417938023E-8</v>
      </c>
      <c r="AB65" s="261">
        <f t="shared" si="10"/>
        <v>35.632478830953865</v>
      </c>
      <c r="AC65" s="263">
        <f t="shared" si="11"/>
        <v>-5.6894728025440706</v>
      </c>
      <c r="AD65" s="264">
        <f t="shared" si="12"/>
        <v>119.00100743774998</v>
      </c>
    </row>
    <row r="66" spans="1:30" x14ac:dyDescent="0.45">
      <c r="A66" s="11" t="s">
        <v>73</v>
      </c>
      <c r="B66" s="189">
        <v>54.816217999999999</v>
      </c>
      <c r="C66" s="189">
        <v>-0.44948300000000002</v>
      </c>
      <c r="D66" s="28" t="s">
        <v>14</v>
      </c>
      <c r="E66" s="5" t="s">
        <v>71</v>
      </c>
      <c r="F66" s="25">
        <v>-1.36</v>
      </c>
      <c r="G66" s="13">
        <v>848000</v>
      </c>
      <c r="H66" s="33">
        <v>2017</v>
      </c>
      <c r="I66" s="33">
        <v>3.011495043785152</v>
      </c>
      <c r="J66" s="27" t="s">
        <v>94</v>
      </c>
      <c r="K66" s="21">
        <v>36000</v>
      </c>
      <c r="L66" s="19"/>
      <c r="M66" s="16">
        <v>1.788789671</v>
      </c>
      <c r="N66" s="16"/>
      <c r="O66" s="37">
        <v>6.3936880473143998E-2</v>
      </c>
      <c r="P66" s="47">
        <v>36000</v>
      </c>
      <c r="Q66" s="61">
        <f t="shared" si="14"/>
        <v>1.516893641008E-3</v>
      </c>
      <c r="R66" s="61">
        <f t="shared" si="15"/>
        <v>4.5681176818448055E-3</v>
      </c>
      <c r="S66" s="62">
        <f t="shared" si="16"/>
        <v>67</v>
      </c>
      <c r="T66" s="46"/>
      <c r="U66" s="46"/>
      <c r="V66" s="68"/>
      <c r="W66" s="69">
        <f t="shared" si="6"/>
        <v>47.101063134447081</v>
      </c>
      <c r="X66" s="69">
        <f t="shared" si="7"/>
        <v>4.2837709917006475</v>
      </c>
      <c r="Y66" s="258">
        <f t="shared" si="8"/>
        <v>46.910119865686148</v>
      </c>
      <c r="Z66" s="259">
        <f t="shared" si="9"/>
        <v>71</v>
      </c>
      <c r="AA66" s="259" cm="1">
        <f t="array" ref="AA66">_xlfn.IFS(I66&lt;=X66,R66*(3/(S66^3 - (S66-W66)^3)),I66&gt;X66,R66*(3/S66^3))</f>
        <v>4.6791114464564605E-8</v>
      </c>
      <c r="AB66" s="261">
        <f t="shared" si="10"/>
        <v>55.823515230422608</v>
      </c>
      <c r="AC66" s="263">
        <f t="shared" si="11"/>
        <v>-8.9133953647364592</v>
      </c>
      <c r="AD66" s="264">
        <f t="shared" si="12"/>
        <v>119.00100743774999</v>
      </c>
    </row>
    <row r="67" spans="1:30" x14ac:dyDescent="0.45">
      <c r="A67" s="11" t="s">
        <v>74</v>
      </c>
      <c r="B67" s="189">
        <v>53.958889999999997</v>
      </c>
      <c r="C67" s="189">
        <v>2.028877</v>
      </c>
      <c r="D67" s="28" t="s">
        <v>14</v>
      </c>
      <c r="E67" s="5" t="s">
        <v>71</v>
      </c>
      <c r="F67" s="25">
        <v>-1.36</v>
      </c>
      <c r="G67" s="13">
        <v>2940000</v>
      </c>
      <c r="H67" s="33">
        <v>2017</v>
      </c>
      <c r="I67" s="33">
        <v>3.3159929513508559</v>
      </c>
      <c r="J67" s="27" t="s">
        <v>94</v>
      </c>
      <c r="K67" s="21">
        <v>124000</v>
      </c>
      <c r="L67" s="19"/>
      <c r="M67" s="16">
        <v>1.788789671</v>
      </c>
      <c r="N67" s="16"/>
      <c r="O67" s="37">
        <v>0.101999118918857</v>
      </c>
      <c r="P67" s="47">
        <v>124000</v>
      </c>
      <c r="Q67" s="61">
        <f t="shared" ref="Q67:Q84" si="20">G67*M67*0.000000001</f>
        <v>5.2590416327400009E-3</v>
      </c>
      <c r="R67" s="61">
        <f t="shared" ref="R67:R84" si="21">Q67*I67</f>
        <v>1.7438944985026541E-2</v>
      </c>
      <c r="S67" s="62">
        <f t="shared" ref="S67:S84" si="22">H67-1950</f>
        <v>67</v>
      </c>
      <c r="T67" s="46"/>
      <c r="U67" s="46"/>
      <c r="V67" s="68"/>
      <c r="W67" s="69">
        <f t="shared" si="6"/>
        <v>32.510015640319558</v>
      </c>
      <c r="X67" s="69">
        <f t="shared" si="7"/>
        <v>6.8339409675634188</v>
      </c>
      <c r="Y67" s="258">
        <f t="shared" si="8"/>
        <v>201.93608202324361</v>
      </c>
      <c r="Z67" s="259">
        <f t="shared" si="9"/>
        <v>71</v>
      </c>
      <c r="AA67" s="259" cm="1">
        <f t="array" ref="AA67">_xlfn.IFS(I67&lt;=X67,R67*(3/(S67^3 - (S67-W67)^3)),I67&gt;X67,R67*(3/S67^3))</f>
        <v>2.0142379417339591E-7</v>
      </c>
      <c r="AB67" s="261">
        <f t="shared" si="10"/>
        <v>240.305971987981</v>
      </c>
      <c r="AC67" s="263">
        <f t="shared" si="11"/>
        <v>-38.369889964737382</v>
      </c>
      <c r="AD67" s="264">
        <f t="shared" si="12"/>
        <v>119.00100743774996</v>
      </c>
    </row>
    <row r="68" spans="1:30" x14ac:dyDescent="0.45">
      <c r="A68" s="11" t="s">
        <v>75</v>
      </c>
      <c r="B68" s="189">
        <v>53.399977999999997</v>
      </c>
      <c r="C68" s="189">
        <v>0.66007499999999997</v>
      </c>
      <c r="D68" s="28" t="s">
        <v>14</v>
      </c>
      <c r="E68" s="5" t="s">
        <v>71</v>
      </c>
      <c r="F68" s="25">
        <v>-1.36</v>
      </c>
      <c r="G68" s="13">
        <v>1790000</v>
      </c>
      <c r="H68" s="33">
        <v>2017</v>
      </c>
      <c r="I68" s="33">
        <v>3.147125705508985</v>
      </c>
      <c r="J68" s="27" t="s">
        <v>94</v>
      </c>
      <c r="K68" s="21">
        <v>26000</v>
      </c>
      <c r="L68" s="19"/>
      <c r="M68" s="16">
        <v>1.092945329</v>
      </c>
      <c r="N68" s="16"/>
      <c r="O68" s="37">
        <v>8.0890713188623106E-2</v>
      </c>
      <c r="P68" s="47">
        <v>26000</v>
      </c>
      <c r="Q68" s="61">
        <f t="shared" si="20"/>
        <v>1.9563721389100003E-3</v>
      </c>
      <c r="R68" s="61">
        <f t="shared" si="21"/>
        <v>6.1569490479052563E-3</v>
      </c>
      <c r="S68" s="62">
        <f t="shared" si="22"/>
        <v>67</v>
      </c>
      <c r="T68" s="46"/>
      <c r="U68" s="46"/>
      <c r="V68" s="68"/>
      <c r="W68" s="69">
        <f t="shared" ref="W68:W84" si="23">I68/O68</f>
        <v>38.905896381089306</v>
      </c>
      <c r="X68" s="69">
        <f t="shared" ref="X68:X84" si="24">O68*S68</f>
        <v>5.4196777836377485</v>
      </c>
      <c r="Y68" s="258">
        <f t="shared" ref="Y68:Y84" si="25">IF(I68&lt;X68,R68/(1-(1-I68/X68)^3),R68)*10000</f>
        <v>66.470067890982079</v>
      </c>
      <c r="Z68" s="259">
        <f t="shared" ref="Z68:Z84" si="26">2021-1950</f>
        <v>71</v>
      </c>
      <c r="AA68" s="259" cm="1">
        <f t="array" ref="AA68">_xlfn.IFS(I68&lt;=X68,R68*(3/(S68^3 - (S68-W68)^3)),I68&gt;X68,R68*(3/S68^3))</f>
        <v>6.6301441225465299E-8</v>
      </c>
      <c r="AB68" s="261">
        <f t="shared" ref="AB68:AB84" si="27" xml:space="preserve"> (AA68/3)*(Z68^3)*10000</f>
        <v>79.100050434825036</v>
      </c>
      <c r="AC68" s="263">
        <f t="shared" ref="AC68:AC84" si="28">Y68-AB68</f>
        <v>-12.629982543842956</v>
      </c>
      <c r="AD68" s="264">
        <f t="shared" ref="AD68:AD84" si="29">AB68*100/Y68</f>
        <v>119.00100743774996</v>
      </c>
    </row>
    <row r="69" spans="1:30" x14ac:dyDescent="0.45">
      <c r="A69" s="11" t="s">
        <v>76</v>
      </c>
      <c r="B69" s="189">
        <v>52.955331000000001</v>
      </c>
      <c r="C69" s="189">
        <v>0.32043899999999997</v>
      </c>
      <c r="D69" s="28" t="s">
        <v>14</v>
      </c>
      <c r="E69" s="5" t="s">
        <v>71</v>
      </c>
      <c r="F69" s="25">
        <v>-1.36</v>
      </c>
      <c r="G69" s="13">
        <v>875000</v>
      </c>
      <c r="H69" s="33">
        <v>2017</v>
      </c>
      <c r="I69" s="33">
        <v>3.2410620206219112</v>
      </c>
      <c r="J69" s="27" t="s">
        <v>94</v>
      </c>
      <c r="K69" s="21">
        <v>10000</v>
      </c>
      <c r="L69" s="19"/>
      <c r="M69" s="16">
        <v>1.092945329</v>
      </c>
      <c r="N69" s="16"/>
      <c r="O69" s="37">
        <v>9.2632752577738897E-2</v>
      </c>
      <c r="P69" s="47">
        <v>10000</v>
      </c>
      <c r="Q69" s="61">
        <f t="shared" si="20"/>
        <v>9.5632716287500003E-4</v>
      </c>
      <c r="R69" s="61">
        <f t="shared" si="21"/>
        <v>3.0995156468832672E-3</v>
      </c>
      <c r="S69" s="62">
        <f t="shared" si="22"/>
        <v>67</v>
      </c>
      <c r="T69" s="46"/>
      <c r="U69" s="46"/>
      <c r="V69" s="68"/>
      <c r="W69" s="69">
        <f t="shared" si="23"/>
        <v>34.988294425364934</v>
      </c>
      <c r="X69" s="69">
        <f t="shared" si="24"/>
        <v>6.2063944227085059</v>
      </c>
      <c r="Y69" s="258">
        <f t="shared" si="25"/>
        <v>34.789633095407389</v>
      </c>
      <c r="Z69" s="259">
        <f t="shared" si="26"/>
        <v>71</v>
      </c>
      <c r="AA69" s="259" cm="1">
        <f t="array" ref="AA69">_xlfn.IFS(I69&lt;=X69,R69*(3/(S69^3 - (S69-W69)^3)),I69&gt;X69,R69*(3/S69^3))</f>
        <v>3.4701375929293887E-8</v>
      </c>
      <c r="AB69" s="261">
        <f t="shared" si="27"/>
        <v>41.400013867431689</v>
      </c>
      <c r="AC69" s="263">
        <f t="shared" si="28"/>
        <v>-6.6103807720242997</v>
      </c>
      <c r="AD69" s="264">
        <f t="shared" si="29"/>
        <v>119.00100743775002</v>
      </c>
    </row>
    <row r="70" spans="1:30" x14ac:dyDescent="0.45">
      <c r="A70" s="11" t="s">
        <v>77</v>
      </c>
      <c r="B70" s="189">
        <v>51.491733000000004</v>
      </c>
      <c r="C70" s="189">
        <v>0.99296499999999999</v>
      </c>
      <c r="D70" s="28" t="s">
        <v>14</v>
      </c>
      <c r="E70" s="5" t="s">
        <v>71</v>
      </c>
      <c r="F70" s="25">
        <v>-1.36</v>
      </c>
      <c r="G70" s="13">
        <v>771000</v>
      </c>
      <c r="H70" s="33">
        <v>2017</v>
      </c>
      <c r="I70" s="33">
        <v>3.2416236553395006</v>
      </c>
      <c r="J70" s="27" t="s">
        <v>94</v>
      </c>
      <c r="K70" s="21">
        <v>10000</v>
      </c>
      <c r="L70" s="19"/>
      <c r="M70" s="16">
        <v>1.092945329</v>
      </c>
      <c r="N70" s="16"/>
      <c r="O70" s="37">
        <v>9.2702956917437601E-2</v>
      </c>
      <c r="P70" s="47">
        <v>10000</v>
      </c>
      <c r="Q70" s="61">
        <f t="shared" si="20"/>
        <v>8.4266084865900002E-4</v>
      </c>
      <c r="R70" s="61">
        <f t="shared" si="21"/>
        <v>2.7315893404414732E-3</v>
      </c>
      <c r="S70" s="62">
        <f t="shared" si="22"/>
        <v>67</v>
      </c>
      <c r="T70" s="46"/>
      <c r="U70" s="46"/>
      <c r="V70" s="68"/>
      <c r="W70" s="69">
        <f t="shared" si="23"/>
        <v>34.967856076333476</v>
      </c>
      <c r="X70" s="69">
        <f t="shared" si="24"/>
        <v>6.211098113468319</v>
      </c>
      <c r="Y70" s="258">
        <f t="shared" si="25"/>
        <v>30.667144360243906</v>
      </c>
      <c r="Z70" s="259">
        <f t="shared" si="26"/>
        <v>71</v>
      </c>
      <c r="AA70" s="259" cm="1">
        <f t="array" ref="AA70">_xlfn.IFS(I70&lt;=X70,R70*(3/(S70^3 - (S70-W70)^3)),I70&gt;X70,R70*(3/S70^3))</f>
        <v>3.0589345458294976E-8</v>
      </c>
      <c r="AB70" s="261">
        <f t="shared" si="27"/>
        <v>36.494210741079378</v>
      </c>
      <c r="AC70" s="263">
        <f t="shared" si="28"/>
        <v>-5.8270663808354719</v>
      </c>
      <c r="AD70" s="264">
        <f t="shared" si="29"/>
        <v>119.00100743774999</v>
      </c>
    </row>
    <row r="71" spans="1:30" x14ac:dyDescent="0.45">
      <c r="A71" s="11" t="s">
        <v>78</v>
      </c>
      <c r="B71" s="189">
        <v>51.892575999999998</v>
      </c>
      <c r="C71" s="189">
        <v>2.2282410000000001</v>
      </c>
      <c r="D71" s="28" t="s">
        <v>14</v>
      </c>
      <c r="E71" s="5" t="s">
        <v>71</v>
      </c>
      <c r="F71" s="25">
        <v>-1.36</v>
      </c>
      <c r="G71" s="13">
        <v>974000</v>
      </c>
      <c r="H71" s="33">
        <v>2017</v>
      </c>
      <c r="I71" s="33">
        <v>3.1896293905847064</v>
      </c>
      <c r="J71" s="27" t="s">
        <v>94</v>
      </c>
      <c r="K71" s="21">
        <v>50000</v>
      </c>
      <c r="L71" s="19"/>
      <c r="M71" s="16">
        <v>1.092945329</v>
      </c>
      <c r="N71" s="16"/>
      <c r="O71" s="37">
        <v>8.62036738230883E-2</v>
      </c>
      <c r="P71" s="47">
        <v>50000</v>
      </c>
      <c r="Q71" s="61">
        <f t="shared" si="20"/>
        <v>1.064528750446E-3</v>
      </c>
      <c r="R71" s="61">
        <f t="shared" si="21"/>
        <v>3.3954521895449737E-3</v>
      </c>
      <c r="S71" s="62">
        <f t="shared" si="22"/>
        <v>67</v>
      </c>
      <c r="T71" s="46"/>
      <c r="U71" s="46"/>
      <c r="V71" s="68"/>
      <c r="W71" s="69">
        <f t="shared" si="23"/>
        <v>37.001084166443199</v>
      </c>
      <c r="X71" s="69">
        <f t="shared" si="24"/>
        <v>5.775646146146916</v>
      </c>
      <c r="Y71" s="258">
        <f t="shared" si="25"/>
        <v>37.302903160348599</v>
      </c>
      <c r="Z71" s="259">
        <f t="shared" si="26"/>
        <v>71</v>
      </c>
      <c r="AA71" s="259" cm="1">
        <f t="array" ref="AA71">_xlfn.IFS(I71&lt;=X71,R71*(3/(S71^3 - (S71-W71)^3)),I71&gt;X71,R71*(3/S71^3))</f>
        <v>3.7208270126659799E-8</v>
      </c>
      <c r="AB71" s="261">
        <f t="shared" si="27"/>
        <v>44.390830564343119</v>
      </c>
      <c r="AC71" s="263">
        <f t="shared" si="28"/>
        <v>-7.0879274039945201</v>
      </c>
      <c r="AD71" s="264">
        <f t="shared" si="29"/>
        <v>119.00100743775002</v>
      </c>
    </row>
    <row r="72" spans="1:30" x14ac:dyDescent="0.45">
      <c r="A72" s="11" t="s">
        <v>79</v>
      </c>
      <c r="B72" s="189">
        <v>51.009577</v>
      </c>
      <c r="C72" s="189">
        <v>1.0728599999999999</v>
      </c>
      <c r="D72" s="28" t="s">
        <v>14</v>
      </c>
      <c r="E72" s="5" t="s">
        <v>71</v>
      </c>
      <c r="F72" s="25">
        <v>-1.36</v>
      </c>
      <c r="G72" s="13">
        <v>1270000</v>
      </c>
      <c r="H72" s="33">
        <v>2017</v>
      </c>
      <c r="I72" s="33">
        <v>2.9642733687328935</v>
      </c>
      <c r="J72" s="27" t="s">
        <v>94</v>
      </c>
      <c r="K72" s="21">
        <v>5000</v>
      </c>
      <c r="L72" s="19"/>
      <c r="M72" s="16">
        <v>1.092945329</v>
      </c>
      <c r="N72" s="16"/>
      <c r="O72" s="37">
        <v>7.73788947888156E-2</v>
      </c>
      <c r="P72" s="47">
        <v>5000</v>
      </c>
      <c r="Q72" s="61">
        <f t="shared" si="20"/>
        <v>1.3880405678299999E-3</v>
      </c>
      <c r="R72" s="61">
        <f t="shared" si="21"/>
        <v>4.1145316899393524E-3</v>
      </c>
      <c r="S72" s="62">
        <f t="shared" si="22"/>
        <v>67</v>
      </c>
      <c r="T72" s="46"/>
      <c r="U72" s="46"/>
      <c r="V72" s="68"/>
      <c r="W72" s="69">
        <f t="shared" si="23"/>
        <v>38.308551405690942</v>
      </c>
      <c r="X72" s="69">
        <f t="shared" si="24"/>
        <v>5.1843859508506451</v>
      </c>
      <c r="Y72" s="258">
        <f t="shared" si="25"/>
        <v>44.651802101650105</v>
      </c>
      <c r="Z72" s="259">
        <f t="shared" si="26"/>
        <v>71</v>
      </c>
      <c r="AA72" s="259" cm="1">
        <f t="array" ref="AA72">_xlfn.IFS(I72&lt;=X72,R72*(3/(S72^3 - (S72-W72)^3)),I72&gt;X72,R72*(3/S72^3))</f>
        <v>4.4538525784405108E-8</v>
      </c>
      <c r="AB72" s="261">
        <f t="shared" si="27"/>
        <v>53.13609434007406</v>
      </c>
      <c r="AC72" s="263">
        <f t="shared" si="28"/>
        <v>-8.4842922384239543</v>
      </c>
      <c r="AD72" s="264">
        <f t="shared" si="29"/>
        <v>119.00100743775002</v>
      </c>
    </row>
    <row r="73" spans="1:30" x14ac:dyDescent="0.45">
      <c r="A73" s="11" t="s">
        <v>80</v>
      </c>
      <c r="B73" s="189">
        <v>50.432443999999997</v>
      </c>
      <c r="C73" s="189">
        <v>-3.171627</v>
      </c>
      <c r="D73" s="28" t="s">
        <v>14</v>
      </c>
      <c r="E73" s="5" t="s">
        <v>71</v>
      </c>
      <c r="F73" s="25">
        <v>-1.36</v>
      </c>
      <c r="G73" s="13">
        <v>1310000</v>
      </c>
      <c r="H73" s="33">
        <v>2017</v>
      </c>
      <c r="I73" s="33">
        <v>2.9282841119272742</v>
      </c>
      <c r="J73" s="27" t="s">
        <v>94</v>
      </c>
      <c r="K73" s="21">
        <v>23000</v>
      </c>
      <c r="L73" s="19"/>
      <c r="M73" s="16">
        <v>0.93194745000000001</v>
      </c>
      <c r="N73" s="16"/>
      <c r="O73" s="37">
        <v>7.1380685321212403E-2</v>
      </c>
      <c r="P73" s="47">
        <v>23000</v>
      </c>
      <c r="Q73" s="61">
        <f t="shared" si="20"/>
        <v>1.2208511595000002E-3</v>
      </c>
      <c r="R73" s="61">
        <f t="shared" si="21"/>
        <v>3.574999053391841E-3</v>
      </c>
      <c r="S73" s="62">
        <f t="shared" si="22"/>
        <v>67</v>
      </c>
      <c r="T73" s="46"/>
      <c r="U73" s="46"/>
      <c r="V73" s="68"/>
      <c r="W73" s="69">
        <f t="shared" si="23"/>
        <v>41.023479933682673</v>
      </c>
      <c r="X73" s="69">
        <f t="shared" si="24"/>
        <v>4.7825059165212309</v>
      </c>
      <c r="Y73" s="258">
        <f t="shared" si="25"/>
        <v>37.962436008742237</v>
      </c>
      <c r="Z73" s="259">
        <f t="shared" si="26"/>
        <v>71</v>
      </c>
      <c r="AA73" s="259" cm="1">
        <f t="array" ref="AA73">_xlfn.IFS(I73&lt;=X73,R73*(3/(S73^3 - (S73-W73)^3)),I73&gt;X73,R73*(3/S73^3))</f>
        <v>3.7866129818570332E-8</v>
      </c>
      <c r="AB73" s="261">
        <f t="shared" si="27"/>
        <v>45.175681298314423</v>
      </c>
      <c r="AC73" s="263">
        <f t="shared" si="28"/>
        <v>-7.2132452895721855</v>
      </c>
      <c r="AD73" s="264">
        <f t="shared" si="29"/>
        <v>119.00100743774996</v>
      </c>
    </row>
    <row r="74" spans="1:30" x14ac:dyDescent="0.45">
      <c r="A74" s="11" t="s">
        <v>81</v>
      </c>
      <c r="B74" s="189">
        <v>51.205460000000002</v>
      </c>
      <c r="C74" s="189">
        <v>-6.1164719999999999</v>
      </c>
      <c r="D74" s="28" t="s">
        <v>14</v>
      </c>
      <c r="E74" s="5" t="s">
        <v>71</v>
      </c>
      <c r="F74" s="25">
        <v>-1.36</v>
      </c>
      <c r="G74" s="13">
        <v>492000</v>
      </c>
      <c r="H74" s="33">
        <v>2017</v>
      </c>
      <c r="I74" s="33">
        <v>3.0484924415109056</v>
      </c>
      <c r="J74" s="27" t="s">
        <v>94</v>
      </c>
      <c r="K74" s="21">
        <v>79000</v>
      </c>
      <c r="L74" s="19"/>
      <c r="M74" s="16">
        <v>0.93194745000000001</v>
      </c>
      <c r="N74" s="16"/>
      <c r="O74" s="37">
        <v>9.1415406918484293E-2</v>
      </c>
      <c r="P74" s="47">
        <v>79000</v>
      </c>
      <c r="Q74" s="61">
        <f t="shared" si="20"/>
        <v>4.5851814540000003E-4</v>
      </c>
      <c r="R74" s="61">
        <f t="shared" si="21"/>
        <v>1.3977891005474985E-3</v>
      </c>
      <c r="S74" s="62">
        <f t="shared" si="22"/>
        <v>67</v>
      </c>
      <c r="T74" s="46"/>
      <c r="U74" s="46"/>
      <c r="V74" s="68"/>
      <c r="W74" s="69">
        <f t="shared" si="23"/>
        <v>33.347687706835522</v>
      </c>
      <c r="X74" s="69">
        <f t="shared" si="24"/>
        <v>6.1248322635384476</v>
      </c>
      <c r="Y74" s="258">
        <f t="shared" si="25"/>
        <v>16.006063341170222</v>
      </c>
      <c r="Z74" s="259">
        <f t="shared" si="26"/>
        <v>71</v>
      </c>
      <c r="AA74" s="259" cm="1">
        <f t="array" ref="AA74">_xlfn.IFS(I74&lt;=X74,R74*(3/(S74^3 - (S74-W74)^3)),I74&gt;X74,R74*(3/S74^3))</f>
        <v>1.5965457860012921E-8</v>
      </c>
      <c r="AB74" s="261">
        <f t="shared" si="27"/>
        <v>19.04737662711695</v>
      </c>
      <c r="AC74" s="263">
        <f t="shared" si="28"/>
        <v>-3.0413132859467282</v>
      </c>
      <c r="AD74" s="264">
        <f t="shared" si="29"/>
        <v>119.00100743774999</v>
      </c>
    </row>
    <row r="75" spans="1:30" x14ac:dyDescent="0.45">
      <c r="A75" s="11" t="s">
        <v>82</v>
      </c>
      <c r="B75" s="189">
        <v>52.330061999999998</v>
      </c>
      <c r="C75" s="189">
        <v>-4.2037570000000004</v>
      </c>
      <c r="D75" s="28" t="s">
        <v>14</v>
      </c>
      <c r="E75" s="5" t="s">
        <v>71</v>
      </c>
      <c r="F75" s="25">
        <v>-1.36</v>
      </c>
      <c r="G75" s="13">
        <v>2190000</v>
      </c>
      <c r="H75" s="33">
        <v>2017</v>
      </c>
      <c r="I75" s="33">
        <v>2.9506765451591273</v>
      </c>
      <c r="J75" s="27" t="s">
        <v>94</v>
      </c>
      <c r="K75" s="21">
        <v>3000</v>
      </c>
      <c r="L75" s="19"/>
      <c r="M75" s="16">
        <v>0.93194745000000001</v>
      </c>
      <c r="N75" s="16"/>
      <c r="O75" s="37">
        <v>7.5112757526521204E-2</v>
      </c>
      <c r="P75" s="47">
        <v>3000</v>
      </c>
      <c r="Q75" s="61">
        <f t="shared" si="20"/>
        <v>2.0409649155000002E-3</v>
      </c>
      <c r="R75" s="61">
        <f t="shared" si="21"/>
        <v>6.0222273056585304E-3</v>
      </c>
      <c r="S75" s="62">
        <f t="shared" si="22"/>
        <v>67</v>
      </c>
      <c r="T75" s="46"/>
      <c r="U75" s="46"/>
      <c r="V75" s="68"/>
      <c r="W75" s="69">
        <f t="shared" si="23"/>
        <v>39.283294107759083</v>
      </c>
      <c r="X75" s="69">
        <f t="shared" si="24"/>
        <v>5.0325547542769202</v>
      </c>
      <c r="Y75" s="258">
        <f t="shared" si="25"/>
        <v>64.810510384696244</v>
      </c>
      <c r="Z75" s="259">
        <f t="shared" si="26"/>
        <v>71</v>
      </c>
      <c r="AA75" s="259" cm="1">
        <f t="array" ref="AA75">_xlfn.IFS(I75&lt;=X75,R75*(3/(S75^3 - (S75-W75)^3)),I75&gt;X75,R75*(3/S75^3))</f>
        <v>6.4646093819415532E-8</v>
      </c>
      <c r="AB75" s="261">
        <f t="shared" si="27"/>
        <v>77.125160283336101</v>
      </c>
      <c r="AC75" s="263">
        <f t="shared" si="28"/>
        <v>-12.314649898639857</v>
      </c>
      <c r="AD75" s="264">
        <f t="shared" si="29"/>
        <v>119.00100743774998</v>
      </c>
    </row>
    <row r="76" spans="1:30" x14ac:dyDescent="0.45">
      <c r="A76" s="11" t="s">
        <v>83</v>
      </c>
      <c r="B76" s="189">
        <v>53.500956000000002</v>
      </c>
      <c r="C76" s="189">
        <v>-3.6520920000000001</v>
      </c>
      <c r="D76" s="28" t="s">
        <v>14</v>
      </c>
      <c r="E76" s="5" t="s">
        <v>71</v>
      </c>
      <c r="F76" s="25">
        <v>-1.36</v>
      </c>
      <c r="G76" s="13">
        <v>201000</v>
      </c>
      <c r="H76" s="33">
        <v>2017</v>
      </c>
      <c r="I76" s="33">
        <v>2.9898234934113574</v>
      </c>
      <c r="J76" s="27" t="s">
        <v>94</v>
      </c>
      <c r="K76" s="21">
        <v>20000</v>
      </c>
      <c r="L76" s="19"/>
      <c r="M76" s="16">
        <v>0.93194745000000001</v>
      </c>
      <c r="N76" s="16"/>
      <c r="O76" s="37">
        <v>8.1637248901892903E-2</v>
      </c>
      <c r="P76" s="47">
        <v>20000</v>
      </c>
      <c r="Q76" s="61">
        <f t="shared" si="20"/>
        <v>1.8732143745E-4</v>
      </c>
      <c r="R76" s="61">
        <f t="shared" si="21"/>
        <v>5.600580345075961E-4</v>
      </c>
      <c r="S76" s="62">
        <f t="shared" si="22"/>
        <v>67</v>
      </c>
      <c r="T76" s="46"/>
      <c r="U76" s="46"/>
      <c r="V76" s="68"/>
      <c r="W76" s="69">
        <f t="shared" si="23"/>
        <v>36.623275938712247</v>
      </c>
      <c r="X76" s="69">
        <f t="shared" si="24"/>
        <v>5.4696956764268245</v>
      </c>
      <c r="Y76" s="258">
        <f t="shared" si="25"/>
        <v>6.1761768138385573</v>
      </c>
      <c r="Z76" s="259">
        <f t="shared" si="26"/>
        <v>71</v>
      </c>
      <c r="AA76" s="259" cm="1">
        <f t="array" ref="AA76">_xlfn.IFS(I76&lt;=X76,R76*(3/(S76^3 - (S76-W76)^3)),I76&gt;X76,R76*(3/S76^3))</f>
        <v>6.160508586998956E-9</v>
      </c>
      <c r="AB76" s="261">
        <f t="shared" si="27"/>
        <v>7.3497126296046122</v>
      </c>
      <c r="AC76" s="263">
        <f t="shared" si="28"/>
        <v>-1.1735358157660549</v>
      </c>
      <c r="AD76" s="264">
        <f t="shared" si="29"/>
        <v>119.00100743774999</v>
      </c>
    </row>
    <row r="77" spans="1:30" x14ac:dyDescent="0.45">
      <c r="A77" s="11" t="s">
        <v>84</v>
      </c>
      <c r="B77" s="189">
        <v>53.998680999999998</v>
      </c>
      <c r="C77" s="189">
        <v>-3.8233769999999998</v>
      </c>
      <c r="D77" s="28" t="s">
        <v>14</v>
      </c>
      <c r="E77" s="5" t="s">
        <v>71</v>
      </c>
      <c r="F77" s="25">
        <v>-1.36</v>
      </c>
      <c r="G77" s="13">
        <v>771000</v>
      </c>
      <c r="H77" s="33">
        <v>2017</v>
      </c>
      <c r="I77" s="33">
        <v>3.0962472162743109</v>
      </c>
      <c r="J77" s="27" t="s">
        <v>94</v>
      </c>
      <c r="K77" s="21">
        <v>38000</v>
      </c>
      <c r="L77" s="19"/>
      <c r="M77" s="16">
        <v>0.93194745000000001</v>
      </c>
      <c r="N77" s="16"/>
      <c r="O77" s="37">
        <v>9.9374536045718498E-2</v>
      </c>
      <c r="P77" s="47">
        <v>38000</v>
      </c>
      <c r="Q77" s="61">
        <f t="shared" si="20"/>
        <v>7.1853148395000009E-4</v>
      </c>
      <c r="R77" s="61">
        <f t="shared" si="21"/>
        <v>2.2247511069856374E-3</v>
      </c>
      <c r="S77" s="62">
        <f t="shared" si="22"/>
        <v>67</v>
      </c>
      <c r="T77" s="46"/>
      <c r="U77" s="46"/>
      <c r="V77" s="68"/>
      <c r="W77" s="69">
        <f t="shared" si="23"/>
        <v>31.157350157084945</v>
      </c>
      <c r="X77" s="69">
        <f t="shared" si="24"/>
        <v>6.6580939150631391</v>
      </c>
      <c r="Y77" s="258">
        <f t="shared" si="25"/>
        <v>26.269356273248285</v>
      </c>
      <c r="Z77" s="259">
        <f t="shared" si="26"/>
        <v>71</v>
      </c>
      <c r="AA77" s="259" cm="1">
        <f t="array" ref="AA77">_xlfn.IFS(I77&lt;=X77,R77*(3/(S77^3 - (S77-W77)^3)),I77&gt;X77,R77*(3/S77^3))</f>
        <v>2.6202714037213633E-8</v>
      </c>
      <c r="AB77" s="261">
        <f t="shared" si="27"/>
        <v>31.260798612577229</v>
      </c>
      <c r="AC77" s="263">
        <f t="shared" si="28"/>
        <v>-4.9914423393289447</v>
      </c>
      <c r="AD77" s="264">
        <f t="shared" si="29"/>
        <v>119.00100743774996</v>
      </c>
    </row>
    <row r="78" spans="1:30" x14ac:dyDescent="0.45">
      <c r="A78" s="11" t="s">
        <v>85</v>
      </c>
      <c r="B78" s="189">
        <v>72.359964000000005</v>
      </c>
      <c r="C78" s="189">
        <v>-168.66666699999999</v>
      </c>
      <c r="D78" s="28" t="s">
        <v>14</v>
      </c>
      <c r="E78" s="12">
        <v>1</v>
      </c>
      <c r="F78" s="4">
        <v>-1.84</v>
      </c>
      <c r="G78" s="13">
        <v>63400</v>
      </c>
      <c r="H78" s="33">
        <v>2017</v>
      </c>
      <c r="I78" s="33">
        <v>2</v>
      </c>
      <c r="J78" s="27" t="s">
        <v>94</v>
      </c>
      <c r="K78" s="21">
        <v>264000</v>
      </c>
      <c r="L78" s="19">
        <v>51</v>
      </c>
      <c r="M78" s="16">
        <v>0.49199999999999999</v>
      </c>
      <c r="N78" s="16"/>
      <c r="O78" s="37">
        <v>0.17540293387556499</v>
      </c>
      <c r="P78" s="47">
        <v>264000</v>
      </c>
      <c r="Q78" s="61">
        <f t="shared" si="20"/>
        <v>3.1192800000000004E-5</v>
      </c>
      <c r="R78" s="61">
        <f t="shared" si="21"/>
        <v>6.2385600000000008E-5</v>
      </c>
      <c r="S78" s="62">
        <f t="shared" si="22"/>
        <v>67</v>
      </c>
      <c r="T78" s="46"/>
      <c r="U78" s="46"/>
      <c r="V78" s="68"/>
      <c r="W78" s="69">
        <f t="shared" si="23"/>
        <v>11.402317827926684</v>
      </c>
      <c r="X78" s="69">
        <f t="shared" si="24"/>
        <v>11.751996569662854</v>
      </c>
      <c r="Y78" s="258">
        <f t="shared" si="25"/>
        <v>1.4555911602225837</v>
      </c>
      <c r="Z78" s="259">
        <f t="shared" si="26"/>
        <v>71</v>
      </c>
      <c r="AA78" s="259" cm="1">
        <f t="array" ref="AA78">_xlfn.IFS(I78&lt;=X78,R78*(3/(S78^3 - (S78-W78)^3)),I78&gt;X78,R78*(3/S78^3))</f>
        <v>1.4518984983750503E-9</v>
      </c>
      <c r="AB78" s="261">
        <f t="shared" si="27"/>
        <v>1.7321681448397088</v>
      </c>
      <c r="AC78" s="263">
        <f t="shared" si="28"/>
        <v>-0.2765769846171251</v>
      </c>
      <c r="AD78" s="264">
        <f t="shared" si="29"/>
        <v>119.00100743775003</v>
      </c>
    </row>
    <row r="79" spans="1:30" x14ac:dyDescent="0.45">
      <c r="A79" s="11" t="s">
        <v>86</v>
      </c>
      <c r="B79" s="189">
        <v>73.579972999999995</v>
      </c>
      <c r="C79" s="189">
        <v>-168.281677</v>
      </c>
      <c r="D79" s="28" t="s">
        <v>14</v>
      </c>
      <c r="E79" s="12">
        <v>1</v>
      </c>
      <c r="F79" s="4">
        <v>-1.84</v>
      </c>
      <c r="G79" s="13">
        <v>42500</v>
      </c>
      <c r="H79" s="33">
        <v>2017</v>
      </c>
      <c r="I79" s="33">
        <v>2</v>
      </c>
      <c r="J79" s="27" t="s">
        <v>94</v>
      </c>
      <c r="K79" s="21">
        <v>346000</v>
      </c>
      <c r="L79" s="19">
        <v>126</v>
      </c>
      <c r="M79" s="16">
        <v>0.309</v>
      </c>
      <c r="N79" s="16"/>
      <c r="O79" s="37">
        <v>3.7825737059425699E-2</v>
      </c>
      <c r="P79" s="47">
        <v>346000</v>
      </c>
      <c r="Q79" s="61">
        <f t="shared" si="20"/>
        <v>1.31325E-5</v>
      </c>
      <c r="R79" s="61">
        <f t="shared" si="21"/>
        <v>2.6265E-5</v>
      </c>
      <c r="S79" s="62">
        <f t="shared" si="22"/>
        <v>67</v>
      </c>
      <c r="T79" s="46"/>
      <c r="U79" s="46"/>
      <c r="V79" s="68"/>
      <c r="W79" s="69">
        <f t="shared" si="23"/>
        <v>52.874052311470429</v>
      </c>
      <c r="X79" s="69">
        <f t="shared" si="24"/>
        <v>2.5343243829815219</v>
      </c>
      <c r="Y79" s="258">
        <f t="shared" si="25"/>
        <v>0.2651348211893651</v>
      </c>
      <c r="Z79" s="259">
        <f t="shared" si="26"/>
        <v>71</v>
      </c>
      <c r="AA79" s="259" cm="1">
        <f t="array" ref="AA79">_xlfn.IFS(I79&lt;=X79,R79*(3/(S79^3 - (S79-W79)^3)),I79&gt;X79,R79*(3/S79^3))</f>
        <v>2.6446220564633792E-10</v>
      </c>
      <c r="AB79" s="261">
        <f t="shared" si="27"/>
        <v>0.3155131082836215</v>
      </c>
      <c r="AC79" s="263">
        <f t="shared" si="28"/>
        <v>-5.0378287094256402E-2</v>
      </c>
      <c r="AD79" s="264">
        <f t="shared" si="29"/>
        <v>119.00100743774999</v>
      </c>
    </row>
    <row r="80" spans="1:30" x14ac:dyDescent="0.45">
      <c r="A80" s="11" t="s">
        <v>87</v>
      </c>
      <c r="B80" s="189">
        <v>75.768315000000001</v>
      </c>
      <c r="C80" s="189">
        <v>-177.158333</v>
      </c>
      <c r="D80" s="28" t="s">
        <v>14</v>
      </c>
      <c r="E80" s="12">
        <v>0.96</v>
      </c>
      <c r="F80" s="4">
        <v>-1.84</v>
      </c>
      <c r="G80" s="13">
        <v>56700</v>
      </c>
      <c r="H80" s="33">
        <v>2017</v>
      </c>
      <c r="I80" s="33">
        <v>2</v>
      </c>
      <c r="J80" s="27" t="s">
        <v>94</v>
      </c>
      <c r="K80" s="21">
        <v>468000</v>
      </c>
      <c r="L80" s="19">
        <v>529</v>
      </c>
      <c r="M80" s="16">
        <v>0.54700000000000004</v>
      </c>
      <c r="N80" s="16"/>
      <c r="O80" s="37">
        <v>6.1786053373940001E-3</v>
      </c>
      <c r="P80" s="47">
        <v>468000</v>
      </c>
      <c r="Q80" s="61">
        <f t="shared" si="20"/>
        <v>3.10149E-5</v>
      </c>
      <c r="R80" s="61">
        <f t="shared" si="21"/>
        <v>6.20298E-5</v>
      </c>
      <c r="S80" s="62">
        <f t="shared" si="22"/>
        <v>67</v>
      </c>
      <c r="T80" s="46"/>
      <c r="U80" s="46"/>
      <c r="V80" s="68"/>
      <c r="W80" s="69">
        <f t="shared" si="23"/>
        <v>323.69764546954474</v>
      </c>
      <c r="X80" s="69">
        <f t="shared" si="24"/>
        <v>0.41396655760539802</v>
      </c>
      <c r="Y80" s="258">
        <f t="shared" si="25"/>
        <v>0.62029800000000002</v>
      </c>
      <c r="Z80" s="259">
        <f t="shared" si="26"/>
        <v>71</v>
      </c>
      <c r="AA80" s="259" cm="1">
        <f t="array" ref="AA80">_xlfn.IFS(I80&lt;=X80,R80*(3/(S80^3 - (S80-W80)^3)),I80&gt;X80,R80*(3/S80^3))</f>
        <v>6.1872437766613583E-10</v>
      </c>
      <c r="AB80" s="261">
        <f t="shared" si="27"/>
        <v>0.73816086911621459</v>
      </c>
      <c r="AC80" s="263">
        <f t="shared" si="28"/>
        <v>-0.11786286911621457</v>
      </c>
      <c r="AD80" s="264">
        <f t="shared" si="29"/>
        <v>119.00100743775</v>
      </c>
    </row>
    <row r="81" spans="1:30" x14ac:dyDescent="0.45">
      <c r="A81" s="11" t="s">
        <v>88</v>
      </c>
      <c r="B81" s="189">
        <v>74.997570999999994</v>
      </c>
      <c r="C81" s="189">
        <v>-173.59857600000001</v>
      </c>
      <c r="D81" s="28" t="s">
        <v>14</v>
      </c>
      <c r="E81" s="12">
        <v>1</v>
      </c>
      <c r="F81" s="4">
        <v>-1.84</v>
      </c>
      <c r="G81" s="13">
        <v>17800</v>
      </c>
      <c r="H81" s="33">
        <v>2017</v>
      </c>
      <c r="I81" s="33">
        <v>2</v>
      </c>
      <c r="J81" s="27" t="s">
        <v>94</v>
      </c>
      <c r="K81" s="21">
        <v>406000</v>
      </c>
      <c r="L81" s="19">
        <v>140</v>
      </c>
      <c r="M81" s="16">
        <v>0.38900000000000001</v>
      </c>
      <c r="N81" s="16"/>
      <c r="O81" s="37">
        <v>2.3940355872126898E-2</v>
      </c>
      <c r="P81" s="47">
        <v>406000</v>
      </c>
      <c r="Q81" s="61">
        <f t="shared" si="20"/>
        <v>6.9242000000000006E-6</v>
      </c>
      <c r="R81" s="61">
        <f t="shared" si="21"/>
        <v>1.3848400000000001E-5</v>
      </c>
      <c r="S81" s="62">
        <f t="shared" si="22"/>
        <v>67</v>
      </c>
      <c r="T81" s="46"/>
      <c r="U81" s="46"/>
      <c r="V81" s="68"/>
      <c r="W81" s="69">
        <f t="shared" si="23"/>
        <v>83.54094695511796</v>
      </c>
      <c r="X81" s="69">
        <f t="shared" si="24"/>
        <v>1.6040038434325021</v>
      </c>
      <c r="Y81" s="258">
        <f t="shared" si="25"/>
        <v>0.13848400000000002</v>
      </c>
      <c r="Z81" s="259">
        <f t="shared" si="26"/>
        <v>71</v>
      </c>
      <c r="AA81" s="259" cm="1">
        <f t="array" ref="AA81">_xlfn.IFS(I81&lt;=X81,R81*(3/(S81^3 - (S81-W81)^3)),I81&gt;X81,R81*(3/S81^3))</f>
        <v>1.3813268254406295E-10</v>
      </c>
      <c r="AB81" s="261">
        <f t="shared" si="27"/>
        <v>0.16479735514009369</v>
      </c>
      <c r="AC81" s="263">
        <f t="shared" si="28"/>
        <v>-2.6313355140093669E-2</v>
      </c>
      <c r="AD81" s="264">
        <f t="shared" si="29"/>
        <v>119.00100743774998</v>
      </c>
    </row>
    <row r="82" spans="1:30" x14ac:dyDescent="0.45">
      <c r="A82" s="11" t="s">
        <v>89</v>
      </c>
      <c r="B82" s="189">
        <v>73.999979999999994</v>
      </c>
      <c r="C82" s="189">
        <v>-169.99999800000001</v>
      </c>
      <c r="D82" s="28" t="s">
        <v>14</v>
      </c>
      <c r="E82" s="12">
        <v>1</v>
      </c>
      <c r="F82" s="4">
        <v>-1.84</v>
      </c>
      <c r="G82" s="13">
        <v>18600</v>
      </c>
      <c r="H82" s="33">
        <v>2017</v>
      </c>
      <c r="I82" s="33">
        <v>2</v>
      </c>
      <c r="J82" s="27" t="s">
        <v>94</v>
      </c>
      <c r="K82" s="21">
        <v>345000</v>
      </c>
      <c r="L82" s="19">
        <v>47</v>
      </c>
      <c r="M82" s="16">
        <v>0.66700000000000004</v>
      </c>
      <c r="N82" s="16"/>
      <c r="O82" s="37">
        <v>3.5009651221761903E-2</v>
      </c>
      <c r="P82" s="47">
        <v>345000</v>
      </c>
      <c r="Q82" s="61">
        <f t="shared" si="20"/>
        <v>1.2406200000000002E-5</v>
      </c>
      <c r="R82" s="61">
        <f t="shared" si="21"/>
        <v>2.4812400000000003E-5</v>
      </c>
      <c r="S82" s="62">
        <f t="shared" si="22"/>
        <v>67</v>
      </c>
      <c r="T82" s="46"/>
      <c r="U82" s="46"/>
      <c r="V82" s="68"/>
      <c r="W82" s="69">
        <f t="shared" si="23"/>
        <v>57.127104389911928</v>
      </c>
      <c r="X82" s="69">
        <f t="shared" si="24"/>
        <v>2.3456466318580476</v>
      </c>
      <c r="Y82" s="258">
        <f t="shared" si="25"/>
        <v>0.24892047076763568</v>
      </c>
      <c r="Z82" s="259">
        <f t="shared" si="26"/>
        <v>71</v>
      </c>
      <c r="AA82" s="259" cm="1">
        <f t="array" ref="AA82">_xlfn.IFS(I82&lt;=X82,R82*(3/(S82^3 - (S82-W82)^3)),I82&gt;X82,R82*(3/S82^3))</f>
        <v>2.4828898910534438E-10</v>
      </c>
      <c r="AB82" s="261">
        <f t="shared" si="27"/>
        <v>0.29621786793227639</v>
      </c>
      <c r="AC82" s="263">
        <f t="shared" si="28"/>
        <v>-4.7297397164640709E-2</v>
      </c>
      <c r="AD82" s="264">
        <f t="shared" si="29"/>
        <v>119.00100743774998</v>
      </c>
    </row>
    <row r="83" spans="1:30" x14ac:dyDescent="0.45">
      <c r="A83" s="11" t="s">
        <v>90</v>
      </c>
      <c r="B83" s="189">
        <v>75.157961</v>
      </c>
      <c r="C83" s="189">
        <v>-179.99328499999999</v>
      </c>
      <c r="D83" s="28" t="s">
        <v>14</v>
      </c>
      <c r="E83" s="12">
        <v>1</v>
      </c>
      <c r="F83" s="4">
        <v>-1.84</v>
      </c>
      <c r="G83" s="13">
        <v>73400</v>
      </c>
      <c r="H83" s="33">
        <v>2017</v>
      </c>
      <c r="I83" s="33">
        <v>2</v>
      </c>
      <c r="J83" s="66" t="s">
        <v>94</v>
      </c>
      <c r="K83" s="21">
        <v>1000</v>
      </c>
      <c r="L83" s="67">
        <v>528</v>
      </c>
      <c r="M83" s="41">
        <v>0.48099999999999998</v>
      </c>
      <c r="N83" s="41"/>
      <c r="O83" s="37">
        <v>1.9051070576412699E-2</v>
      </c>
      <c r="P83" s="47">
        <v>518000</v>
      </c>
      <c r="Q83" s="61">
        <f t="shared" si="20"/>
        <v>3.5305400000000003E-5</v>
      </c>
      <c r="R83" s="61">
        <f t="shared" si="21"/>
        <v>7.0610800000000005E-5</v>
      </c>
      <c r="S83" s="62">
        <f t="shared" si="22"/>
        <v>67</v>
      </c>
      <c r="T83" s="46"/>
      <c r="U83" s="46"/>
      <c r="V83" s="68"/>
      <c r="W83" s="69">
        <f t="shared" si="23"/>
        <v>104.98097689461179</v>
      </c>
      <c r="X83" s="69">
        <f t="shared" si="24"/>
        <v>1.2764217286196509</v>
      </c>
      <c r="Y83" s="258">
        <f t="shared" si="25"/>
        <v>0.70610800000000007</v>
      </c>
      <c r="Z83" s="259">
        <f t="shared" si="26"/>
        <v>71</v>
      </c>
      <c r="AA83" s="259" cm="1">
        <f t="array" ref="AA83">_xlfn.IFS(I83&lt;=X83,R83*(3/(S83^3 - (S83-W83)^3)),I83&gt;X83,R83*(3/S83^3))</f>
        <v>7.0431668789046532E-10</v>
      </c>
      <c r="AB83" s="261">
        <f t="shared" si="27"/>
        <v>0.84027563359854773</v>
      </c>
      <c r="AC83" s="263">
        <f t="shared" si="28"/>
        <v>-0.13416763359854766</v>
      </c>
      <c r="AD83" s="264">
        <f t="shared" si="29"/>
        <v>119.00100743774998</v>
      </c>
    </row>
    <row r="84" spans="1:30" x14ac:dyDescent="0.45">
      <c r="A84" s="43" t="s">
        <v>133</v>
      </c>
      <c r="B84" s="265" t="s">
        <v>134</v>
      </c>
      <c r="C84" s="265" t="s">
        <v>135</v>
      </c>
      <c r="D84" s="266" t="s">
        <v>8</v>
      </c>
      <c r="E84" s="267" t="s">
        <v>136</v>
      </c>
      <c r="F84" s="268">
        <v>-2.04</v>
      </c>
      <c r="G84" s="269">
        <v>702</v>
      </c>
      <c r="H84" s="270">
        <v>2017</v>
      </c>
      <c r="I84" s="270">
        <v>5</v>
      </c>
      <c r="J84" s="271">
        <v>6</v>
      </c>
      <c r="K84" s="41">
        <v>1738</v>
      </c>
      <c r="L84" s="41"/>
      <c r="M84" s="41">
        <v>0.61037440899999995</v>
      </c>
      <c r="N84" s="41">
        <v>0.13341858489683281</v>
      </c>
      <c r="O84" s="272">
        <v>0.58751200156561401</v>
      </c>
      <c r="P84" s="272">
        <v>1000</v>
      </c>
      <c r="Q84" s="273">
        <f t="shared" si="20"/>
        <v>4.28482835118E-7</v>
      </c>
      <c r="R84" s="273">
        <f t="shared" si="21"/>
        <v>2.1424141755899998E-6</v>
      </c>
      <c r="S84" s="274">
        <f t="shared" si="22"/>
        <v>67</v>
      </c>
      <c r="T84" s="275">
        <f>I84/N84</f>
        <v>37.476038318546834</v>
      </c>
      <c r="U84" s="275">
        <f>N84*S84</f>
        <v>8.9390451880877979</v>
      </c>
      <c r="V84" s="276">
        <f>IF(I84&lt;U84,R84/(1-(1-I84/U84)^3),R84)*10000</f>
        <v>2.3428846397737808E-2</v>
      </c>
      <c r="W84" s="277">
        <f t="shared" si="23"/>
        <v>8.5104644444298962</v>
      </c>
      <c r="X84" s="277">
        <f t="shared" si="24"/>
        <v>39.363304104896137</v>
      </c>
      <c r="Y84" s="278">
        <f t="shared" si="25"/>
        <v>6.4007812583909723E-2</v>
      </c>
      <c r="Z84" s="259">
        <f t="shared" si="26"/>
        <v>71</v>
      </c>
      <c r="AA84" s="279" cm="1">
        <f t="array" ref="AA84">_xlfn.IFS(I84&lt;=X84,R84*(3/(S84^3 - (S84-W84)^3)),I84&gt;X84,R84*(3/S84^3))</f>
        <v>6.384543236758816E-11</v>
      </c>
      <c r="AB84" s="280">
        <f t="shared" si="27"/>
        <v>7.6169941813719486E-2</v>
      </c>
      <c r="AC84" s="281">
        <f t="shared" si="28"/>
        <v>-1.2162129229809762E-2</v>
      </c>
      <c r="AD84" s="282">
        <f t="shared" si="29"/>
        <v>119.00100743774999</v>
      </c>
    </row>
    <row r="85" spans="1:30" x14ac:dyDescent="0.45">
      <c r="C85"/>
      <c r="D85" s="283"/>
      <c r="I85"/>
      <c r="J85" s="284"/>
      <c r="U85"/>
      <c r="V85" s="71"/>
      <c r="X85"/>
      <c r="Y85" s="71"/>
    </row>
    <row r="86" spans="1:30" x14ac:dyDescent="0.45">
      <c r="C86"/>
      <c r="D86" s="283"/>
      <c r="E86" s="35"/>
      <c r="I86"/>
      <c r="J86" s="284"/>
      <c r="U86"/>
      <c r="V86" s="71"/>
      <c r="X86"/>
      <c r="Y86" s="71"/>
    </row>
    <row r="87" spans="1:30" x14ac:dyDescent="0.45">
      <c r="D87" s="35"/>
    </row>
    <row r="91" spans="1:30" x14ac:dyDescent="0.45">
      <c r="C91"/>
      <c r="I91"/>
      <c r="U91"/>
      <c r="X91"/>
    </row>
    <row r="92" spans="1:30" x14ac:dyDescent="0.45">
      <c r="C92"/>
      <c r="I92"/>
      <c r="U92"/>
      <c r="X92"/>
    </row>
    <row r="93" spans="1:30" x14ac:dyDescent="0.45">
      <c r="C93"/>
      <c r="I93"/>
      <c r="U93"/>
      <c r="X93"/>
    </row>
  </sheetData>
  <mergeCells count="9">
    <mergeCell ref="W1:Y1"/>
    <mergeCell ref="Z1:AB1"/>
    <mergeCell ref="AC1:AD1"/>
    <mergeCell ref="A1:G1"/>
    <mergeCell ref="H1:I1"/>
    <mergeCell ref="J1:N1"/>
    <mergeCell ref="O1:P1"/>
    <mergeCell ref="Q1:S1"/>
    <mergeCell ref="T1:V1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3A81-C83F-4F7E-8008-36AE92823BB5}">
  <dimension ref="A1:Z29"/>
  <sheetViews>
    <sheetView topLeftCell="J1" workbookViewId="0">
      <selection activeCell="Y1" sqref="Y1"/>
    </sheetView>
  </sheetViews>
  <sheetFormatPr baseColWidth="10" defaultRowHeight="14.25" x14ac:dyDescent="0.45"/>
  <cols>
    <col min="25" max="25" width="11.73046875" bestFit="1" customWidth="1"/>
  </cols>
  <sheetData>
    <row r="1" spans="1:25" x14ac:dyDescent="0.45">
      <c r="A1" s="43" t="s">
        <v>152</v>
      </c>
      <c r="B1" s="43" t="s">
        <v>1</v>
      </c>
      <c r="C1" s="43" t="s">
        <v>2</v>
      </c>
      <c r="D1" s="100" t="s">
        <v>3</v>
      </c>
      <c r="E1" s="100" t="s">
        <v>4</v>
      </c>
      <c r="F1" s="43" t="s">
        <v>5</v>
      </c>
      <c r="G1" s="101" t="s">
        <v>6</v>
      </c>
      <c r="H1" s="102" t="s">
        <v>92</v>
      </c>
      <c r="I1" s="102" t="s">
        <v>93</v>
      </c>
      <c r="J1" s="103" t="s">
        <v>96</v>
      </c>
      <c r="K1" s="104" t="s">
        <v>97</v>
      </c>
      <c r="L1" s="104" t="s">
        <v>98</v>
      </c>
      <c r="M1" s="105" t="s">
        <v>95</v>
      </c>
      <c r="N1" s="106" t="s">
        <v>99</v>
      </c>
      <c r="O1" s="107" t="s">
        <v>91</v>
      </c>
      <c r="P1" s="57" t="s">
        <v>100</v>
      </c>
      <c r="Q1" s="108" t="s">
        <v>127</v>
      </c>
      <c r="R1" s="108" t="s">
        <v>128</v>
      </c>
      <c r="S1" s="108" t="s">
        <v>129</v>
      </c>
      <c r="T1" s="109" t="s">
        <v>130</v>
      </c>
      <c r="U1" s="109" t="s">
        <v>131</v>
      </c>
      <c r="V1" s="110" t="s">
        <v>132</v>
      </c>
      <c r="W1" s="111" t="s">
        <v>130</v>
      </c>
      <c r="X1" s="111" t="s">
        <v>131</v>
      </c>
      <c r="Y1" s="112" t="s">
        <v>132</v>
      </c>
    </row>
    <row r="2" spans="1:25" s="50" customFormat="1" x14ac:dyDescent="0.45">
      <c r="A2" s="14" t="s">
        <v>156</v>
      </c>
      <c r="B2" s="7">
        <v>31.82</v>
      </c>
      <c r="C2" s="7">
        <v>-116.72</v>
      </c>
      <c r="D2" s="28" t="s">
        <v>14</v>
      </c>
      <c r="E2" s="120" t="s">
        <v>15</v>
      </c>
      <c r="F2" s="25">
        <v>-3.83</v>
      </c>
      <c r="G2" s="6">
        <v>495</v>
      </c>
      <c r="H2" s="123">
        <v>2016</v>
      </c>
      <c r="I2" s="123">
        <v>5</v>
      </c>
      <c r="J2" s="20">
        <v>74</v>
      </c>
      <c r="K2" s="17">
        <v>4912.5225600000003</v>
      </c>
      <c r="L2" s="17">
        <v>72.416666669999998</v>
      </c>
      <c r="M2" s="126">
        <v>0.49520066000000001</v>
      </c>
      <c r="N2" s="126">
        <v>0.13261895760437301</v>
      </c>
      <c r="O2" s="128">
        <v>0.18873248583999</v>
      </c>
      <c r="P2" s="130">
        <v>5000</v>
      </c>
      <c r="Q2" s="61">
        <f>G2*M2*0.000000001</f>
        <v>2.4512432670000003E-7</v>
      </c>
      <c r="R2" s="61">
        <f>Q2*I2</f>
        <v>1.2256216335000001E-6</v>
      </c>
      <c r="S2" s="133">
        <f>H2-1950</f>
        <v>66</v>
      </c>
      <c r="T2" s="113">
        <f>I2/N2</f>
        <v>37.702000455439631</v>
      </c>
      <c r="U2" s="113">
        <f>N2*S2</f>
        <v>8.7528512018886175</v>
      </c>
      <c r="V2" s="68">
        <f>IF(I2&lt;U2,R2/(1-(1-I2/U2)^3),R2)*10000</f>
        <v>1.3304906581276445E-2</v>
      </c>
      <c r="W2" s="115">
        <f>I2/O2</f>
        <v>26.492524473179827</v>
      </c>
      <c r="X2" s="115">
        <f>O2*S2</f>
        <v>12.456344065439341</v>
      </c>
      <c r="Y2" s="70">
        <f>IF(I2&lt;X2,R2/(1-(1-I2/X2)^3),R2)*10000</f>
        <v>1.5602867565217409E-2</v>
      </c>
    </row>
    <row r="3" spans="1:25" s="50" customFormat="1" x14ac:dyDescent="0.45">
      <c r="A3" s="14" t="s">
        <v>153</v>
      </c>
      <c r="B3" s="22">
        <v>18.415724000000001</v>
      </c>
      <c r="C3" s="23">
        <v>110.05434099999999</v>
      </c>
      <c r="D3" s="28" t="s">
        <v>14</v>
      </c>
      <c r="E3" s="121" t="s">
        <v>25</v>
      </c>
      <c r="F3" s="24">
        <v>-1.59</v>
      </c>
      <c r="G3" s="6">
        <v>2060</v>
      </c>
      <c r="H3" s="123">
        <v>2018</v>
      </c>
      <c r="I3" s="123">
        <v>5</v>
      </c>
      <c r="J3" s="20">
        <v>76</v>
      </c>
      <c r="K3" s="17">
        <v>257.49504000000002</v>
      </c>
      <c r="L3" s="19">
        <v>5.5</v>
      </c>
      <c r="M3" s="126">
        <v>1.658930486</v>
      </c>
      <c r="N3" s="126">
        <v>0.20269999999999999</v>
      </c>
      <c r="O3" s="128">
        <v>0.25807987002081401</v>
      </c>
      <c r="P3" s="130">
        <v>1000</v>
      </c>
      <c r="Q3" s="61">
        <f>G3*M3*0.000000001</f>
        <v>3.4173968011600001E-6</v>
      </c>
      <c r="R3" s="61">
        <f>Q3*I3</f>
        <v>1.7086984005800001E-5</v>
      </c>
      <c r="S3" s="133">
        <f>H3-1950</f>
        <v>68</v>
      </c>
      <c r="T3" s="113">
        <f>I3/N3</f>
        <v>24.666995559940801</v>
      </c>
      <c r="U3" s="113">
        <f>N3*S3</f>
        <v>13.7836</v>
      </c>
      <c r="V3" s="68">
        <f>IF(I3&lt;U3,R3/(1-(1-I3/U3)^3),R3)*10000</f>
        <v>0.23052494110288949</v>
      </c>
      <c r="W3" s="115">
        <f>I3/O3</f>
        <v>19.373847327173376</v>
      </c>
      <c r="X3" s="115">
        <f>O3*S3</f>
        <v>17.549431161415352</v>
      </c>
      <c r="Y3" s="70">
        <f>IF(I3&lt;X3,R3/(1-(1-I3/X3)^3),R3)*10000</f>
        <v>0.26936831253337101</v>
      </c>
    </row>
    <row r="4" spans="1:25" s="50" customFormat="1" x14ac:dyDescent="0.45">
      <c r="A4" s="14" t="s">
        <v>160</v>
      </c>
      <c r="B4" s="25">
        <f>AVERAGE('MPsizeBase+parameters'!B26:B28)</f>
        <v>60.437415126666671</v>
      </c>
      <c r="C4" s="25">
        <f>AVERAGE('MPsizeBase+parameters'!C26:C28)</f>
        <v>5.2377307609999999</v>
      </c>
      <c r="D4" s="117" t="s">
        <v>14</v>
      </c>
      <c r="E4" s="120" t="s">
        <v>161</v>
      </c>
      <c r="F4" s="25">
        <f>AVERAGE('MPsizeBase+parameters'!F26:F28)</f>
        <v>-2.8633333333333333</v>
      </c>
      <c r="G4" s="9">
        <f>AVERAGE('MPsizeBase+parameters'!G26:G28)</f>
        <v>204466.66666666666</v>
      </c>
      <c r="H4" s="123">
        <f>AVERAGE('MPsizeBase+parameters'!H26:H28)</f>
        <v>2015</v>
      </c>
      <c r="I4" s="123">
        <f>AVERAGE('MPsizeBase+parameters'!I26:I28)</f>
        <v>1</v>
      </c>
      <c r="J4" s="19">
        <f>AVERAGE('MPsizeBase+parameters'!J26:J28)</f>
        <v>72</v>
      </c>
      <c r="K4" s="19">
        <f>AVERAGE('MPsizeBase+parameters'!K26:K28)</f>
        <v>115872.768</v>
      </c>
      <c r="L4" s="19">
        <f>AVERAGE('MPsizeBase+parameters'!L26:L28)</f>
        <v>323.33333333333331</v>
      </c>
      <c r="M4" s="126">
        <f>AVERAGE('MPsizeBase+parameters'!M26:M28)</f>
        <v>3.4884441220000002</v>
      </c>
      <c r="N4" s="126">
        <f>AVERAGE('MPsizeBase+parameters'!N26:N28)</f>
        <v>9.6502704889897775E-2</v>
      </c>
      <c r="O4" s="128">
        <f>AVERAGE('MPsizeBase+parameters'!O26:O28)</f>
        <v>7.2594822429560099E-2</v>
      </c>
      <c r="P4" s="130">
        <f>AVERAGE('MPsizeBase+parameters'!P26:P28)</f>
        <v>1000</v>
      </c>
      <c r="Q4" s="61">
        <f>AVERAGE('MPsizeBase+parameters'!Q26:Q28)</f>
        <v>7.1327054147826685E-4</v>
      </c>
      <c r="R4" s="61">
        <f>AVERAGE('MPsizeBase+parameters'!R26:R28)</f>
        <v>7.1327054147826685E-4</v>
      </c>
      <c r="S4" s="133">
        <f>AVERAGE('MPsizeBase+parameters'!S26:S28)</f>
        <v>65</v>
      </c>
      <c r="T4" s="113">
        <f>AVERAGE('MPsizeBase+parameters'!T26:T28)</f>
        <v>10.362974799877744</v>
      </c>
      <c r="U4" s="113">
        <f>AVERAGE('MPsizeBase+parameters'!U26:U28)</f>
        <v>6.272675817843357</v>
      </c>
      <c r="V4" s="68">
        <f>AVERAGE('MPsizeBase+parameters'!V26:V28)</f>
        <v>17.45698559728368</v>
      </c>
      <c r="W4" s="115">
        <f>AVERAGE('MPsizeBase+parameters'!W26:W28)</f>
        <v>13.775087072777344</v>
      </c>
      <c r="X4" s="115">
        <f>AVERAGE('MPsizeBase+parameters'!X26:X28)</f>
        <v>4.7186634579214068</v>
      </c>
      <c r="Y4" s="70">
        <f>AVERAGE('MPsizeBase+parameters'!Y26:Y28)</f>
        <v>13.97048508412677</v>
      </c>
    </row>
    <row r="5" spans="1:25" s="50" customFormat="1" x14ac:dyDescent="0.45">
      <c r="A5" s="14" t="s">
        <v>162</v>
      </c>
      <c r="B5" s="4">
        <v>53.5</v>
      </c>
      <c r="C5" s="4">
        <v>4.5</v>
      </c>
      <c r="D5" s="28" t="s">
        <v>14</v>
      </c>
      <c r="E5" s="121" t="s">
        <v>161</v>
      </c>
      <c r="F5" s="24">
        <v>-3.49</v>
      </c>
      <c r="G5" s="10">
        <v>9.59</v>
      </c>
      <c r="H5" s="123">
        <v>2014</v>
      </c>
      <c r="I5" s="123">
        <v>5</v>
      </c>
      <c r="J5" s="20">
        <v>87</v>
      </c>
      <c r="K5" s="20">
        <v>24790.195029999999</v>
      </c>
      <c r="L5" s="20">
        <v>22.086956520000001</v>
      </c>
      <c r="M5" s="126">
        <v>1.2247536255853542</v>
      </c>
      <c r="N5" s="126">
        <v>0.13286296939514275</v>
      </c>
      <c r="O5" s="128">
        <v>0.181469011502217</v>
      </c>
      <c r="P5" s="130">
        <v>39000</v>
      </c>
      <c r="Q5" s="61">
        <f>G5*M5*0.000000001</f>
        <v>1.1745387269363546E-8</v>
      </c>
      <c r="R5" s="61">
        <f>Q5*I5</f>
        <v>5.8726936346817733E-8</v>
      </c>
      <c r="S5" s="133">
        <f>H5-1950</f>
        <v>64</v>
      </c>
      <c r="T5" s="113">
        <f>I5/N5</f>
        <v>37.632758192613387</v>
      </c>
      <c r="U5" s="113">
        <f>N5*S5</f>
        <v>8.503230041289136</v>
      </c>
      <c r="V5" s="68">
        <f>IF(I5&lt;U5,R5/(1-(1-I5/U5)^3),R5)*10000</f>
        <v>6.314238857754778E-4</v>
      </c>
      <c r="W5" s="115">
        <f>I5/O5</f>
        <v>27.552913627563981</v>
      </c>
      <c r="X5" s="115">
        <f>O5*S5</f>
        <v>11.614016736141888</v>
      </c>
      <c r="Y5" s="70">
        <f>IF(I5&lt;X5,R5/(1-(1-I5/X5)^3),R5)*10000</f>
        <v>7.2030385913703077E-4</v>
      </c>
    </row>
    <row r="6" spans="1:25" s="50" customFormat="1" x14ac:dyDescent="0.45">
      <c r="A6" s="14" t="s">
        <v>163</v>
      </c>
      <c r="B6" s="7">
        <v>-32.620109999999997</v>
      </c>
      <c r="C6" s="7">
        <v>152.40007700000001</v>
      </c>
      <c r="D6" s="28" t="s">
        <v>14</v>
      </c>
      <c r="E6" s="121" t="s">
        <v>34</v>
      </c>
      <c r="F6" s="24">
        <v>-2.04</v>
      </c>
      <c r="G6" s="6">
        <v>64300</v>
      </c>
      <c r="H6" s="123">
        <v>2017</v>
      </c>
      <c r="I6" s="123">
        <v>5</v>
      </c>
      <c r="J6" s="20">
        <v>100</v>
      </c>
      <c r="K6" s="17">
        <v>0</v>
      </c>
      <c r="L6" s="17">
        <v>0</v>
      </c>
      <c r="M6" s="126">
        <v>1.0774796689999999</v>
      </c>
      <c r="N6" s="126">
        <v>0.13341858489683281</v>
      </c>
      <c r="O6" s="128">
        <v>1.54038056602995E-2</v>
      </c>
      <c r="P6" s="130">
        <v>7000</v>
      </c>
      <c r="Q6" s="61">
        <f>G6*M6*0.000000001</f>
        <v>6.9281942716699994E-5</v>
      </c>
      <c r="R6" s="61">
        <f>Q6*I6</f>
        <v>3.4640971358349996E-4</v>
      </c>
      <c r="S6" s="133">
        <f>H6-1950</f>
        <v>67</v>
      </c>
      <c r="T6" s="113">
        <f>I6/N6</f>
        <v>37.476038318546834</v>
      </c>
      <c r="U6" s="113">
        <f>N6*S6</f>
        <v>8.9390451880877979</v>
      </c>
      <c r="V6" s="68">
        <f>IF(I6&lt;U6,R6/(1-(1-I6/U6)^3),R6)*10000</f>
        <v>3.7882404171439479</v>
      </c>
      <c r="W6" s="115">
        <f>I6/O6</f>
        <v>324.59511047238072</v>
      </c>
      <c r="X6" s="115">
        <f>O6*S6</f>
        <v>1.0320549792400666</v>
      </c>
      <c r="Y6" s="70">
        <f>IF(I6&lt;X6,R6/(1-(1-I6/X6)^3),R6)*10000</f>
        <v>3.4640971358349995</v>
      </c>
    </row>
    <row r="7" spans="1:25" s="50" customFormat="1" x14ac:dyDescent="0.45">
      <c r="A7" s="14" t="s">
        <v>164</v>
      </c>
      <c r="B7" s="25">
        <f>AVERAGE('MPsizeBase+parameters'!B32,'MPsizeBase+parameters'!B34,'MPsizeBase+parameters'!B36,'MPsizeBase+parameters'!B38)</f>
        <v>-37.757500000000007</v>
      </c>
      <c r="C7" s="25">
        <f>AVERAGE('MPsizeBase+parameters'!C32,'MPsizeBase+parameters'!C34,'MPsizeBase+parameters'!C36,'MPsizeBase+parameters'!C38)</f>
        <v>145.4025</v>
      </c>
      <c r="D7" s="117" t="s">
        <v>14</v>
      </c>
      <c r="E7" s="120" t="s">
        <v>15</v>
      </c>
      <c r="F7" s="25">
        <f>AVERAGE('MPsizeBase+parameters'!F32,'MPsizeBase+parameters'!F34,'MPsizeBase+parameters'!F36,'MPsizeBase+parameters'!F38)</f>
        <v>-1.87</v>
      </c>
      <c r="G7" s="9">
        <f>AVERAGE('MPsizeBase+parameters'!G32,'MPsizeBase+parameters'!G34,'MPsizeBase+parameters'!G36,'MPsizeBase+parameters'!G38)</f>
        <v>102975</v>
      </c>
      <c r="H7" s="123">
        <f>AVERAGE('MPsizeBase+parameters'!H32,'MPsizeBase+parameters'!H34,'MPsizeBase+parameters'!H36,'MPsizeBase+parameters'!H38)</f>
        <v>2015</v>
      </c>
      <c r="I7" s="123">
        <f>AVERAGE('MPsizeBase+parameters'!I32,'MPsizeBase+parameters'!I34,'MPsizeBase+parameters'!I36,'MPsizeBase+parameters'!I38)</f>
        <v>7</v>
      </c>
      <c r="J7" s="19">
        <f>AVERAGE('MPsizeBase+parameters'!J32,'MPsizeBase+parameters'!J34,'MPsizeBase+parameters'!J36,'MPsizeBase+parameters'!J38)</f>
        <v>55</v>
      </c>
      <c r="K7" s="19">
        <f>AVERAGE('MPsizeBase+parameters'!K32,'MPsizeBase+parameters'!K34,'MPsizeBase+parameters'!K36,'MPsizeBase+parameters'!K38)</f>
        <v>1193.5148222749999</v>
      </c>
      <c r="L7" s="19">
        <f>AVERAGE('MPsizeBase+parameters'!L32,'MPsizeBase+parameters'!L34,'MPsizeBase+parameters'!L36,'MPsizeBase+parameters'!L38)</f>
        <v>6.6579550137499997</v>
      </c>
      <c r="M7" s="126">
        <f>AVERAGE('MPsizeBase+parameters'!M32,'MPsizeBase+parameters'!M34,'MPsizeBase+parameters'!M36,'MPsizeBase+parameters'!M38)</f>
        <v>1.0138433249999999</v>
      </c>
      <c r="N7" s="126">
        <f>AVERAGE('MPsizeBase+parameters'!N32,'MPsizeBase+parameters'!N34,'MPsizeBase+parameters'!N36,'MPsizeBase+parameters'!N38)</f>
        <v>0.13259528429561937</v>
      </c>
      <c r="O7" s="128">
        <f>AVERAGE('MPsizeBase+parameters'!O32,'MPsizeBase+parameters'!O34,'MPsizeBase+parameters'!O36,'MPsizeBase+parameters'!O38)</f>
        <v>0.11617661089868382</v>
      </c>
      <c r="P7" s="130">
        <f>AVERAGE('MPsizeBase+parameters'!P32,'MPsizeBase+parameters'!P34,'MPsizeBase+parameters'!P36,'MPsizeBase+parameters'!P38)</f>
        <v>7000</v>
      </c>
      <c r="Q7" s="61">
        <f>AVERAGE('MPsizeBase+parameters'!Q32,'MPsizeBase+parameters'!Q34,'MPsizeBase+parameters'!Q36,'MPsizeBase+parameters'!Q38)</f>
        <v>9.7335291299275001E-5</v>
      </c>
      <c r="R7" s="61">
        <f>AVERAGE('MPsizeBase+parameters'!R32,'MPsizeBase+parameters'!R34,'MPsizeBase+parameters'!R36,'MPsizeBase+parameters'!R38)</f>
        <v>6.813470390949249E-4</v>
      </c>
      <c r="S7" s="133">
        <f>AVERAGE('MPsizeBase+parameters'!S32,'MPsizeBase+parameters'!S34,'MPsizeBase+parameters'!S36,'MPsizeBase+parameters'!S38)</f>
        <v>65</v>
      </c>
      <c r="T7" s="113">
        <f>AVERAGE('MPsizeBase+parameters'!T32,'MPsizeBase+parameters'!T34,'MPsizeBase+parameters'!T36,'MPsizeBase+parameters'!T38)</f>
        <v>52.792248795873334</v>
      </c>
      <c r="U7" s="113">
        <f>AVERAGE('MPsizeBase+parameters'!U32,'MPsizeBase+parameters'!U34,'MPsizeBase+parameters'!U36,'MPsizeBase+parameters'!U38)</f>
        <v>8.6186934792152599</v>
      </c>
      <c r="V7" s="68">
        <f>AVERAGE('MPsizeBase+parameters'!V32,'MPsizeBase+parameters'!V34,'MPsizeBase+parameters'!V36,'MPsizeBase+parameters'!V38)</f>
        <v>6.8587857464922761</v>
      </c>
      <c r="W7" s="115">
        <f>AVERAGE('MPsizeBase+parameters'!W32,'MPsizeBase+parameters'!W34,'MPsizeBase+parameters'!W36,'MPsizeBase+parameters'!W38)</f>
        <v>209.75836422255128</v>
      </c>
      <c r="X7" s="115">
        <f>AVERAGE('MPsizeBase+parameters'!X32,'MPsizeBase+parameters'!X34,'MPsizeBase+parameters'!X36,'MPsizeBase+parameters'!X38)</f>
        <v>7.5514797084144476</v>
      </c>
      <c r="Y7" s="70">
        <f>AVERAGE('MPsizeBase+parameters'!Y32,'MPsizeBase+parameters'!Y34,'MPsizeBase+parameters'!Y36,'MPsizeBase+parameters'!Y38)</f>
        <v>7.6174715530537345</v>
      </c>
    </row>
    <row r="8" spans="1:25" s="50" customFormat="1" x14ac:dyDescent="0.45">
      <c r="A8" s="14" t="s">
        <v>166</v>
      </c>
      <c r="B8" s="25">
        <f>AVERAGE('MPsizeBase+parameters'!B64:B77)</f>
        <v>52.919737214285711</v>
      </c>
      <c r="C8" s="25">
        <f>AVERAGE('MPsizeBase+parameters'!C64:C77)</f>
        <v>-0.90217014285714292</v>
      </c>
      <c r="D8" s="28" t="s">
        <v>14</v>
      </c>
      <c r="E8" s="120" t="s">
        <v>71</v>
      </c>
      <c r="F8" s="14">
        <f>AVERAGE('MPsizeBase+parameters'!F64:F77)</f>
        <v>-1.3599999999999997</v>
      </c>
      <c r="G8" s="9">
        <f>AVERAGE('MPsizeBase+parameters'!G64:G77)</f>
        <v>1316500</v>
      </c>
      <c r="H8" s="123">
        <f>AVERAGE('MPsizeBase+parameters'!H64:H77)</f>
        <v>2017</v>
      </c>
      <c r="I8" s="123">
        <f>AVERAGE('MPsizeBase+parameters'!I64:I77)</f>
        <v>3.1032091897559795</v>
      </c>
      <c r="J8" s="19" t="s">
        <v>94</v>
      </c>
      <c r="K8" s="19">
        <f>AVERAGE('MPsizeBase+parameters'!K64:K77)</f>
        <v>44714.285714285717</v>
      </c>
      <c r="L8" s="19"/>
      <c r="M8" s="126">
        <f>AVERAGE('MPsizeBase+parameters'!M64:M77)</f>
        <v>1.2342587556428566</v>
      </c>
      <c r="N8" s="126"/>
      <c r="O8" s="128">
        <f>AVERAGE('MPsizeBase+parameters'!O64:O77)</f>
        <v>8.4263640317759014E-2</v>
      </c>
      <c r="P8" s="130">
        <f>AVERAGE('MPsizeBase+parameters'!P64:P77)</f>
        <v>44714.285714285717</v>
      </c>
      <c r="Q8" s="61">
        <f>AVERAGE('MPsizeBase+parameters'!Q64:Q77)</f>
        <v>1.7688158413283572E-3</v>
      </c>
      <c r="R8" s="61">
        <f>AVERAGE('MPsizeBase+parameters'!R64:R77)</f>
        <v>5.5421798217785076E-3</v>
      </c>
      <c r="S8" s="133">
        <f>AVERAGE('MPsizeBase+parameters'!S64:S77)</f>
        <v>67</v>
      </c>
      <c r="T8" s="113"/>
      <c r="U8" s="113"/>
      <c r="V8" s="68"/>
      <c r="W8" s="115">
        <f>AVERAGE('MPsizeBase+parameters'!W64:W77)</f>
        <v>37.302453848985124</v>
      </c>
      <c r="X8" s="115">
        <f>AVERAGE('MPsizeBase+parameters'!X64:X77)</f>
        <v>5.6456639012898524</v>
      </c>
      <c r="Y8" s="70">
        <f>AVERAGE('MPsizeBase+parameters'!Y64:Y77)</f>
        <v>60.863782812392671</v>
      </c>
    </row>
    <row r="9" spans="1:25" s="169" customFormat="1" ht="14.65" thickBot="1" x14ac:dyDescent="0.5">
      <c r="A9" s="153" t="s">
        <v>167</v>
      </c>
      <c r="B9" s="154">
        <f>AVERAGE('MPsizeBase+parameters'!B78:B83)</f>
        <v>74.310627333333329</v>
      </c>
      <c r="C9" s="154">
        <f>AVERAGE('MPsizeBase+parameters'!C78:C83)</f>
        <v>-172.94975599999998</v>
      </c>
      <c r="D9" s="155" t="s">
        <v>14</v>
      </c>
      <c r="E9" s="156">
        <f>AVERAGE('MPsizeBase+parameters'!E78:E83)</f>
        <v>0.99333333333333329</v>
      </c>
      <c r="F9" s="153">
        <f>AVERAGE('MPsizeBase+parameters'!F78:F83)</f>
        <v>-1.84</v>
      </c>
      <c r="G9" s="157">
        <f>AVERAGE('MPsizeBase+parameters'!G78:G83)</f>
        <v>45400</v>
      </c>
      <c r="H9" s="158">
        <f>AVERAGE('MPsizeBase+parameters'!H78:H83)</f>
        <v>2017</v>
      </c>
      <c r="I9" s="158">
        <f>AVERAGE('MPsizeBase+parameters'!I78:I83)</f>
        <v>2</v>
      </c>
      <c r="J9" s="159" t="s">
        <v>94</v>
      </c>
      <c r="K9" s="159">
        <f>AVERAGE('MPsizeBase+parameters'!K78:K83)</f>
        <v>305000</v>
      </c>
      <c r="L9" s="159">
        <f>AVERAGE('MPsizeBase+parameters'!L78:L83)</f>
        <v>236.83333333333334</v>
      </c>
      <c r="M9" s="160">
        <f>AVERAGE('MPsizeBase+parameters'!M78:M83)</f>
        <v>0.48083333333333328</v>
      </c>
      <c r="N9" s="160"/>
      <c r="O9" s="161">
        <f>AVERAGE('MPsizeBase+parameters'!O78:O83)</f>
        <v>4.9568058990447701E-2</v>
      </c>
      <c r="P9" s="162">
        <f>AVERAGE('MPsizeBase+parameters'!P78:P83)</f>
        <v>391166.66666666669</v>
      </c>
      <c r="Q9" s="163">
        <f>AVERAGE('MPsizeBase+parameters'!Q78:Q83)</f>
        <v>2.1662666666666668E-5</v>
      </c>
      <c r="R9" s="163">
        <f>AVERAGE('MPsizeBase+parameters'!R78:R83)</f>
        <v>4.3325333333333337E-5</v>
      </c>
      <c r="S9" s="164">
        <f>AVERAGE('MPsizeBase+parameters'!S78:S83)</f>
        <v>67</v>
      </c>
      <c r="T9" s="165"/>
      <c r="U9" s="165"/>
      <c r="V9" s="166"/>
      <c r="W9" s="167">
        <f>AVERAGE('MPsizeBase+parameters'!W78:W83)</f>
        <v>105.60384064143058</v>
      </c>
      <c r="X9" s="167">
        <f>AVERAGE('MPsizeBase+parameters'!X78:X83)</f>
        <v>3.3210599523599966</v>
      </c>
      <c r="Y9" s="168">
        <f>AVERAGE('MPsizeBase+parameters'!Y78:Y83)</f>
        <v>0.57242274202993071</v>
      </c>
    </row>
    <row r="10" spans="1:25" s="51" customFormat="1" x14ac:dyDescent="0.45">
      <c r="A10" s="137" t="s">
        <v>154</v>
      </c>
      <c r="B10" s="138">
        <f>AVERAGE('MPsizeBase+parameters'!B3:B16)</f>
        <v>34.592857142857142</v>
      </c>
      <c r="C10" s="138">
        <f>AVERAGE('MPsizeBase+parameters'!C3:C16)</f>
        <v>122.55714285714286</v>
      </c>
      <c r="D10" s="139" t="s">
        <v>8</v>
      </c>
      <c r="E10" s="140">
        <f>AVERAGE('MPsizeBase+parameters'!E3:E16)</f>
        <v>0.83997142857142848</v>
      </c>
      <c r="F10" s="138">
        <f>AVERAGE('MPsizeBase+parameters'!F3:F16)</f>
        <v>-1.5464285714285715</v>
      </c>
      <c r="G10" s="141">
        <f>AVERAGE('MPsizeBase+parameters'!G3:G16)</f>
        <v>93.128571428571419</v>
      </c>
      <c r="H10" s="142">
        <f>AVERAGE('MPsizeBase+parameters'!H3:H16)</f>
        <v>2017</v>
      </c>
      <c r="I10" s="142">
        <f>AVERAGE('MPsizeBase+parameters'!I3:I16)</f>
        <v>3</v>
      </c>
      <c r="J10" s="143">
        <f>AVERAGE('MPsizeBase+parameters'!J3:J16)</f>
        <v>1</v>
      </c>
      <c r="K10" s="143">
        <f>AVERAGE('MPsizeBase+parameters'!K3:K16)</f>
        <v>140.24283428571428</v>
      </c>
      <c r="L10" s="143">
        <f>AVERAGE('MPsizeBase+parameters'!L3:L16)</f>
        <v>43.285714285714285</v>
      </c>
      <c r="M10" s="144">
        <f>AVERAGE('MPsizeBase+parameters'!M3:M16)</f>
        <v>0.61037440900000006</v>
      </c>
      <c r="N10" s="144">
        <f>AVERAGE('MPsizeBase+parameters'!N3:N16)</f>
        <v>0.12505662708982068</v>
      </c>
      <c r="O10" s="145">
        <f>AVERAGE('MPsizeBase+parameters'!O3:O16)</f>
        <v>0.37554743975667126</v>
      </c>
      <c r="P10" s="146">
        <f>AVERAGE('MPsizeBase+parameters'!P3:P16)</f>
        <v>102357.14285714286</v>
      </c>
      <c r="Q10" s="147">
        <f>AVERAGE('MPsizeBase+parameters'!Q3:Q16)</f>
        <v>5.6843296746728573E-8</v>
      </c>
      <c r="R10" s="147">
        <f>AVERAGE('MPsizeBase+parameters'!R3:R16)</f>
        <v>1.705298902401857E-7</v>
      </c>
      <c r="S10" s="148">
        <f>AVERAGE('MPsizeBase+parameters'!S3:S16)</f>
        <v>67</v>
      </c>
      <c r="T10" s="149">
        <f>AVERAGE('MPsizeBase+parameters'!T3:T16)</f>
        <v>24.172587711073906</v>
      </c>
      <c r="U10" s="149">
        <f>AVERAGE('MPsizeBase+parameters'!U3:U16)</f>
        <v>8.3787940150179843</v>
      </c>
      <c r="V10" s="150">
        <f>AVERAGE('MPsizeBase+parameters'!V3:V16)</f>
        <v>2.3360204599187583E-3</v>
      </c>
      <c r="W10" s="151">
        <f>AVERAGE('MPsizeBase+parameters'!W3:W16)</f>
        <v>15.203014141023786</v>
      </c>
      <c r="X10" s="151">
        <f>AVERAGE('MPsizeBase+parameters'!X3:X16)</f>
        <v>25.161678463696976</v>
      </c>
      <c r="Y10" s="152">
        <f>AVERAGE('MPsizeBase+parameters'!Y3:Y16)</f>
        <v>4.4744068639391756E-3</v>
      </c>
    </row>
    <row r="11" spans="1:25" s="50" customFormat="1" x14ac:dyDescent="0.45">
      <c r="A11" s="1" t="s">
        <v>157</v>
      </c>
      <c r="B11" s="4">
        <v>66</v>
      </c>
      <c r="C11" s="4">
        <v>-168</v>
      </c>
      <c r="D11" s="28" t="s">
        <v>8</v>
      </c>
      <c r="E11" s="119" t="s">
        <v>10</v>
      </c>
      <c r="F11" s="24">
        <v>-1.22</v>
      </c>
      <c r="G11" s="6">
        <v>1.31</v>
      </c>
      <c r="H11" s="123">
        <v>2017</v>
      </c>
      <c r="I11" s="123">
        <v>5</v>
      </c>
      <c r="J11" s="20">
        <v>2</v>
      </c>
      <c r="K11" s="17">
        <v>155053.85699999999</v>
      </c>
      <c r="L11" s="17">
        <v>71.16</v>
      </c>
      <c r="M11" s="126">
        <v>0.81517198859999984</v>
      </c>
      <c r="N11" s="126">
        <v>0.12429490644949237</v>
      </c>
      <c r="O11" s="128">
        <v>6.3551594930660704E-2</v>
      </c>
      <c r="P11" s="130">
        <v>27000</v>
      </c>
      <c r="Q11" s="61">
        <f>G11*M11*0.000000001</f>
        <v>1.067875305066E-9</v>
      </c>
      <c r="R11" s="61">
        <f>Q11*I11</f>
        <v>5.3393765253299999E-9</v>
      </c>
      <c r="S11" s="133">
        <f>H11-1950</f>
        <v>67</v>
      </c>
      <c r="T11" s="113">
        <f>I11/N11</f>
        <v>40.226909877692904</v>
      </c>
      <c r="U11" s="113">
        <f>N11*S11</f>
        <v>8.3277587321159885</v>
      </c>
      <c r="V11" s="68">
        <f>IF(I11&lt;U11,R11/(1-(1-I11/U11)^3),R11)*10000</f>
        <v>5.7032885769744484E-5</v>
      </c>
      <c r="W11" s="115">
        <f>I11/O11</f>
        <v>78.676231579323144</v>
      </c>
      <c r="X11" s="115">
        <f>O11*S11</f>
        <v>4.257956860354267</v>
      </c>
      <c r="Y11" s="70">
        <f>IF(I11&lt;X11,R11/(1-(1-I11/X11)^3),R11)*10000</f>
        <v>5.33937652533E-5</v>
      </c>
    </row>
    <row r="12" spans="1:25" s="50" customFormat="1" x14ac:dyDescent="0.45">
      <c r="A12" s="14" t="s">
        <v>155</v>
      </c>
      <c r="B12" s="7">
        <v>31.82</v>
      </c>
      <c r="C12" s="7">
        <v>-116.72</v>
      </c>
      <c r="D12" s="28" t="s">
        <v>8</v>
      </c>
      <c r="E12" s="120" t="s">
        <v>12</v>
      </c>
      <c r="F12" s="25">
        <v>-2.16</v>
      </c>
      <c r="G12" s="6">
        <v>27.7</v>
      </c>
      <c r="H12" s="123">
        <v>2016</v>
      </c>
      <c r="I12" s="123">
        <v>5</v>
      </c>
      <c r="J12" s="20">
        <v>74</v>
      </c>
      <c r="K12" s="17">
        <v>4912.5225600000003</v>
      </c>
      <c r="L12" s="17">
        <v>72.416666669999998</v>
      </c>
      <c r="M12" s="126">
        <v>0.49520066000000001</v>
      </c>
      <c r="N12" s="126">
        <v>0.13261895760437301</v>
      </c>
      <c r="O12" s="128">
        <v>0.18873248583999</v>
      </c>
      <c r="P12" s="130">
        <v>5000</v>
      </c>
      <c r="Q12" s="61">
        <f>G12*M12*0.000000001</f>
        <v>1.3717058282000001E-8</v>
      </c>
      <c r="R12" s="61">
        <f>Q12*I12</f>
        <v>6.8585291409999997E-8</v>
      </c>
      <c r="S12" s="133">
        <f>H12-1950</f>
        <v>66</v>
      </c>
      <c r="T12" s="113">
        <f>I12/N12</f>
        <v>37.702000455439631</v>
      </c>
      <c r="U12" s="113">
        <f>N12*S12</f>
        <v>8.7528512018886175</v>
      </c>
      <c r="V12" s="68">
        <f>IF(I12&lt;U12,R12/(1-(1-I12/U12)^3),R12)*10000</f>
        <v>7.445371965683989E-4</v>
      </c>
      <c r="W12" s="115">
        <f>I12/O12</f>
        <v>26.492524473179827</v>
      </c>
      <c r="X12" s="115">
        <f>O12*S12</f>
        <v>12.456344065439341</v>
      </c>
      <c r="Y12" s="70">
        <f>IF(I12&lt;X12,R12/(1-(1-I12/X12)^3),R12)*10000</f>
        <v>8.7313016476065072E-4</v>
      </c>
    </row>
    <row r="13" spans="1:25" s="50" customFormat="1" x14ac:dyDescent="0.45">
      <c r="A13" s="14" t="s">
        <v>158</v>
      </c>
      <c r="B13" s="7">
        <v>30.45</v>
      </c>
      <c r="C13" s="7">
        <v>122.45</v>
      </c>
      <c r="D13" s="28" t="s">
        <v>8</v>
      </c>
      <c r="E13" s="121" t="s">
        <v>17</v>
      </c>
      <c r="F13" s="25">
        <v>-1.27</v>
      </c>
      <c r="G13" s="6">
        <v>3.56</v>
      </c>
      <c r="H13" s="123">
        <v>2018</v>
      </c>
      <c r="I13" s="123">
        <v>5</v>
      </c>
      <c r="J13" s="20">
        <v>75</v>
      </c>
      <c r="K13" s="17">
        <v>50416.724159999998</v>
      </c>
      <c r="L13" s="17">
        <v>21.65</v>
      </c>
      <c r="M13" s="126">
        <v>0.61037440930769205</v>
      </c>
      <c r="N13" s="126">
        <v>0.1310077976949317</v>
      </c>
      <c r="O13" s="128">
        <v>1.0224485774944601</v>
      </c>
      <c r="P13" s="130">
        <v>1000</v>
      </c>
      <c r="Q13" s="61">
        <f>G13*M13*0.000000001</f>
        <v>2.1729328971353837E-9</v>
      </c>
      <c r="R13" s="61">
        <f>Q13*I13</f>
        <v>1.0864664485676918E-8</v>
      </c>
      <c r="S13" s="133">
        <f>H13-1950</f>
        <v>68</v>
      </c>
      <c r="T13" s="113">
        <f>I13/N13</f>
        <v>38.165667143288182</v>
      </c>
      <c r="U13" s="113">
        <f>N13*S13</f>
        <v>8.9085302432553561</v>
      </c>
      <c r="V13" s="68">
        <f>IF(I13&lt;U13,R13/(1-(1-I13/U13)^3),R13)*10000</f>
        <v>1.1866874161317924E-4</v>
      </c>
      <c r="W13" s="115">
        <f>I13/O13</f>
        <v>4.8902214840502252</v>
      </c>
      <c r="X13" s="115">
        <f>O13*S13</f>
        <v>69.526503269623277</v>
      </c>
      <c r="Y13" s="70">
        <f>IF(I13&lt;X13,R13/(1-(1-I13/X13)^3),R13)*10000</f>
        <v>5.4160385685147084E-4</v>
      </c>
    </row>
    <row r="14" spans="1:25" s="50" customFormat="1" x14ac:dyDescent="0.45">
      <c r="A14" s="14" t="s">
        <v>153</v>
      </c>
      <c r="B14" s="25">
        <f>AVERAGE('MPsizeBase+parameters'!B21:B23)</f>
        <v>18.410284000000001</v>
      </c>
      <c r="C14" s="25">
        <f>AVERAGE('MPsizeBase+parameters'!C21:C23)</f>
        <v>110.00823366666667</v>
      </c>
      <c r="D14" s="117" t="s">
        <v>8</v>
      </c>
      <c r="E14" s="120" t="s">
        <v>159</v>
      </c>
      <c r="F14" s="25">
        <f>AVERAGE('MPsizeBase+parameters'!F21:F23)</f>
        <v>-1.71</v>
      </c>
      <c r="G14" s="9">
        <f>AVERAGE('MPsizeBase+parameters'!G21:G23)</f>
        <v>36.673333333333339</v>
      </c>
      <c r="H14" s="123">
        <f>AVERAGE('MPsizeBase+parameters'!H21:H23)</f>
        <v>2018</v>
      </c>
      <c r="I14" s="123">
        <f>AVERAGE('MPsizeBase+parameters'!I21:I23)</f>
        <v>5</v>
      </c>
      <c r="J14" s="19">
        <f>AVERAGE('MPsizeBase+parameters'!J21:J23)</f>
        <v>76</v>
      </c>
      <c r="K14" s="19">
        <f>AVERAGE('MPsizeBase+parameters'!K21:K23)</f>
        <v>182.39232000000001</v>
      </c>
      <c r="L14" s="19">
        <f>AVERAGE('MPsizeBase+parameters'!L21:L23)</f>
        <v>4.6333333333333337</v>
      </c>
      <c r="M14" s="126">
        <f>AVERAGE('MPsizeBase+parameters'!M21:M23)</f>
        <v>1.4754725319999997</v>
      </c>
      <c r="N14" s="126">
        <f>AVERAGE('MPsizeBase+parameters'!N21:N23)</f>
        <v>0.15613889418129265</v>
      </c>
      <c r="O14" s="128">
        <f>AVERAGE('MPsizeBase+parameters'!O21:O23)</f>
        <v>0.45166177387111933</v>
      </c>
      <c r="P14" s="130">
        <f>AVERAGE('MPsizeBase+parameters'!P21:P23)</f>
        <v>1000</v>
      </c>
      <c r="Q14" s="61">
        <f>AVERAGE('MPsizeBase+parameters'!Q21:Q23)</f>
        <v>5.1636259717266672E-8</v>
      </c>
      <c r="R14" s="61">
        <f>AVERAGE('MPsizeBase+parameters'!R21:R23)</f>
        <v>2.5818129858633336E-7</v>
      </c>
      <c r="S14" s="133">
        <f>AVERAGE('MPsizeBase+parameters'!S21:S23)</f>
        <v>68</v>
      </c>
      <c r="T14" s="113">
        <f>AVERAGE('MPsizeBase+parameters'!T21:T23)</f>
        <v>33.311711273688516</v>
      </c>
      <c r="U14" s="113">
        <f>AVERAGE('MPsizeBase+parameters'!U21:U23)</f>
        <v>10.617444804327901</v>
      </c>
      <c r="V14" s="68">
        <f>AVERAGE('MPsizeBase+parameters'!V21:V23)</f>
        <v>2.9016139598152264E-3</v>
      </c>
      <c r="W14" s="115">
        <f>AVERAGE('MPsizeBase+parameters'!W21:W23)</f>
        <v>12.535653123553894</v>
      </c>
      <c r="X14" s="115">
        <f>AVERAGE('MPsizeBase+parameters'!X21:X23)</f>
        <v>30.713000623236116</v>
      </c>
      <c r="Y14" s="70">
        <f>AVERAGE('MPsizeBase+parameters'!Y21:Y23)</f>
        <v>4.4744167166936473E-3</v>
      </c>
    </row>
    <row r="15" spans="1:25" x14ac:dyDescent="0.45">
      <c r="A15" s="14" t="s">
        <v>26</v>
      </c>
      <c r="B15" s="7">
        <v>-22.84</v>
      </c>
      <c r="C15" s="7">
        <v>-43.16</v>
      </c>
      <c r="D15" s="28" t="s">
        <v>8</v>
      </c>
      <c r="E15" s="8" t="s">
        <v>27</v>
      </c>
      <c r="F15" s="24">
        <v>-2.67</v>
      </c>
      <c r="G15" s="6">
        <v>6470</v>
      </c>
      <c r="H15" s="33">
        <v>2017</v>
      </c>
      <c r="I15" s="33">
        <v>5</v>
      </c>
      <c r="J15" s="20">
        <v>84</v>
      </c>
      <c r="K15" s="17">
        <v>2321.4787200000001</v>
      </c>
      <c r="L15" s="17">
        <v>0</v>
      </c>
      <c r="M15" s="18">
        <v>1.373883272</v>
      </c>
      <c r="N15" s="16">
        <v>0.13341858489683281</v>
      </c>
      <c r="O15" s="37">
        <v>0.89874913739892104</v>
      </c>
      <c r="P15" s="47">
        <v>2000</v>
      </c>
      <c r="Q15" s="61">
        <f>G15*M15*0.000000001</f>
        <v>8.8890247698400003E-6</v>
      </c>
      <c r="R15" s="61">
        <f>Q15*I15</f>
        <v>4.4445123849200005E-5</v>
      </c>
      <c r="S15" s="62">
        <f>H15-1950</f>
        <v>67</v>
      </c>
      <c r="T15" s="46">
        <f>I15/N15</f>
        <v>37.476038318546834</v>
      </c>
      <c r="U15" s="46">
        <f>N15*S15</f>
        <v>8.9390451880877979</v>
      </c>
      <c r="V15" s="68">
        <f>IF(I15&lt;U15,R15/(1-(1-I15/U15)^3),R15)*10000</f>
        <v>0.48603953038379094</v>
      </c>
      <c r="W15" s="69">
        <f t="shared" ref="W15" si="0">I15/O15</f>
        <v>5.5632876761034238</v>
      </c>
      <c r="X15" s="69">
        <f t="shared" ref="X15" si="1">O15*S15</f>
        <v>60.216192205727708</v>
      </c>
      <c r="Y15" s="70">
        <f t="shared" ref="Y15" si="2">IF(I15&lt;X15,R15/(1-(1-I15/X15)^3),R15)*10000</f>
        <v>1.9409120712501557</v>
      </c>
    </row>
    <row r="16" spans="1:25" s="50" customFormat="1" x14ac:dyDescent="0.45">
      <c r="A16" s="14" t="s">
        <v>164</v>
      </c>
      <c r="B16" s="25">
        <f>AVERAGE('MPsizeBase+parameters'!B31,'MPsizeBase+parameters'!B33,'MPsizeBase+parameters'!B35,'MPsizeBase+parameters'!B37)</f>
        <v>-37.757500000000007</v>
      </c>
      <c r="C16" s="25">
        <f>AVERAGE('MPsizeBase+parameters'!C31,'MPsizeBase+parameters'!C33,'MPsizeBase+parameters'!C35,'MPsizeBase+parameters'!C37)</f>
        <v>145.4025</v>
      </c>
      <c r="D16" s="117" t="s">
        <v>8</v>
      </c>
      <c r="E16" s="120" t="s">
        <v>12</v>
      </c>
      <c r="F16" s="25">
        <f>AVERAGE('MPsizeBase+parameters'!F31,'MPsizeBase+parameters'!F33,'MPsizeBase+parameters'!F35,'MPsizeBase+parameters'!F37)</f>
        <v>-1.6349999999999998</v>
      </c>
      <c r="G16" s="9">
        <f>AVERAGE('MPsizeBase+parameters'!G31,'MPsizeBase+parameters'!G33,'MPsizeBase+parameters'!G35,'MPsizeBase+parameters'!G37)</f>
        <v>103.325</v>
      </c>
      <c r="H16" s="123">
        <f>AVERAGE('MPsizeBase+parameters'!H31,'MPsizeBase+parameters'!H33,'MPsizeBase+parameters'!H35,'MPsizeBase+parameters'!H37)</f>
        <v>2015</v>
      </c>
      <c r="I16" s="123">
        <f>AVERAGE('MPsizeBase+parameters'!I31,'MPsizeBase+parameters'!I33,'MPsizeBase+parameters'!I35,'MPsizeBase+parameters'!I37)</f>
        <v>7</v>
      </c>
      <c r="J16" s="19">
        <f>AVERAGE('MPsizeBase+parameters'!J31,'MPsizeBase+parameters'!J33,'MPsizeBase+parameters'!J35,'MPsizeBase+parameters'!J37)</f>
        <v>55</v>
      </c>
      <c r="K16" s="19">
        <f>AVERAGE('MPsizeBase+parameters'!K31,'MPsizeBase+parameters'!K33,'MPsizeBase+parameters'!K35,'MPsizeBase+parameters'!K37)</f>
        <v>1193.5148222749999</v>
      </c>
      <c r="L16" s="19">
        <f>AVERAGE('MPsizeBase+parameters'!L31,'MPsizeBase+parameters'!L33,'MPsizeBase+parameters'!L35,'MPsizeBase+parameters'!L37)</f>
        <v>6.6579550137499997</v>
      </c>
      <c r="M16" s="126">
        <f>AVERAGE('MPsizeBase+parameters'!M31,'MPsizeBase+parameters'!M33,'MPsizeBase+parameters'!M35,'MPsizeBase+parameters'!M37)</f>
        <v>1.0138433249999999</v>
      </c>
      <c r="N16" s="126">
        <f>AVERAGE('MPsizeBase+parameters'!N31,'MPsizeBase+parameters'!N33,'MPsizeBase+parameters'!N35,'MPsizeBase+parameters'!N37)</f>
        <v>0.13259528429561937</v>
      </c>
      <c r="O16" s="128">
        <f>AVERAGE('MPsizeBase+parameters'!O31,'MPsizeBase+parameters'!O33,'MPsizeBase+parameters'!O35,'MPsizeBase+parameters'!O37)</f>
        <v>0.11617661089868382</v>
      </c>
      <c r="P16" s="130">
        <f>AVERAGE('MPsizeBase+parameters'!P31,'MPsizeBase+parameters'!P33,'MPsizeBase+parameters'!P35,'MPsizeBase+parameters'!P37)</f>
        <v>7000</v>
      </c>
      <c r="Q16" s="61">
        <f>AVERAGE('MPsizeBase+parameters'!Q31,'MPsizeBase+parameters'!Q33,'MPsizeBase+parameters'!Q35,'MPsizeBase+parameters'!Q37)</f>
        <v>1.0312149842342499E-7</v>
      </c>
      <c r="R16" s="61">
        <f>AVERAGE('MPsizeBase+parameters'!R31,'MPsizeBase+parameters'!R33,'MPsizeBase+parameters'!R35,'MPsizeBase+parameters'!R37)</f>
        <v>7.2185048896397494E-7</v>
      </c>
      <c r="S16" s="133">
        <f>AVERAGE('MPsizeBase+parameters'!S31,'MPsizeBase+parameters'!S33,'MPsizeBase+parameters'!S35,'MPsizeBase+parameters'!S37)</f>
        <v>65</v>
      </c>
      <c r="T16" s="113">
        <f>AVERAGE('MPsizeBase+parameters'!T31,'MPsizeBase+parameters'!T33,'MPsizeBase+parameters'!T35,'MPsizeBase+parameters'!T37)</f>
        <v>52.792248795873334</v>
      </c>
      <c r="U16" s="113">
        <f>AVERAGE('MPsizeBase+parameters'!U31,'MPsizeBase+parameters'!U33,'MPsizeBase+parameters'!U35,'MPsizeBase+parameters'!U37)</f>
        <v>8.6186934792152599</v>
      </c>
      <c r="V16" s="68">
        <f>AVERAGE('MPsizeBase+parameters'!V31,'MPsizeBase+parameters'!V33,'MPsizeBase+parameters'!V35,'MPsizeBase+parameters'!V37)</f>
        <v>7.2666160640666591E-3</v>
      </c>
      <c r="W16" s="115">
        <f>AVERAGE('MPsizeBase+parameters'!W31,'MPsizeBase+parameters'!W33,'MPsizeBase+parameters'!W35,'MPsizeBase+parameters'!W37)</f>
        <v>209.75836422255128</v>
      </c>
      <c r="X16" s="115">
        <f>AVERAGE('MPsizeBase+parameters'!X31,'MPsizeBase+parameters'!X33,'MPsizeBase+parameters'!X35,'MPsizeBase+parameters'!X37)</f>
        <v>7.5514797084144476</v>
      </c>
      <c r="Y16" s="70">
        <f>AVERAGE('MPsizeBase+parameters'!Y31,'MPsizeBase+parameters'!Y33,'MPsizeBase+parameters'!Y35,'MPsizeBase+parameters'!Y37)</f>
        <v>8.0184860459337117E-3</v>
      </c>
    </row>
    <row r="17" spans="1:26" s="50" customFormat="1" x14ac:dyDescent="0.45">
      <c r="A17" s="14" t="s">
        <v>165</v>
      </c>
      <c r="B17" s="7">
        <f>AVERAGE('MPsizeBase+parameters'!B40:B63)</f>
        <v>37.083822500000004</v>
      </c>
      <c r="C17" s="7">
        <f>AVERAGE('MPsizeBase+parameters'!C40:C63)</f>
        <v>122.55335666666667</v>
      </c>
      <c r="D17" s="118" t="s">
        <v>8</v>
      </c>
      <c r="E17" s="12">
        <f>AVERAGE('MPsizeBase+parameters'!E40:E63)</f>
        <v>0.88416666666666643</v>
      </c>
      <c r="F17" s="7">
        <f>AVERAGE('MPsizeBase+parameters'!F40:F63)</f>
        <v>-1.65625</v>
      </c>
      <c r="G17" s="122">
        <f>AVERAGE('MPsizeBase+parameters'!G40:G63)</f>
        <v>94.8</v>
      </c>
      <c r="H17" s="124">
        <f>AVERAGE('MPsizeBase+parameters'!H40:H63)</f>
        <v>2017</v>
      </c>
      <c r="I17" s="124">
        <f>AVERAGE('MPsizeBase+parameters'!I40:I63)</f>
        <v>5</v>
      </c>
      <c r="J17" s="125">
        <f>AVERAGE('MPsizeBase+parameters'!J40:J63)</f>
        <v>102</v>
      </c>
      <c r="K17" s="125"/>
      <c r="L17" s="125"/>
      <c r="M17" s="127">
        <f>AVERAGE('MPsizeBase+parameters'!M40:M63)</f>
        <v>0.61037440900000017</v>
      </c>
      <c r="N17" s="127">
        <f>AVERAGE('MPsizeBase+parameters'!N40:N63)</f>
        <v>0.13241980072875223</v>
      </c>
      <c r="O17" s="129">
        <f>AVERAGE('MPsizeBase+parameters'!O40:O63)</f>
        <v>0.45743136788435801</v>
      </c>
      <c r="P17" s="131">
        <f>AVERAGE('MPsizeBase+parameters'!P40:P63)</f>
        <v>3833.3333333333335</v>
      </c>
      <c r="Q17" s="132">
        <f>AVERAGE('MPsizeBase+parameters'!Q40:Q63)</f>
        <v>5.7863493973199989E-8</v>
      </c>
      <c r="R17" s="132">
        <f>AVERAGE('MPsizeBase+parameters'!R40:R63)</f>
        <v>2.89317469866E-7</v>
      </c>
      <c r="S17" s="134">
        <f>AVERAGE('MPsizeBase+parameters'!S40:S63)</f>
        <v>67</v>
      </c>
      <c r="T17" s="114">
        <f>AVERAGE('MPsizeBase+parameters'!T40:T63)</f>
        <v>37.758703551004167</v>
      </c>
      <c r="U17" s="114">
        <f>AVERAGE('MPsizeBase+parameters'!U40:U63)</f>
        <v>8.8721266488263932</v>
      </c>
      <c r="V17" s="135">
        <f>AVERAGE('MPsizeBase+parameters'!V40:V63)</f>
        <v>3.1554956961873763E-3</v>
      </c>
      <c r="W17" s="116">
        <f>AVERAGE('MPsizeBase+parameters'!W40:W63)</f>
        <v>11.686255762041904</v>
      </c>
      <c r="X17" s="116">
        <f>AVERAGE('MPsizeBase+parameters'!X40:X63)</f>
        <v>30.647901648251985</v>
      </c>
      <c r="Y17" s="136">
        <f>AVERAGE('MPsizeBase+parameters'!Y40:Y63)</f>
        <v>7.1202382528830202E-3</v>
      </c>
    </row>
    <row r="18" spans="1:26" s="50" customFormat="1" x14ac:dyDescent="0.45">
      <c r="A18" s="1" t="s">
        <v>168</v>
      </c>
      <c r="B18" s="4">
        <v>29.51</v>
      </c>
      <c r="C18" s="4">
        <v>121.504</v>
      </c>
      <c r="D18" s="28" t="s">
        <v>8</v>
      </c>
      <c r="E18" s="120" t="s">
        <v>136</v>
      </c>
      <c r="F18" s="4">
        <v>-2.04</v>
      </c>
      <c r="G18" s="6">
        <v>702</v>
      </c>
      <c r="H18" s="123">
        <v>2017</v>
      </c>
      <c r="I18" s="123">
        <v>5</v>
      </c>
      <c r="J18" s="27">
        <v>6</v>
      </c>
      <c r="K18" s="19">
        <v>1738</v>
      </c>
      <c r="L18" s="19"/>
      <c r="M18" s="126">
        <v>0.61037440899999995</v>
      </c>
      <c r="N18" s="126">
        <v>0.13341858489683281</v>
      </c>
      <c r="O18" s="128">
        <v>0.58751200156561401</v>
      </c>
      <c r="P18" s="130">
        <v>1000</v>
      </c>
      <c r="Q18" s="61">
        <f>G18*M18*0.000000001</f>
        <v>4.28482835118E-7</v>
      </c>
      <c r="R18" s="61">
        <f>Q18*I18</f>
        <v>2.1424141755899998E-6</v>
      </c>
      <c r="S18" s="133">
        <f>H18-1950</f>
        <v>67</v>
      </c>
      <c r="T18" s="113">
        <f>I18/N18</f>
        <v>37.476038318546834</v>
      </c>
      <c r="U18" s="113">
        <f>N18*S18</f>
        <v>8.9390451880877979</v>
      </c>
      <c r="V18" s="68">
        <f>IF(I18&lt;U18,R18/(1-(1-I18/U18)^3),R18)*10000</f>
        <v>2.3428846397737808E-2</v>
      </c>
      <c r="W18" s="115">
        <f>I18/O18</f>
        <v>8.5104644444298962</v>
      </c>
      <c r="X18" s="115">
        <f>O18*S18</f>
        <v>39.363304104896137</v>
      </c>
      <c r="Y18" s="70">
        <f>IF(I18&lt;X18,R18/(1-(1-I18/X18)^3),R18)*10000</f>
        <v>6.4007812583909723E-2</v>
      </c>
    </row>
    <row r="21" spans="1:26" x14ac:dyDescent="0.45">
      <c r="C21" s="35" t="s">
        <v>169</v>
      </c>
      <c r="F21" s="171">
        <f>AVERAGE(F10:F18)</f>
        <v>-1.7675198412698414</v>
      </c>
      <c r="U21" t="s">
        <v>176</v>
      </c>
      <c r="Y21" s="99">
        <f>GEOMEAN(Y10:Y18)</f>
        <v>5.349130775091894E-3</v>
      </c>
      <c r="Z21" t="s">
        <v>175</v>
      </c>
    </row>
    <row r="22" spans="1:26" x14ac:dyDescent="0.45">
      <c r="C22" s="35" t="s">
        <v>170</v>
      </c>
      <c r="F22" s="171">
        <f>AVERAGE(F2:F9)</f>
        <v>-2.3604166666666666</v>
      </c>
      <c r="U22" t="s">
        <v>177</v>
      </c>
      <c r="Y22" s="99">
        <f>GEOMEAN(Y2:Y9)</f>
        <v>0.66637601933199531</v>
      </c>
      <c r="Z22" t="s">
        <v>175</v>
      </c>
    </row>
    <row r="23" spans="1:26" x14ac:dyDescent="0.45">
      <c r="C23" s="35" t="s">
        <v>171</v>
      </c>
      <c r="F23" s="171">
        <f>AVERAGE(F2,F3,F6,F7,F8,F9)</f>
        <v>-2.0883333333333334</v>
      </c>
      <c r="U23" t="s">
        <v>178</v>
      </c>
      <c r="Y23" s="99">
        <f>GEOMEAN(Y2,Y3,Y6,Y7,Y8,Y9)</f>
        <v>1.2526736492880572</v>
      </c>
      <c r="Z23" t="s">
        <v>175</v>
      </c>
    </row>
    <row r="25" spans="1:26" x14ac:dyDescent="0.45">
      <c r="U25" s="35" t="s">
        <v>172</v>
      </c>
    </row>
    <row r="26" spans="1:26" x14ac:dyDescent="0.45">
      <c r="U26" t="s">
        <v>173</v>
      </c>
      <c r="Y26">
        <v>35300000000000</v>
      </c>
      <c r="Z26" t="s">
        <v>174</v>
      </c>
    </row>
    <row r="27" spans="1:26" x14ac:dyDescent="0.45">
      <c r="U27" t="s">
        <v>179</v>
      </c>
      <c r="Y27" s="171">
        <f>Y26*Y21*0.000000000001</f>
        <v>0.18882431636074387</v>
      </c>
      <c r="Z27" t="s">
        <v>182</v>
      </c>
    </row>
    <row r="28" spans="1:26" x14ac:dyDescent="0.45">
      <c r="U28" t="s">
        <v>181</v>
      </c>
      <c r="Y28" s="171">
        <f>Y26*Y22*0.000000000001</f>
        <v>23.523073482419434</v>
      </c>
      <c r="Z28" t="s">
        <v>182</v>
      </c>
    </row>
    <row r="29" spans="1:26" x14ac:dyDescent="0.45">
      <c r="U29" t="s">
        <v>180</v>
      </c>
      <c r="Y29" s="171">
        <f>Y26*Y23*0.000000000001</f>
        <v>44.219379819868422</v>
      </c>
      <c r="Z29" t="s">
        <v>182</v>
      </c>
    </row>
  </sheetData>
  <autoFilter ref="A1:Z1" xr:uid="{E5013A81-C83F-4F7E-8008-36AE92823BB5}">
    <sortState xmlns:xlrd2="http://schemas.microsoft.com/office/spreadsheetml/2017/richdata2" ref="A2:Z18">
      <sortCondition descending="1" ref="D1"/>
    </sortState>
  </autoFilter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F0B5-5040-46C3-9872-A2C316975AF2}">
  <dimension ref="A1:AI253"/>
  <sheetViews>
    <sheetView topLeftCell="V1" zoomScale="115" zoomScaleNormal="115" workbookViewId="0">
      <pane ySplit="1" topLeftCell="A225" activePane="bottomLeft" state="frozen"/>
      <selection activeCell="G1" sqref="G1"/>
      <selection pane="bottomLeft" activeCell="AG3" sqref="AG3:AG253"/>
    </sheetView>
  </sheetViews>
  <sheetFormatPr baseColWidth="10" defaultRowHeight="14.25" x14ac:dyDescent="0.45"/>
  <cols>
    <col min="3" max="3" width="18.265625" bestFit="1" customWidth="1"/>
    <col min="4" max="4" width="19.06640625" bestFit="1" customWidth="1"/>
    <col min="6" max="17" width="10.73046875" bestFit="1" customWidth="1"/>
    <col min="18" max="18" width="11.33203125" bestFit="1" customWidth="1"/>
    <col min="19" max="19" width="10.86328125" bestFit="1" customWidth="1"/>
    <col min="20" max="20" width="11.33203125" bestFit="1" customWidth="1"/>
    <col min="22" max="24" width="10.73046875" bestFit="1" customWidth="1"/>
    <col min="25" max="25" width="13.33203125" style="173" bestFit="1" customWidth="1"/>
    <col min="26" max="26" width="12.33203125" style="173" bestFit="1" customWidth="1"/>
    <col min="27" max="30" width="10.73046875" bestFit="1" customWidth="1"/>
    <col min="32" max="32" width="11.73046875" bestFit="1" customWidth="1"/>
  </cols>
  <sheetData>
    <row r="1" spans="1:35" ht="14.65" thickBot="1" x14ac:dyDescent="0.5">
      <c r="A1" s="1" t="s">
        <v>101</v>
      </c>
      <c r="B1" s="1" t="s">
        <v>102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43" t="s">
        <v>122</v>
      </c>
      <c r="I1" s="41" t="s">
        <v>200</v>
      </c>
      <c r="J1" s="42" t="s">
        <v>119</v>
      </c>
      <c r="K1" s="42" t="s">
        <v>120</v>
      </c>
      <c r="L1" s="42" t="s">
        <v>121</v>
      </c>
      <c r="M1" s="32" t="s">
        <v>92</v>
      </c>
      <c r="N1" s="32" t="s">
        <v>93</v>
      </c>
      <c r="O1" s="26" t="s">
        <v>96</v>
      </c>
      <c r="P1" s="29" t="s">
        <v>97</v>
      </c>
      <c r="Q1" s="29" t="s">
        <v>98</v>
      </c>
      <c r="R1" s="30" t="s">
        <v>95</v>
      </c>
      <c r="S1" s="31" t="s">
        <v>99</v>
      </c>
      <c r="T1" s="36" t="s">
        <v>91</v>
      </c>
      <c r="U1" s="34" t="s">
        <v>100</v>
      </c>
      <c r="V1" s="59" t="s">
        <v>127</v>
      </c>
      <c r="W1" s="59" t="s">
        <v>128</v>
      </c>
      <c r="X1" s="59" t="s">
        <v>129</v>
      </c>
      <c r="Y1" s="58" t="s">
        <v>130</v>
      </c>
      <c r="Z1" s="58" t="s">
        <v>131</v>
      </c>
      <c r="AA1" s="63" t="s">
        <v>132</v>
      </c>
      <c r="AB1" s="64" t="s">
        <v>130</v>
      </c>
      <c r="AC1" s="64" t="s">
        <v>131</v>
      </c>
      <c r="AD1" s="65" t="s">
        <v>132</v>
      </c>
      <c r="AE1" s="255" t="s">
        <v>129</v>
      </c>
      <c r="AF1" s="255" t="s">
        <v>264</v>
      </c>
      <c r="AG1" s="260" t="s">
        <v>261</v>
      </c>
      <c r="AH1" s="262" t="s">
        <v>262</v>
      </c>
      <c r="AI1" s="262" t="s">
        <v>263</v>
      </c>
    </row>
    <row r="2" spans="1:35" x14ac:dyDescent="0.45">
      <c r="A2" s="89" t="s">
        <v>143</v>
      </c>
      <c r="B2" s="83"/>
      <c r="C2" s="83"/>
      <c r="D2" s="83"/>
      <c r="E2" s="84"/>
      <c r="F2" s="84"/>
      <c r="G2" s="83"/>
      <c r="H2" s="83"/>
      <c r="J2" s="76"/>
      <c r="K2" s="76"/>
      <c r="L2" s="75"/>
      <c r="M2" s="85"/>
      <c r="N2" s="85"/>
      <c r="O2" s="86"/>
      <c r="P2" s="87"/>
      <c r="Q2" s="87"/>
      <c r="R2" s="88"/>
      <c r="S2" s="88"/>
      <c r="T2" s="85"/>
      <c r="Y2"/>
      <c r="Z2"/>
    </row>
    <row r="3" spans="1:35" x14ac:dyDescent="0.45">
      <c r="A3" s="55" t="s">
        <v>103</v>
      </c>
      <c r="B3" s="48" t="s">
        <v>123</v>
      </c>
      <c r="C3" s="174">
        <v>35.299999999999997</v>
      </c>
      <c r="D3" s="174">
        <v>122.19</v>
      </c>
      <c r="E3" t="s">
        <v>8</v>
      </c>
      <c r="F3" s="56">
        <v>0.83997142857142848</v>
      </c>
      <c r="G3">
        <v>-1.5464285714285715</v>
      </c>
      <c r="H3">
        <v>50</v>
      </c>
      <c r="I3">
        <v>2650</v>
      </c>
      <c r="J3" s="51">
        <f xml:space="preserve"> LOG(I3, 10) - (G3) * LOG(H3,10)^(G3+1)</f>
        <v>4.5808226778102874</v>
      </c>
      <c r="K3" s="51">
        <f xml:space="preserve"> -1*10^J3*(G3+1)</f>
        <v>20814.025259894377</v>
      </c>
      <c r="L3" s="52">
        <f>IF(E3="Fragments",0.000000097*K3*(5000^(4+G3)-1)/(4+G3),0.000106*K3*(5000^(2+G3)-1)/(2+G3))</f>
        <v>226.7489753256161</v>
      </c>
      <c r="M3">
        <v>2017</v>
      </c>
      <c r="N3">
        <v>20</v>
      </c>
      <c r="O3">
        <v>1</v>
      </c>
      <c r="P3">
        <v>144.84096</v>
      </c>
      <c r="Q3">
        <v>39</v>
      </c>
      <c r="R3">
        <v>0.61037440899999995</v>
      </c>
      <c r="S3">
        <v>0.29850746268656714</v>
      </c>
      <c r="T3">
        <v>0.29850746268656714</v>
      </c>
      <c r="U3">
        <v>136000</v>
      </c>
      <c r="V3" s="61">
        <f>L3*R3*0.000000001</f>
        <v>1.3840177180572848E-7</v>
      </c>
      <c r="W3" s="61">
        <f>V3*N3</f>
        <v>2.7680354361145695E-6</v>
      </c>
      <c r="X3" s="62">
        <f>M3-1950</f>
        <v>67</v>
      </c>
      <c r="Y3" s="172">
        <f>N3/S3</f>
        <v>67</v>
      </c>
      <c r="Z3" s="172">
        <f>S3*X3</f>
        <v>20</v>
      </c>
      <c r="AA3" s="68">
        <f>IF(N3&lt;Z3,W3/(1-(1-N3/Z3)^3),W3)*10000</f>
        <v>2.7680354361145694E-2</v>
      </c>
      <c r="AB3" s="175">
        <f>N3/T3</f>
        <v>67</v>
      </c>
      <c r="AC3" s="175">
        <f>T3*X3</f>
        <v>20</v>
      </c>
      <c r="AD3" s="70">
        <f>IF(N3&lt;AC3,W3/(1-(1-N3/AC3)^3),W3)*10000</f>
        <v>2.7680354361145694E-2</v>
      </c>
      <c r="AE3" s="259">
        <f>2021-1950</f>
        <v>71</v>
      </c>
      <c r="AF3" s="259" cm="1">
        <f t="array" ref="AF3">_xlfn.IFS(N3&lt;=AC3,W3*(3/(X3^3 - (X3-AB3)^3)),N3&gt;AC3,W3*(3/X3^3))</f>
        <v>2.7610132590590292E-11</v>
      </c>
      <c r="AG3" s="261">
        <f xml:space="preserve"> (AF3/3)*(AE3^3)*10000</f>
        <v>3.2939900552102538E-2</v>
      </c>
      <c r="AH3" s="263">
        <f>AD3-AG3</f>
        <v>-5.2595461909568444E-3</v>
      </c>
      <c r="AI3" s="264">
        <f>AG3*100/AD3</f>
        <v>119.00100743774998</v>
      </c>
    </row>
    <row r="4" spans="1:35" x14ac:dyDescent="0.45">
      <c r="A4" t="s">
        <v>105</v>
      </c>
      <c r="B4" s="48" t="s">
        <v>123</v>
      </c>
      <c r="C4" s="174">
        <v>35</v>
      </c>
      <c r="D4" s="174">
        <v>121.19</v>
      </c>
      <c r="E4" t="s">
        <v>8</v>
      </c>
      <c r="F4" s="56">
        <v>0.83997142857142848</v>
      </c>
      <c r="G4">
        <v>-1.5464285714285715</v>
      </c>
      <c r="H4">
        <v>50</v>
      </c>
      <c r="I4">
        <v>2891.2278000000001</v>
      </c>
      <c r="J4" s="51">
        <f t="shared" ref="J4:J5" si="0" xml:space="preserve"> LOG(I4, 10) - (G4) * LOG(H4,10)^(G4+1)</f>
        <v>4.6186591149787404</v>
      </c>
      <c r="K4" s="51">
        <f t="shared" ref="K4:K5" si="1" xml:space="preserve"> -1*10^J4*(G4+1)</f>
        <v>22708.712626909044</v>
      </c>
      <c r="L4" s="52">
        <f t="shared" ref="L4:L5" si="2">IF(E4="Fragments",0.000000097*K4*(5000^(4+G4)-1)/(4+G4),0.000106*K4*(5000^(2+G4)-1)/(2+G4))</f>
        <v>247.3897890879006</v>
      </c>
      <c r="M4">
        <v>2017</v>
      </c>
      <c r="N4">
        <v>20</v>
      </c>
      <c r="O4">
        <v>1</v>
      </c>
      <c r="P4">
        <v>112.65408000000001</v>
      </c>
      <c r="Q4">
        <v>66</v>
      </c>
      <c r="R4">
        <v>0.61037440899999995</v>
      </c>
      <c r="S4">
        <v>0.29850746268656714</v>
      </c>
      <c r="T4">
        <v>0.29850746268656714</v>
      </c>
      <c r="U4">
        <v>103000</v>
      </c>
      <c r="V4" s="61">
        <f t="shared" ref="V4:V67" si="3">L4*R4*0.000000001</f>
        <v>1.5100039630716196E-7</v>
      </c>
      <c r="W4" s="61">
        <f t="shared" ref="W4:W67" si="4">V4*N4</f>
        <v>3.0200079261432392E-6</v>
      </c>
      <c r="X4" s="62">
        <f t="shared" ref="X4:X67" si="5">M4-1950</f>
        <v>67</v>
      </c>
      <c r="Y4" s="172">
        <f t="shared" ref="Y4:Y67" si="6">N4/S4</f>
        <v>67</v>
      </c>
      <c r="Z4" s="172">
        <f t="shared" ref="Z4:Z67" si="7">S4*X4</f>
        <v>20</v>
      </c>
      <c r="AA4" s="68">
        <f t="shared" ref="AA4:AA67" si="8">IF(N4&lt;Z4,W4/(1-(1-N4/Z4)^3),W4)*10000</f>
        <v>3.0200079261432391E-2</v>
      </c>
      <c r="AB4" s="175">
        <f t="shared" ref="AB4:AB67" si="9">N4/T4</f>
        <v>67</v>
      </c>
      <c r="AC4" s="175">
        <f t="shared" ref="AC4:AC67" si="10">T4*X4</f>
        <v>20</v>
      </c>
      <c r="AD4" s="70">
        <f t="shared" ref="AD4:AD67" si="11">IF(N4&lt;AC4,W4/(1-(1-N4/AC4)^3),W4)*10000</f>
        <v>3.0200079261432391E-2</v>
      </c>
      <c r="AE4" s="259">
        <f t="shared" ref="AE4:AE67" si="12">2021-1950</f>
        <v>71</v>
      </c>
      <c r="AF4" s="259" cm="1">
        <f t="array" ref="AF4">_xlfn.IFS(N4&lt;=AC4,W4*(3/(X4^3 - (X4-AB4)^3)),N4&gt;AC4,W4*(3/X4^3))</f>
        <v>3.0123465248151261E-11</v>
      </c>
      <c r="AG4" s="261">
        <f t="shared" ref="AG4:AG67" si="13" xml:space="preserve"> (AF4/3)*(AE4^3)*10000</f>
        <v>3.5938398568103554E-2</v>
      </c>
      <c r="AH4" s="263">
        <f t="shared" ref="AH4:AH67" si="14">AD4-AG4</f>
        <v>-5.7383193066711628E-3</v>
      </c>
      <c r="AI4" s="264">
        <f t="shared" ref="AI4:AI67" si="15">AG4*100/AD4</f>
        <v>119.00100743775</v>
      </c>
    </row>
    <row r="5" spans="1:35" x14ac:dyDescent="0.45">
      <c r="A5" t="s">
        <v>104</v>
      </c>
      <c r="B5" s="48" t="s">
        <v>123</v>
      </c>
      <c r="C5" s="174">
        <v>36</v>
      </c>
      <c r="D5" s="174">
        <v>124</v>
      </c>
      <c r="E5" t="s">
        <v>8</v>
      </c>
      <c r="F5" s="56">
        <v>0.83997142857142848</v>
      </c>
      <c r="G5">
        <v>-1.5464285714285715</v>
      </c>
      <c r="H5">
        <v>50</v>
      </c>
      <c r="I5">
        <v>4384.5047999999997</v>
      </c>
      <c r="J5" s="51">
        <f t="shared" si="0"/>
        <v>4.7994973537370189</v>
      </c>
      <c r="K5" s="51">
        <f t="shared" si="1"/>
        <v>34437.431569557855</v>
      </c>
      <c r="L5" s="52">
        <f t="shared" si="2"/>
        <v>375.1630078151876</v>
      </c>
      <c r="M5">
        <v>2017</v>
      </c>
      <c r="N5">
        <v>20</v>
      </c>
      <c r="O5">
        <v>1</v>
      </c>
      <c r="P5">
        <v>160.93440000000001</v>
      </c>
      <c r="Q5">
        <v>75</v>
      </c>
      <c r="R5">
        <v>0.61037440899999995</v>
      </c>
      <c r="S5">
        <v>0.29850746268656714</v>
      </c>
      <c r="T5">
        <v>0.29850746268656714</v>
      </c>
      <c r="U5">
        <v>157000</v>
      </c>
      <c r="V5" s="61">
        <f t="shared" si="3"/>
        <v>2.289898991738575E-7</v>
      </c>
      <c r="W5" s="61">
        <f t="shared" si="4"/>
        <v>4.5797979834771503E-6</v>
      </c>
      <c r="X5" s="62">
        <f t="shared" si="5"/>
        <v>67</v>
      </c>
      <c r="Y5" s="172">
        <f t="shared" si="6"/>
        <v>67</v>
      </c>
      <c r="Z5" s="172">
        <f t="shared" si="7"/>
        <v>20</v>
      </c>
      <c r="AA5" s="68">
        <f t="shared" si="8"/>
        <v>4.5797979834771504E-2</v>
      </c>
      <c r="AB5" s="175">
        <f t="shared" si="9"/>
        <v>67</v>
      </c>
      <c r="AC5" s="175">
        <f t="shared" si="10"/>
        <v>20</v>
      </c>
      <c r="AD5" s="70">
        <f t="shared" si="11"/>
        <v>4.5797979834771504E-2</v>
      </c>
      <c r="AE5" s="259">
        <f t="shared" si="12"/>
        <v>71</v>
      </c>
      <c r="AF5" s="259" cm="1">
        <f t="array" ref="AF5">_xlfn.IFS(N5&lt;=AC5,W5*(3/(X5^3 - (X5-AB5)^3)),N5&gt;AC5,W5*(3/X5^3))</f>
        <v>4.568179580078484E-11</v>
      </c>
      <c r="AG5" s="261">
        <f t="shared" si="13"/>
        <v>5.4500057389515674E-2</v>
      </c>
      <c r="AH5" s="263">
        <f t="shared" si="14"/>
        <v>-8.7020775547441698E-3</v>
      </c>
      <c r="AI5" s="264">
        <f t="shared" si="15"/>
        <v>119.00100743774998</v>
      </c>
    </row>
    <row r="6" spans="1:35" x14ac:dyDescent="0.45">
      <c r="A6" t="s">
        <v>124</v>
      </c>
      <c r="B6" s="48" t="s">
        <v>125</v>
      </c>
      <c r="C6" s="174">
        <v>30.803000000000001</v>
      </c>
      <c r="D6" s="174">
        <v>122.655</v>
      </c>
      <c r="E6" t="s">
        <v>8</v>
      </c>
      <c r="F6" t="s">
        <v>17</v>
      </c>
      <c r="G6" s="49">
        <v>-1.27</v>
      </c>
      <c r="H6" s="50">
        <v>50</v>
      </c>
      <c r="I6" s="50">
        <v>69</v>
      </c>
      <c r="J6" s="51">
        <f t="shared" ref="J6:J11" si="16" xml:space="preserve"> LOG(I6, 10) - (G6) * LOG(H6,10)^(G6+1)</f>
        <v>2.939510092262668</v>
      </c>
      <c r="K6" s="51">
        <f t="shared" ref="K6:K11" si="17" xml:space="preserve"> -1*10^J6*(G6+1)</f>
        <v>234.89504542422381</v>
      </c>
      <c r="L6" s="52">
        <f t="shared" ref="L6:L11" si="18">IF(E6="Fragments",0.000000097*K6*(5000^(4+G6)-1)/(4+G6),0.000106*K6*(5000^(2+G6)-1)/(2+G6))</f>
        <v>17.070178542568065</v>
      </c>
      <c r="M6" s="54">
        <v>2018</v>
      </c>
      <c r="N6" s="72">
        <v>5</v>
      </c>
      <c r="O6">
        <v>75</v>
      </c>
      <c r="P6" s="53">
        <v>60269.93280000001</v>
      </c>
      <c r="Q6" s="50">
        <v>18.2</v>
      </c>
      <c r="R6" s="50">
        <v>0.61037440930769205</v>
      </c>
      <c r="S6" s="50">
        <v>0.1310077976949317</v>
      </c>
      <c r="T6" s="170">
        <v>0.65010634829191405</v>
      </c>
      <c r="U6">
        <v>3000</v>
      </c>
      <c r="V6" s="61">
        <f t="shared" si="3"/>
        <v>1.0419200144696822E-8</v>
      </c>
      <c r="W6" s="61">
        <f t="shared" si="4"/>
        <v>5.2096000723484105E-8</v>
      </c>
      <c r="X6" s="62">
        <f t="shared" si="5"/>
        <v>68</v>
      </c>
      <c r="Y6" s="172">
        <f t="shared" si="6"/>
        <v>38.165667143288182</v>
      </c>
      <c r="Z6" s="172">
        <f t="shared" si="7"/>
        <v>8.9085302432553561</v>
      </c>
      <c r="AA6" s="68">
        <f t="shared" si="8"/>
        <v>5.6901590077495666E-4</v>
      </c>
      <c r="AB6" s="175">
        <f t="shared" si="9"/>
        <v>7.6910493385228023</v>
      </c>
      <c r="AC6" s="175">
        <f t="shared" si="10"/>
        <v>44.207231683850154</v>
      </c>
      <c r="AD6" s="70">
        <f t="shared" si="11"/>
        <v>1.722862137747039E-3</v>
      </c>
      <c r="AE6" s="259">
        <f t="shared" si="12"/>
        <v>71</v>
      </c>
      <c r="AF6" s="259" cm="1">
        <f t="array" ref="AF6">_xlfn.IFS(N6&lt;=AC6,W6*(3/(X6^3 - (X6-AB6)^3)),N6&gt;AC6,W6*(3/X6^3))</f>
        <v>1.6437851151413077E-12</v>
      </c>
      <c r="AG6" s="261">
        <f t="shared" si="13"/>
        <v>1.9610959144844686E-3</v>
      </c>
      <c r="AH6" s="263">
        <f t="shared" si="14"/>
        <v>-2.382337767374296E-4</v>
      </c>
      <c r="AI6" s="264">
        <f t="shared" si="15"/>
        <v>113.82779106452269</v>
      </c>
    </row>
    <row r="7" spans="1:35" x14ac:dyDescent="0.45">
      <c r="A7" t="s">
        <v>124</v>
      </c>
      <c r="B7" s="48" t="s">
        <v>125</v>
      </c>
      <c r="C7" s="174">
        <v>30.731999999999999</v>
      </c>
      <c r="D7" s="174">
        <v>122.818</v>
      </c>
      <c r="E7" t="s">
        <v>8</v>
      </c>
      <c r="F7" t="s">
        <v>17</v>
      </c>
      <c r="G7" s="49">
        <v>-1.27</v>
      </c>
      <c r="H7" s="50">
        <v>50</v>
      </c>
      <c r="I7" s="50">
        <v>64.400000000000006</v>
      </c>
      <c r="J7" s="51">
        <f t="shared" si="16"/>
        <v>2.9095468688852248</v>
      </c>
      <c r="K7" s="51">
        <f t="shared" si="17"/>
        <v>219.23537572927552</v>
      </c>
      <c r="L7" s="52">
        <f t="shared" si="18"/>
        <v>15.932166639730193</v>
      </c>
      <c r="M7" s="54">
        <v>2018</v>
      </c>
      <c r="N7" s="72">
        <v>5</v>
      </c>
      <c r="O7">
        <v>75</v>
      </c>
      <c r="P7" s="53">
        <v>77248.512000000002</v>
      </c>
      <c r="Q7" s="50">
        <v>22.5</v>
      </c>
      <c r="R7" s="50">
        <v>0.61037440930769205</v>
      </c>
      <c r="S7" s="50">
        <v>0.13044460739786745</v>
      </c>
      <c r="T7" s="170">
        <v>0.68162843058363998</v>
      </c>
      <c r="U7" t="s">
        <v>126</v>
      </c>
      <c r="V7" s="61">
        <f t="shared" si="3"/>
        <v>9.7245868017170334E-9</v>
      </c>
      <c r="W7" s="61">
        <f t="shared" si="4"/>
        <v>4.8622934008585165E-8</v>
      </c>
      <c r="X7" s="62">
        <f t="shared" si="5"/>
        <v>68</v>
      </c>
      <c r="Y7" s="172">
        <f t="shared" si="6"/>
        <v>38.330446154432153</v>
      </c>
      <c r="Z7" s="172">
        <f t="shared" si="7"/>
        <v>8.8702333030549863</v>
      </c>
      <c r="AA7" s="68">
        <f t="shared" si="8"/>
        <v>5.3027548007526944E-4</v>
      </c>
      <c r="AB7" s="175">
        <f t="shared" si="9"/>
        <v>7.3353747814168813</v>
      </c>
      <c r="AC7" s="175">
        <f t="shared" si="10"/>
        <v>46.350733279687518</v>
      </c>
      <c r="AD7" s="70">
        <f t="shared" si="11"/>
        <v>1.6768558575907852E-3</v>
      </c>
      <c r="AE7" s="259">
        <f t="shared" si="12"/>
        <v>71</v>
      </c>
      <c r="AF7" s="259" cm="1">
        <f t="array" ref="AF7">_xlfn.IFS(N7&lt;=AC7,W7*(3/(X7^3 - (X7-AB7)^3)),N7&gt;AC7,W7*(3/X7^3))</f>
        <v>1.5998904605041334E-12</v>
      </c>
      <c r="AG7" s="261">
        <f t="shared" si="13"/>
        <v>1.9087279820316498E-3</v>
      </c>
      <c r="AH7" s="263">
        <f t="shared" si="14"/>
        <v>-2.3187212444086467E-4</v>
      </c>
      <c r="AI7" s="264">
        <f t="shared" si="15"/>
        <v>113.82779106452274</v>
      </c>
    </row>
    <row r="8" spans="1:35" x14ac:dyDescent="0.45">
      <c r="A8" t="s">
        <v>124</v>
      </c>
      <c r="B8" s="48" t="s">
        <v>125</v>
      </c>
      <c r="C8" s="174">
        <v>30.696999999999999</v>
      </c>
      <c r="D8" s="174">
        <v>122.79600000000001</v>
      </c>
      <c r="E8" t="s">
        <v>8</v>
      </c>
      <c r="F8" t="s">
        <v>17</v>
      </c>
      <c r="G8" s="49">
        <v>-1.27</v>
      </c>
      <c r="H8" s="50">
        <v>50</v>
      </c>
      <c r="I8" s="50">
        <v>55.2</v>
      </c>
      <c r="J8" s="51">
        <f t="shared" si="16"/>
        <v>2.8426000792546118</v>
      </c>
      <c r="K8" s="51">
        <f t="shared" si="17"/>
        <v>187.91603633937905</v>
      </c>
      <c r="L8" s="52">
        <f t="shared" si="18"/>
        <v>13.656142834054451</v>
      </c>
      <c r="M8" s="54">
        <v>2018</v>
      </c>
      <c r="N8" s="72">
        <v>5</v>
      </c>
      <c r="O8">
        <v>75</v>
      </c>
      <c r="P8" s="53">
        <v>76347.27936</v>
      </c>
      <c r="Q8" s="50">
        <v>23.8</v>
      </c>
      <c r="R8" s="50">
        <v>0.61037440930769205</v>
      </c>
      <c r="S8" s="50">
        <v>0.13027481766716506</v>
      </c>
      <c r="T8" s="170">
        <v>0.68162843058363998</v>
      </c>
      <c r="U8">
        <v>1000</v>
      </c>
      <c r="V8" s="61">
        <f t="shared" si="3"/>
        <v>8.335360115757457E-9</v>
      </c>
      <c r="W8" s="61">
        <f t="shared" si="4"/>
        <v>4.1676800578787287E-8</v>
      </c>
      <c r="X8" s="62">
        <f t="shared" si="5"/>
        <v>68</v>
      </c>
      <c r="Y8" s="172">
        <f t="shared" si="6"/>
        <v>38.380402978374065</v>
      </c>
      <c r="Z8" s="172">
        <f t="shared" si="7"/>
        <v>8.8586876013672242</v>
      </c>
      <c r="AA8" s="68">
        <f t="shared" si="8"/>
        <v>4.5431430250645461E-4</v>
      </c>
      <c r="AB8" s="175">
        <f t="shared" si="9"/>
        <v>7.3353747814168813</v>
      </c>
      <c r="AC8" s="175">
        <f t="shared" si="10"/>
        <v>46.350733279687518</v>
      </c>
      <c r="AD8" s="70">
        <f t="shared" si="11"/>
        <v>1.4373050207921016E-3</v>
      </c>
      <c r="AE8" s="259">
        <f t="shared" si="12"/>
        <v>71</v>
      </c>
      <c r="AF8" s="259" cm="1">
        <f t="array" ref="AF8">_xlfn.IFS(N8&lt;=AC8,W8*(3/(X8^3 - (X8-AB8)^3)),N8&gt;AC8,W8*(3/X8^3))</f>
        <v>1.3713346804321143E-12</v>
      </c>
      <c r="AG8" s="261">
        <f t="shared" si="13"/>
        <v>1.6360525560271282E-3</v>
      </c>
      <c r="AH8" s="263">
        <f t="shared" si="14"/>
        <v>-1.9874753523502664E-4</v>
      </c>
      <c r="AI8" s="264">
        <f t="shared" si="15"/>
        <v>113.82779106452273</v>
      </c>
    </row>
    <row r="9" spans="1:35" x14ac:dyDescent="0.45">
      <c r="A9" t="s">
        <v>124</v>
      </c>
      <c r="B9" s="48" t="s">
        <v>125</v>
      </c>
      <c r="C9" s="174">
        <v>30.774999999999999</v>
      </c>
      <c r="D9" s="174">
        <v>122.64100000000001</v>
      </c>
      <c r="E9" t="s">
        <v>8</v>
      </c>
      <c r="F9" t="s">
        <v>17</v>
      </c>
      <c r="G9" s="49">
        <v>-1.27</v>
      </c>
      <c r="H9" s="50">
        <v>50</v>
      </c>
      <c r="I9" s="50">
        <v>27.6</v>
      </c>
      <c r="J9" s="51">
        <f t="shared" si="16"/>
        <v>2.5415700835906305</v>
      </c>
      <c r="K9" s="51">
        <f t="shared" si="17"/>
        <v>93.958018169689524</v>
      </c>
      <c r="L9" s="52">
        <f t="shared" si="18"/>
        <v>6.8280714170272256</v>
      </c>
      <c r="M9" s="54">
        <v>2018</v>
      </c>
      <c r="N9" s="72">
        <v>5</v>
      </c>
      <c r="O9">
        <v>75</v>
      </c>
      <c r="P9" s="53">
        <v>59111.205119999999</v>
      </c>
      <c r="Q9" s="50">
        <v>25.3</v>
      </c>
      <c r="R9" s="50">
        <v>0.61037440930769205</v>
      </c>
      <c r="S9" s="50">
        <v>0.13007918103928487</v>
      </c>
      <c r="T9" s="170">
        <v>0.65010634829191405</v>
      </c>
      <c r="U9">
        <v>6000</v>
      </c>
      <c r="V9" s="61">
        <f t="shared" si="3"/>
        <v>4.1676800578787285E-9</v>
      </c>
      <c r="W9" s="61">
        <f t="shared" si="4"/>
        <v>2.0838400289393643E-8</v>
      </c>
      <c r="X9" s="62">
        <f t="shared" si="5"/>
        <v>68</v>
      </c>
      <c r="Y9" s="172">
        <f t="shared" si="6"/>
        <v>38.438126378501437</v>
      </c>
      <c r="Z9" s="172">
        <f t="shared" si="7"/>
        <v>8.8453843106713705</v>
      </c>
      <c r="AA9" s="68">
        <f t="shared" si="8"/>
        <v>2.2703780239031747E-4</v>
      </c>
      <c r="AB9" s="175">
        <f t="shared" si="9"/>
        <v>7.6910493385228023</v>
      </c>
      <c r="AC9" s="175">
        <f t="shared" si="10"/>
        <v>44.207231683850154</v>
      </c>
      <c r="AD9" s="70">
        <f t="shared" si="11"/>
        <v>6.8914485509881569E-4</v>
      </c>
      <c r="AE9" s="259">
        <f t="shared" si="12"/>
        <v>71</v>
      </c>
      <c r="AF9" s="259" cm="1">
        <f t="array" ref="AF9">_xlfn.IFS(N9&lt;=AC9,W9*(3/(X9^3 - (X9-AB9)^3)),N9&gt;AC9,W9*(3/X9^3))</f>
        <v>6.5751404605652317E-13</v>
      </c>
      <c r="AG9" s="261">
        <f t="shared" si="13"/>
        <v>7.8443836579378755E-4</v>
      </c>
      <c r="AH9" s="263">
        <f t="shared" si="14"/>
        <v>-9.5293510694971864E-5</v>
      </c>
      <c r="AI9" s="264">
        <f t="shared" si="15"/>
        <v>113.82779106452269</v>
      </c>
    </row>
    <row r="10" spans="1:35" x14ac:dyDescent="0.45">
      <c r="A10" t="s">
        <v>124</v>
      </c>
      <c r="B10" s="48" t="s">
        <v>125</v>
      </c>
      <c r="C10" s="174">
        <v>30.771000000000001</v>
      </c>
      <c r="D10" s="174">
        <v>122.733</v>
      </c>
      <c r="E10" t="s">
        <v>8</v>
      </c>
      <c r="F10" t="s">
        <v>17</v>
      </c>
      <c r="G10" s="49">
        <v>-1.27</v>
      </c>
      <c r="H10" s="50">
        <v>50</v>
      </c>
      <c r="I10" s="50">
        <v>73.599999999999994</v>
      </c>
      <c r="J10" s="51">
        <f t="shared" si="16"/>
        <v>2.9675388158629117</v>
      </c>
      <c r="K10" s="51">
        <f t="shared" si="17"/>
        <v>250.55471511917204</v>
      </c>
      <c r="L10" s="52">
        <f t="shared" si="18"/>
        <v>18.208190445405936</v>
      </c>
      <c r="M10" s="54">
        <v>2018</v>
      </c>
      <c r="N10" s="72">
        <v>5</v>
      </c>
      <c r="O10">
        <v>75</v>
      </c>
      <c r="P10" s="53">
        <v>68236.185599999997</v>
      </c>
      <c r="Q10" s="50">
        <v>33.6</v>
      </c>
      <c r="R10" s="50">
        <v>0.61037440930769205</v>
      </c>
      <c r="S10" s="50">
        <v>0.12900195678250043</v>
      </c>
      <c r="T10" s="170">
        <v>0.66525852305142696</v>
      </c>
      <c r="U10">
        <v>3000</v>
      </c>
      <c r="V10" s="61">
        <f t="shared" si="3"/>
        <v>1.1113813487676612E-8</v>
      </c>
      <c r="W10" s="61">
        <f t="shared" si="4"/>
        <v>5.5569067438383058E-8</v>
      </c>
      <c r="X10" s="62">
        <f t="shared" si="5"/>
        <v>68</v>
      </c>
      <c r="Y10" s="172">
        <f t="shared" si="6"/>
        <v>38.759101991220867</v>
      </c>
      <c r="Z10" s="172">
        <f t="shared" si="7"/>
        <v>8.7721330612100292</v>
      </c>
      <c r="AA10" s="68">
        <f t="shared" si="8"/>
        <v>6.0369290890459966E-4</v>
      </c>
      <c r="AB10" s="175">
        <f t="shared" si="9"/>
        <v>7.5158751474026309</v>
      </c>
      <c r="AC10" s="175">
        <f t="shared" si="10"/>
        <v>45.237579567497036</v>
      </c>
      <c r="AD10" s="70">
        <f t="shared" si="11"/>
        <v>1.8755342714133953E-3</v>
      </c>
      <c r="AE10" s="259">
        <f t="shared" si="12"/>
        <v>71</v>
      </c>
      <c r="AF10" s="259" cm="1">
        <f t="array" ref="AF10">_xlfn.IFS(N10&lt;=AC10,W10*(3/(X10^3 - (X10-AB10)^3)),N10&gt;AC10,W10*(3/X10^3))</f>
        <v>1.7894498060757758E-12</v>
      </c>
      <c r="AG10" s="261">
        <f t="shared" si="13"/>
        <v>2.1348792318079566E-3</v>
      </c>
      <c r="AH10" s="263">
        <f t="shared" si="14"/>
        <v>-2.593449603945613E-4</v>
      </c>
      <c r="AI10" s="264">
        <f t="shared" si="15"/>
        <v>113.82779106452263</v>
      </c>
    </row>
    <row r="11" spans="1:35" x14ac:dyDescent="0.45">
      <c r="A11" t="s">
        <v>124</v>
      </c>
      <c r="B11" s="48" t="s">
        <v>125</v>
      </c>
      <c r="C11" s="174">
        <v>30.762</v>
      </c>
      <c r="D11" s="174">
        <v>122.65900000000001</v>
      </c>
      <c r="E11" t="s">
        <v>8</v>
      </c>
      <c r="F11" t="s">
        <v>17</v>
      </c>
      <c r="G11" s="74">
        <v>-1.27</v>
      </c>
      <c r="H11" s="75">
        <v>50</v>
      </c>
      <c r="I11" s="75">
        <v>73.599999999999994</v>
      </c>
      <c r="J11" s="76">
        <f t="shared" si="16"/>
        <v>2.9675388158629117</v>
      </c>
      <c r="K11" s="76">
        <f t="shared" si="17"/>
        <v>250.55471511917204</v>
      </c>
      <c r="L11" s="77">
        <f t="shared" si="18"/>
        <v>18.208190445405936</v>
      </c>
      <c r="M11" s="78">
        <v>2018</v>
      </c>
      <c r="N11" s="72">
        <v>5</v>
      </c>
      <c r="O11">
        <v>75</v>
      </c>
      <c r="P11" s="79">
        <v>61718.342400000001</v>
      </c>
      <c r="Q11" s="75">
        <v>40.1</v>
      </c>
      <c r="R11" s="75">
        <v>0.61037440930769205</v>
      </c>
      <c r="S11" s="75">
        <v>0.12816457980462806</v>
      </c>
      <c r="T11" s="170">
        <v>0.65010634829191405</v>
      </c>
      <c r="U11" s="50">
        <v>7000</v>
      </c>
      <c r="V11" s="61">
        <f t="shared" si="3"/>
        <v>1.1113813487676612E-8</v>
      </c>
      <c r="W11" s="61">
        <f t="shared" si="4"/>
        <v>5.5569067438383058E-8</v>
      </c>
      <c r="X11" s="62">
        <f t="shared" si="5"/>
        <v>68</v>
      </c>
      <c r="Y11" s="172">
        <f t="shared" si="6"/>
        <v>39.012338725893819</v>
      </c>
      <c r="Z11" s="172">
        <f t="shared" si="7"/>
        <v>8.7151914267147088</v>
      </c>
      <c r="AA11" s="68">
        <f t="shared" si="8"/>
        <v>6.0235270804862809E-4</v>
      </c>
      <c r="AB11" s="175">
        <f t="shared" si="9"/>
        <v>7.6910493385228023</v>
      </c>
      <c r="AC11" s="175">
        <f t="shared" si="10"/>
        <v>44.207231683850154</v>
      </c>
      <c r="AD11" s="70">
        <f t="shared" si="11"/>
        <v>1.837719613596842E-3</v>
      </c>
      <c r="AE11" s="259">
        <f t="shared" si="12"/>
        <v>71</v>
      </c>
      <c r="AF11" s="259" cm="1">
        <f t="array" ref="AF11">_xlfn.IFS(N11&lt;=AC11,W11*(3/(X11^3 - (X11-AB11)^3)),N11&gt;AC11,W11*(3/X11^3))</f>
        <v>1.753370789484062E-12</v>
      </c>
      <c r="AG11" s="261">
        <f t="shared" si="13"/>
        <v>2.0918356421167671E-3</v>
      </c>
      <c r="AH11" s="263">
        <f t="shared" si="14"/>
        <v>-2.5411602851992511E-4</v>
      </c>
      <c r="AI11" s="264">
        <f t="shared" si="15"/>
        <v>113.8277910645227</v>
      </c>
    </row>
    <row r="12" spans="1:35" s="50" customFormat="1" x14ac:dyDescent="0.45">
      <c r="A12" s="50" t="s">
        <v>137</v>
      </c>
      <c r="B12" s="80" t="s">
        <v>138</v>
      </c>
      <c r="C12" s="177">
        <v>29.5</v>
      </c>
      <c r="D12" s="177">
        <v>121.51</v>
      </c>
      <c r="E12" s="50" t="s">
        <v>8</v>
      </c>
      <c r="F12" s="50" t="s">
        <v>139</v>
      </c>
      <c r="G12" s="50">
        <v>-1.1399999999999999</v>
      </c>
      <c r="H12" s="50">
        <v>500</v>
      </c>
      <c r="I12" s="73">
        <v>109.9629</v>
      </c>
      <c r="J12" s="50">
        <f t="shared" ref="J12:J16" si="19" xml:space="preserve"> LOG(I12, 10) - (G12) * LOG(H12,10)^(G12+1)</f>
        <v>3.0333043208989041</v>
      </c>
      <c r="K12" s="50">
        <f t="shared" ref="K12:K16" si="20" xml:space="preserve"> -1*10^J12*(G12+1)</f>
        <v>151.15842446180542</v>
      </c>
      <c r="L12" s="52">
        <f t="shared" ref="L12:L16" si="21">IF(E12="Fragments",0.000000097*K12*(5000^(4+G12)-1)/(4+G12),0.000106*K12*(5000^(2+G12)-1)/(2+G12))</f>
        <v>28.253202334126609</v>
      </c>
      <c r="M12" s="50">
        <v>2017</v>
      </c>
      <c r="N12" s="50">
        <v>5</v>
      </c>
      <c r="O12" s="50">
        <v>6</v>
      </c>
      <c r="P12" s="50">
        <v>3701.4911999999999</v>
      </c>
      <c r="R12" s="50">
        <v>0.61037440899999995</v>
      </c>
      <c r="S12" s="50">
        <v>0.13341858489683281</v>
      </c>
      <c r="T12" s="50">
        <v>0.58751200156561401</v>
      </c>
      <c r="U12" s="50">
        <v>1000</v>
      </c>
      <c r="V12" s="61">
        <f t="shared" si="3"/>
        <v>1.7245031677049948E-8</v>
      </c>
      <c r="W12" s="61">
        <f t="shared" si="4"/>
        <v>8.6225158385249745E-8</v>
      </c>
      <c r="X12" s="62">
        <f t="shared" si="5"/>
        <v>67</v>
      </c>
      <c r="Y12" s="172">
        <f t="shared" si="6"/>
        <v>37.476038318546834</v>
      </c>
      <c r="Z12" s="172">
        <f t="shared" si="7"/>
        <v>8.9390451880877979</v>
      </c>
      <c r="AA12" s="68">
        <f t="shared" si="8"/>
        <v>9.4293438423142389E-4</v>
      </c>
      <c r="AB12" s="175">
        <f t="shared" si="9"/>
        <v>8.5104644444298962</v>
      </c>
      <c r="AC12" s="175">
        <f t="shared" si="10"/>
        <v>39.363304104896137</v>
      </c>
      <c r="AD12" s="70">
        <f t="shared" si="11"/>
        <v>2.576104957119739E-3</v>
      </c>
      <c r="AE12" s="259">
        <f t="shared" si="12"/>
        <v>71</v>
      </c>
      <c r="AF12" s="259" cm="1">
        <f t="array" ref="AF12">_xlfn.IFS(N12&lt;=AC12,W12*(3/(X12^3 - (X12-AB12)^3)),N12&gt;AC12,W12*(3/X12^3))</f>
        <v>2.5695696848878413E-12</v>
      </c>
      <c r="AG12" s="261">
        <f t="shared" si="13"/>
        <v>3.0655908516263072E-3</v>
      </c>
      <c r="AH12" s="263">
        <f t="shared" si="14"/>
        <v>-4.8948589450656822E-4</v>
      </c>
      <c r="AI12" s="264">
        <f t="shared" si="15"/>
        <v>119.00100743774999</v>
      </c>
    </row>
    <row r="13" spans="1:35" s="50" customFormat="1" x14ac:dyDescent="0.45">
      <c r="A13" s="50" t="s">
        <v>137</v>
      </c>
      <c r="B13" s="80" t="s">
        <v>138</v>
      </c>
      <c r="C13" s="177">
        <v>29.51</v>
      </c>
      <c r="D13" s="177">
        <v>121.5</v>
      </c>
      <c r="E13" s="50" t="s">
        <v>8</v>
      </c>
      <c r="F13" s="50" t="s">
        <v>10</v>
      </c>
      <c r="G13" s="50">
        <v>-1.1399999999999999</v>
      </c>
      <c r="H13" s="50">
        <v>500</v>
      </c>
      <c r="I13" s="73">
        <v>208.85040000000001</v>
      </c>
      <c r="J13" s="50">
        <f t="shared" si="19"/>
        <v>3.31189344751464</v>
      </c>
      <c r="K13" s="50">
        <f t="shared" si="20"/>
        <v>287.09225940947221</v>
      </c>
      <c r="L13" s="52">
        <f t="shared" si="21"/>
        <v>53.660758389995863</v>
      </c>
      <c r="M13" s="50">
        <v>2017</v>
      </c>
      <c r="N13" s="50">
        <v>5</v>
      </c>
      <c r="O13" s="50">
        <v>6</v>
      </c>
      <c r="P13" s="50">
        <v>2397.92256</v>
      </c>
      <c r="R13" s="50">
        <v>0.61037440899999995</v>
      </c>
      <c r="S13" s="50">
        <v>0.13341858489683281</v>
      </c>
      <c r="T13" s="50">
        <v>0.58751200156561401</v>
      </c>
      <c r="U13" s="50">
        <v>1000</v>
      </c>
      <c r="V13" s="61">
        <f t="shared" si="3"/>
        <v>3.2753153688785522E-8</v>
      </c>
      <c r="W13" s="61">
        <f t="shared" si="4"/>
        <v>1.637657684439276E-7</v>
      </c>
      <c r="X13" s="62">
        <f t="shared" si="5"/>
        <v>67</v>
      </c>
      <c r="Y13" s="172">
        <f t="shared" si="6"/>
        <v>37.476038318546834</v>
      </c>
      <c r="Z13" s="172">
        <f t="shared" si="7"/>
        <v>8.9390451880877979</v>
      </c>
      <c r="AA13" s="68">
        <f t="shared" si="8"/>
        <v>1.7908969599791074E-3</v>
      </c>
      <c r="AB13" s="175">
        <f t="shared" si="9"/>
        <v>8.5104644444298962</v>
      </c>
      <c r="AC13" s="175">
        <f t="shared" si="10"/>
        <v>39.363304104896137</v>
      </c>
      <c r="AD13" s="70">
        <f t="shared" si="11"/>
        <v>4.8927461056087135E-3</v>
      </c>
      <c r="AE13" s="259">
        <f t="shared" si="12"/>
        <v>71</v>
      </c>
      <c r="AF13" s="259" cm="1">
        <f t="array" ref="AF13">_xlfn.IFS(N13&lt;=AC13,W13*(3/(X13^3 - (X13-AB13)^3)),N13&gt;AC13,W13*(3/X13^3))</f>
        <v>4.8803337900028072E-12</v>
      </c>
      <c r="AG13" s="261">
        <f t="shared" si="13"/>
        <v>5.8224171570456489E-3</v>
      </c>
      <c r="AH13" s="263">
        <f t="shared" si="14"/>
        <v>-9.2967105143693541E-4</v>
      </c>
      <c r="AI13" s="264">
        <f t="shared" si="15"/>
        <v>119.00100743774999</v>
      </c>
    </row>
    <row r="14" spans="1:35" s="50" customFormat="1" x14ac:dyDescent="0.45">
      <c r="A14" s="50" t="s">
        <v>137</v>
      </c>
      <c r="B14" s="80" t="s">
        <v>138</v>
      </c>
      <c r="C14" s="177">
        <v>29.51</v>
      </c>
      <c r="D14" s="177">
        <v>121.51</v>
      </c>
      <c r="E14" s="50" t="s">
        <v>8</v>
      </c>
      <c r="F14" s="50" t="s">
        <v>140</v>
      </c>
      <c r="G14" s="50">
        <v>-1.1399999999999999</v>
      </c>
      <c r="H14" s="50">
        <v>500</v>
      </c>
      <c r="I14" s="73">
        <v>261.06299999999999</v>
      </c>
      <c r="J14" s="50">
        <f t="shared" si="19"/>
        <v>3.4088034605226962</v>
      </c>
      <c r="K14" s="50">
        <f t="shared" si="20"/>
        <v>358.86532426183987</v>
      </c>
      <c r="L14" s="52">
        <f t="shared" si="21"/>
        <v>67.075947987494757</v>
      </c>
      <c r="M14" s="50">
        <v>2017</v>
      </c>
      <c r="N14" s="50">
        <v>5</v>
      </c>
      <c r="O14" s="50">
        <v>6</v>
      </c>
      <c r="P14" s="50">
        <v>1062.16704</v>
      </c>
      <c r="R14" s="50">
        <v>0.61037440899999995</v>
      </c>
      <c r="S14" s="50">
        <v>0.13341858489683281</v>
      </c>
      <c r="T14" s="50">
        <v>0.58751200156561401</v>
      </c>
      <c r="U14" s="50">
        <v>1000</v>
      </c>
      <c r="V14" s="61">
        <f t="shared" si="3"/>
        <v>4.0941442110981848E-8</v>
      </c>
      <c r="W14" s="61">
        <f t="shared" si="4"/>
        <v>2.0470721055490923E-7</v>
      </c>
      <c r="X14" s="62">
        <f t="shared" si="5"/>
        <v>67</v>
      </c>
      <c r="Y14" s="172">
        <f t="shared" si="6"/>
        <v>37.476038318546834</v>
      </c>
      <c r="Z14" s="172">
        <f t="shared" si="7"/>
        <v>8.9390451880877979</v>
      </c>
      <c r="AA14" s="68">
        <f t="shared" si="8"/>
        <v>2.2386211999738817E-3</v>
      </c>
      <c r="AB14" s="175">
        <f t="shared" si="9"/>
        <v>8.5104644444298962</v>
      </c>
      <c r="AC14" s="175">
        <f t="shared" si="10"/>
        <v>39.363304104896137</v>
      </c>
      <c r="AD14" s="70">
        <f t="shared" si="11"/>
        <v>6.1159326320108839E-3</v>
      </c>
      <c r="AE14" s="259">
        <f t="shared" si="12"/>
        <v>71</v>
      </c>
      <c r="AF14" s="259" cm="1">
        <f t="array" ref="AF14">_xlfn.IFS(N14&lt;=AC14,W14*(3/(X14^3 - (X14-AB14)^3)),N14&gt;AC14,W14*(3/X14^3))</f>
        <v>6.100417237503501E-12</v>
      </c>
      <c r="AG14" s="261">
        <f t="shared" si="13"/>
        <v>7.278021446307052E-3</v>
      </c>
      <c r="AH14" s="263">
        <f t="shared" si="14"/>
        <v>-1.1620888142961682E-3</v>
      </c>
      <c r="AI14" s="264">
        <f t="shared" si="15"/>
        <v>119.00100743775002</v>
      </c>
    </row>
    <row r="15" spans="1:35" s="50" customFormat="1" x14ac:dyDescent="0.45">
      <c r="A15" s="50" t="s">
        <v>137</v>
      </c>
      <c r="B15" s="80" t="s">
        <v>138</v>
      </c>
      <c r="C15" s="177">
        <v>29.52</v>
      </c>
      <c r="D15" s="177">
        <v>121.5</v>
      </c>
      <c r="E15" s="50" t="s">
        <v>8</v>
      </c>
      <c r="F15" s="50" t="s">
        <v>141</v>
      </c>
      <c r="G15" s="50">
        <v>-1.1399999999999999</v>
      </c>
      <c r="H15" s="50">
        <v>500</v>
      </c>
      <c r="I15" s="73">
        <v>250.25129999999999</v>
      </c>
      <c r="J15" s="50">
        <f t="shared" si="19"/>
        <v>3.3904344783524394</v>
      </c>
      <c r="K15" s="50">
        <f t="shared" si="20"/>
        <v>344.00322497422871</v>
      </c>
      <c r="L15" s="52">
        <f t="shared" si="21"/>
        <v>64.298055192053127</v>
      </c>
      <c r="M15" s="50">
        <v>2017</v>
      </c>
      <c r="N15" s="50">
        <v>5</v>
      </c>
      <c r="O15" s="50">
        <v>6</v>
      </c>
      <c r="P15" s="50">
        <v>1303.5686400000002</v>
      </c>
      <c r="R15" s="50">
        <v>0.61037440899999995</v>
      </c>
      <c r="S15" s="50">
        <v>0.13341858489683281</v>
      </c>
      <c r="T15" s="50">
        <v>0.58751200156561401</v>
      </c>
      <c r="U15" s="50">
        <v>1000</v>
      </c>
      <c r="V15" s="61">
        <f t="shared" si="3"/>
        <v>3.9245887437698809E-8</v>
      </c>
      <c r="W15" s="61">
        <f t="shared" si="4"/>
        <v>1.9622943718849405E-7</v>
      </c>
      <c r="X15" s="62">
        <f t="shared" si="5"/>
        <v>67</v>
      </c>
      <c r="Y15" s="172">
        <f t="shared" si="6"/>
        <v>37.476038318546834</v>
      </c>
      <c r="Z15" s="172">
        <f t="shared" si="7"/>
        <v>8.9390451880877979</v>
      </c>
      <c r="AA15" s="68">
        <f t="shared" si="8"/>
        <v>2.1459106250254711E-3</v>
      </c>
      <c r="AB15" s="175">
        <f t="shared" si="9"/>
        <v>8.5104644444298962</v>
      </c>
      <c r="AC15" s="175">
        <f t="shared" si="10"/>
        <v>39.363304104896137</v>
      </c>
      <c r="AD15" s="70">
        <f t="shared" si="11"/>
        <v>5.8626465331094307E-3</v>
      </c>
      <c r="AE15" s="259">
        <f t="shared" si="12"/>
        <v>71</v>
      </c>
      <c r="AF15" s="259" cm="1">
        <f t="array" ref="AF15">_xlfn.IFS(N15&lt;=AC15,W15*(3/(X15^3 - (X15-AB15)^3)),N15&gt;AC15,W15*(3/X15^3))</f>
        <v>5.8477736953442724E-12</v>
      </c>
      <c r="AG15" s="261">
        <f t="shared" si="13"/>
        <v>6.9766084369145467E-3</v>
      </c>
      <c r="AH15" s="263">
        <f t="shared" si="14"/>
        <v>-1.1139619038051159E-3</v>
      </c>
      <c r="AI15" s="264">
        <f t="shared" si="15"/>
        <v>119.00100743775</v>
      </c>
    </row>
    <row r="16" spans="1:35" s="50" customFormat="1" x14ac:dyDescent="0.45">
      <c r="A16" s="50" t="s">
        <v>137</v>
      </c>
      <c r="B16" s="80" t="s">
        <v>138</v>
      </c>
      <c r="C16" s="177">
        <v>29.53</v>
      </c>
      <c r="D16" s="177">
        <v>121.5</v>
      </c>
      <c r="E16" s="50" t="s">
        <v>8</v>
      </c>
      <c r="F16" s="50" t="s">
        <v>10</v>
      </c>
      <c r="G16" s="50">
        <v>-1.1399999999999999</v>
      </c>
      <c r="H16" s="50">
        <v>500</v>
      </c>
      <c r="I16" s="73">
        <v>1466.4357</v>
      </c>
      <c r="J16" s="50">
        <f t="shared" si="19"/>
        <v>4.1583211610020463</v>
      </c>
      <c r="K16" s="50">
        <f t="shared" si="20"/>
        <v>2015.8081497172623</v>
      </c>
      <c r="L16" s="52">
        <f t="shared" si="21"/>
        <v>376.77711793783635</v>
      </c>
      <c r="M16" s="50">
        <v>2017</v>
      </c>
      <c r="N16" s="50">
        <v>5</v>
      </c>
      <c r="O16" s="50">
        <v>6</v>
      </c>
      <c r="P16" s="50">
        <v>225.30816000000002</v>
      </c>
      <c r="R16" s="50">
        <v>0.61037440899999995</v>
      </c>
      <c r="S16" s="50">
        <v>0.13341858489683281</v>
      </c>
      <c r="T16" s="50">
        <v>0.58751200156561401</v>
      </c>
      <c r="U16" s="50">
        <v>1000</v>
      </c>
      <c r="V16" s="61">
        <f t="shared" si="3"/>
        <v>2.2997511068603016E-7</v>
      </c>
      <c r="W16" s="61">
        <f t="shared" si="4"/>
        <v>1.1498755534301508E-6</v>
      </c>
      <c r="X16" s="62">
        <f t="shared" si="5"/>
        <v>67</v>
      </c>
      <c r="Y16" s="172">
        <f t="shared" si="6"/>
        <v>37.476038318546834</v>
      </c>
      <c r="Z16" s="172">
        <f t="shared" si="7"/>
        <v>8.9390451880877979</v>
      </c>
      <c r="AA16" s="68">
        <f t="shared" si="8"/>
        <v>1.2574719689954286E-2</v>
      </c>
      <c r="AB16" s="175">
        <f t="shared" si="9"/>
        <v>8.5104644444298962</v>
      </c>
      <c r="AC16" s="175">
        <f t="shared" si="10"/>
        <v>39.363304104896137</v>
      </c>
      <c r="AD16" s="70">
        <f t="shared" si="11"/>
        <v>3.4354243804659089E-2</v>
      </c>
      <c r="AE16" s="259">
        <f t="shared" si="12"/>
        <v>71</v>
      </c>
      <c r="AF16" s="259" cm="1">
        <f t="array" ref="AF16">_xlfn.IFS(N16&lt;=AC16,W16*(3/(X16^3 - (X16-AB16)^3)),N16&gt;AC16,W16*(3/X16^3))</f>
        <v>3.4267091169451454E-11</v>
      </c>
      <c r="AG16" s="261">
        <f t="shared" si="13"/>
        <v>4.088189622516513E-2</v>
      </c>
      <c r="AH16" s="263">
        <f t="shared" si="14"/>
        <v>-6.5276524205060416E-3</v>
      </c>
      <c r="AI16" s="264">
        <f t="shared" si="15"/>
        <v>119.00100743774999</v>
      </c>
    </row>
    <row r="17" spans="1:35" x14ac:dyDescent="0.45">
      <c r="A17" s="90" t="s">
        <v>144</v>
      </c>
      <c r="B17" s="81"/>
      <c r="C17" s="174"/>
      <c r="D17" s="174"/>
      <c r="I17" s="82"/>
      <c r="L17" s="71"/>
      <c r="AB17" s="173"/>
      <c r="AC17" s="173"/>
    </row>
    <row r="18" spans="1:35" s="50" customFormat="1" x14ac:dyDescent="0.45">
      <c r="A18" s="50" t="s">
        <v>142</v>
      </c>
      <c r="B18" s="80" t="s">
        <v>145</v>
      </c>
      <c r="C18" s="177">
        <v>37.862000000000002</v>
      </c>
      <c r="D18" s="177">
        <v>119.444</v>
      </c>
      <c r="E18" s="50" t="s">
        <v>8</v>
      </c>
      <c r="F18" s="50" t="s">
        <v>146</v>
      </c>
      <c r="G18" s="50">
        <v>-1.55</v>
      </c>
      <c r="H18" s="50">
        <v>500</v>
      </c>
      <c r="I18" s="50">
        <v>91.224435215999989</v>
      </c>
      <c r="J18" s="50">
        <f t="shared" ref="J18" si="22" xml:space="preserve"> LOG(I18, 10) - (G18) * LOG(H18,10)^(G18+1)</f>
        <v>2.8578970541317519</v>
      </c>
      <c r="K18" s="50">
        <f t="shared" ref="K18" si="23" xml:space="preserve"> -1*10^J18*(G18+1)</f>
        <v>396.51511182477338</v>
      </c>
      <c r="L18" s="52">
        <f t="shared" ref="L18" si="24">IF(E18="Fragments",0.000000097*K18*(5000^(4+G18)-1)/(4+G18),0.000106*K18*(5000^(2+G18)-1)/(2+G18))</f>
        <v>4.2206925963290152</v>
      </c>
      <c r="M18" s="50">
        <v>2016</v>
      </c>
      <c r="N18" s="92">
        <v>5</v>
      </c>
      <c r="O18" s="50">
        <v>30</v>
      </c>
      <c r="P18" s="50">
        <v>25154.046720000002</v>
      </c>
      <c r="Q18" s="50">
        <v>10</v>
      </c>
      <c r="R18" s="50">
        <v>0.61037440899999995</v>
      </c>
      <c r="S18" s="50">
        <v>0.13208853699948581</v>
      </c>
      <c r="T18" s="91">
        <v>2.2290935180095701</v>
      </c>
      <c r="U18" s="50">
        <v>35000</v>
      </c>
      <c r="V18" s="61">
        <f t="shared" si="3"/>
        <v>2.5762027490549982E-9</v>
      </c>
      <c r="W18" s="61">
        <f t="shared" si="4"/>
        <v>1.288101374527499E-8</v>
      </c>
      <c r="X18" s="62">
        <f t="shared" si="5"/>
        <v>66</v>
      </c>
      <c r="Y18" s="172">
        <f t="shared" si="6"/>
        <v>37.853398285571622</v>
      </c>
      <c r="Z18" s="172">
        <f t="shared" si="7"/>
        <v>8.717843441966064</v>
      </c>
      <c r="AA18" s="68">
        <f t="shared" si="8"/>
        <v>1.3964089192339057E-4</v>
      </c>
      <c r="AB18" s="175">
        <f t="shared" si="9"/>
        <v>2.2430642589031717</v>
      </c>
      <c r="AC18" s="175">
        <f t="shared" si="10"/>
        <v>147.12017218863161</v>
      </c>
      <c r="AD18" s="70">
        <f t="shared" si="11"/>
        <v>1.3072975639297499E-3</v>
      </c>
      <c r="AE18" s="259">
        <f t="shared" si="12"/>
        <v>71</v>
      </c>
      <c r="AF18" s="259" cm="1">
        <f t="array" ref="AF18">_xlfn.IFS(N18&lt;=AC18,W18*(3/(X18^3 - (X18-AB18)^3)),N18&gt;AC18,W18*(3/X18^3))</f>
        <v>1.3641555680041638E-12</v>
      </c>
      <c r="AG18" s="261">
        <f t="shared" si="13"/>
        <v>1.6274876116664609E-3</v>
      </c>
      <c r="AH18" s="263">
        <f t="shared" si="14"/>
        <v>-3.20190047736711E-4</v>
      </c>
      <c r="AI18" s="264">
        <f t="shared" si="15"/>
        <v>124.49251467846514</v>
      </c>
    </row>
    <row r="19" spans="1:35" s="50" customFormat="1" x14ac:dyDescent="0.45">
      <c r="A19" s="50" t="s">
        <v>142</v>
      </c>
      <c r="B19" s="80" t="s">
        <v>145</v>
      </c>
      <c r="C19" s="177">
        <v>38.095999999999997</v>
      </c>
      <c r="D19" s="177">
        <v>120.04300000000001</v>
      </c>
      <c r="E19" s="50" t="s">
        <v>8</v>
      </c>
      <c r="F19" s="50" t="s">
        <v>146</v>
      </c>
      <c r="G19" s="50">
        <v>-1.55</v>
      </c>
      <c r="H19" s="50">
        <v>500</v>
      </c>
      <c r="I19" s="50">
        <v>133.57030476</v>
      </c>
      <c r="J19" s="50">
        <f t="shared" ref="J19:J30" si="25" xml:space="preserve"> LOG(I19, 10) - (G19) * LOG(H19,10)^(G19+1)</f>
        <v>3.0234957877478106</v>
      </c>
      <c r="K19" s="50">
        <f t="shared" ref="K19:K30" si="26" xml:space="preserve"> -1*10^J19*(G19+1)</f>
        <v>580.57519570251316</v>
      </c>
      <c r="L19" s="52">
        <f t="shared" ref="L19:L30" si="27">IF(E19="Fragments",0.000000097*K19*(5000^(4+G19)-1)/(4+G19),0.000106*K19*(5000^(2+G19)-1)/(2+G19))</f>
        <v>6.1799143514024557</v>
      </c>
      <c r="M19" s="50">
        <v>2016</v>
      </c>
      <c r="N19" s="92">
        <v>5</v>
      </c>
      <c r="O19" s="50">
        <v>30</v>
      </c>
      <c r="P19" s="50">
        <v>50533.401599999997</v>
      </c>
      <c r="Q19" s="50">
        <v>10</v>
      </c>
      <c r="R19" s="50">
        <v>0.61037440899999995</v>
      </c>
      <c r="S19" s="50">
        <v>0.13208853699948581</v>
      </c>
      <c r="T19" s="91">
        <v>1.2478572226760301</v>
      </c>
      <c r="U19" s="50">
        <v>48000</v>
      </c>
      <c r="V19" s="61">
        <f t="shared" si="3"/>
        <v>3.7720615699078919E-9</v>
      </c>
      <c r="W19" s="61">
        <f t="shared" si="4"/>
        <v>1.886030784953946E-8</v>
      </c>
      <c r="X19" s="62">
        <f t="shared" si="5"/>
        <v>66</v>
      </c>
      <c r="Y19" s="172">
        <f t="shared" si="6"/>
        <v>37.853398285571622</v>
      </c>
      <c r="Z19" s="172">
        <f t="shared" si="7"/>
        <v>8.717843441966064</v>
      </c>
      <c r="AA19" s="68">
        <f t="shared" si="8"/>
        <v>2.0446140825100016E-4</v>
      </c>
      <c r="AB19" s="175">
        <f t="shared" si="9"/>
        <v>4.0068686618469851</v>
      </c>
      <c r="AC19" s="175">
        <f t="shared" si="10"/>
        <v>82.358576696617988</v>
      </c>
      <c r="AD19" s="70">
        <f t="shared" si="11"/>
        <v>1.1010297023499017E-3</v>
      </c>
      <c r="AE19" s="259">
        <f t="shared" si="12"/>
        <v>71</v>
      </c>
      <c r="AF19" s="259" cm="1">
        <f t="array" ref="AF19">_xlfn.IFS(N19&lt;=AC19,W19*(3/(X19^3 - (X19-AB19)^3)),N19&gt;AC19,W19*(3/X19^3))</f>
        <v>1.1489165438996376E-12</v>
      </c>
      <c r="AG19" s="261">
        <f t="shared" si="13"/>
        <v>1.3706995638122106E-3</v>
      </c>
      <c r="AH19" s="263">
        <f t="shared" si="14"/>
        <v>-2.6966986146230898E-4</v>
      </c>
      <c r="AI19" s="264">
        <f t="shared" si="15"/>
        <v>124.492514678465</v>
      </c>
    </row>
    <row r="20" spans="1:35" s="50" customFormat="1" x14ac:dyDescent="0.45">
      <c r="A20" s="50" t="s">
        <v>142</v>
      </c>
      <c r="B20" s="80" t="s">
        <v>145</v>
      </c>
      <c r="C20" s="177">
        <v>33.716884</v>
      </c>
      <c r="D20" s="177">
        <v>123.390299</v>
      </c>
      <c r="E20" s="50" t="s">
        <v>8</v>
      </c>
      <c r="F20" s="50" t="s">
        <v>146</v>
      </c>
      <c r="G20" s="50">
        <v>-1.55</v>
      </c>
      <c r="H20" s="50">
        <v>500</v>
      </c>
      <c r="I20" s="50">
        <v>51.211671432000003</v>
      </c>
      <c r="J20" s="50">
        <f t="shared" si="25"/>
        <v>2.6071548213140252</v>
      </c>
      <c r="K20" s="50">
        <f t="shared" si="26"/>
        <v>222.59607940035212</v>
      </c>
      <c r="L20" s="52">
        <f t="shared" si="27"/>
        <v>2.3694169434634729</v>
      </c>
      <c r="M20" s="50">
        <v>2016</v>
      </c>
      <c r="N20" s="92">
        <v>5</v>
      </c>
      <c r="O20" s="50">
        <v>30</v>
      </c>
      <c r="P20" s="50">
        <v>270450.25920000003</v>
      </c>
      <c r="Q20" s="50">
        <v>20</v>
      </c>
      <c r="R20" s="50">
        <v>0.61037440899999995</v>
      </c>
      <c r="S20" s="50">
        <v>0.13077174832993385</v>
      </c>
      <c r="T20" s="91">
        <v>0.33821065994914901</v>
      </c>
      <c r="U20" s="50">
        <v>161000</v>
      </c>
      <c r="V20" s="61">
        <f t="shared" si="3"/>
        <v>1.4462314665411037E-9</v>
      </c>
      <c r="W20" s="61">
        <f t="shared" si="4"/>
        <v>7.2311573327055187E-9</v>
      </c>
      <c r="X20" s="62">
        <f t="shared" si="5"/>
        <v>66</v>
      </c>
      <c r="Y20" s="172">
        <f t="shared" si="6"/>
        <v>38.234558028429234</v>
      </c>
      <c r="Z20" s="172">
        <f t="shared" si="7"/>
        <v>8.6309353897756349</v>
      </c>
      <c r="AA20" s="68">
        <f t="shared" si="8"/>
        <v>7.8128469080928703E-5</v>
      </c>
      <c r="AB20" s="175">
        <f t="shared" si="9"/>
        <v>14.783685412966477</v>
      </c>
      <c r="AC20" s="175">
        <f t="shared" si="10"/>
        <v>22.321903556643836</v>
      </c>
      <c r="AD20" s="70">
        <f t="shared" si="11"/>
        <v>1.3574468078116216E-4</v>
      </c>
      <c r="AE20" s="259">
        <f t="shared" si="12"/>
        <v>71</v>
      </c>
      <c r="AF20" s="259" cm="1">
        <f t="array" ref="AF20">_xlfn.IFS(N20&lt;=AC20,W20*(3/(X20^3 - (X20-AB20)^3)),N20&gt;AC20,W20*(3/X20^3))</f>
        <v>1.4164859418687097E-13</v>
      </c>
      <c r="AG20" s="261">
        <f t="shared" si="13"/>
        <v>1.6899196664672394E-4</v>
      </c>
      <c r="AH20" s="263">
        <f t="shared" si="14"/>
        <v>-3.3247285865561774E-5</v>
      </c>
      <c r="AI20" s="264">
        <f t="shared" si="15"/>
        <v>124.49251467846514</v>
      </c>
    </row>
    <row r="21" spans="1:35" s="50" customFormat="1" x14ac:dyDescent="0.45">
      <c r="A21" s="50" t="s">
        <v>142</v>
      </c>
      <c r="B21" s="80" t="s">
        <v>145</v>
      </c>
      <c r="C21" s="177">
        <v>38.585999999999999</v>
      </c>
      <c r="D21" s="177">
        <v>118.854</v>
      </c>
      <c r="E21" s="50" t="s">
        <v>8</v>
      </c>
      <c r="F21" s="50" t="s">
        <v>146</v>
      </c>
      <c r="G21" s="50">
        <v>-1.55</v>
      </c>
      <c r="H21" s="50">
        <v>500</v>
      </c>
      <c r="I21" s="50">
        <v>114.32218223999999</v>
      </c>
      <c r="J21" s="50">
        <f t="shared" si="25"/>
        <v>2.9559163767643986</v>
      </c>
      <c r="K21" s="50">
        <f t="shared" si="26"/>
        <v>496.91152121263144</v>
      </c>
      <c r="L21" s="52">
        <f t="shared" si="27"/>
        <v>5.2893590081872555</v>
      </c>
      <c r="M21" s="50">
        <v>2016</v>
      </c>
      <c r="N21" s="92">
        <v>5</v>
      </c>
      <c r="O21" s="50">
        <v>30</v>
      </c>
      <c r="P21" s="50">
        <v>44144.305919999999</v>
      </c>
      <c r="Q21" s="50">
        <v>20</v>
      </c>
      <c r="R21" s="50">
        <v>0.61037440899999995</v>
      </c>
      <c r="S21" s="50">
        <v>0.13077174832993385</v>
      </c>
      <c r="T21" s="91">
        <v>1.5618462530685999</v>
      </c>
      <c r="U21" s="50">
        <v>41000</v>
      </c>
      <c r="V21" s="61">
        <f t="shared" si="3"/>
        <v>3.2284893786111224E-9</v>
      </c>
      <c r="W21" s="61">
        <f t="shared" si="4"/>
        <v>1.6142446893055612E-8</v>
      </c>
      <c r="X21" s="62">
        <f t="shared" si="5"/>
        <v>66</v>
      </c>
      <c r="Y21" s="172">
        <f t="shared" si="6"/>
        <v>38.234558028429234</v>
      </c>
      <c r="Z21" s="172">
        <f t="shared" si="7"/>
        <v>8.6309353897756349</v>
      </c>
      <c r="AA21" s="68">
        <f t="shared" si="8"/>
        <v>1.7440979430366783E-4</v>
      </c>
      <c r="AB21" s="175">
        <f t="shared" si="9"/>
        <v>3.2013394341321177</v>
      </c>
      <c r="AC21" s="175">
        <f t="shared" si="10"/>
        <v>103.0818527025276</v>
      </c>
      <c r="AD21" s="70">
        <f t="shared" si="11"/>
        <v>1.1649199071993158E-3</v>
      </c>
      <c r="AE21" s="259">
        <f t="shared" si="12"/>
        <v>71</v>
      </c>
      <c r="AF21" s="259" cm="1">
        <f t="array" ref="AF21">_xlfn.IFS(N21&lt;=AC21,W21*(3/(X21^3 - (X21-AB21)^3)),N21&gt;AC21,W21*(3/X21^3))</f>
        <v>1.2155855113107484E-12</v>
      </c>
      <c r="AG21" s="261">
        <f t="shared" si="13"/>
        <v>1.4502380864624708E-3</v>
      </c>
      <c r="AH21" s="263">
        <f t="shared" si="14"/>
        <v>-2.85318179263155E-4</v>
      </c>
      <c r="AI21" s="264">
        <f t="shared" si="15"/>
        <v>124.49251467846516</v>
      </c>
    </row>
    <row r="22" spans="1:35" s="50" customFormat="1" x14ac:dyDescent="0.45">
      <c r="A22" s="50" t="s">
        <v>142</v>
      </c>
      <c r="B22" s="80" t="s">
        <v>145</v>
      </c>
      <c r="C22" s="177">
        <v>39.396999999999998</v>
      </c>
      <c r="D22" s="177">
        <v>120.20399999999999</v>
      </c>
      <c r="E22" s="50" t="s">
        <v>8</v>
      </c>
      <c r="F22" s="50" t="s">
        <v>146</v>
      </c>
      <c r="G22" s="50">
        <v>-1.55</v>
      </c>
      <c r="H22" s="50">
        <v>500</v>
      </c>
      <c r="I22" s="50">
        <v>72.792899711999993</v>
      </c>
      <c r="J22" s="50">
        <f t="shared" si="25"/>
        <v>2.759874890754328</v>
      </c>
      <c r="K22" s="50">
        <f t="shared" si="26"/>
        <v>316.4008053435532</v>
      </c>
      <c r="L22" s="52">
        <f t="shared" si="27"/>
        <v>3.3679183888865802</v>
      </c>
      <c r="M22" s="50">
        <v>2016</v>
      </c>
      <c r="N22" s="92">
        <v>5</v>
      </c>
      <c r="O22" s="50">
        <v>30</v>
      </c>
      <c r="P22" s="50">
        <v>90960.12288000001</v>
      </c>
      <c r="Q22" s="50">
        <v>30</v>
      </c>
      <c r="R22" s="50">
        <v>0.61037440899999995</v>
      </c>
      <c r="S22" s="50">
        <v>0.12946808670713136</v>
      </c>
      <c r="T22" s="91">
        <v>1.40292123565481</v>
      </c>
      <c r="U22" s="50">
        <v>72000</v>
      </c>
      <c r="V22" s="61">
        <f t="shared" si="3"/>
        <v>2.0556911961768783E-9</v>
      </c>
      <c r="W22" s="61">
        <f t="shared" si="4"/>
        <v>1.0278455980884391E-8</v>
      </c>
      <c r="X22" s="62">
        <f t="shared" si="5"/>
        <v>66</v>
      </c>
      <c r="Y22" s="172">
        <f t="shared" si="6"/>
        <v>38.619555808455381</v>
      </c>
      <c r="Z22" s="172">
        <f t="shared" si="7"/>
        <v>8.54489372267067</v>
      </c>
      <c r="AA22" s="68">
        <f t="shared" si="8"/>
        <v>1.106874910805516E-4</v>
      </c>
      <c r="AB22" s="175">
        <f t="shared" si="9"/>
        <v>3.5639919568729477</v>
      </c>
      <c r="AC22" s="175">
        <f t="shared" si="10"/>
        <v>92.592801553217456</v>
      </c>
      <c r="AD22" s="70">
        <f t="shared" si="11"/>
        <v>6.7000285601208028E-4</v>
      </c>
      <c r="AE22" s="259">
        <f t="shared" si="12"/>
        <v>71</v>
      </c>
      <c r="AF22" s="259" cm="1">
        <f t="array" ref="AF22">_xlfn.IFS(N22&lt;=AC22,W22*(3/(X22^3 - (X22-AB22)^3)),N22&gt;AC22,W22*(3/X22^3))</f>
        <v>6.9914314217806248E-13</v>
      </c>
      <c r="AG22" s="261">
        <f t="shared" si="13"/>
        <v>8.3410340386697501E-4</v>
      </c>
      <c r="AH22" s="263">
        <f t="shared" si="14"/>
        <v>-1.6410054785489473E-4</v>
      </c>
      <c r="AI22" s="264">
        <f t="shared" si="15"/>
        <v>124.4925146784652</v>
      </c>
    </row>
    <row r="23" spans="1:35" s="50" customFormat="1" x14ac:dyDescent="0.45">
      <c r="A23" s="50" t="s">
        <v>142</v>
      </c>
      <c r="B23" s="80" t="s">
        <v>145</v>
      </c>
      <c r="C23" s="177">
        <v>35.270245000000003</v>
      </c>
      <c r="D23" s="177">
        <v>122.83520300000001</v>
      </c>
      <c r="E23" s="50" t="s">
        <v>8</v>
      </c>
      <c r="F23" s="50" t="s">
        <v>146</v>
      </c>
      <c r="G23" s="50">
        <v>-1.55</v>
      </c>
      <c r="H23" s="50">
        <v>500</v>
      </c>
      <c r="I23" s="50">
        <v>33.246757080000002</v>
      </c>
      <c r="J23" s="50">
        <f t="shared" si="25"/>
        <v>2.4195351610804141</v>
      </c>
      <c r="K23" s="50">
        <f t="shared" si="26"/>
        <v>144.50998320979582</v>
      </c>
      <c r="L23" s="52">
        <f t="shared" si="27"/>
        <v>1.5382319564626197</v>
      </c>
      <c r="M23" s="50">
        <v>2016</v>
      </c>
      <c r="N23" s="92">
        <v>5</v>
      </c>
      <c r="O23" s="50">
        <v>30</v>
      </c>
      <c r="P23" s="50">
        <v>223682.72256000002</v>
      </c>
      <c r="Q23" s="50">
        <v>45</v>
      </c>
      <c r="R23" s="50">
        <v>0.61037440899999995</v>
      </c>
      <c r="S23" s="50">
        <v>0.12753692157911437</v>
      </c>
      <c r="T23" s="91">
        <v>0.13991410749108699</v>
      </c>
      <c r="U23" s="50">
        <v>173000</v>
      </c>
      <c r="V23" s="61">
        <f t="shared" si="3"/>
        <v>9.3889742133078515E-10</v>
      </c>
      <c r="W23" s="61">
        <f t="shared" si="4"/>
        <v>4.6944871066539255E-9</v>
      </c>
      <c r="X23" s="62">
        <f t="shared" si="5"/>
        <v>66</v>
      </c>
      <c r="Y23" s="172">
        <f t="shared" si="6"/>
        <v>39.204333443930388</v>
      </c>
      <c r="Z23" s="172">
        <f t="shared" si="7"/>
        <v>8.4174368242215483</v>
      </c>
      <c r="AA23" s="68">
        <f t="shared" si="8"/>
        <v>5.0311781666118144E-5</v>
      </c>
      <c r="AB23" s="175">
        <f t="shared" si="9"/>
        <v>35.736210519861388</v>
      </c>
      <c r="AC23" s="175">
        <f t="shared" si="10"/>
        <v>9.2343310944117416</v>
      </c>
      <c r="AD23" s="70">
        <f t="shared" si="11"/>
        <v>5.1953934834083782E-5</v>
      </c>
      <c r="AE23" s="259">
        <f t="shared" si="12"/>
        <v>71</v>
      </c>
      <c r="AF23" s="259" cm="1">
        <f t="array" ref="AF23">_xlfn.IFS(N23&lt;=AC23,W23*(3/(X23^3 - (X23-AB23)^3)),N23&gt;AC23,W23*(3/X23^3))</f>
        <v>5.4213555841560008E-14</v>
      </c>
      <c r="AG23" s="261">
        <f t="shared" si="13"/>
        <v>6.467875994936195E-5</v>
      </c>
      <c r="AH23" s="263">
        <f t="shared" si="14"/>
        <v>-1.2724825115278168E-5</v>
      </c>
      <c r="AI23" s="264">
        <f t="shared" si="15"/>
        <v>124.4925146784651</v>
      </c>
    </row>
    <row r="24" spans="1:35" s="50" customFormat="1" x14ac:dyDescent="0.45">
      <c r="A24" s="50" t="s">
        <v>142</v>
      </c>
      <c r="B24" s="80" t="s">
        <v>145</v>
      </c>
      <c r="C24" s="177">
        <v>38.585999999999999</v>
      </c>
      <c r="D24" s="177">
        <v>121.928</v>
      </c>
      <c r="E24" s="50" t="s">
        <v>8</v>
      </c>
      <c r="F24" s="50" t="s">
        <v>146</v>
      </c>
      <c r="G24" s="50">
        <v>-1.55</v>
      </c>
      <c r="H24" s="50">
        <v>500</v>
      </c>
      <c r="I24" s="50">
        <v>52.494879599999997</v>
      </c>
      <c r="J24" s="50">
        <f t="shared" si="25"/>
        <v>2.6179028148472474</v>
      </c>
      <c r="K24" s="50">
        <f t="shared" si="26"/>
        <v>228.17365769967756</v>
      </c>
      <c r="L24" s="52">
        <f t="shared" si="27"/>
        <v>2.4287872996778201</v>
      </c>
      <c r="M24" s="50">
        <v>2016</v>
      </c>
      <c r="N24" s="92">
        <v>5</v>
      </c>
      <c r="O24" s="50">
        <v>30</v>
      </c>
      <c r="P24" s="50">
        <v>41311.860480000003</v>
      </c>
      <c r="Q24" s="50">
        <v>45</v>
      </c>
      <c r="R24" s="50">
        <v>0.61037440899999995</v>
      </c>
      <c r="S24" s="50">
        <v>0.12753692157911437</v>
      </c>
      <c r="T24" s="91">
        <v>0.25896852861053699</v>
      </c>
      <c r="U24" s="50">
        <v>32000</v>
      </c>
      <c r="V24" s="61">
        <f t="shared" si="3"/>
        <v>1.4824696126275552E-9</v>
      </c>
      <c r="W24" s="61">
        <f t="shared" si="4"/>
        <v>7.4123480631377761E-9</v>
      </c>
      <c r="X24" s="62">
        <f t="shared" si="5"/>
        <v>66</v>
      </c>
      <c r="Y24" s="172">
        <f t="shared" si="6"/>
        <v>39.204333443930388</v>
      </c>
      <c r="Z24" s="172">
        <f t="shared" si="7"/>
        <v>8.4174368242215483</v>
      </c>
      <c r="AA24" s="68">
        <f t="shared" si="8"/>
        <v>7.9439655262291797E-5</v>
      </c>
      <c r="AB24" s="175">
        <f t="shared" si="9"/>
        <v>19.307365365308556</v>
      </c>
      <c r="AC24" s="175">
        <f t="shared" si="10"/>
        <v>17.091922888295443</v>
      </c>
      <c r="AD24" s="70">
        <f t="shared" si="11"/>
        <v>1.147581703611276E-4</v>
      </c>
      <c r="AE24" s="259">
        <f t="shared" si="12"/>
        <v>71</v>
      </c>
      <c r="AF24" s="259" cm="1">
        <f t="array" ref="AF24">_xlfn.IFS(N24&lt;=AC24,W24*(3/(X24^3 - (X24-AB24)^3)),N24&gt;AC24,W24*(3/X24^3))</f>
        <v>1.1974932210652768E-13</v>
      </c>
      <c r="AG24" s="261">
        <f t="shared" si="13"/>
        <v>1.4286533208156477E-4</v>
      </c>
      <c r="AH24" s="263">
        <f t="shared" si="14"/>
        <v>-2.8107161720437166E-5</v>
      </c>
      <c r="AI24" s="264">
        <f t="shared" si="15"/>
        <v>124.4925146784651</v>
      </c>
    </row>
    <row r="25" spans="1:35" s="50" customFormat="1" x14ac:dyDescent="0.45">
      <c r="A25" s="50" t="s">
        <v>142</v>
      </c>
      <c r="B25" s="80" t="s">
        <v>145</v>
      </c>
      <c r="C25" s="177">
        <v>37.106000000000002</v>
      </c>
      <c r="D25" s="177">
        <v>123.639</v>
      </c>
      <c r="E25" s="50" t="s">
        <v>8</v>
      </c>
      <c r="F25" s="50" t="s">
        <v>146</v>
      </c>
      <c r="G25" s="50">
        <v>-1.55</v>
      </c>
      <c r="H25" s="50">
        <v>500</v>
      </c>
      <c r="I25" s="50">
        <v>63.227166095999991</v>
      </c>
      <c r="J25" s="50">
        <f t="shared" si="25"/>
        <v>2.6986895876102905</v>
      </c>
      <c r="K25" s="50">
        <f t="shared" si="26"/>
        <v>274.822494384945</v>
      </c>
      <c r="L25" s="52">
        <f t="shared" si="27"/>
        <v>2.9253393698341745</v>
      </c>
      <c r="M25" s="50">
        <v>2016</v>
      </c>
      <c r="N25" s="92">
        <v>5</v>
      </c>
      <c r="O25" s="50">
        <v>30</v>
      </c>
      <c r="P25" s="50">
        <v>92939.616000000009</v>
      </c>
      <c r="Q25" s="50">
        <v>50</v>
      </c>
      <c r="R25" s="50">
        <v>0.61037440899999995</v>
      </c>
      <c r="S25" s="50">
        <v>0.12689962245301062</v>
      </c>
      <c r="T25" s="91">
        <v>0.13622702647087501</v>
      </c>
      <c r="U25" s="50">
        <v>90000</v>
      </c>
      <c r="V25" s="61">
        <f t="shared" si="3"/>
        <v>1.7855522889869668E-9</v>
      </c>
      <c r="W25" s="61">
        <f t="shared" si="4"/>
        <v>8.9277614449348338E-9</v>
      </c>
      <c r="X25" s="62">
        <f t="shared" si="5"/>
        <v>66</v>
      </c>
      <c r="Y25" s="172">
        <f t="shared" si="6"/>
        <v>39.401220455572584</v>
      </c>
      <c r="Z25" s="172">
        <f t="shared" si="7"/>
        <v>8.3753750818987012</v>
      </c>
      <c r="AA25" s="68">
        <f t="shared" si="8"/>
        <v>9.5530729471023573E-5</v>
      </c>
      <c r="AB25" s="175">
        <f t="shared" si="9"/>
        <v>36.703436385062602</v>
      </c>
      <c r="AC25" s="175">
        <f t="shared" si="10"/>
        <v>8.9909837470777507</v>
      </c>
      <c r="AD25" s="70">
        <f t="shared" si="11"/>
        <v>9.7834382246225976E-5</v>
      </c>
      <c r="AE25" s="259">
        <f t="shared" si="12"/>
        <v>71</v>
      </c>
      <c r="AF25" s="259" cm="1">
        <f t="array" ref="AF25">_xlfn.IFS(N25&lt;=AC25,W25*(3/(X25^3 - (X25-AB25)^3)),N25&gt;AC25,W25*(3/X25^3))</f>
        <v>1.0208947141479461E-13</v>
      </c>
      <c r="AG25" s="261">
        <f t="shared" si="13"/>
        <v>1.2179648267846852E-4</v>
      </c>
      <c r="AH25" s="263">
        <f t="shared" si="14"/>
        <v>-2.3962100432242545E-5</v>
      </c>
      <c r="AI25" s="264">
        <f t="shared" si="15"/>
        <v>124.49251467846508</v>
      </c>
    </row>
    <row r="26" spans="1:35" s="50" customFormat="1" x14ac:dyDescent="0.45">
      <c r="A26" s="50" t="s">
        <v>142</v>
      </c>
      <c r="B26" s="80" t="s">
        <v>145</v>
      </c>
      <c r="C26" s="177">
        <v>36.189942000000002</v>
      </c>
      <c r="D26" s="177">
        <v>122.87322899999999</v>
      </c>
      <c r="E26" s="50" t="s">
        <v>8</v>
      </c>
      <c r="F26" s="50" t="s">
        <v>146</v>
      </c>
      <c r="G26" s="50">
        <v>-1.55</v>
      </c>
      <c r="H26" s="50">
        <v>500</v>
      </c>
      <c r="I26" s="50">
        <v>40.246074359999994</v>
      </c>
      <c r="J26" s="50">
        <f t="shared" si="25"/>
        <v>2.5025093961451779</v>
      </c>
      <c r="K26" s="50">
        <f t="shared" si="26"/>
        <v>174.93313756975286</v>
      </c>
      <c r="L26" s="52">
        <f t="shared" si="27"/>
        <v>1.8620702630863293</v>
      </c>
      <c r="M26" s="50">
        <v>2016</v>
      </c>
      <c r="N26" s="92">
        <v>5</v>
      </c>
      <c r="O26" s="50">
        <v>30</v>
      </c>
      <c r="P26" s="50">
        <v>82108.730880000003</v>
      </c>
      <c r="Q26" s="50">
        <v>51</v>
      </c>
      <c r="R26" s="50">
        <v>0.61037440899999995</v>
      </c>
      <c r="S26" s="50">
        <v>0.12677254528648768</v>
      </c>
      <c r="T26" s="91">
        <v>0.138967530979273</v>
      </c>
      <c r="U26" s="50">
        <v>83000</v>
      </c>
      <c r="V26" s="61">
        <f t="shared" si="3"/>
        <v>1.1365600363477927E-9</v>
      </c>
      <c r="W26" s="61">
        <f t="shared" si="4"/>
        <v>5.6828001817389634E-9</v>
      </c>
      <c r="X26" s="62">
        <f t="shared" si="5"/>
        <v>66</v>
      </c>
      <c r="Y26" s="172">
        <f t="shared" si="6"/>
        <v>39.440716353061468</v>
      </c>
      <c r="Z26" s="172">
        <f t="shared" si="7"/>
        <v>8.3669879889081873</v>
      </c>
      <c r="AA26" s="68">
        <f t="shared" si="8"/>
        <v>6.0789367055728779E-5</v>
      </c>
      <c r="AB26" s="175">
        <f t="shared" si="9"/>
        <v>35.9796275055484</v>
      </c>
      <c r="AC26" s="175">
        <f t="shared" si="10"/>
        <v>9.1718570446320182</v>
      </c>
      <c r="AD26" s="70">
        <f t="shared" si="11"/>
        <v>6.2731389888778441E-5</v>
      </c>
      <c r="AE26" s="259">
        <f t="shared" si="12"/>
        <v>71</v>
      </c>
      <c r="AF26" s="259" cm="1">
        <f t="array" ref="AF26">_xlfn.IFS(N26&lt;=AC26,W26*(3/(X26^3 - (X26-AB26)^3)),N26&gt;AC26,W26*(3/X26^3))</f>
        <v>6.5459752367453934E-14</v>
      </c>
      <c r="AG26" s="261">
        <f t="shared" si="13"/>
        <v>7.8095884765292677E-5</v>
      </c>
      <c r="AH26" s="263">
        <f t="shared" si="14"/>
        <v>-1.5364494876514236E-5</v>
      </c>
      <c r="AI26" s="264">
        <f t="shared" si="15"/>
        <v>124.4925146784651</v>
      </c>
    </row>
    <row r="27" spans="1:35" s="50" customFormat="1" x14ac:dyDescent="0.45">
      <c r="A27" s="50" t="s">
        <v>142</v>
      </c>
      <c r="B27" s="80" t="s">
        <v>145</v>
      </c>
      <c r="C27" s="177">
        <v>38.088000000000001</v>
      </c>
      <c r="D27" s="177">
        <v>121.282</v>
      </c>
      <c r="E27" s="50" t="s">
        <v>8</v>
      </c>
      <c r="F27" s="50" t="s">
        <v>146</v>
      </c>
      <c r="G27" s="50">
        <v>-1.55</v>
      </c>
      <c r="H27" s="50">
        <v>500</v>
      </c>
      <c r="I27" s="50">
        <v>128.670782664</v>
      </c>
      <c r="J27" s="50">
        <f t="shared" si="25"/>
        <v>3.0072658135120944</v>
      </c>
      <c r="K27" s="50">
        <f t="shared" si="26"/>
        <v>559.27898765054317</v>
      </c>
      <c r="L27" s="52">
        <f t="shared" si="27"/>
        <v>5.9532275367658576</v>
      </c>
      <c r="M27" s="50">
        <v>2016</v>
      </c>
      <c r="N27" s="92">
        <v>5</v>
      </c>
      <c r="O27" s="50">
        <v>30</v>
      </c>
      <c r="P27" s="50">
        <v>37433.341440000004</v>
      </c>
      <c r="Q27" s="50">
        <v>55</v>
      </c>
      <c r="R27" s="50">
        <v>0.61037440899999995</v>
      </c>
      <c r="S27" s="50">
        <v>0.12626550789629359</v>
      </c>
      <c r="T27" s="91">
        <v>0.25650590858355199</v>
      </c>
      <c r="U27" s="50">
        <v>30000</v>
      </c>
      <c r="V27" s="61">
        <f t="shared" si="3"/>
        <v>3.6336977393959863E-9</v>
      </c>
      <c r="W27" s="61">
        <f t="shared" si="4"/>
        <v>1.8168488696979933E-8</v>
      </c>
      <c r="X27" s="62">
        <f t="shared" si="5"/>
        <v>66</v>
      </c>
      <c r="Y27" s="172">
        <f t="shared" si="6"/>
        <v>39.599096248095563</v>
      </c>
      <c r="Z27" s="172">
        <f t="shared" si="7"/>
        <v>8.333523521155378</v>
      </c>
      <c r="AA27" s="68">
        <f t="shared" si="8"/>
        <v>1.9410914833617199E-4</v>
      </c>
      <c r="AB27" s="175">
        <f t="shared" si="9"/>
        <v>19.492728364856919</v>
      </c>
      <c r="AC27" s="175">
        <f t="shared" si="10"/>
        <v>16.929389966514432</v>
      </c>
      <c r="AD27" s="70">
        <f t="shared" si="11"/>
        <v>2.7946765630228003E-4</v>
      </c>
      <c r="AE27" s="259">
        <f t="shared" si="12"/>
        <v>71</v>
      </c>
      <c r="AF27" s="259" cm="1">
        <f t="array" ref="AF27">_xlfn.IFS(N27&lt;=AC27,W27*(3/(X27^3 - (X27-AB27)^3)),N27&gt;AC27,W27*(3/X27^3))</f>
        <v>2.9162248132385848E-13</v>
      </c>
      <c r="AG27" s="261">
        <f t="shared" si="13"/>
        <v>3.4791631304367842E-4</v>
      </c>
      <c r="AH27" s="263">
        <f t="shared" si="14"/>
        <v>-6.8448656741398385E-5</v>
      </c>
      <c r="AI27" s="264">
        <f t="shared" si="15"/>
        <v>124.49251467846511</v>
      </c>
    </row>
    <row r="28" spans="1:35" s="50" customFormat="1" x14ac:dyDescent="0.45">
      <c r="A28" s="50" t="s">
        <v>142</v>
      </c>
      <c r="B28" s="80" t="s">
        <v>145</v>
      </c>
      <c r="C28" s="177">
        <v>33.864114999999998</v>
      </c>
      <c r="D28" s="177">
        <v>123.066439</v>
      </c>
      <c r="E28" s="50" t="s">
        <v>8</v>
      </c>
      <c r="F28" s="50" t="s">
        <v>146</v>
      </c>
      <c r="G28" s="50">
        <v>-1.55</v>
      </c>
      <c r="H28" s="50">
        <v>500</v>
      </c>
      <c r="I28" s="50">
        <v>38.846210903999996</v>
      </c>
      <c r="J28" s="50">
        <f t="shared" si="25"/>
        <v>2.4871345345782236</v>
      </c>
      <c r="K28" s="50">
        <f t="shared" si="26"/>
        <v>168.84850669776139</v>
      </c>
      <c r="L28" s="52">
        <f t="shared" si="27"/>
        <v>1.7973026017615865</v>
      </c>
      <c r="M28" s="50">
        <v>2016</v>
      </c>
      <c r="N28" s="92">
        <v>5</v>
      </c>
      <c r="O28" s="50">
        <v>30</v>
      </c>
      <c r="P28" s="50">
        <v>237410.42688000001</v>
      </c>
      <c r="Q28" s="50">
        <v>60</v>
      </c>
      <c r="R28" s="50">
        <v>0.61037440899999995</v>
      </c>
      <c r="S28" s="50">
        <v>0.12563456199574177</v>
      </c>
      <c r="T28" s="91">
        <v>0.14198597954512701</v>
      </c>
      <c r="U28" s="50">
        <v>187000</v>
      </c>
      <c r="V28" s="61">
        <f t="shared" si="3"/>
        <v>1.0970275133443908E-9</v>
      </c>
      <c r="W28" s="61">
        <f t="shared" si="4"/>
        <v>5.485137566721954E-9</v>
      </c>
      <c r="X28" s="62">
        <f t="shared" si="5"/>
        <v>66</v>
      </c>
      <c r="Y28" s="172">
        <f t="shared" si="6"/>
        <v>39.797965787228748</v>
      </c>
      <c r="Z28" s="172">
        <f t="shared" si="7"/>
        <v>8.2918810917189578</v>
      </c>
      <c r="AA28" s="68">
        <f t="shared" si="8"/>
        <v>5.8512566526557076E-5</v>
      </c>
      <c r="AB28" s="175">
        <f t="shared" si="9"/>
        <v>35.214744554485144</v>
      </c>
      <c r="AC28" s="175">
        <f t="shared" si="10"/>
        <v>9.3710746499783824</v>
      </c>
      <c r="AD28" s="70">
        <f t="shared" si="11"/>
        <v>6.1046614635938375E-5</v>
      </c>
      <c r="AE28" s="259">
        <f t="shared" si="12"/>
        <v>71</v>
      </c>
      <c r="AF28" s="259" cm="1">
        <f t="array" ref="AF28">_xlfn.IFS(N28&lt;=AC28,W28*(3/(X28^3 - (X28-AB28)^3)),N28&gt;AC28,W28*(3/X28^3))</f>
        <v>6.370170155682691E-14</v>
      </c>
      <c r="AG28" s="261">
        <f t="shared" si="13"/>
        <v>7.5998465686351582E-5</v>
      </c>
      <c r="AH28" s="263">
        <f t="shared" si="14"/>
        <v>-1.4951851050413206E-5</v>
      </c>
      <c r="AI28" s="264">
        <f t="shared" si="15"/>
        <v>124.49251467846507</v>
      </c>
    </row>
    <row r="29" spans="1:35" s="50" customFormat="1" x14ac:dyDescent="0.45">
      <c r="A29" s="50" t="s">
        <v>142</v>
      </c>
      <c r="B29" s="80" t="s">
        <v>145</v>
      </c>
      <c r="C29" s="177">
        <v>35.972209999999997</v>
      </c>
      <c r="D29" s="177">
        <v>122.846682</v>
      </c>
      <c r="E29" s="50" t="s">
        <v>8</v>
      </c>
      <c r="F29" s="50" t="s">
        <v>146</v>
      </c>
      <c r="G29" s="50">
        <v>-1.55</v>
      </c>
      <c r="H29" s="50">
        <v>500</v>
      </c>
      <c r="I29" s="50">
        <v>53.311466615999997</v>
      </c>
      <c r="J29" s="50">
        <f t="shared" si="25"/>
        <v>2.6246065011417539</v>
      </c>
      <c r="K29" s="50">
        <f t="shared" si="26"/>
        <v>231.72302570833932</v>
      </c>
      <c r="L29" s="52">
        <f t="shared" si="27"/>
        <v>2.4665684354505872</v>
      </c>
      <c r="M29" s="50">
        <v>2016</v>
      </c>
      <c r="N29" s="92">
        <v>5</v>
      </c>
      <c r="O29" s="50">
        <v>30</v>
      </c>
      <c r="P29" s="50">
        <v>108679.00032000001</v>
      </c>
      <c r="Q29" s="50">
        <v>60</v>
      </c>
      <c r="R29" s="50">
        <v>0.61037440899999995</v>
      </c>
      <c r="S29" s="50">
        <v>0.12563456199574177</v>
      </c>
      <c r="T29" s="91">
        <v>0.13919292242647999</v>
      </c>
      <c r="U29" s="50">
        <v>102000</v>
      </c>
      <c r="V29" s="61">
        <f t="shared" si="3"/>
        <v>1.5055302510462068E-9</v>
      </c>
      <c r="W29" s="61">
        <f t="shared" si="4"/>
        <v>7.5276512552310341E-9</v>
      </c>
      <c r="X29" s="62">
        <f t="shared" si="5"/>
        <v>66</v>
      </c>
      <c r="Y29" s="172">
        <f t="shared" si="6"/>
        <v>39.797965787228748</v>
      </c>
      <c r="Z29" s="172">
        <f t="shared" si="7"/>
        <v>8.2918810917189578</v>
      </c>
      <c r="AA29" s="68">
        <f t="shared" si="8"/>
        <v>8.030102973764746E-5</v>
      </c>
      <c r="AB29" s="175">
        <f t="shared" si="9"/>
        <v>35.921366638745148</v>
      </c>
      <c r="AC29" s="175">
        <f t="shared" si="10"/>
        <v>9.1867328801476784</v>
      </c>
      <c r="AD29" s="70">
        <f t="shared" si="11"/>
        <v>8.3146748724988631E-5</v>
      </c>
      <c r="AE29" s="259">
        <f t="shared" si="12"/>
        <v>71</v>
      </c>
      <c r="AF29" s="259" cm="1">
        <f t="array" ref="AF29">_xlfn.IFS(N29&lt;=AC29,W29*(3/(X29^3 - (X29-AB29)^3)),N29&gt;AC29,W29*(3/X29^3))</f>
        <v>8.6763031894344928E-14</v>
      </c>
      <c r="AG29" s="261">
        <f t="shared" si="13"/>
        <v>1.0351147836112298E-4</v>
      </c>
      <c r="AH29" s="263">
        <f t="shared" si="14"/>
        <v>-2.0364729636134345E-5</v>
      </c>
      <c r="AI29" s="264">
        <f t="shared" si="15"/>
        <v>124.49251467846511</v>
      </c>
    </row>
    <row r="30" spans="1:35" s="50" customFormat="1" x14ac:dyDescent="0.45">
      <c r="A30" s="50" t="s">
        <v>142</v>
      </c>
      <c r="B30" s="80" t="s">
        <v>145</v>
      </c>
      <c r="C30" s="177">
        <v>38.348999999999997</v>
      </c>
      <c r="D30" s="177">
        <v>123.17100000000001</v>
      </c>
      <c r="E30" s="50" t="s">
        <v>8</v>
      </c>
      <c r="F30" s="50" t="s">
        <v>146</v>
      </c>
      <c r="G30" s="50">
        <v>-1.55</v>
      </c>
      <c r="H30" s="50">
        <v>500</v>
      </c>
      <c r="I30" s="50">
        <v>59.844162743999995</v>
      </c>
      <c r="J30" s="50">
        <f t="shared" si="25"/>
        <v>2.6748076661837201</v>
      </c>
      <c r="K30" s="50">
        <f t="shared" si="26"/>
        <v>260.1179697776326</v>
      </c>
      <c r="L30" s="52">
        <f t="shared" si="27"/>
        <v>2.7688175216327169</v>
      </c>
      <c r="M30" s="50">
        <v>2016</v>
      </c>
      <c r="N30" s="92">
        <v>5</v>
      </c>
      <c r="O30" s="50">
        <v>30</v>
      </c>
      <c r="P30" s="50">
        <v>110513.65248</v>
      </c>
      <c r="Q30" s="50">
        <v>65</v>
      </c>
      <c r="R30" s="50">
        <v>0.61037440899999995</v>
      </c>
      <c r="S30" s="50">
        <v>0.1250067689176515</v>
      </c>
      <c r="T30" s="91">
        <v>0.134554991362629</v>
      </c>
      <c r="U30" s="50">
        <v>75000</v>
      </c>
      <c r="V30" s="61">
        <f t="shared" si="3"/>
        <v>1.6900153583954141E-9</v>
      </c>
      <c r="W30" s="61">
        <f t="shared" si="4"/>
        <v>8.4500767919770702E-9</v>
      </c>
      <c r="X30" s="62">
        <f t="shared" si="5"/>
        <v>66</v>
      </c>
      <c r="Y30" s="172">
        <f t="shared" si="6"/>
        <v>39.997834063639878</v>
      </c>
      <c r="Z30" s="172">
        <f t="shared" si="7"/>
        <v>8.2504467485649986</v>
      </c>
      <c r="AA30" s="68">
        <f t="shared" si="8"/>
        <v>9.0004550064791284E-5</v>
      </c>
      <c r="AB30" s="175">
        <f t="shared" si="9"/>
        <v>37.1595282297992</v>
      </c>
      <c r="AC30" s="175">
        <f t="shared" si="10"/>
        <v>8.8806294299335136</v>
      </c>
      <c r="AD30" s="70">
        <f t="shared" si="11"/>
        <v>9.219340278443172E-5</v>
      </c>
      <c r="AE30" s="259">
        <f t="shared" si="12"/>
        <v>71</v>
      </c>
      <c r="AF30" s="259" cm="1">
        <f t="array" ref="AF30">_xlfn.IFS(N30&lt;=AC30,W30*(3/(X30^3 - (X30-AB30)^3)),N30&gt;AC30,W30*(3/X30^3))</f>
        <v>9.6203150079755968E-14</v>
      </c>
      <c r="AG30" s="261">
        <f t="shared" si="13"/>
        <v>1.1477388549398512E-4</v>
      </c>
      <c r="AH30" s="263">
        <f t="shared" si="14"/>
        <v>-2.2580482709553404E-5</v>
      </c>
      <c r="AI30" s="264">
        <f t="shared" si="15"/>
        <v>124.49251467846511</v>
      </c>
    </row>
    <row r="31" spans="1:35" s="50" customFormat="1" ht="15.75" x14ac:dyDescent="0.45">
      <c r="A31" s="50" t="s">
        <v>147</v>
      </c>
      <c r="B31" s="80" t="s">
        <v>125</v>
      </c>
      <c r="C31" s="177">
        <v>37.457147999999997</v>
      </c>
      <c r="D31" s="178">
        <v>121.775639</v>
      </c>
      <c r="E31" s="50" t="s">
        <v>8</v>
      </c>
      <c r="F31" s="95">
        <v>0.87887000000000004</v>
      </c>
      <c r="G31" s="50">
        <v>-1.55</v>
      </c>
      <c r="H31" s="50">
        <v>500</v>
      </c>
      <c r="I31" s="50">
        <v>319.00950810300003</v>
      </c>
      <c r="J31" s="50">
        <f t="shared" ref="J31" si="28" xml:space="preserve"> LOG(I31, 10) - (G31) * LOG(H31,10)^(G31+1)</f>
        <v>3.4015894982988768</v>
      </c>
      <c r="K31" s="50">
        <f t="shared" ref="K31" si="29" xml:space="preserve"> -1*10^J31*(G31+1)</f>
        <v>1386.6031670036725</v>
      </c>
      <c r="L31" s="52">
        <f t="shared" ref="L31" si="30">IF(E31="Fragments",0.000000097*K31*(5000^(4+G31)-1)/(4+G31),0.000106*K31*(5000^(2+G31)-1)/(2+G31))</f>
        <v>14.759653658812001</v>
      </c>
      <c r="M31" s="50">
        <v>2017</v>
      </c>
      <c r="N31" s="94">
        <v>5</v>
      </c>
      <c r="O31" s="50">
        <v>51</v>
      </c>
      <c r="P31" s="50">
        <v>0</v>
      </c>
      <c r="Q31" s="50">
        <v>5</v>
      </c>
      <c r="R31" s="50">
        <v>0.61037440899999995</v>
      </c>
      <c r="S31" s="50">
        <v>0.13275189523153463</v>
      </c>
      <c r="T31" s="96">
        <v>0.58816623829459602</v>
      </c>
      <c r="U31" s="97" t="s">
        <v>126</v>
      </c>
      <c r="V31" s="61">
        <f t="shared" si="3"/>
        <v>9.0089148790420615E-9</v>
      </c>
      <c r="W31" s="61">
        <f t="shared" si="4"/>
        <v>4.5044574395210307E-8</v>
      </c>
      <c r="X31" s="62">
        <f t="shared" si="5"/>
        <v>67</v>
      </c>
      <c r="Y31" s="172">
        <f t="shared" si="6"/>
        <v>37.664245706469373</v>
      </c>
      <c r="Z31" s="172">
        <f t="shared" si="7"/>
        <v>8.8943769805128206</v>
      </c>
      <c r="AA31" s="68">
        <f t="shared" si="8"/>
        <v>4.9172062136066254E-4</v>
      </c>
      <c r="AB31" s="175">
        <f t="shared" si="9"/>
        <v>8.5009979738001213</v>
      </c>
      <c r="AC31" s="175">
        <f t="shared" si="10"/>
        <v>39.407137965737931</v>
      </c>
      <c r="AD31" s="70">
        <f t="shared" si="11"/>
        <v>1.3470739781993191E-3</v>
      </c>
      <c r="AE31" s="259">
        <f t="shared" si="12"/>
        <v>71</v>
      </c>
      <c r="AF31" s="259" cm="1">
        <f t="array" ref="AF31">_xlfn.IFS(N31&lt;=AC31,W31*(3/(X31^3 - (X31-AB31)^3)),N31&gt;AC31,W31*(3/X31^3))</f>
        <v>1.3436566115506079E-12</v>
      </c>
      <c r="AG31" s="261">
        <f t="shared" si="13"/>
        <v>1.6030316049889656E-3</v>
      </c>
      <c r="AH31" s="263">
        <f t="shared" si="14"/>
        <v>-2.5595762678964646E-4</v>
      </c>
      <c r="AI31" s="264">
        <f t="shared" si="15"/>
        <v>119.00100743774993</v>
      </c>
    </row>
    <row r="32" spans="1:35" s="50" customFormat="1" ht="15.75" x14ac:dyDescent="0.45">
      <c r="A32" s="50" t="s">
        <v>147</v>
      </c>
      <c r="B32" s="80" t="s">
        <v>125</v>
      </c>
      <c r="C32" s="177">
        <v>37.461025999999997</v>
      </c>
      <c r="D32" s="178">
        <v>121.687877</v>
      </c>
      <c r="E32" s="50" t="s">
        <v>8</v>
      </c>
      <c r="F32" s="95">
        <v>0.91544999999999999</v>
      </c>
      <c r="G32" s="50">
        <v>-1.55</v>
      </c>
      <c r="H32" s="50">
        <v>500</v>
      </c>
      <c r="I32" s="50">
        <v>585.80473982249998</v>
      </c>
      <c r="J32" s="50">
        <f t="shared" ref="J32:J58" si="31" xml:space="preserve"> LOG(I32, 10) - (G32) * LOG(H32,10)^(G32+1)</f>
        <v>3.665538752161305</v>
      </c>
      <c r="K32" s="50">
        <f t="shared" ref="K32:K58" si="32" xml:space="preserve"> -1*10^J32*(G32+1)</f>
        <v>2546.2523431162995</v>
      </c>
      <c r="L32" s="52">
        <f t="shared" ref="L32:L58" si="33">IF(E32="Fragments",0.000000097*K32*(5000^(4+G32)-1)/(4+G32),0.000106*K32*(5000^(2+G32)-1)/(2+G32))</f>
        <v>27.103502722805754</v>
      </c>
      <c r="M32" s="50">
        <v>2017</v>
      </c>
      <c r="N32" s="94">
        <v>5</v>
      </c>
      <c r="O32" s="50">
        <v>51</v>
      </c>
      <c r="P32" s="50">
        <v>0</v>
      </c>
      <c r="Q32" s="50">
        <v>5</v>
      </c>
      <c r="R32" s="50">
        <v>0.61037440899999995</v>
      </c>
      <c r="S32" s="50">
        <v>0.13275189523153463</v>
      </c>
      <c r="T32" s="96">
        <v>0.59437422253370698</v>
      </c>
      <c r="U32" s="97" t="s">
        <v>126</v>
      </c>
      <c r="V32" s="61">
        <f t="shared" si="3"/>
        <v>1.6543284456262452E-8</v>
      </c>
      <c r="W32" s="61">
        <f t="shared" si="4"/>
        <v>8.2716422281312261E-8</v>
      </c>
      <c r="X32" s="62">
        <f t="shared" si="5"/>
        <v>67</v>
      </c>
      <c r="Y32" s="172">
        <f t="shared" si="6"/>
        <v>37.664245706469373</v>
      </c>
      <c r="Z32" s="172">
        <f t="shared" si="7"/>
        <v>8.8943769805128206</v>
      </c>
      <c r="AA32" s="68">
        <f t="shared" si="8"/>
        <v>9.0295826094480118E-4</v>
      </c>
      <c r="AB32" s="175">
        <f t="shared" si="9"/>
        <v>8.4122086901513455</v>
      </c>
      <c r="AC32" s="175">
        <f t="shared" si="10"/>
        <v>39.823072909758366</v>
      </c>
      <c r="AD32" s="70">
        <f t="shared" si="11"/>
        <v>2.4963241288693543E-3</v>
      </c>
      <c r="AE32" s="259">
        <f t="shared" si="12"/>
        <v>71</v>
      </c>
      <c r="AF32" s="259" cm="1">
        <f t="array" ref="AF32">_xlfn.IFS(N32&lt;=AC32,W32*(3/(X32^3 - (X32-AB32)^3)),N32&gt;AC32,W32*(3/X32^3))</f>
        <v>2.4899912511206705E-12</v>
      </c>
      <c r="AG32" s="261">
        <f t="shared" si="13"/>
        <v>2.9706508622661673E-3</v>
      </c>
      <c r="AH32" s="263">
        <f t="shared" si="14"/>
        <v>-4.7432673339681307E-4</v>
      </c>
      <c r="AI32" s="264">
        <f t="shared" si="15"/>
        <v>119.00100743774998</v>
      </c>
    </row>
    <row r="33" spans="1:35" s="50" customFormat="1" ht="15.75" x14ac:dyDescent="0.45">
      <c r="A33" s="50" t="s">
        <v>147</v>
      </c>
      <c r="B33" s="80" t="s">
        <v>125</v>
      </c>
      <c r="C33" s="177">
        <v>37.445559000000003</v>
      </c>
      <c r="D33" s="178">
        <v>121.58030599999999</v>
      </c>
      <c r="E33" s="50" t="s">
        <v>8</v>
      </c>
      <c r="F33" s="95">
        <v>0.92564999999999997</v>
      </c>
      <c r="G33" s="50">
        <v>-1.55</v>
      </c>
      <c r="H33" s="50">
        <v>500</v>
      </c>
      <c r="I33" s="50">
        <v>504.92569099500002</v>
      </c>
      <c r="J33" s="50">
        <f t="shared" si="31"/>
        <v>3.6010133393524266</v>
      </c>
      <c r="K33" s="50">
        <f t="shared" si="32"/>
        <v>2194.7043722882718</v>
      </c>
      <c r="L33" s="52">
        <f t="shared" si="33"/>
        <v>23.361461439940221</v>
      </c>
      <c r="M33" s="50">
        <v>2017</v>
      </c>
      <c r="N33" s="94">
        <v>5</v>
      </c>
      <c r="O33" s="50">
        <v>51</v>
      </c>
      <c r="P33" s="50">
        <v>0</v>
      </c>
      <c r="Q33" s="50">
        <v>6</v>
      </c>
      <c r="R33" s="50">
        <v>0.61037440899999995</v>
      </c>
      <c r="S33" s="50">
        <v>0.13261895760437328</v>
      </c>
      <c r="T33" s="96">
        <v>0.60576958052330898</v>
      </c>
      <c r="U33" s="97">
        <v>1000</v>
      </c>
      <c r="V33" s="61">
        <f t="shared" si="3"/>
        <v>1.4259238219779803E-8</v>
      </c>
      <c r="W33" s="61">
        <f t="shared" si="4"/>
        <v>7.1296191098899021E-8</v>
      </c>
      <c r="X33" s="62">
        <f t="shared" si="5"/>
        <v>67</v>
      </c>
      <c r="Y33" s="172">
        <f t="shared" si="6"/>
        <v>37.702000455439553</v>
      </c>
      <c r="Z33" s="172">
        <f t="shared" si="7"/>
        <v>8.8854701594930106</v>
      </c>
      <c r="AA33" s="68">
        <f t="shared" si="8"/>
        <v>7.7801655976843091E-4</v>
      </c>
      <c r="AB33" s="175">
        <f t="shared" si="9"/>
        <v>8.2539634883624018</v>
      </c>
      <c r="AC33" s="175">
        <f t="shared" si="10"/>
        <v>40.586561895061699</v>
      </c>
      <c r="AD33" s="70">
        <f t="shared" si="11"/>
        <v>2.1875351157307505E-3</v>
      </c>
      <c r="AE33" s="259">
        <f t="shared" si="12"/>
        <v>71</v>
      </c>
      <c r="AF33" s="259" cm="1">
        <f t="array" ref="AF33">_xlfn.IFS(N33&lt;=AC33,W33*(3/(X33^3 - (X33-AB33)^3)),N33&gt;AC33,W33*(3/X33^3))</f>
        <v>2.1819855990238998E-12</v>
      </c>
      <c r="AG33" s="261">
        <f t="shared" si="13"/>
        <v>2.6031888257741433E-3</v>
      </c>
      <c r="AH33" s="263">
        <f t="shared" si="14"/>
        <v>-4.1565371004339277E-4</v>
      </c>
      <c r="AI33" s="264">
        <f t="shared" si="15"/>
        <v>119.00100743774999</v>
      </c>
    </row>
    <row r="34" spans="1:35" s="50" customFormat="1" ht="15.75" x14ac:dyDescent="0.45">
      <c r="A34" s="50" t="s">
        <v>147</v>
      </c>
      <c r="B34" s="80" t="s">
        <v>125</v>
      </c>
      <c r="C34" s="177">
        <v>36.451923200000003</v>
      </c>
      <c r="D34" s="178">
        <v>121.58028</v>
      </c>
      <c r="E34" s="50" t="s">
        <v>8</v>
      </c>
      <c r="F34" s="95">
        <v>0.74512999999999996</v>
      </c>
      <c r="G34" s="50">
        <v>-1.55</v>
      </c>
      <c r="H34" s="50">
        <v>500</v>
      </c>
      <c r="I34" s="50">
        <v>150.078272586</v>
      </c>
      <c r="J34" s="50">
        <f t="shared" si="31"/>
        <v>3.0741036931646648</v>
      </c>
      <c r="K34" s="50">
        <f t="shared" si="32"/>
        <v>652.32854438620097</v>
      </c>
      <c r="L34" s="52">
        <f t="shared" si="33"/>
        <v>6.9436906073875972</v>
      </c>
      <c r="M34" s="50">
        <v>2017</v>
      </c>
      <c r="N34" s="94">
        <v>5</v>
      </c>
      <c r="O34" s="50">
        <v>51</v>
      </c>
      <c r="P34" s="50">
        <v>0</v>
      </c>
      <c r="Q34" s="50">
        <v>8</v>
      </c>
      <c r="R34" s="50">
        <v>0.61037440899999995</v>
      </c>
      <c r="S34" s="50">
        <v>0.13235348158759747</v>
      </c>
      <c r="T34" s="96">
        <v>0.24053637588058799</v>
      </c>
      <c r="U34" s="97">
        <v>30000</v>
      </c>
      <c r="V34" s="61">
        <f t="shared" si="3"/>
        <v>4.2382510507630553E-9</v>
      </c>
      <c r="W34" s="61">
        <f t="shared" si="4"/>
        <v>2.1191255253815275E-8</v>
      </c>
      <c r="X34" s="62">
        <f t="shared" si="5"/>
        <v>67</v>
      </c>
      <c r="Y34" s="172">
        <f t="shared" si="6"/>
        <v>37.777623527725453</v>
      </c>
      <c r="Z34" s="172">
        <f t="shared" si="7"/>
        <v>8.8676832663690295</v>
      </c>
      <c r="AA34" s="68">
        <f t="shared" si="8"/>
        <v>2.3108578883422479E-4</v>
      </c>
      <c r="AB34" s="175">
        <f t="shared" si="9"/>
        <v>20.786876752820966</v>
      </c>
      <c r="AC34" s="175">
        <f t="shared" si="10"/>
        <v>16.115937183999396</v>
      </c>
      <c r="AD34" s="70">
        <f t="shared" si="11"/>
        <v>3.1541616260839008E-4</v>
      </c>
      <c r="AE34" s="259">
        <f t="shared" si="12"/>
        <v>71</v>
      </c>
      <c r="AF34" s="259" cm="1">
        <f t="array" ref="AF34">_xlfn.IFS(N34&lt;=AC34,W34*(3/(X34^3 - (X34-AB34)^3)),N34&gt;AC34,W34*(3/X34^3))</f>
        <v>3.1461598927566565E-13</v>
      </c>
      <c r="AG34" s="261">
        <f t="shared" si="13"/>
        <v>3.7534841112547585E-4</v>
      </c>
      <c r="AH34" s="263">
        <f t="shared" si="14"/>
        <v>-5.9932248517085771E-5</v>
      </c>
      <c r="AI34" s="264">
        <f t="shared" si="15"/>
        <v>119.00100743774996</v>
      </c>
    </row>
    <row r="35" spans="1:35" s="50" customFormat="1" ht="15.75" x14ac:dyDescent="0.45">
      <c r="A35" s="50" t="s">
        <v>147</v>
      </c>
      <c r="B35" s="80" t="s">
        <v>125</v>
      </c>
      <c r="C35" s="179">
        <v>37.575792999999997</v>
      </c>
      <c r="D35" s="180">
        <v>121.430736</v>
      </c>
      <c r="E35" s="50" t="s">
        <v>8</v>
      </c>
      <c r="F35" s="95">
        <v>0.93127000000000004</v>
      </c>
      <c r="G35" s="50">
        <v>-1.55</v>
      </c>
      <c r="H35" s="50">
        <v>500</v>
      </c>
      <c r="I35" s="50">
        <v>200.02529481550002</v>
      </c>
      <c r="J35" s="50">
        <f t="shared" si="31"/>
        <v>3.1988707900530686</v>
      </c>
      <c r="K35" s="50">
        <f t="shared" si="32"/>
        <v>869.42771367950775</v>
      </c>
      <c r="L35" s="52">
        <f t="shared" si="33"/>
        <v>9.2545958646640756</v>
      </c>
      <c r="M35" s="50">
        <v>2017</v>
      </c>
      <c r="N35" s="94">
        <v>5</v>
      </c>
      <c r="O35" s="50">
        <v>51</v>
      </c>
      <c r="P35" s="50">
        <v>2172.6144000000004</v>
      </c>
      <c r="Q35" s="50">
        <v>8</v>
      </c>
      <c r="R35" s="50">
        <v>0.61037440899999995</v>
      </c>
      <c r="S35" s="50">
        <v>0.13235348158759747</v>
      </c>
      <c r="T35" s="96">
        <v>0.65968545102350995</v>
      </c>
      <c r="U35" s="97">
        <v>2000</v>
      </c>
      <c r="V35" s="61">
        <f t="shared" si="3"/>
        <v>5.6487684814281794E-9</v>
      </c>
      <c r="W35" s="61">
        <f t="shared" si="4"/>
        <v>2.8243842407140899E-8</v>
      </c>
      <c r="X35" s="62">
        <f t="shared" si="5"/>
        <v>67</v>
      </c>
      <c r="Y35" s="172">
        <f t="shared" si="6"/>
        <v>37.777623527725453</v>
      </c>
      <c r="Z35" s="172">
        <f t="shared" si="7"/>
        <v>8.8676832663690295</v>
      </c>
      <c r="AA35" s="68">
        <f t="shared" si="8"/>
        <v>3.0799263772676272E-4</v>
      </c>
      <c r="AB35" s="175">
        <f t="shared" si="9"/>
        <v>7.5793698227578608</v>
      </c>
      <c r="AC35" s="175">
        <f t="shared" si="10"/>
        <v>44.19892521857517</v>
      </c>
      <c r="AD35" s="70">
        <f t="shared" si="11"/>
        <v>9.3389465211469536E-4</v>
      </c>
      <c r="AE35" s="259">
        <f t="shared" si="12"/>
        <v>71</v>
      </c>
      <c r="AF35" s="259" cm="1">
        <f t="array" ref="AF35">_xlfn.IFS(N35&lt;=AC35,W35*(3/(X35^3 - (X35-AB35)^3)),N35&gt;AC35,W35*(3/X35^3))</f>
        <v>9.3152547233006938E-13</v>
      </c>
      <c r="AG35" s="261">
        <f t="shared" si="13"/>
        <v>1.1113440444237583E-3</v>
      </c>
      <c r="AH35" s="263">
        <f t="shared" si="14"/>
        <v>-1.7744939230906294E-4</v>
      </c>
      <c r="AI35" s="264">
        <f t="shared" si="15"/>
        <v>119.00100743775002</v>
      </c>
    </row>
    <row r="36" spans="1:35" s="50" customFormat="1" ht="15.75" x14ac:dyDescent="0.45">
      <c r="A36" s="50" t="s">
        <v>147</v>
      </c>
      <c r="B36" s="80" t="s">
        <v>125</v>
      </c>
      <c r="C36" s="177">
        <v>37.464278999999998</v>
      </c>
      <c r="D36" s="178">
        <v>121.862875</v>
      </c>
      <c r="E36" s="50" t="s">
        <v>8</v>
      </c>
      <c r="F36" s="95">
        <v>0.96272999999999997</v>
      </c>
      <c r="G36" s="50">
        <v>-1.55</v>
      </c>
      <c r="H36" s="50">
        <v>500</v>
      </c>
      <c r="I36" s="50">
        <v>398.22537011400004</v>
      </c>
      <c r="J36" s="50">
        <f t="shared" si="31"/>
        <v>3.4979147954434651</v>
      </c>
      <c r="K36" s="50">
        <f t="shared" si="32"/>
        <v>1730.9219485802821</v>
      </c>
      <c r="L36" s="52">
        <f t="shared" si="33"/>
        <v>18.424744064797956</v>
      </c>
      <c r="M36" s="50">
        <v>2017</v>
      </c>
      <c r="N36" s="94">
        <v>5</v>
      </c>
      <c r="O36" s="50">
        <v>51</v>
      </c>
      <c r="P36" s="50">
        <v>0</v>
      </c>
      <c r="Q36" s="50">
        <v>12</v>
      </c>
      <c r="R36" s="50">
        <v>0.61037440899999995</v>
      </c>
      <c r="S36" s="50">
        <v>0.1318241227762269</v>
      </c>
      <c r="T36" s="96">
        <v>0.58225568981105702</v>
      </c>
      <c r="U36" s="97" t="s">
        <v>126</v>
      </c>
      <c r="V36" s="61">
        <f t="shared" si="3"/>
        <v>1.1245992269527311E-8</v>
      </c>
      <c r="W36" s="61">
        <f t="shared" si="4"/>
        <v>5.6229961347636554E-8</v>
      </c>
      <c r="X36" s="62">
        <f t="shared" si="5"/>
        <v>67</v>
      </c>
      <c r="Y36" s="172">
        <f t="shared" si="6"/>
        <v>37.929325033230548</v>
      </c>
      <c r="Z36" s="172">
        <f t="shared" si="7"/>
        <v>8.832216226007203</v>
      </c>
      <c r="AA36" s="68">
        <f t="shared" si="8"/>
        <v>6.1231653091252251E-4</v>
      </c>
      <c r="AB36" s="175">
        <f t="shared" si="9"/>
        <v>8.5872926404935761</v>
      </c>
      <c r="AC36" s="175">
        <f t="shared" si="10"/>
        <v>39.011131217340818</v>
      </c>
      <c r="AD36" s="70">
        <f t="shared" si="11"/>
        <v>1.6669147394027673E-3</v>
      </c>
      <c r="AE36" s="259">
        <f t="shared" si="12"/>
        <v>71</v>
      </c>
      <c r="AF36" s="259" cm="1">
        <f t="array" ref="AF36">_xlfn.IFS(N36&lt;=AC36,W36*(3/(X36^3 - (X36-AB36)^3)),N36&gt;AC36,W36*(3/X36^3))</f>
        <v>1.6626859747403452E-12</v>
      </c>
      <c r="AG36" s="261">
        <f t="shared" si="13"/>
        <v>1.9836453330176391E-3</v>
      </c>
      <c r="AH36" s="263">
        <f t="shared" si="14"/>
        <v>-3.1673059361487176E-4</v>
      </c>
      <c r="AI36" s="264">
        <f t="shared" si="15"/>
        <v>119.00100743775005</v>
      </c>
    </row>
    <row r="37" spans="1:35" s="50" customFormat="1" ht="15.75" x14ac:dyDescent="0.45">
      <c r="A37" s="50" t="s">
        <v>147</v>
      </c>
      <c r="B37" s="80" t="s">
        <v>125</v>
      </c>
      <c r="C37" s="177">
        <v>37.484386000000001</v>
      </c>
      <c r="D37" s="178">
        <v>121.960354</v>
      </c>
      <c r="E37" s="50" t="s">
        <v>8</v>
      </c>
      <c r="F37" s="95">
        <v>0.89510000000000001</v>
      </c>
      <c r="G37" s="50">
        <v>-1.55</v>
      </c>
      <c r="H37" s="50">
        <v>500</v>
      </c>
      <c r="I37" s="50">
        <v>255.42654159</v>
      </c>
      <c r="J37" s="50">
        <f t="shared" si="31"/>
        <v>3.3050518940508331</v>
      </c>
      <c r="K37" s="50">
        <f t="shared" si="32"/>
        <v>1110.2341544977876</v>
      </c>
      <c r="L37" s="52">
        <f t="shared" si="33"/>
        <v>11.817852425637737</v>
      </c>
      <c r="M37" s="50">
        <v>2017</v>
      </c>
      <c r="N37" s="94">
        <v>5</v>
      </c>
      <c r="O37" s="50">
        <v>51</v>
      </c>
      <c r="P37" s="50">
        <v>788.57856000000004</v>
      </c>
      <c r="Q37" s="50">
        <v>17</v>
      </c>
      <c r="R37" s="50">
        <v>0.61037440899999995</v>
      </c>
      <c r="S37" s="50">
        <v>0.13116540060225193</v>
      </c>
      <c r="T37" s="96">
        <v>0.57695589025002603</v>
      </c>
      <c r="U37" s="97" t="s">
        <v>126</v>
      </c>
      <c r="V37" s="61">
        <f t="shared" si="3"/>
        <v>7.2133146899478498E-9</v>
      </c>
      <c r="W37" s="61">
        <f t="shared" si="4"/>
        <v>3.6066573449739251E-8</v>
      </c>
      <c r="X37" s="62">
        <f t="shared" si="5"/>
        <v>67</v>
      </c>
      <c r="Y37" s="172">
        <f t="shared" si="6"/>
        <v>38.119808859975812</v>
      </c>
      <c r="Z37" s="172">
        <f t="shared" si="7"/>
        <v>8.7880818403508787</v>
      </c>
      <c r="AA37" s="68">
        <f t="shared" si="8"/>
        <v>3.9206612915291232E-4</v>
      </c>
      <c r="AB37" s="175">
        <f t="shared" si="9"/>
        <v>8.6661737656118412</v>
      </c>
      <c r="AC37" s="175">
        <f t="shared" si="10"/>
        <v>38.656044646751745</v>
      </c>
      <c r="AD37" s="70">
        <f t="shared" si="11"/>
        <v>1.0607486074483148E-3</v>
      </c>
      <c r="AE37" s="259">
        <f t="shared" si="12"/>
        <v>71</v>
      </c>
      <c r="AF37" s="259" cm="1">
        <f t="array" ref="AF37">_xlfn.IFS(N37&lt;=AC37,W37*(3/(X37^3 - (X37-AB37)^3)),N37&gt;AC37,W37*(3/X37^3))</f>
        <v>1.0580576142494065E-12</v>
      </c>
      <c r="AG37" s="261">
        <f t="shared" si="13"/>
        <v>1.2623015292453977E-3</v>
      </c>
      <c r="AH37" s="263">
        <f t="shared" si="14"/>
        <v>-2.0155292179708292E-4</v>
      </c>
      <c r="AI37" s="264">
        <f t="shared" si="15"/>
        <v>119.00100743774991</v>
      </c>
    </row>
    <row r="38" spans="1:35" s="50" customFormat="1" ht="15.75" x14ac:dyDescent="0.45">
      <c r="A38" s="50" t="s">
        <v>147</v>
      </c>
      <c r="B38" s="80" t="s">
        <v>125</v>
      </c>
      <c r="C38" s="179">
        <v>37.565966000000003</v>
      </c>
      <c r="D38" s="180">
        <v>121.393845</v>
      </c>
      <c r="E38" s="50" t="s">
        <v>8</v>
      </c>
      <c r="F38" s="95">
        <v>0.52588999999999997</v>
      </c>
      <c r="G38" s="50">
        <v>-1.55</v>
      </c>
      <c r="H38" s="50">
        <v>500</v>
      </c>
      <c r="I38" s="50">
        <v>541.98565228500001</v>
      </c>
      <c r="J38" s="50">
        <f t="shared" si="31"/>
        <v>3.6317736606982844</v>
      </c>
      <c r="K38" s="50">
        <f t="shared" si="32"/>
        <v>2355.7887863526803</v>
      </c>
      <c r="L38" s="52">
        <f t="shared" si="33"/>
        <v>25.076119402651361</v>
      </c>
      <c r="M38" s="50">
        <v>2017</v>
      </c>
      <c r="N38" s="94">
        <v>5</v>
      </c>
      <c r="O38" s="50">
        <v>51</v>
      </c>
      <c r="P38" s="50">
        <v>885.13920000000007</v>
      </c>
      <c r="Q38" s="50">
        <v>6</v>
      </c>
      <c r="R38" s="50">
        <v>0.61037440899999995</v>
      </c>
      <c r="S38" s="50">
        <v>0.13261895760437328</v>
      </c>
      <c r="T38" s="96">
        <v>0.46561240235619999</v>
      </c>
      <c r="U38" s="97">
        <v>1000</v>
      </c>
      <c r="V38" s="61">
        <f t="shared" si="3"/>
        <v>1.5305821560406759E-8</v>
      </c>
      <c r="W38" s="61">
        <f t="shared" si="4"/>
        <v>7.6529107802033793E-8</v>
      </c>
      <c r="X38" s="62">
        <f t="shared" si="5"/>
        <v>67</v>
      </c>
      <c r="Y38" s="172">
        <f t="shared" si="6"/>
        <v>37.702000455439553</v>
      </c>
      <c r="Z38" s="172">
        <f t="shared" si="7"/>
        <v>8.8854701594930106</v>
      </c>
      <c r="AA38" s="68">
        <f t="shared" si="8"/>
        <v>8.3512053388228166E-4</v>
      </c>
      <c r="AB38" s="175">
        <f t="shared" si="9"/>
        <v>10.738545568584168</v>
      </c>
      <c r="AC38" s="175">
        <f t="shared" si="10"/>
        <v>31.1960309578654</v>
      </c>
      <c r="AD38" s="70">
        <f t="shared" si="11"/>
        <v>1.876257282726988E-3</v>
      </c>
      <c r="AE38" s="259">
        <f t="shared" si="12"/>
        <v>71</v>
      </c>
      <c r="AF38" s="259" cm="1">
        <f t="array" ref="AF38">_xlfn.IFS(N38&lt;=AC38,W38*(3/(X38^3 - (X38-AB38)^3)),N38&gt;AC38,W38*(3/X38^3))</f>
        <v>1.871497440902292E-12</v>
      </c>
      <c r="AG38" s="261">
        <f t="shared" si="13"/>
        <v>2.2327650685692673E-3</v>
      </c>
      <c r="AH38" s="263">
        <f t="shared" si="14"/>
        <v>-3.5650778584227932E-4</v>
      </c>
      <c r="AI38" s="264">
        <f t="shared" si="15"/>
        <v>119.00100743774992</v>
      </c>
    </row>
    <row r="39" spans="1:35" s="50" customFormat="1" ht="15.75" x14ac:dyDescent="0.45">
      <c r="A39" s="50" t="s">
        <v>147</v>
      </c>
      <c r="B39" s="80" t="s">
        <v>125</v>
      </c>
      <c r="C39" s="177">
        <v>37.472619999999999</v>
      </c>
      <c r="D39" s="178">
        <v>121.53774199999999</v>
      </c>
      <c r="E39" s="50" t="s">
        <v>8</v>
      </c>
      <c r="F39" s="95">
        <v>0.89517999999999998</v>
      </c>
      <c r="G39" s="50">
        <v>-1.55</v>
      </c>
      <c r="H39" s="50">
        <v>500</v>
      </c>
      <c r="I39" s="50">
        <v>156.54728804000004</v>
      </c>
      <c r="J39" s="50">
        <f t="shared" si="31"/>
        <v>3.0924314193496771</v>
      </c>
      <c r="K39" s="50">
        <f t="shared" si="32"/>
        <v>680.44669474871648</v>
      </c>
      <c r="L39" s="52">
        <f t="shared" si="33"/>
        <v>7.2429933716917771</v>
      </c>
      <c r="M39" s="50">
        <v>2017</v>
      </c>
      <c r="N39" s="94">
        <v>5</v>
      </c>
      <c r="O39" s="50">
        <v>51</v>
      </c>
      <c r="P39" s="50">
        <v>2011.68</v>
      </c>
      <c r="Q39" s="50">
        <v>8</v>
      </c>
      <c r="R39" s="50">
        <v>0.61037440899999995</v>
      </c>
      <c r="S39" s="50">
        <v>0.13235348158759747</v>
      </c>
      <c r="T39" s="96">
        <v>0.60576958052330898</v>
      </c>
      <c r="U39" s="97">
        <v>2000</v>
      </c>
      <c r="V39" s="61">
        <f t="shared" si="3"/>
        <v>4.4209377986372857E-9</v>
      </c>
      <c r="W39" s="61">
        <f t="shared" si="4"/>
        <v>2.2104688993186429E-8</v>
      </c>
      <c r="X39" s="62">
        <f t="shared" si="5"/>
        <v>67</v>
      </c>
      <c r="Y39" s="172">
        <f t="shared" si="6"/>
        <v>37.777623527725453</v>
      </c>
      <c r="Z39" s="172">
        <f t="shared" si="7"/>
        <v>8.8676832663690295</v>
      </c>
      <c r="AA39" s="68">
        <f t="shared" si="8"/>
        <v>2.4104657471888234E-4</v>
      </c>
      <c r="AB39" s="175">
        <f t="shared" si="9"/>
        <v>8.2539634883624018</v>
      </c>
      <c r="AC39" s="175">
        <f t="shared" si="10"/>
        <v>40.586561895061699</v>
      </c>
      <c r="AD39" s="70">
        <f t="shared" si="11"/>
        <v>6.7822393664517975E-4</v>
      </c>
      <c r="AE39" s="259">
        <f t="shared" si="12"/>
        <v>71</v>
      </c>
      <c r="AF39" s="259" cm="1">
        <f t="array" ref="AF39">_xlfn.IFS(N39&lt;=AC39,W39*(3/(X39^3 - (X39-AB39)^3)),N39&gt;AC39,W39*(3/X39^3))</f>
        <v>6.7650336309171658E-13</v>
      </c>
      <c r="AG39" s="261">
        <f t="shared" si="13"/>
        <v>8.0709331729173124E-4</v>
      </c>
      <c r="AH39" s="263">
        <f t="shared" si="14"/>
        <v>-1.2886938064655149E-4</v>
      </c>
      <c r="AI39" s="264">
        <f t="shared" si="15"/>
        <v>119.00100743775</v>
      </c>
    </row>
    <row r="40" spans="1:35" s="50" customFormat="1" ht="15.75" x14ac:dyDescent="0.45">
      <c r="A40" s="50" t="s">
        <v>147</v>
      </c>
      <c r="B40" s="80" t="s">
        <v>125</v>
      </c>
      <c r="C40" s="179">
        <v>37.474303999999997</v>
      </c>
      <c r="D40" s="180">
        <v>121.48737199999999</v>
      </c>
      <c r="E40" s="50" t="s">
        <v>8</v>
      </c>
      <c r="F40" s="95">
        <v>0.94430000000000003</v>
      </c>
      <c r="G40" s="50">
        <v>-1.55</v>
      </c>
      <c r="H40" s="50">
        <v>500</v>
      </c>
      <c r="I40" s="50">
        <v>127.65420398500001</v>
      </c>
      <c r="J40" s="50">
        <f t="shared" si="31"/>
        <v>3.0038209926910411</v>
      </c>
      <c r="K40" s="50">
        <f t="shared" si="32"/>
        <v>554.86033811187633</v>
      </c>
      <c r="L40" s="52">
        <f t="shared" si="33"/>
        <v>5.9061933611759372</v>
      </c>
      <c r="M40" s="50">
        <v>2017</v>
      </c>
      <c r="N40" s="94">
        <v>5</v>
      </c>
      <c r="O40" s="50">
        <v>51</v>
      </c>
      <c r="P40" s="50">
        <v>1223.1014400000001</v>
      </c>
      <c r="Q40" s="50">
        <v>10</v>
      </c>
      <c r="R40" s="50">
        <v>0.61037440899999995</v>
      </c>
      <c r="S40" s="50">
        <v>0.13208853699948581</v>
      </c>
      <c r="T40" s="96">
        <v>0.97007351237337403</v>
      </c>
      <c r="U40" s="97" t="s">
        <v>126</v>
      </c>
      <c r="V40" s="61">
        <f t="shared" si="3"/>
        <v>3.6049892822674862E-9</v>
      </c>
      <c r="W40" s="61">
        <f t="shared" si="4"/>
        <v>1.8024946411337431E-8</v>
      </c>
      <c r="X40" s="62">
        <f t="shared" si="5"/>
        <v>67</v>
      </c>
      <c r="Y40" s="172">
        <f t="shared" si="6"/>
        <v>37.853398285571622</v>
      </c>
      <c r="Z40" s="172">
        <f t="shared" si="7"/>
        <v>8.8499319789655484</v>
      </c>
      <c r="AA40" s="68">
        <f t="shared" si="8"/>
        <v>1.964200269945248E-4</v>
      </c>
      <c r="AB40" s="175">
        <f t="shared" si="9"/>
        <v>5.1542485556244495</v>
      </c>
      <c r="AC40" s="175">
        <f t="shared" si="10"/>
        <v>64.994925329016056</v>
      </c>
      <c r="AD40" s="70">
        <f t="shared" si="11"/>
        <v>8.4430617199904778E-4</v>
      </c>
      <c r="AE40" s="259">
        <f t="shared" si="12"/>
        <v>71</v>
      </c>
      <c r="AF40" s="259" cm="1">
        <f t="array" ref="AF40">_xlfn.IFS(N40&lt;=AC40,W40*(3/(X40^3 - (X40-AB40)^3)),N40&gt;AC40,W40*(3/X40^3))</f>
        <v>8.4216426754525835E-13</v>
      </c>
      <c r="AG40" s="261">
        <f t="shared" si="13"/>
        <v>1.0047328505379701E-3</v>
      </c>
      <c r="AH40" s="263">
        <f t="shared" si="14"/>
        <v>-1.6042667853892229E-4</v>
      </c>
      <c r="AI40" s="264">
        <f t="shared" si="15"/>
        <v>119.0010074377501</v>
      </c>
    </row>
    <row r="41" spans="1:35" s="50" customFormat="1" ht="15.75" x14ac:dyDescent="0.45">
      <c r="A41" s="50" t="s">
        <v>147</v>
      </c>
      <c r="B41" s="80" t="s">
        <v>125</v>
      </c>
      <c r="C41" s="179">
        <v>37.504139000000002</v>
      </c>
      <c r="D41" s="180">
        <v>121.51571800000001</v>
      </c>
      <c r="E41" s="50" t="s">
        <v>8</v>
      </c>
      <c r="F41" s="95">
        <v>0.94430000000000003</v>
      </c>
      <c r="G41" s="50">
        <v>-1.55</v>
      </c>
      <c r="H41" s="50">
        <v>500</v>
      </c>
      <c r="I41" s="50">
        <v>119.60768204000001</v>
      </c>
      <c r="J41" s="50">
        <f t="shared" si="31"/>
        <v>2.9755449448387075</v>
      </c>
      <c r="K41" s="50">
        <f t="shared" si="32"/>
        <v>519.88541564436423</v>
      </c>
      <c r="L41" s="52">
        <f t="shared" si="33"/>
        <v>5.5339039025561485</v>
      </c>
      <c r="M41" s="50">
        <v>2017</v>
      </c>
      <c r="N41" s="94">
        <v>5</v>
      </c>
      <c r="O41" s="50">
        <v>51</v>
      </c>
      <c r="P41" s="50">
        <v>5214.2745600000007</v>
      </c>
      <c r="Q41" s="50">
        <v>10</v>
      </c>
      <c r="R41" s="50">
        <v>0.61037440899999995</v>
      </c>
      <c r="S41" s="50">
        <v>0.13208853699948581</v>
      </c>
      <c r="T41" s="96">
        <v>0.62919023837300103</v>
      </c>
      <c r="U41" s="97">
        <v>4000</v>
      </c>
      <c r="V41" s="61">
        <f t="shared" si="3"/>
        <v>3.3777533239855028E-9</v>
      </c>
      <c r="W41" s="61">
        <f t="shared" si="4"/>
        <v>1.6888766619927514E-8</v>
      </c>
      <c r="X41" s="62">
        <f t="shared" si="5"/>
        <v>67</v>
      </c>
      <c r="Y41" s="172">
        <f t="shared" si="6"/>
        <v>37.853398285571622</v>
      </c>
      <c r="Z41" s="172">
        <f t="shared" si="7"/>
        <v>8.8499319789655484</v>
      </c>
      <c r="AA41" s="68">
        <f t="shared" si="8"/>
        <v>1.8403893801891488E-4</v>
      </c>
      <c r="AB41" s="175">
        <f t="shared" si="9"/>
        <v>7.9467221438929325</v>
      </c>
      <c r="AC41" s="175">
        <f t="shared" si="10"/>
        <v>42.15574597099107</v>
      </c>
      <c r="AD41" s="70">
        <f t="shared" si="11"/>
        <v>5.3566071473206518E-4</v>
      </c>
      <c r="AE41" s="259">
        <f t="shared" si="12"/>
        <v>71</v>
      </c>
      <c r="AF41" s="259" cm="1">
        <f t="array" ref="AF41">_xlfn.IFS(N41&lt;=AC41,W41*(3/(X41^3 - (X41-AB41)^3)),N41&gt;AC41,W41*(3/X41^3))</f>
        <v>5.3430180713591628E-13</v>
      </c>
      <c r="AG41" s="261">
        <f t="shared" si="13"/>
        <v>6.3744164697940981E-4</v>
      </c>
      <c r="AH41" s="263">
        <f t="shared" si="14"/>
        <v>-1.0178093224734463E-4</v>
      </c>
      <c r="AI41" s="264">
        <f t="shared" si="15"/>
        <v>119.00100743775</v>
      </c>
    </row>
    <row r="42" spans="1:35" s="50" customFormat="1" ht="15.75" x14ac:dyDescent="0.45">
      <c r="A42" s="50" t="s">
        <v>147</v>
      </c>
      <c r="B42" s="80" t="s">
        <v>125</v>
      </c>
      <c r="C42" s="177">
        <v>37.486080000000001</v>
      </c>
      <c r="D42" s="178">
        <v>121.625411</v>
      </c>
      <c r="E42" s="50" t="s">
        <v>8</v>
      </c>
      <c r="F42" s="95">
        <v>0.94286000000000003</v>
      </c>
      <c r="G42" s="50">
        <v>-1.55</v>
      </c>
      <c r="H42" s="50">
        <v>500</v>
      </c>
      <c r="I42" s="50">
        <v>305.50794863600004</v>
      </c>
      <c r="J42" s="50">
        <f t="shared" si="31"/>
        <v>3.3828083849684161</v>
      </c>
      <c r="K42" s="50">
        <f t="shared" si="32"/>
        <v>1327.917439334434</v>
      </c>
      <c r="L42" s="52">
        <f t="shared" si="33"/>
        <v>14.13497528238433</v>
      </c>
      <c r="M42" s="50">
        <v>2017</v>
      </c>
      <c r="N42" s="94">
        <v>5</v>
      </c>
      <c r="O42" s="50">
        <v>51</v>
      </c>
      <c r="P42" s="50">
        <v>949.51296000000002</v>
      </c>
      <c r="Q42" s="50">
        <v>12</v>
      </c>
      <c r="R42" s="50">
        <v>0.61037440899999995</v>
      </c>
      <c r="S42" s="50">
        <v>0.1318241227762269</v>
      </c>
      <c r="T42" s="96">
        <v>0.60023342806035496</v>
      </c>
      <c r="U42" s="97">
        <v>2000</v>
      </c>
      <c r="V42" s="61">
        <f t="shared" si="3"/>
        <v>8.6276271842149436E-9</v>
      </c>
      <c r="W42" s="61">
        <f t="shared" si="4"/>
        <v>4.3138135921074717E-8</v>
      </c>
      <c r="X42" s="62">
        <f t="shared" si="5"/>
        <v>67</v>
      </c>
      <c r="Y42" s="172">
        <f t="shared" si="6"/>
        <v>37.929325033230548</v>
      </c>
      <c r="Z42" s="172">
        <f t="shared" si="7"/>
        <v>8.832216226007203</v>
      </c>
      <c r="AA42" s="68">
        <f t="shared" si="8"/>
        <v>4.6975301252515583E-4</v>
      </c>
      <c r="AB42" s="175">
        <f t="shared" si="9"/>
        <v>8.3300925377605548</v>
      </c>
      <c r="AC42" s="175">
        <f t="shared" si="10"/>
        <v>40.215639680043779</v>
      </c>
      <c r="AD42" s="70">
        <f t="shared" si="11"/>
        <v>1.3130356117394663E-3</v>
      </c>
      <c r="AE42" s="259">
        <f t="shared" si="12"/>
        <v>71</v>
      </c>
      <c r="AF42" s="259" cm="1">
        <f t="array" ref="AF42">_xlfn.IFS(N42&lt;=AC42,W42*(3/(X42^3 - (X42-AB42)^3)),N42&gt;AC42,W42*(3/X42^3))</f>
        <v>1.3097045963826669E-12</v>
      </c>
      <c r="AG42" s="261">
        <f t="shared" si="13"/>
        <v>1.562525605986389E-3</v>
      </c>
      <c r="AH42" s="263">
        <f t="shared" si="14"/>
        <v>-2.4948999424692273E-4</v>
      </c>
      <c r="AI42" s="264">
        <f t="shared" si="15"/>
        <v>119.00100743775003</v>
      </c>
    </row>
    <row r="43" spans="1:35" s="50" customFormat="1" ht="15.75" x14ac:dyDescent="0.45">
      <c r="A43" s="50" t="s">
        <v>147</v>
      </c>
      <c r="B43" s="80" t="s">
        <v>125</v>
      </c>
      <c r="C43" s="177">
        <v>37.513882000000002</v>
      </c>
      <c r="D43" s="178">
        <v>121.778015</v>
      </c>
      <c r="E43" s="50" t="s">
        <v>8</v>
      </c>
      <c r="F43" s="95">
        <v>0.91678999999999999</v>
      </c>
      <c r="G43" s="50">
        <v>-1.55</v>
      </c>
      <c r="H43" s="50">
        <v>500</v>
      </c>
      <c r="I43" s="50">
        <v>162.17694223500001</v>
      </c>
      <c r="J43" s="50">
        <f t="shared" si="31"/>
        <v>3.1077749786229276</v>
      </c>
      <c r="K43" s="50">
        <f t="shared" si="32"/>
        <v>704.91648683216226</v>
      </c>
      <c r="L43" s="52">
        <f t="shared" si="33"/>
        <v>7.5034613014133322</v>
      </c>
      <c r="M43" s="50">
        <v>2017</v>
      </c>
      <c r="N43" s="94">
        <v>5</v>
      </c>
      <c r="O43" s="50">
        <v>51</v>
      </c>
      <c r="P43" s="50">
        <v>6179.8809600000004</v>
      </c>
      <c r="Q43" s="50">
        <v>12</v>
      </c>
      <c r="R43" s="50">
        <v>0.61037440899999995</v>
      </c>
      <c r="S43" s="50">
        <v>0.1318241227762269</v>
      </c>
      <c r="T43" s="96">
        <v>0.548569749017077</v>
      </c>
      <c r="U43" s="97">
        <v>5000</v>
      </c>
      <c r="V43" s="61">
        <f t="shared" si="3"/>
        <v>4.5799207573045332E-9</v>
      </c>
      <c r="W43" s="61">
        <f t="shared" si="4"/>
        <v>2.2899603786522666E-8</v>
      </c>
      <c r="X43" s="62">
        <f t="shared" si="5"/>
        <v>67</v>
      </c>
      <c r="Y43" s="172">
        <f t="shared" si="6"/>
        <v>37.929325033230548</v>
      </c>
      <c r="Z43" s="172">
        <f t="shared" si="7"/>
        <v>8.832216226007203</v>
      </c>
      <c r="AA43" s="68">
        <f t="shared" si="8"/>
        <v>2.4936538481942571E-4</v>
      </c>
      <c r="AB43" s="175">
        <f t="shared" si="9"/>
        <v>9.1146112394257273</v>
      </c>
      <c r="AC43" s="175">
        <f t="shared" si="10"/>
        <v>36.754173184144157</v>
      </c>
      <c r="AD43" s="70">
        <f t="shared" si="11"/>
        <v>6.4485085079725392E-4</v>
      </c>
      <c r="AE43" s="259">
        <f t="shared" si="12"/>
        <v>71</v>
      </c>
      <c r="AF43" s="259" cm="1">
        <f t="array" ref="AF43">_xlfn.IFS(N43&lt;=AC43,W43*(3/(X43^3 - (X43-AB43)^3)),N43&gt;AC43,W43*(3/X43^3))</f>
        <v>6.4321494079782478E-13</v>
      </c>
      <c r="AG43" s="261">
        <f t="shared" si="13"/>
        <v>7.6737900891963413E-4</v>
      </c>
      <c r="AH43" s="263">
        <f t="shared" si="14"/>
        <v>-1.2252815812238021E-4</v>
      </c>
      <c r="AI43" s="264">
        <f t="shared" si="15"/>
        <v>119.00100743774998</v>
      </c>
    </row>
    <row r="44" spans="1:35" s="50" customFormat="1" ht="15.75" x14ac:dyDescent="0.45">
      <c r="A44" s="50" t="s">
        <v>147</v>
      </c>
      <c r="B44" s="80" t="s">
        <v>125</v>
      </c>
      <c r="C44" s="177">
        <v>37.530493999999997</v>
      </c>
      <c r="D44" s="178">
        <v>121.70903</v>
      </c>
      <c r="E44" s="50" t="s">
        <v>8</v>
      </c>
      <c r="F44" s="95">
        <v>0.91678999999999999</v>
      </c>
      <c r="G44" s="50">
        <v>-1.55</v>
      </c>
      <c r="H44" s="50">
        <v>500</v>
      </c>
      <c r="I44" s="50">
        <v>292.48374289750006</v>
      </c>
      <c r="J44" s="50">
        <f t="shared" si="31"/>
        <v>3.3638876025988562</v>
      </c>
      <c r="K44" s="50">
        <f t="shared" si="32"/>
        <v>1271.3065720530722</v>
      </c>
      <c r="L44" s="52">
        <f t="shared" si="33"/>
        <v>13.532382691886042</v>
      </c>
      <c r="M44" s="50">
        <v>2017</v>
      </c>
      <c r="N44" s="94">
        <v>5</v>
      </c>
      <c r="O44" s="50">
        <v>51</v>
      </c>
      <c r="P44" s="50">
        <v>7306.4217600000002</v>
      </c>
      <c r="Q44" s="50">
        <v>12</v>
      </c>
      <c r="R44" s="50">
        <v>0.61037440899999995</v>
      </c>
      <c r="S44" s="50">
        <v>0.1318241227762269</v>
      </c>
      <c r="T44" s="96">
        <v>0.58311005101739799</v>
      </c>
      <c r="U44" s="97">
        <v>7000</v>
      </c>
      <c r="V44" s="61">
        <f t="shared" si="3"/>
        <v>8.2598200879217715E-9</v>
      </c>
      <c r="W44" s="61">
        <f t="shared" si="4"/>
        <v>4.1299100439608859E-8</v>
      </c>
      <c r="X44" s="62">
        <f t="shared" si="5"/>
        <v>67</v>
      </c>
      <c r="Y44" s="172">
        <f t="shared" si="6"/>
        <v>37.929325033230548</v>
      </c>
      <c r="Z44" s="172">
        <f t="shared" si="7"/>
        <v>8.832216226007203</v>
      </c>
      <c r="AA44" s="68">
        <f t="shared" si="8"/>
        <v>4.4972682365274351E-4</v>
      </c>
      <c r="AB44" s="175">
        <f t="shared" si="9"/>
        <v>8.5747107107416625</v>
      </c>
      <c r="AC44" s="175">
        <f t="shared" si="10"/>
        <v>39.068373418165663</v>
      </c>
      <c r="AD44" s="70">
        <f t="shared" si="11"/>
        <v>1.2258517854357677E-3</v>
      </c>
      <c r="AE44" s="259">
        <f t="shared" si="12"/>
        <v>71</v>
      </c>
      <c r="AF44" s="259" cm="1">
        <f t="array" ref="AF44">_xlfn.IFS(N44&lt;=AC44,W44*(3/(X44^3 - (X44-AB44)^3)),N44&gt;AC44,W44*(3/X44^3))</f>
        <v>1.2227419450887585E-12</v>
      </c>
      <c r="AG44" s="261">
        <f t="shared" si="13"/>
        <v>1.4587759743622088E-3</v>
      </c>
      <c r="AH44" s="263">
        <f t="shared" si="14"/>
        <v>-2.3292418892644114E-4</v>
      </c>
      <c r="AI44" s="264">
        <f t="shared" si="15"/>
        <v>119.00100743774999</v>
      </c>
    </row>
    <row r="45" spans="1:35" s="50" customFormat="1" ht="15.75" x14ac:dyDescent="0.45">
      <c r="A45" s="50" t="s">
        <v>147</v>
      </c>
      <c r="B45" s="80" t="s">
        <v>125</v>
      </c>
      <c r="C45" s="177">
        <v>37.544573999999997</v>
      </c>
      <c r="D45" s="178">
        <v>121.631653</v>
      </c>
      <c r="E45" s="50" t="s">
        <v>8</v>
      </c>
      <c r="F45" s="95">
        <v>0.90242</v>
      </c>
      <c r="G45" s="50">
        <v>-1.55</v>
      </c>
      <c r="H45" s="50">
        <v>500</v>
      </c>
      <c r="I45" s="50">
        <v>140.04227330500001</v>
      </c>
      <c r="J45" s="50">
        <f t="shared" si="31"/>
        <v>3.0440450229170022</v>
      </c>
      <c r="K45" s="50">
        <f t="shared" si="32"/>
        <v>608.70618193740518</v>
      </c>
      <c r="L45" s="52">
        <f t="shared" si="33"/>
        <v>6.4793537467451268</v>
      </c>
      <c r="M45" s="50">
        <v>2017</v>
      </c>
      <c r="N45" s="94">
        <v>5</v>
      </c>
      <c r="O45" s="50">
        <v>51</v>
      </c>
      <c r="P45" s="50">
        <v>6308.6284800000003</v>
      </c>
      <c r="Q45" s="50">
        <v>12</v>
      </c>
      <c r="R45" s="50">
        <v>0.61037440899999995</v>
      </c>
      <c r="S45" s="50">
        <v>0.1318241227762269</v>
      </c>
      <c r="T45" s="96">
        <v>0.61228545247289801</v>
      </c>
      <c r="U45" s="97">
        <v>6000</v>
      </c>
      <c r="V45" s="61">
        <f t="shared" si="3"/>
        <v>3.9548317138714928E-9</v>
      </c>
      <c r="W45" s="61">
        <f t="shared" si="4"/>
        <v>1.9774158569357465E-8</v>
      </c>
      <c r="X45" s="62">
        <f t="shared" si="5"/>
        <v>67</v>
      </c>
      <c r="Y45" s="172">
        <f t="shared" si="6"/>
        <v>37.929325033230548</v>
      </c>
      <c r="Z45" s="172">
        <f t="shared" si="7"/>
        <v>8.832216226007203</v>
      </c>
      <c r="AA45" s="68">
        <f t="shared" si="8"/>
        <v>2.1533082873819215E-4</v>
      </c>
      <c r="AB45" s="175">
        <f t="shared" si="9"/>
        <v>8.1661257503440652</v>
      </c>
      <c r="AC45" s="175">
        <f t="shared" si="10"/>
        <v>41.023125315684169</v>
      </c>
      <c r="AD45" s="70">
        <f t="shared" si="11"/>
        <v>6.1240779190644182E-4</v>
      </c>
      <c r="AE45" s="259">
        <f t="shared" si="12"/>
        <v>71</v>
      </c>
      <c r="AF45" s="259" cm="1">
        <f t="array" ref="AF45">_xlfn.IFS(N45&lt;=AC45,W45*(3/(X45^3 - (X45-AB45)^3)),N45&gt;AC45,W45*(3/X45^3))</f>
        <v>6.1085418609314456E-13</v>
      </c>
      <c r="AG45" s="261">
        <f t="shared" si="13"/>
        <v>7.2877144199594486E-4</v>
      </c>
      <c r="AH45" s="263">
        <f t="shared" si="14"/>
        <v>-1.1636365008950303E-4</v>
      </c>
      <c r="AI45" s="264">
        <f t="shared" si="15"/>
        <v>119.00100743774992</v>
      </c>
    </row>
    <row r="46" spans="1:35" s="50" customFormat="1" ht="15.75" x14ac:dyDescent="0.45">
      <c r="A46" s="50" t="s">
        <v>147</v>
      </c>
      <c r="B46" s="80" t="s">
        <v>125</v>
      </c>
      <c r="C46" s="177">
        <v>37.562748999999997</v>
      </c>
      <c r="D46" s="178">
        <v>121.55318699999999</v>
      </c>
      <c r="E46" s="50" t="s">
        <v>8</v>
      </c>
      <c r="F46" s="95">
        <v>0.95103000000000004</v>
      </c>
      <c r="G46" s="50">
        <v>-1.55</v>
      </c>
      <c r="H46" s="50">
        <v>500</v>
      </c>
      <c r="I46" s="50">
        <v>71.792446324500006</v>
      </c>
      <c r="J46" s="50">
        <f t="shared" si="31"/>
        <v>2.753864623019155</v>
      </c>
      <c r="K46" s="50">
        <f t="shared" si="32"/>
        <v>312.05224581692255</v>
      </c>
      <c r="L46" s="52">
        <f t="shared" si="33"/>
        <v>3.3216302842181835</v>
      </c>
      <c r="M46" s="50">
        <v>2017</v>
      </c>
      <c r="N46" s="94">
        <v>5</v>
      </c>
      <c r="O46" s="50">
        <v>51</v>
      </c>
      <c r="P46" s="50">
        <v>2671.5110399999999</v>
      </c>
      <c r="Q46" s="50">
        <v>12</v>
      </c>
      <c r="R46" s="50">
        <v>0.61037440899999995</v>
      </c>
      <c r="S46" s="50">
        <v>0.1318241227762269</v>
      </c>
      <c r="T46" s="96">
        <v>0.62919023837300103</v>
      </c>
      <c r="U46" s="97">
        <v>4000</v>
      </c>
      <c r="V46" s="61">
        <f t="shared" si="3"/>
        <v>2.0274381216461755E-9</v>
      </c>
      <c r="W46" s="61">
        <f t="shared" si="4"/>
        <v>1.0137190608230878E-8</v>
      </c>
      <c r="X46" s="62">
        <f t="shared" si="5"/>
        <v>67</v>
      </c>
      <c r="Y46" s="172">
        <f t="shared" si="6"/>
        <v>37.929325033230548</v>
      </c>
      <c r="Z46" s="172">
        <f t="shared" si="7"/>
        <v>8.832216226007203</v>
      </c>
      <c r="AA46" s="68">
        <f t="shared" si="8"/>
        <v>1.1038900325852408E-4</v>
      </c>
      <c r="AB46" s="175">
        <f t="shared" si="9"/>
        <v>7.9467221438929325</v>
      </c>
      <c r="AC46" s="175">
        <f t="shared" si="10"/>
        <v>42.15574597099107</v>
      </c>
      <c r="AD46" s="70">
        <f t="shared" si="11"/>
        <v>3.2152109676102775E-4</v>
      </c>
      <c r="AE46" s="259">
        <f t="shared" si="12"/>
        <v>71</v>
      </c>
      <c r="AF46" s="259" cm="1">
        <f t="array" ref="AF46">_xlfn.IFS(N46&lt;=AC46,W46*(3/(X46^3 - (X46-AB46)^3)),N46&gt;AC46,W46*(3/X46^3))</f>
        <v>3.2070543593563157E-13</v>
      </c>
      <c r="AG46" s="261">
        <f t="shared" si="13"/>
        <v>3.8261334427052611E-4</v>
      </c>
      <c r="AH46" s="263">
        <f t="shared" si="14"/>
        <v>-6.1092247509498361E-5</v>
      </c>
      <c r="AI46" s="264">
        <f t="shared" si="15"/>
        <v>119.00100743775003</v>
      </c>
    </row>
    <row r="47" spans="1:35" s="50" customFormat="1" ht="15.75" x14ac:dyDescent="0.45">
      <c r="A47" s="50" t="s">
        <v>147</v>
      </c>
      <c r="B47" s="80" t="s">
        <v>125</v>
      </c>
      <c r="C47" s="179">
        <v>37.603489000000003</v>
      </c>
      <c r="D47" s="180">
        <v>121.46861199999999</v>
      </c>
      <c r="E47" s="50" t="s">
        <v>8</v>
      </c>
      <c r="F47" s="95">
        <v>0.91576999999999997</v>
      </c>
      <c r="G47" s="50">
        <v>-1.55</v>
      </c>
      <c r="H47" s="50">
        <v>500</v>
      </c>
      <c r="I47" s="50">
        <v>119.08453295200002</v>
      </c>
      <c r="J47" s="50">
        <f t="shared" si="31"/>
        <v>2.9736412285743121</v>
      </c>
      <c r="K47" s="50">
        <f t="shared" si="32"/>
        <v>517.61150165807112</v>
      </c>
      <c r="L47" s="52">
        <f t="shared" si="33"/>
        <v>5.5096992968792842</v>
      </c>
      <c r="M47" s="50">
        <v>2017</v>
      </c>
      <c r="N47" s="94">
        <v>5</v>
      </c>
      <c r="O47" s="50">
        <v>51</v>
      </c>
      <c r="P47" s="50">
        <v>3154.3142400000002</v>
      </c>
      <c r="Q47" s="50">
        <v>12</v>
      </c>
      <c r="R47" s="50">
        <v>0.61037440899999995</v>
      </c>
      <c r="S47" s="50">
        <v>0.1318241227762269</v>
      </c>
      <c r="T47" s="96">
        <v>0.70191357935466503</v>
      </c>
      <c r="U47" s="97">
        <v>3000</v>
      </c>
      <c r="V47" s="61">
        <f t="shared" si="3"/>
        <v>3.3629794521004086E-9</v>
      </c>
      <c r="W47" s="61">
        <f t="shared" si="4"/>
        <v>1.6814897260502044E-8</v>
      </c>
      <c r="X47" s="62">
        <f t="shared" si="5"/>
        <v>67</v>
      </c>
      <c r="Y47" s="172">
        <f t="shared" si="6"/>
        <v>37.929325033230548</v>
      </c>
      <c r="Z47" s="172">
        <f t="shared" si="7"/>
        <v>8.832216226007203</v>
      </c>
      <c r="AA47" s="68">
        <f t="shared" si="8"/>
        <v>1.8310593341060245E-4</v>
      </c>
      <c r="AB47" s="175">
        <f t="shared" si="9"/>
        <v>7.1233840561924575</v>
      </c>
      <c r="AC47" s="175">
        <f t="shared" si="10"/>
        <v>47.028209816762555</v>
      </c>
      <c r="AD47" s="70">
        <f t="shared" si="11"/>
        <v>5.8742408083631162E-4</v>
      </c>
      <c r="AE47" s="259">
        <f t="shared" si="12"/>
        <v>71</v>
      </c>
      <c r="AF47" s="259" cm="1">
        <f t="array" ref="AF47">_xlfn.IFS(N47&lt;=AC47,W47*(3/(X47^3 - (X47-AB47)^3)),N47&gt;AC47,W47*(3/X47^3))</f>
        <v>5.8593385572990536E-13</v>
      </c>
      <c r="AG47" s="261">
        <f t="shared" si="13"/>
        <v>6.9904057412715386E-4</v>
      </c>
      <c r="AH47" s="263">
        <f t="shared" si="14"/>
        <v>-1.1161649329084224E-4</v>
      </c>
      <c r="AI47" s="264">
        <f t="shared" si="15"/>
        <v>119.00100743775</v>
      </c>
    </row>
    <row r="48" spans="1:35" s="50" customFormat="1" ht="15.75" x14ac:dyDescent="0.45">
      <c r="A48" s="50" t="s">
        <v>147</v>
      </c>
      <c r="B48" s="80" t="s">
        <v>125</v>
      </c>
      <c r="C48" s="177">
        <v>37.512934000000001</v>
      </c>
      <c r="D48" s="178">
        <v>121.880461</v>
      </c>
      <c r="E48" s="50" t="s">
        <v>8</v>
      </c>
      <c r="F48" s="95">
        <v>0.91010999999999997</v>
      </c>
      <c r="G48" s="50">
        <v>-1.55</v>
      </c>
      <c r="H48" s="50">
        <v>500</v>
      </c>
      <c r="I48" s="50">
        <v>417.33931351200005</v>
      </c>
      <c r="J48" s="50">
        <f t="shared" si="31"/>
        <v>3.5182751682018858</v>
      </c>
      <c r="K48" s="50">
        <f t="shared" si="32"/>
        <v>1814.002401596242</v>
      </c>
      <c r="L48" s="52">
        <f t="shared" si="33"/>
        <v>19.309091325436743</v>
      </c>
      <c r="M48" s="50">
        <v>2017</v>
      </c>
      <c r="N48" s="94">
        <v>5</v>
      </c>
      <c r="O48" s="50">
        <v>51</v>
      </c>
      <c r="P48" s="50">
        <v>5069.4336000000003</v>
      </c>
      <c r="Q48" s="50">
        <v>13</v>
      </c>
      <c r="R48" s="50">
        <v>0.61037440899999995</v>
      </c>
      <c r="S48" s="50">
        <v>0.13169211421955859</v>
      </c>
      <c r="T48" s="96">
        <v>0.51236009257386095</v>
      </c>
      <c r="U48" s="97">
        <v>4000</v>
      </c>
      <c r="V48" s="61">
        <f t="shared" si="3"/>
        <v>1.1785775206090478E-8</v>
      </c>
      <c r="W48" s="61">
        <f t="shared" si="4"/>
        <v>5.8928876030452388E-8</v>
      </c>
      <c r="X48" s="62">
        <f t="shared" si="5"/>
        <v>67</v>
      </c>
      <c r="Y48" s="172">
        <f t="shared" si="6"/>
        <v>37.967345498485528</v>
      </c>
      <c r="Z48" s="172">
        <f t="shared" si="7"/>
        <v>8.823371652710426</v>
      </c>
      <c r="AA48" s="68">
        <f t="shared" si="8"/>
        <v>6.4148279139043557E-4</v>
      </c>
      <c r="AB48" s="175">
        <f t="shared" si="9"/>
        <v>9.758761606280272</v>
      </c>
      <c r="AC48" s="175">
        <f t="shared" si="10"/>
        <v>34.328126202448686</v>
      </c>
      <c r="AD48" s="70">
        <f t="shared" si="11"/>
        <v>1.565571203753284E-3</v>
      </c>
      <c r="AE48" s="259">
        <f t="shared" si="12"/>
        <v>71</v>
      </c>
      <c r="AF48" s="259" cm="1">
        <f t="array" ref="AF48">_xlfn.IFS(N48&lt;=AC48,W48*(3/(X48^3 - (X48-AB48)^3)),N48&gt;AC48,W48*(3/X48^3))</f>
        <v>1.5615995356010709E-12</v>
      </c>
      <c r="AG48" s="261">
        <f t="shared" si="13"/>
        <v>1.8630455046217162E-3</v>
      </c>
      <c r="AH48" s="263">
        <f t="shared" si="14"/>
        <v>-2.9747430086843221E-4</v>
      </c>
      <c r="AI48" s="264">
        <f t="shared" si="15"/>
        <v>119.00100743774991</v>
      </c>
    </row>
    <row r="49" spans="1:35" s="50" customFormat="1" ht="15.75" x14ac:dyDescent="0.45">
      <c r="A49" s="50" t="s">
        <v>147</v>
      </c>
      <c r="B49" s="80" t="s">
        <v>125</v>
      </c>
      <c r="C49" s="179">
        <v>37.514389999999999</v>
      </c>
      <c r="D49" s="180">
        <v>121.518027</v>
      </c>
      <c r="E49" s="50" t="s">
        <v>8</v>
      </c>
      <c r="F49" s="95">
        <v>0.96753</v>
      </c>
      <c r="G49" s="50">
        <v>-1.55</v>
      </c>
      <c r="H49" s="50">
        <v>500</v>
      </c>
      <c r="I49" s="50">
        <v>112.188199596</v>
      </c>
      <c r="J49" s="50">
        <f t="shared" si="31"/>
        <v>2.9477330493582872</v>
      </c>
      <c r="K49" s="50">
        <f t="shared" si="32"/>
        <v>487.63597607262307</v>
      </c>
      <c r="L49" s="52">
        <f t="shared" si="33"/>
        <v>5.1906257606215238</v>
      </c>
      <c r="M49" s="50">
        <v>2017</v>
      </c>
      <c r="N49" s="94">
        <v>5</v>
      </c>
      <c r="O49" s="50">
        <v>51</v>
      </c>
      <c r="P49" s="50">
        <v>5455.67616</v>
      </c>
      <c r="Q49" s="50">
        <v>15</v>
      </c>
      <c r="R49" s="50">
        <v>0.61037440899999995</v>
      </c>
      <c r="S49" s="50">
        <v>0.13142849355358946</v>
      </c>
      <c r="T49" s="96">
        <v>0.62919023837300103</v>
      </c>
      <c r="U49" s="97">
        <v>4000</v>
      </c>
      <c r="V49" s="61">
        <f t="shared" si="3"/>
        <v>3.1682251309795381E-9</v>
      </c>
      <c r="W49" s="61">
        <f t="shared" si="4"/>
        <v>1.5841125654897691E-8</v>
      </c>
      <c r="X49" s="62">
        <f t="shared" si="5"/>
        <v>67</v>
      </c>
      <c r="Y49" s="172">
        <f t="shared" si="6"/>
        <v>38.043500802672362</v>
      </c>
      <c r="Z49" s="172">
        <f t="shared" si="7"/>
        <v>8.8057090680904935</v>
      </c>
      <c r="AA49" s="68">
        <f t="shared" si="8"/>
        <v>1.723221443351592E-4</v>
      </c>
      <c r="AB49" s="175">
        <f t="shared" si="9"/>
        <v>7.9467221438929325</v>
      </c>
      <c r="AC49" s="175">
        <f t="shared" si="10"/>
        <v>42.15574597099107</v>
      </c>
      <c r="AD49" s="70">
        <f t="shared" si="11"/>
        <v>5.0243270461507335E-4</v>
      </c>
      <c r="AE49" s="259">
        <f t="shared" si="12"/>
        <v>71</v>
      </c>
      <c r="AF49" s="259" cm="1">
        <f t="array" ref="AF49">_xlfn.IFS(N49&lt;=AC49,W49*(3/(X49^3 - (X49-AB49)^3)),N49&gt;AC49,W49*(3/X49^3))</f>
        <v>5.0115809253306431E-13</v>
      </c>
      <c r="AG49" s="261">
        <f t="shared" si="13"/>
        <v>5.9789998018867192E-4</v>
      </c>
      <c r="AH49" s="263">
        <f t="shared" si="14"/>
        <v>-9.5467275573598567E-5</v>
      </c>
      <c r="AI49" s="264">
        <f t="shared" si="15"/>
        <v>119.00100743774999</v>
      </c>
    </row>
    <row r="50" spans="1:35" s="50" customFormat="1" ht="15.75" x14ac:dyDescent="0.45">
      <c r="A50" s="50" t="s">
        <v>147</v>
      </c>
      <c r="B50" s="80" t="s">
        <v>125</v>
      </c>
      <c r="C50" s="179">
        <v>37.572401999999997</v>
      </c>
      <c r="D50" s="180">
        <v>121.547618</v>
      </c>
      <c r="E50" s="50" t="s">
        <v>8</v>
      </c>
      <c r="F50" s="95">
        <v>0.94499</v>
      </c>
      <c r="G50" s="50">
        <v>-1.55</v>
      </c>
      <c r="H50" s="50">
        <v>500</v>
      </c>
      <c r="I50" s="50">
        <v>380.05381022400002</v>
      </c>
      <c r="J50" s="50">
        <f t="shared" si="31"/>
        <v>3.4776309617715935</v>
      </c>
      <c r="K50" s="50">
        <f t="shared" si="32"/>
        <v>1651.9376492009189</v>
      </c>
      <c r="L50" s="52">
        <f t="shared" si="33"/>
        <v>17.58399818229541</v>
      </c>
      <c r="M50" s="50">
        <v>2017</v>
      </c>
      <c r="N50" s="94">
        <v>5</v>
      </c>
      <c r="O50" s="50">
        <v>51</v>
      </c>
      <c r="P50" s="50">
        <v>2011.68</v>
      </c>
      <c r="Q50" s="50">
        <v>15</v>
      </c>
      <c r="R50" s="50">
        <v>0.61037440899999995</v>
      </c>
      <c r="S50" s="50">
        <v>0.13142849355358946</v>
      </c>
      <c r="T50" s="96">
        <v>0.62919023837300103</v>
      </c>
      <c r="U50" s="97">
        <v>4000</v>
      </c>
      <c r="V50" s="61">
        <f t="shared" si="3"/>
        <v>1.0732822498375635E-8</v>
      </c>
      <c r="W50" s="61">
        <f t="shared" si="4"/>
        <v>5.3664112491878173E-8</v>
      </c>
      <c r="X50" s="62">
        <f t="shared" si="5"/>
        <v>67</v>
      </c>
      <c r="Y50" s="172">
        <f t="shared" si="6"/>
        <v>38.043500802672362</v>
      </c>
      <c r="Z50" s="172">
        <f t="shared" si="7"/>
        <v>8.8057090680904935</v>
      </c>
      <c r="AA50" s="68">
        <f t="shared" si="8"/>
        <v>5.8376627645678346E-4</v>
      </c>
      <c r="AB50" s="175">
        <f t="shared" si="9"/>
        <v>7.9467221438929325</v>
      </c>
      <c r="AC50" s="175">
        <f t="shared" si="10"/>
        <v>42.15574597099107</v>
      </c>
      <c r="AD50" s="70">
        <f t="shared" si="11"/>
        <v>1.7020637148803697E-3</v>
      </c>
      <c r="AE50" s="259">
        <f t="shared" si="12"/>
        <v>71</v>
      </c>
      <c r="AF50" s="259" cm="1">
        <f t="array" ref="AF50">_xlfn.IFS(N50&lt;=AC50,W50*(3/(X50^3 - (X50-AB50)^3)),N50&gt;AC50,W50*(3/X50^3))</f>
        <v>1.6977457814429002E-12</v>
      </c>
      <c r="AG50" s="261">
        <f t="shared" si="13"/>
        <v>2.0254729679400328E-3</v>
      </c>
      <c r="AH50" s="263">
        <f t="shared" si="14"/>
        <v>-3.2340925305966305E-4</v>
      </c>
      <c r="AI50" s="264">
        <f t="shared" si="15"/>
        <v>119.00100743774999</v>
      </c>
    </row>
    <row r="51" spans="1:35" s="50" customFormat="1" ht="15.75" x14ac:dyDescent="0.45">
      <c r="A51" s="50" t="s">
        <v>147</v>
      </c>
      <c r="B51" s="80" t="s">
        <v>125</v>
      </c>
      <c r="C51" s="179">
        <v>37.504578000000002</v>
      </c>
      <c r="D51" s="180">
        <v>121.95050500000001</v>
      </c>
      <c r="E51" s="50" t="s">
        <v>8</v>
      </c>
      <c r="F51" s="95">
        <v>0.80206</v>
      </c>
      <c r="G51" s="50">
        <v>-1.55</v>
      </c>
      <c r="H51" s="50">
        <v>500</v>
      </c>
      <c r="I51" s="50">
        <v>151.96634830300002</v>
      </c>
      <c r="J51" s="50">
        <f t="shared" si="31"/>
        <v>3.0795332985212358</v>
      </c>
      <c r="K51" s="50">
        <f t="shared" si="32"/>
        <v>660.53523322222713</v>
      </c>
      <c r="L51" s="52">
        <f t="shared" si="33"/>
        <v>7.0310464477518826</v>
      </c>
      <c r="M51" s="50">
        <v>2017</v>
      </c>
      <c r="N51" s="94">
        <v>5</v>
      </c>
      <c r="O51" s="50">
        <v>51</v>
      </c>
      <c r="P51" s="50">
        <v>3138.2208000000001</v>
      </c>
      <c r="Q51" s="50">
        <v>19</v>
      </c>
      <c r="R51" s="50">
        <v>0.61037440899999995</v>
      </c>
      <c r="S51" s="50">
        <v>0.13090283430916907</v>
      </c>
      <c r="T51" s="96">
        <v>0.46995810998930598</v>
      </c>
      <c r="U51" s="97">
        <v>2000</v>
      </c>
      <c r="V51" s="61">
        <f t="shared" si="3"/>
        <v>4.2915708201981046E-9</v>
      </c>
      <c r="W51" s="61">
        <f t="shared" si="4"/>
        <v>2.1457854100990523E-8</v>
      </c>
      <c r="X51" s="62">
        <f t="shared" si="5"/>
        <v>67</v>
      </c>
      <c r="Y51" s="172">
        <f t="shared" si="6"/>
        <v>38.196269976789765</v>
      </c>
      <c r="Z51" s="172">
        <f t="shared" si="7"/>
        <v>8.7704898987143274</v>
      </c>
      <c r="AA51" s="68">
        <f t="shared" si="8"/>
        <v>2.330994841863437E-4</v>
      </c>
      <c r="AB51" s="175">
        <f t="shared" si="9"/>
        <v>10.639246123689144</v>
      </c>
      <c r="AC51" s="175">
        <f t="shared" si="10"/>
        <v>31.487193369283499</v>
      </c>
      <c r="AD51" s="70">
        <f t="shared" si="11"/>
        <v>5.3016260416079207E-4</v>
      </c>
      <c r="AE51" s="259">
        <f t="shared" si="12"/>
        <v>71</v>
      </c>
      <c r="AF51" s="259" cm="1">
        <f t="array" ref="AF51">_xlfn.IFS(N51&lt;=AC51,W51*(3/(X51^3 - (X51-AB51)^3)),N51&gt;AC51,W51*(3/X51^3))</f>
        <v>5.2881764461798016E-13</v>
      </c>
      <c r="AG51" s="261">
        <f t="shared" si="13"/>
        <v>6.3089884000955298E-4</v>
      </c>
      <c r="AH51" s="263">
        <f t="shared" si="14"/>
        <v>-1.0073623584876091E-4</v>
      </c>
      <c r="AI51" s="264">
        <f t="shared" si="15"/>
        <v>119.00100743774996</v>
      </c>
    </row>
    <row r="52" spans="1:35" s="50" customFormat="1" ht="15.75" x14ac:dyDescent="0.45">
      <c r="A52" s="50" t="s">
        <v>147</v>
      </c>
      <c r="B52" s="80" t="s">
        <v>125</v>
      </c>
      <c r="C52" s="179">
        <v>37.610947000000003</v>
      </c>
      <c r="D52" s="180">
        <v>121.710663</v>
      </c>
      <c r="E52" s="50" t="s">
        <v>8</v>
      </c>
      <c r="F52" s="95">
        <v>0.93503999999999998</v>
      </c>
      <c r="G52" s="50">
        <v>-1.55</v>
      </c>
      <c r="H52" s="50">
        <v>500</v>
      </c>
      <c r="I52" s="50">
        <v>322.88618947200001</v>
      </c>
      <c r="J52" s="50">
        <f t="shared" si="31"/>
        <v>3.4068353405854115</v>
      </c>
      <c r="K52" s="50">
        <f t="shared" si="32"/>
        <v>1403.4535069690367</v>
      </c>
      <c r="L52" s="52">
        <f t="shared" si="33"/>
        <v>14.939016570883982</v>
      </c>
      <c r="M52" s="50">
        <v>2017</v>
      </c>
      <c r="N52" s="94">
        <v>5</v>
      </c>
      <c r="O52" s="50">
        <v>51</v>
      </c>
      <c r="P52" s="50">
        <v>16962.48576</v>
      </c>
      <c r="Q52" s="50">
        <v>20</v>
      </c>
      <c r="R52" s="50">
        <v>0.61037440899999995</v>
      </c>
      <c r="S52" s="50">
        <v>0.13077174832993385</v>
      </c>
      <c r="T52" s="96">
        <v>0.604317103988251</v>
      </c>
      <c r="U52" s="97">
        <v>15000</v>
      </c>
      <c r="V52" s="61">
        <f t="shared" si="3"/>
        <v>9.1183934104945172E-9</v>
      </c>
      <c r="W52" s="61">
        <f t="shared" si="4"/>
        <v>4.5591967052472588E-8</v>
      </c>
      <c r="X52" s="62">
        <f t="shared" si="5"/>
        <v>67</v>
      </c>
      <c r="Y52" s="172">
        <f t="shared" si="6"/>
        <v>38.234558028429234</v>
      </c>
      <c r="Z52" s="172">
        <f t="shared" si="7"/>
        <v>8.7617071381055673</v>
      </c>
      <c r="AA52" s="68">
        <f t="shared" si="8"/>
        <v>4.9510133123602804E-4</v>
      </c>
      <c r="AB52" s="175">
        <f t="shared" si="9"/>
        <v>8.2738018947370531</v>
      </c>
      <c r="AC52" s="175">
        <f t="shared" si="10"/>
        <v>40.489245967212817</v>
      </c>
      <c r="AD52" s="70">
        <f t="shared" si="11"/>
        <v>1.3959450052959807E-3</v>
      </c>
      <c r="AE52" s="259">
        <f t="shared" si="12"/>
        <v>71</v>
      </c>
      <c r="AF52" s="259" cm="1">
        <f t="array" ref="AF52">_xlfn.IFS(N52&lt;=AC52,W52*(3/(X52^3 - (X52-AB52)^3)),N52&gt;AC52,W52*(3/X52^3))</f>
        <v>1.3924036586574612E-12</v>
      </c>
      <c r="AG52" s="261">
        <f t="shared" si="13"/>
        <v>1.6611886195791684E-3</v>
      </c>
      <c r="AH52" s="263">
        <f t="shared" si="14"/>
        <v>-2.6524361428318776E-4</v>
      </c>
      <c r="AI52" s="264">
        <f t="shared" si="15"/>
        <v>119.00100743774991</v>
      </c>
    </row>
    <row r="53" spans="1:35" s="50" customFormat="1" ht="15.75" x14ac:dyDescent="0.45">
      <c r="A53" s="50" t="s">
        <v>147</v>
      </c>
      <c r="B53" s="80" t="s">
        <v>125</v>
      </c>
      <c r="C53" s="179">
        <v>37.612537000000003</v>
      </c>
      <c r="D53" s="180">
        <v>121.784526</v>
      </c>
      <c r="E53" s="50" t="s">
        <v>8</v>
      </c>
      <c r="F53" s="95">
        <v>0.87546000000000002</v>
      </c>
      <c r="G53" s="50">
        <v>-1.55</v>
      </c>
      <c r="H53" s="50">
        <v>500</v>
      </c>
      <c r="I53" s="50">
        <v>78.836004687000013</v>
      </c>
      <c r="J53" s="50">
        <f t="shared" si="31"/>
        <v>2.7945104775162966</v>
      </c>
      <c r="K53" s="50">
        <f t="shared" si="32"/>
        <v>342.66769797223679</v>
      </c>
      <c r="L53" s="52">
        <f t="shared" si="33"/>
        <v>3.6475154986568801</v>
      </c>
      <c r="M53" s="50">
        <v>2017</v>
      </c>
      <c r="N53" s="94">
        <v>5</v>
      </c>
      <c r="O53" s="50">
        <v>51</v>
      </c>
      <c r="P53" s="50">
        <v>18587.923200000001</v>
      </c>
      <c r="Q53" s="50">
        <v>20</v>
      </c>
      <c r="R53" s="50">
        <v>0.61037440899999995</v>
      </c>
      <c r="S53" s="50">
        <v>0.13077174832993385</v>
      </c>
      <c r="T53" s="96">
        <v>0.586776646188921</v>
      </c>
      <c r="U53" s="97">
        <v>16000</v>
      </c>
      <c r="V53" s="61">
        <f t="shared" si="3"/>
        <v>2.2263501168110334E-9</v>
      </c>
      <c r="W53" s="61">
        <f t="shared" si="4"/>
        <v>1.1131750584055167E-8</v>
      </c>
      <c r="X53" s="62">
        <f t="shared" si="5"/>
        <v>67</v>
      </c>
      <c r="Y53" s="172">
        <f t="shared" si="6"/>
        <v>38.234558028429234</v>
      </c>
      <c r="Z53" s="172">
        <f t="shared" si="7"/>
        <v>8.7617071381055673</v>
      </c>
      <c r="AA53" s="68">
        <f t="shared" si="8"/>
        <v>1.2088411379158183E-4</v>
      </c>
      <c r="AB53" s="175">
        <f t="shared" si="9"/>
        <v>8.5211298583109922</v>
      </c>
      <c r="AC53" s="175">
        <f t="shared" si="10"/>
        <v>39.314035294657707</v>
      </c>
      <c r="AD53" s="70">
        <f t="shared" si="11"/>
        <v>3.3221645655750765E-4</v>
      </c>
      <c r="AE53" s="259">
        <f t="shared" si="12"/>
        <v>71</v>
      </c>
      <c r="AF53" s="259" cm="1">
        <f t="array" ref="AF53">_xlfn.IFS(N53&lt;=AC53,W53*(3/(X53^3 - (X53-AB53)^3)),N53&gt;AC53,W53*(3/X53^3))</f>
        <v>3.3137366287492903E-13</v>
      </c>
      <c r="AG53" s="261">
        <f t="shared" si="13"/>
        <v>3.9534093017742905E-4</v>
      </c>
      <c r="AH53" s="263">
        <f t="shared" si="14"/>
        <v>-6.3124473619921399E-5</v>
      </c>
      <c r="AI53" s="264">
        <f t="shared" si="15"/>
        <v>119.00100743774996</v>
      </c>
    </row>
    <row r="54" spans="1:35" s="50" customFormat="1" ht="15.75" x14ac:dyDescent="0.45">
      <c r="A54" s="50" t="s">
        <v>147</v>
      </c>
      <c r="B54" s="80" t="s">
        <v>125</v>
      </c>
      <c r="C54" s="179">
        <v>37.615000000000002</v>
      </c>
      <c r="D54" s="180">
        <v>121.63577600000001</v>
      </c>
      <c r="E54" s="50" t="s">
        <v>8</v>
      </c>
      <c r="F54" s="95">
        <v>0.99966999999999995</v>
      </c>
      <c r="G54" s="50">
        <v>-1.55</v>
      </c>
      <c r="H54" s="50">
        <v>500</v>
      </c>
      <c r="I54" s="50">
        <v>105.05547025050001</v>
      </c>
      <c r="J54" s="50">
        <f t="shared" si="31"/>
        <v>2.9192045419629538</v>
      </c>
      <c r="K54" s="50">
        <f t="shared" si="32"/>
        <v>456.6329343179649</v>
      </c>
      <c r="L54" s="52">
        <f t="shared" si="33"/>
        <v>4.8606148609224693</v>
      </c>
      <c r="M54" s="50">
        <v>2017</v>
      </c>
      <c r="N54" s="94">
        <v>5</v>
      </c>
      <c r="O54" s="50">
        <v>51</v>
      </c>
      <c r="P54" s="50">
        <v>10959.63264</v>
      </c>
      <c r="Q54" s="50">
        <v>20</v>
      </c>
      <c r="R54" s="50">
        <v>0.61037440899999995</v>
      </c>
      <c r="S54" s="50">
        <v>0.13077174832993385</v>
      </c>
      <c r="T54" s="96">
        <v>0.61846860211821397</v>
      </c>
      <c r="U54" s="97">
        <v>12000</v>
      </c>
      <c r="V54" s="61">
        <f t="shared" si="3"/>
        <v>2.9667949231121693E-9</v>
      </c>
      <c r="W54" s="61">
        <f t="shared" si="4"/>
        <v>1.4833974615560846E-8</v>
      </c>
      <c r="X54" s="62">
        <f t="shared" si="5"/>
        <v>67</v>
      </c>
      <c r="Y54" s="172">
        <f t="shared" si="6"/>
        <v>38.234558028429234</v>
      </c>
      <c r="Z54" s="172">
        <f t="shared" si="7"/>
        <v>8.7617071381055673</v>
      </c>
      <c r="AA54" s="68">
        <f t="shared" si="8"/>
        <v>1.6108803928623907E-4</v>
      </c>
      <c r="AB54" s="175">
        <f t="shared" si="9"/>
        <v>8.084484778815499</v>
      </c>
      <c r="AC54" s="175">
        <f t="shared" si="10"/>
        <v>41.437396341920333</v>
      </c>
      <c r="AD54" s="70">
        <f t="shared" si="11"/>
        <v>4.6346129552577483E-4</v>
      </c>
      <c r="AE54" s="259">
        <f t="shared" si="12"/>
        <v>71</v>
      </c>
      <c r="AF54" s="259" cm="1">
        <f t="array" ref="AF54">_xlfn.IFS(N54&lt;=AC54,W54*(3/(X54^3 - (X54-AB54)^3)),N54&gt;AC54,W54*(3/X54^3))</f>
        <v>4.6228554927877575E-13</v>
      </c>
      <c r="AG54" s="261">
        <f t="shared" si="13"/>
        <v>5.5152361075971965E-4</v>
      </c>
      <c r="AH54" s="263">
        <f t="shared" si="14"/>
        <v>-8.8062315233944821E-5</v>
      </c>
      <c r="AI54" s="264">
        <f t="shared" si="15"/>
        <v>119.00100743774996</v>
      </c>
    </row>
    <row r="55" spans="1:35" s="50" customFormat="1" ht="15.75" x14ac:dyDescent="0.45">
      <c r="A55" s="50" t="s">
        <v>147</v>
      </c>
      <c r="B55" s="80" t="s">
        <v>125</v>
      </c>
      <c r="C55" s="179">
        <v>37.603555</v>
      </c>
      <c r="D55" s="180">
        <v>121.829649</v>
      </c>
      <c r="E55" s="50" t="s">
        <v>8</v>
      </c>
      <c r="F55" s="95">
        <v>0.86360999999999999</v>
      </c>
      <c r="G55" s="50">
        <v>-1.55</v>
      </c>
      <c r="H55" s="50">
        <v>500</v>
      </c>
      <c r="I55" s="50">
        <v>211.2426763425</v>
      </c>
      <c r="J55" s="50">
        <f t="shared" si="31"/>
        <v>3.2225675320205194</v>
      </c>
      <c r="K55" s="50">
        <f t="shared" si="32"/>
        <v>918.18505901168703</v>
      </c>
      <c r="L55" s="52">
        <f t="shared" si="33"/>
        <v>9.7735918885813895</v>
      </c>
      <c r="M55" s="50">
        <v>2017</v>
      </c>
      <c r="N55" s="94">
        <v>5</v>
      </c>
      <c r="O55" s="50">
        <v>51</v>
      </c>
      <c r="P55" s="50">
        <v>15723.29088</v>
      </c>
      <c r="Q55" s="50">
        <v>22</v>
      </c>
      <c r="R55" s="50">
        <v>0.61037440899999995</v>
      </c>
      <c r="S55" s="50">
        <v>0.13050997004815151</v>
      </c>
      <c r="T55" s="96">
        <v>0.586776646188921</v>
      </c>
      <c r="U55" s="97">
        <v>15000</v>
      </c>
      <c r="V55" s="61">
        <f t="shared" si="3"/>
        <v>5.965550372800059E-9</v>
      </c>
      <c r="W55" s="61">
        <f t="shared" si="4"/>
        <v>2.9827751864000292E-8</v>
      </c>
      <c r="X55" s="62">
        <f t="shared" si="5"/>
        <v>67</v>
      </c>
      <c r="Y55" s="172">
        <f t="shared" si="6"/>
        <v>38.311249310341999</v>
      </c>
      <c r="Z55" s="172">
        <f t="shared" si="7"/>
        <v>8.7441679932261511</v>
      </c>
      <c r="AA55" s="68">
        <f t="shared" si="8"/>
        <v>3.2368953713478646E-4</v>
      </c>
      <c r="AB55" s="175">
        <f t="shared" si="9"/>
        <v>8.5211298583109922</v>
      </c>
      <c r="AC55" s="175">
        <f t="shared" si="10"/>
        <v>39.314035294657707</v>
      </c>
      <c r="AD55" s="70">
        <f t="shared" si="11"/>
        <v>8.9018074529342709E-4</v>
      </c>
      <c r="AE55" s="259">
        <f t="shared" si="12"/>
        <v>71</v>
      </c>
      <c r="AF55" s="259" cm="1">
        <f t="array" ref="AF55">_xlfn.IFS(N55&lt;=AC55,W55*(3/(X55^3 - (X55-AB55)^3)),N55&gt;AC55,W55*(3/X55^3))</f>
        <v>8.8792246249714256E-13</v>
      </c>
      <c r="AG55" s="261">
        <f t="shared" si="13"/>
        <v>1.0593240549160493E-3</v>
      </c>
      <c r="AH55" s="263">
        <f t="shared" si="14"/>
        <v>-1.6914330962262221E-4</v>
      </c>
      <c r="AI55" s="264">
        <f t="shared" si="15"/>
        <v>119.00100743774998</v>
      </c>
    </row>
    <row r="56" spans="1:35" s="50" customFormat="1" ht="15.75" x14ac:dyDescent="0.45">
      <c r="A56" s="50" t="s">
        <v>147</v>
      </c>
      <c r="B56" s="80" t="s">
        <v>125</v>
      </c>
      <c r="C56" s="179">
        <v>37.600991999999998</v>
      </c>
      <c r="D56" s="180">
        <v>121.91377</v>
      </c>
      <c r="E56" s="50" t="s">
        <v>8</v>
      </c>
      <c r="F56" s="95">
        <v>0.90317999999999998</v>
      </c>
      <c r="G56" s="50">
        <v>-1.55</v>
      </c>
      <c r="H56" s="50">
        <v>500</v>
      </c>
      <c r="I56" s="50">
        <v>102.75054365400001</v>
      </c>
      <c r="J56" s="50">
        <f t="shared" si="31"/>
        <v>2.9095699992782342</v>
      </c>
      <c r="K56" s="50">
        <f t="shared" si="32"/>
        <v>446.61436610216714</v>
      </c>
      <c r="L56" s="52">
        <f t="shared" si="33"/>
        <v>4.7539725276715705</v>
      </c>
      <c r="M56" s="50">
        <v>2017</v>
      </c>
      <c r="N56" s="94">
        <v>5</v>
      </c>
      <c r="O56" s="50">
        <v>51</v>
      </c>
      <c r="P56" s="50">
        <v>14645.0304</v>
      </c>
      <c r="Q56" s="50">
        <v>23</v>
      </c>
      <c r="R56" s="50">
        <v>0.61037440899999995</v>
      </c>
      <c r="S56" s="50">
        <v>0.13037927748282999</v>
      </c>
      <c r="T56" s="96">
        <v>0.57142026535947599</v>
      </c>
      <c r="U56" s="97">
        <v>11000</v>
      </c>
      <c r="V56" s="61">
        <f t="shared" si="3"/>
        <v>2.9017031719797711E-9</v>
      </c>
      <c r="W56" s="61">
        <f t="shared" si="4"/>
        <v>1.4508515859898855E-8</v>
      </c>
      <c r="X56" s="62">
        <f t="shared" si="5"/>
        <v>67</v>
      </c>
      <c r="Y56" s="172">
        <f t="shared" si="6"/>
        <v>38.349652617598409</v>
      </c>
      <c r="Z56" s="172">
        <f t="shared" si="7"/>
        <v>8.7354115913496084</v>
      </c>
      <c r="AA56" s="68">
        <f t="shared" si="8"/>
        <v>1.5739204052987279E-4</v>
      </c>
      <c r="AB56" s="175">
        <f t="shared" si="9"/>
        <v>8.7501271885317884</v>
      </c>
      <c r="AC56" s="175">
        <f t="shared" si="10"/>
        <v>38.285157779084891</v>
      </c>
      <c r="AD56" s="70">
        <f t="shared" si="11"/>
        <v>4.2316643627804022E-4</v>
      </c>
      <c r="AE56" s="259">
        <f t="shared" si="12"/>
        <v>71</v>
      </c>
      <c r="AF56" s="259" cm="1">
        <f t="array" ref="AF56">_xlfn.IFS(N56&lt;=AC56,W56*(3/(X56^3 - (X56-AB56)^3)),N56&gt;AC56,W56*(3/X56^3))</f>
        <v>4.2209291330187571E-13</v>
      </c>
      <c r="AG56" s="261">
        <f t="shared" si="13"/>
        <v>5.0357232230929209E-4</v>
      </c>
      <c r="AH56" s="263">
        <f t="shared" si="14"/>
        <v>-8.0405886031251867E-5</v>
      </c>
      <c r="AI56" s="264">
        <f t="shared" si="15"/>
        <v>119.00100743774996</v>
      </c>
    </row>
    <row r="57" spans="1:35" s="50" customFormat="1" ht="15.75" x14ac:dyDescent="0.45">
      <c r="A57" s="50" t="s">
        <v>147</v>
      </c>
      <c r="B57" s="80" t="s">
        <v>125</v>
      </c>
      <c r="C57" s="179">
        <v>37.577157999999997</v>
      </c>
      <c r="D57" s="180">
        <v>122.10325</v>
      </c>
      <c r="E57" s="50" t="s">
        <v>8</v>
      </c>
      <c r="F57" s="95">
        <v>0.95935999999999999</v>
      </c>
      <c r="G57" s="50">
        <v>-1.55</v>
      </c>
      <c r="H57" s="50">
        <v>500</v>
      </c>
      <c r="I57" s="50">
        <v>186.39746012800003</v>
      </c>
      <c r="J57" s="50">
        <f t="shared" si="31"/>
        <v>3.1682258611828384</v>
      </c>
      <c r="K57" s="50">
        <f t="shared" si="32"/>
        <v>810.19311954637976</v>
      </c>
      <c r="L57" s="52">
        <f t="shared" si="33"/>
        <v>8.6240750964802615</v>
      </c>
      <c r="M57" s="50">
        <v>2017</v>
      </c>
      <c r="N57" s="94">
        <v>5</v>
      </c>
      <c r="O57" s="50">
        <v>51</v>
      </c>
      <c r="P57" s="50">
        <v>1657.6243200000001</v>
      </c>
      <c r="Q57" s="50">
        <v>24</v>
      </c>
      <c r="R57" s="50">
        <v>0.61037440899999995</v>
      </c>
      <c r="S57" s="50">
        <v>0.13024871579292449</v>
      </c>
      <c r="T57" s="96">
        <v>0.567901885120628</v>
      </c>
      <c r="U57" s="97">
        <v>2000</v>
      </c>
      <c r="V57" s="61">
        <f t="shared" si="3"/>
        <v>5.2639147401857569E-9</v>
      </c>
      <c r="W57" s="61">
        <f t="shared" si="4"/>
        <v>2.6319573700928783E-8</v>
      </c>
      <c r="X57" s="62">
        <f t="shared" si="5"/>
        <v>67</v>
      </c>
      <c r="Y57" s="172">
        <f t="shared" si="6"/>
        <v>38.388094420441227</v>
      </c>
      <c r="Z57" s="172">
        <f t="shared" si="7"/>
        <v>8.7266639581259415</v>
      </c>
      <c r="AA57" s="68">
        <f t="shared" si="8"/>
        <v>2.854240501303705E-4</v>
      </c>
      <c r="AB57" s="175">
        <f t="shared" si="9"/>
        <v>8.8043377403791325</v>
      </c>
      <c r="AC57" s="175">
        <f t="shared" si="10"/>
        <v>38.049426303082079</v>
      </c>
      <c r="AD57" s="70">
        <f t="shared" si="11"/>
        <v>7.6357444492685376E-4</v>
      </c>
      <c r="AE57" s="259">
        <f t="shared" si="12"/>
        <v>71</v>
      </c>
      <c r="AF57" s="259" cm="1">
        <f t="array" ref="AF57">_xlfn.IFS(N57&lt;=AC57,W57*(3/(X57^3 - (X57-AB57)^3)),N57&gt;AC57,W57*(3/X57^3))</f>
        <v>7.6163734727362124E-13</v>
      </c>
      <c r="AG57" s="261">
        <f t="shared" si="13"/>
        <v>9.0866128200016352E-4</v>
      </c>
      <c r="AH57" s="263">
        <f t="shared" si="14"/>
        <v>-1.4508683707330976E-4</v>
      </c>
      <c r="AI57" s="264">
        <f t="shared" si="15"/>
        <v>119.00100743775</v>
      </c>
    </row>
    <row r="58" spans="1:35" s="50" customFormat="1" ht="15.75" x14ac:dyDescent="0.45">
      <c r="A58" s="50" t="s">
        <v>147</v>
      </c>
      <c r="B58" s="80" t="s">
        <v>125</v>
      </c>
      <c r="C58" s="179">
        <v>37.606701999999999</v>
      </c>
      <c r="D58" s="180">
        <v>122.079786</v>
      </c>
      <c r="E58" s="50" t="s">
        <v>8</v>
      </c>
      <c r="F58" s="95">
        <v>0.94159999999999999</v>
      </c>
      <c r="G58" s="50">
        <v>-1.55</v>
      </c>
      <c r="H58" s="50">
        <v>500</v>
      </c>
      <c r="I58" s="50">
        <v>118.42413748000001</v>
      </c>
      <c r="J58" s="50">
        <f t="shared" si="31"/>
        <v>2.97122610117734</v>
      </c>
      <c r="K58" s="50">
        <f t="shared" si="32"/>
        <v>514.74103407108475</v>
      </c>
      <c r="L58" s="52">
        <f t="shared" si="33"/>
        <v>5.4791446952232699</v>
      </c>
      <c r="M58" s="50">
        <v>2017</v>
      </c>
      <c r="N58" s="94">
        <v>5</v>
      </c>
      <c r="O58" s="50">
        <v>51</v>
      </c>
      <c r="P58" s="50">
        <v>4007.2665600000005</v>
      </c>
      <c r="Q58" s="50">
        <v>24</v>
      </c>
      <c r="R58" s="50">
        <v>0.61037440899999995</v>
      </c>
      <c r="S58" s="50">
        <v>0.13024871579292449</v>
      </c>
      <c r="T58" s="96">
        <v>0.46702622273670003</v>
      </c>
      <c r="U58" s="97">
        <v>5000</v>
      </c>
      <c r="V58" s="61">
        <f t="shared" si="3"/>
        <v>3.3443297051723882E-9</v>
      </c>
      <c r="W58" s="61">
        <f t="shared" si="4"/>
        <v>1.6721648525861942E-8</v>
      </c>
      <c r="X58" s="62">
        <f t="shared" si="5"/>
        <v>67</v>
      </c>
      <c r="Y58" s="172">
        <f t="shared" si="6"/>
        <v>38.388094420441227</v>
      </c>
      <c r="Z58" s="172">
        <f t="shared" si="7"/>
        <v>8.7266639581259415</v>
      </c>
      <c r="AA58" s="68">
        <f t="shared" si="8"/>
        <v>1.8133882795144326E-4</v>
      </c>
      <c r="AB58" s="175">
        <f t="shared" si="9"/>
        <v>10.706036955913929</v>
      </c>
      <c r="AC58" s="175">
        <f t="shared" si="10"/>
        <v>31.290756923358902</v>
      </c>
      <c r="AD58" s="70">
        <f t="shared" si="11"/>
        <v>4.1099800030750178E-4</v>
      </c>
      <c r="AE58" s="259">
        <f t="shared" si="12"/>
        <v>71</v>
      </c>
      <c r="AF58" s="259" cm="1">
        <f t="array" ref="AF58">_xlfn.IFS(N58&lt;=AC58,W58*(3/(X58^3 - (X58-AB58)^3)),N58&gt;AC58,W58*(3/X58^3))</f>
        <v>4.0995534720777005E-13</v>
      </c>
      <c r="AG58" s="261">
        <f t="shared" si="13"/>
        <v>4.8909176091493402E-4</v>
      </c>
      <c r="AH58" s="263">
        <f t="shared" si="14"/>
        <v>-7.8093760607432234E-5</v>
      </c>
      <c r="AI58" s="264">
        <f t="shared" si="15"/>
        <v>119.00100743775002</v>
      </c>
    </row>
    <row r="59" spans="1:35" s="50" customFormat="1" ht="15.75" x14ac:dyDescent="0.45">
      <c r="A59" s="50" t="s">
        <v>148</v>
      </c>
      <c r="B59" s="80" t="s">
        <v>149</v>
      </c>
      <c r="C59" s="177">
        <v>36.0304833</v>
      </c>
      <c r="D59" s="177">
        <v>120.250166666666</v>
      </c>
      <c r="E59" s="50" t="s">
        <v>8</v>
      </c>
      <c r="F59" s="50" t="s">
        <v>146</v>
      </c>
      <c r="G59" s="50">
        <v>-1.55</v>
      </c>
      <c r="H59" s="50">
        <v>500</v>
      </c>
      <c r="I59" s="50">
        <v>8.9385600000000007</v>
      </c>
      <c r="J59" s="50">
        <f t="shared" ref="J59:J74" si="34" xml:space="preserve"> LOG(I59, 10) - (G59) * LOG(H59,10)^(G59+1)</f>
        <v>1.8490534305561335</v>
      </c>
      <c r="K59" s="50">
        <f t="shared" ref="K59:K74" si="35" xml:space="preserve"> -1*10^J59*(G59+1)</f>
        <v>38.852245120075118</v>
      </c>
      <c r="L59" s="52">
        <f t="shared" ref="L59:L74" si="36">IF(E59="Fragments",0.000000097*K59*(5000^(4+G59)-1)/(4+G59),0.000106*K59*(5000^(2+G59)-1)/(2+G59))</f>
        <v>0.41356149725140406</v>
      </c>
      <c r="M59" s="50">
        <v>2017</v>
      </c>
      <c r="N59" s="50">
        <v>20</v>
      </c>
      <c r="O59" s="50">
        <v>69</v>
      </c>
      <c r="P59" s="50">
        <v>1689.8112000000001</v>
      </c>
      <c r="Q59" s="50">
        <v>14</v>
      </c>
      <c r="R59" s="50">
        <v>0.61037440930769205</v>
      </c>
      <c r="S59" s="50">
        <v>0.13156023785613885</v>
      </c>
      <c r="T59" s="96">
        <v>0.66455834475902098</v>
      </c>
      <c r="U59" s="97">
        <v>2000</v>
      </c>
      <c r="V59" s="61">
        <f t="shared" si="3"/>
        <v>2.5242735459723049E-10</v>
      </c>
      <c r="W59" s="61">
        <f t="shared" si="4"/>
        <v>5.0485470919446098E-9</v>
      </c>
      <c r="X59" s="62">
        <f t="shared" si="5"/>
        <v>67</v>
      </c>
      <c r="Y59" s="172">
        <f t="shared" si="6"/>
        <v>152.02161630225999</v>
      </c>
      <c r="Z59" s="172">
        <f t="shared" si="7"/>
        <v>8.8145359363613025</v>
      </c>
      <c r="AA59" s="68">
        <f t="shared" si="8"/>
        <v>5.04854709194461E-5</v>
      </c>
      <c r="AB59" s="175">
        <f t="shared" si="9"/>
        <v>30.095175476657818</v>
      </c>
      <c r="AC59" s="175">
        <f t="shared" si="10"/>
        <v>44.525409098854404</v>
      </c>
      <c r="AD59" s="70">
        <f t="shared" si="11"/>
        <v>6.0615444708223861E-5</v>
      </c>
      <c r="AE59" s="259">
        <f t="shared" si="12"/>
        <v>71</v>
      </c>
      <c r="AF59" s="259" cm="1">
        <f t="array" ref="AF59">_xlfn.IFS(N59&lt;=AC59,W59*(3/(X59^3 - (X59-AB59)^3)),N59&gt;AC59,W59*(3/X59^3))</f>
        <v>6.0461670526185589E-14</v>
      </c>
      <c r="AG59" s="261">
        <f t="shared" si="13"/>
        <v>7.2132989865658699E-5</v>
      </c>
      <c r="AH59" s="263">
        <f t="shared" si="14"/>
        <v>-1.1517545157434838E-5</v>
      </c>
      <c r="AI59" s="264">
        <f t="shared" si="15"/>
        <v>119.00100743774998</v>
      </c>
    </row>
    <row r="60" spans="1:35" s="50" customFormat="1" ht="15.75" x14ac:dyDescent="0.45">
      <c r="A60" s="50" t="s">
        <v>148</v>
      </c>
      <c r="B60" s="80" t="s">
        <v>149</v>
      </c>
      <c r="C60" s="177">
        <v>36.0936667</v>
      </c>
      <c r="D60" s="177">
        <v>120.25433333333299</v>
      </c>
      <c r="E60" s="50" t="s">
        <v>8</v>
      </c>
      <c r="F60" s="50" t="s">
        <v>146</v>
      </c>
      <c r="G60" s="50">
        <v>-1.55</v>
      </c>
      <c r="H60" s="50">
        <v>500</v>
      </c>
      <c r="I60" s="50">
        <v>13.40784</v>
      </c>
      <c r="J60" s="50">
        <f t="shared" si="34"/>
        <v>2.0251446896118148</v>
      </c>
      <c r="K60" s="50">
        <f t="shared" si="35"/>
        <v>58.278367680112694</v>
      </c>
      <c r="L60" s="52">
        <f t="shared" si="36"/>
        <v>0.62034224587710618</v>
      </c>
      <c r="M60" s="50">
        <v>2017</v>
      </c>
      <c r="N60" s="50">
        <v>20</v>
      </c>
      <c r="O60" s="50">
        <v>69</v>
      </c>
      <c r="P60" s="50">
        <v>3910.7059200000003</v>
      </c>
      <c r="Q60" s="50">
        <v>27</v>
      </c>
      <c r="R60" s="50">
        <v>0.61037440930769205</v>
      </c>
      <c r="S60" s="50">
        <v>0.12985781466577537</v>
      </c>
      <c r="T60" s="96">
        <v>0.65394075800535401</v>
      </c>
      <c r="U60" s="97">
        <v>3000</v>
      </c>
      <c r="V60" s="61">
        <f t="shared" si="3"/>
        <v>3.7864103189584578E-10</v>
      </c>
      <c r="W60" s="61">
        <f t="shared" si="4"/>
        <v>7.5728206379169155E-9</v>
      </c>
      <c r="X60" s="62">
        <f t="shared" si="5"/>
        <v>67</v>
      </c>
      <c r="Y60" s="172">
        <f t="shared" si="6"/>
        <v>154.01460475424966</v>
      </c>
      <c r="Z60" s="172">
        <f t="shared" si="7"/>
        <v>8.7004735826069499</v>
      </c>
      <c r="AA60" s="68">
        <f t="shared" si="8"/>
        <v>7.5728206379169157E-5</v>
      </c>
      <c r="AB60" s="175">
        <f t="shared" si="9"/>
        <v>30.583810161953927</v>
      </c>
      <c r="AC60" s="175">
        <f t="shared" si="10"/>
        <v>43.814030786358721</v>
      </c>
      <c r="AD60" s="70">
        <f t="shared" si="11"/>
        <v>9.021363249247735E-5</v>
      </c>
      <c r="AE60" s="259">
        <f t="shared" si="12"/>
        <v>71</v>
      </c>
      <c r="AF60" s="259" cm="1">
        <f t="array" ref="AF60">_xlfn.IFS(N60&lt;=AC60,W60*(3/(X60^3 - (X60-AB60)^3)),N60&gt;AC60,W60*(3/X60^3))</f>
        <v>8.9984771224330122E-14</v>
      </c>
      <c r="AG60" s="261">
        <f t="shared" si="13"/>
        <v>1.073551315122374E-4</v>
      </c>
      <c r="AH60" s="263">
        <f t="shared" si="14"/>
        <v>-1.7141499019760048E-5</v>
      </c>
      <c r="AI60" s="264">
        <f t="shared" si="15"/>
        <v>119.00100743774998</v>
      </c>
    </row>
    <row r="61" spans="1:35" s="50" customFormat="1" ht="15.75" x14ac:dyDescent="0.45">
      <c r="A61" s="50" t="s">
        <v>148</v>
      </c>
      <c r="B61" s="80" t="s">
        <v>149</v>
      </c>
      <c r="C61" s="177">
        <v>36.123166699999999</v>
      </c>
      <c r="D61" s="177">
        <v>120.18233333333301</v>
      </c>
      <c r="E61" s="50" t="s">
        <v>8</v>
      </c>
      <c r="F61" s="50" t="s">
        <v>146</v>
      </c>
      <c r="G61" s="50">
        <v>-1.55</v>
      </c>
      <c r="H61" s="50">
        <v>500</v>
      </c>
      <c r="I61" s="50">
        <v>5.2141599999999997</v>
      </c>
      <c r="J61" s="50">
        <f t="shared" si="34"/>
        <v>1.6149702245227653</v>
      </c>
      <c r="K61" s="50">
        <f t="shared" si="35"/>
        <v>22.663809653377143</v>
      </c>
      <c r="L61" s="52">
        <f t="shared" si="36"/>
        <v>0.24124420672998559</v>
      </c>
      <c r="M61" s="50">
        <v>2017</v>
      </c>
      <c r="N61" s="50">
        <v>20</v>
      </c>
      <c r="O61" s="50">
        <v>69</v>
      </c>
      <c r="P61" s="50">
        <v>5616.6105600000001</v>
      </c>
      <c r="Q61" s="50">
        <v>2</v>
      </c>
      <c r="R61" s="50">
        <v>0.61037440930769205</v>
      </c>
      <c r="S61" s="50">
        <v>0.13315150818983643</v>
      </c>
      <c r="T61" s="96">
        <v>0.65691287475836802</v>
      </c>
      <c r="U61" s="97">
        <v>5000</v>
      </c>
      <c r="V61" s="61">
        <f t="shared" si="3"/>
        <v>1.472492901817177E-10</v>
      </c>
      <c r="W61" s="61">
        <f t="shared" si="4"/>
        <v>2.9449858036343542E-9</v>
      </c>
      <c r="X61" s="62">
        <f t="shared" si="5"/>
        <v>67</v>
      </c>
      <c r="Y61" s="172">
        <f t="shared" si="6"/>
        <v>150.20483261433023</v>
      </c>
      <c r="Z61" s="172">
        <f t="shared" si="7"/>
        <v>8.9211510487190413</v>
      </c>
      <c r="AA61" s="68">
        <f t="shared" si="8"/>
        <v>2.944985803634354E-5</v>
      </c>
      <c r="AB61" s="175">
        <f t="shared" si="9"/>
        <v>30.445437695762305</v>
      </c>
      <c r="AC61" s="175">
        <f t="shared" si="10"/>
        <v>44.01316260881066</v>
      </c>
      <c r="AD61" s="70">
        <f t="shared" si="11"/>
        <v>3.5160036371483796E-5</v>
      </c>
      <c r="AE61" s="259">
        <f t="shared" si="12"/>
        <v>71</v>
      </c>
      <c r="AF61" s="259" cm="1">
        <f t="array" ref="AF61">_xlfn.IFS(N61&lt;=AC61,W61*(3/(X61^3 - (X61-AB61)^3)),N61&gt;AC61,W61*(3/X61^3))</f>
        <v>3.5070839536263228E-14</v>
      </c>
      <c r="AG61" s="261">
        <f t="shared" si="13"/>
        <v>4.1840797497545032E-5</v>
      </c>
      <c r="AH61" s="263">
        <f t="shared" si="14"/>
        <v>-6.6807611260612357E-6</v>
      </c>
      <c r="AI61" s="264">
        <f t="shared" si="15"/>
        <v>119.00100743774999</v>
      </c>
    </row>
    <row r="62" spans="1:35" s="50" customFormat="1" ht="15.75" x14ac:dyDescent="0.45">
      <c r="A62" s="50" t="s">
        <v>148</v>
      </c>
      <c r="B62" s="80" t="s">
        <v>149</v>
      </c>
      <c r="C62" s="177">
        <v>36.1232167</v>
      </c>
      <c r="D62" s="177">
        <v>120.22133333333301</v>
      </c>
      <c r="E62" s="50" t="s">
        <v>8</v>
      </c>
      <c r="F62" s="50" t="s">
        <v>146</v>
      </c>
      <c r="G62" s="50">
        <v>-1.55</v>
      </c>
      <c r="H62" s="50">
        <v>500</v>
      </c>
      <c r="I62" s="50">
        <v>12.66296</v>
      </c>
      <c r="J62" s="50">
        <f t="shared" si="34"/>
        <v>2.0003211058867825</v>
      </c>
      <c r="K62" s="50">
        <f t="shared" si="35"/>
        <v>55.040680586773057</v>
      </c>
      <c r="L62" s="52">
        <f t="shared" si="36"/>
        <v>0.58587878777282199</v>
      </c>
      <c r="M62" s="50">
        <v>2017</v>
      </c>
      <c r="N62" s="50">
        <v>20</v>
      </c>
      <c r="O62" s="50">
        <v>69</v>
      </c>
      <c r="P62" s="50">
        <v>8867.4854400000004</v>
      </c>
      <c r="Q62" s="50">
        <v>6</v>
      </c>
      <c r="R62" s="50">
        <v>0.61037440930769205</v>
      </c>
      <c r="S62" s="50">
        <v>0.13261895760437328</v>
      </c>
      <c r="T62" s="96">
        <v>0.65691287475836802</v>
      </c>
      <c r="U62" s="97">
        <v>5000</v>
      </c>
      <c r="V62" s="61">
        <f t="shared" si="3"/>
        <v>3.5760541901274292E-10</v>
      </c>
      <c r="W62" s="61">
        <f t="shared" si="4"/>
        <v>7.1521083802548579E-9</v>
      </c>
      <c r="X62" s="62">
        <f t="shared" si="5"/>
        <v>67</v>
      </c>
      <c r="Y62" s="172">
        <f t="shared" si="6"/>
        <v>150.80800182175821</v>
      </c>
      <c r="Z62" s="172">
        <f t="shared" si="7"/>
        <v>8.8854701594930106</v>
      </c>
      <c r="AA62" s="68">
        <f t="shared" si="8"/>
        <v>7.1521083802548582E-5</v>
      </c>
      <c r="AB62" s="175">
        <f t="shared" si="9"/>
        <v>30.445437695762305</v>
      </c>
      <c r="AC62" s="175">
        <f t="shared" si="10"/>
        <v>44.01316260881066</v>
      </c>
      <c r="AD62" s="70">
        <f t="shared" si="11"/>
        <v>8.5388659759317765E-5</v>
      </c>
      <c r="AE62" s="259">
        <f t="shared" si="12"/>
        <v>71</v>
      </c>
      <c r="AF62" s="259" cm="1">
        <f t="array" ref="AF62">_xlfn.IFS(N62&lt;=AC62,W62*(3/(X62^3 - (X62-AB62)^3)),N62&gt;AC62,W62*(3/X62^3))</f>
        <v>8.5172038873782101E-14</v>
      </c>
      <c r="AG62" s="261">
        <f t="shared" si="13"/>
        <v>1.0161336535118074E-4</v>
      </c>
      <c r="AH62" s="263">
        <f t="shared" si="14"/>
        <v>-1.6224705591862972E-5</v>
      </c>
      <c r="AI62" s="264">
        <f t="shared" si="15"/>
        <v>119.00100743774995</v>
      </c>
    </row>
    <row r="63" spans="1:35" s="50" customFormat="1" ht="15.75" x14ac:dyDescent="0.45">
      <c r="A63" s="50" t="s">
        <v>148</v>
      </c>
      <c r="B63" s="80" t="s">
        <v>149</v>
      </c>
      <c r="C63" s="177">
        <v>36.1232167</v>
      </c>
      <c r="D63" s="177">
        <v>120.2715</v>
      </c>
      <c r="E63" s="50" t="s">
        <v>8</v>
      </c>
      <c r="F63" s="50" t="s">
        <v>146</v>
      </c>
      <c r="G63" s="50">
        <v>-1.55</v>
      </c>
      <c r="H63" s="50">
        <v>500</v>
      </c>
      <c r="I63" s="50">
        <v>13.40784</v>
      </c>
      <c r="J63" s="50">
        <f t="shared" si="34"/>
        <v>2.0251446896118148</v>
      </c>
      <c r="K63" s="50">
        <f t="shared" si="35"/>
        <v>58.278367680112694</v>
      </c>
      <c r="L63" s="52">
        <f t="shared" si="36"/>
        <v>0.62034224587710618</v>
      </c>
      <c r="M63" s="50">
        <v>2017</v>
      </c>
      <c r="N63" s="50">
        <v>20</v>
      </c>
      <c r="O63" s="50">
        <v>69</v>
      </c>
      <c r="P63" s="50">
        <v>4747.5648000000001</v>
      </c>
      <c r="Q63" s="50">
        <v>6</v>
      </c>
      <c r="R63" s="50">
        <v>0.61037440930769205</v>
      </c>
      <c r="S63" s="50">
        <v>0.13261895760437328</v>
      </c>
      <c r="T63" s="96">
        <v>0.65394075800535401</v>
      </c>
      <c r="U63" s="97">
        <v>3000</v>
      </c>
      <c r="V63" s="61">
        <f t="shared" si="3"/>
        <v>3.7864103189584578E-10</v>
      </c>
      <c r="W63" s="61">
        <f t="shared" si="4"/>
        <v>7.5728206379169155E-9</v>
      </c>
      <c r="X63" s="62">
        <f t="shared" si="5"/>
        <v>67</v>
      </c>
      <c r="Y63" s="172">
        <f t="shared" si="6"/>
        <v>150.80800182175821</v>
      </c>
      <c r="Z63" s="172">
        <f t="shared" si="7"/>
        <v>8.8854701594930106</v>
      </c>
      <c r="AA63" s="68">
        <f t="shared" si="8"/>
        <v>7.5728206379169157E-5</v>
      </c>
      <c r="AB63" s="175">
        <f t="shared" si="9"/>
        <v>30.583810161953927</v>
      </c>
      <c r="AC63" s="175">
        <f t="shared" si="10"/>
        <v>43.814030786358721</v>
      </c>
      <c r="AD63" s="70">
        <f t="shared" si="11"/>
        <v>9.021363249247735E-5</v>
      </c>
      <c r="AE63" s="259">
        <f t="shared" si="12"/>
        <v>71</v>
      </c>
      <c r="AF63" s="259" cm="1">
        <f t="array" ref="AF63">_xlfn.IFS(N63&lt;=AC63,W63*(3/(X63^3 - (X63-AB63)^3)),N63&gt;AC63,W63*(3/X63^3))</f>
        <v>8.9984771224330122E-14</v>
      </c>
      <c r="AG63" s="261">
        <f t="shared" si="13"/>
        <v>1.073551315122374E-4</v>
      </c>
      <c r="AH63" s="263">
        <f t="shared" si="14"/>
        <v>-1.7141499019760048E-5</v>
      </c>
      <c r="AI63" s="264">
        <f t="shared" si="15"/>
        <v>119.00100743774998</v>
      </c>
    </row>
    <row r="64" spans="1:35" s="50" customFormat="1" ht="15.75" x14ac:dyDescent="0.45">
      <c r="A64" s="50" t="s">
        <v>148</v>
      </c>
      <c r="B64" s="80" t="s">
        <v>149</v>
      </c>
      <c r="C64" s="177">
        <v>36.157649999999997</v>
      </c>
      <c r="D64" s="177">
        <v>120.25083333333301</v>
      </c>
      <c r="E64" s="50" t="s">
        <v>8</v>
      </c>
      <c r="F64" s="50" t="s">
        <v>146</v>
      </c>
      <c r="G64" s="50">
        <v>-1.55</v>
      </c>
      <c r="H64" s="50">
        <v>500</v>
      </c>
      <c r="I64" s="50">
        <v>5.9590400000000008</v>
      </c>
      <c r="J64" s="50">
        <f t="shared" si="34"/>
        <v>1.6729621715004521</v>
      </c>
      <c r="K64" s="50">
        <f t="shared" si="35"/>
        <v>25.901496746716738</v>
      </c>
      <c r="L64" s="52">
        <f t="shared" si="36"/>
        <v>0.27570766483426928</v>
      </c>
      <c r="M64" s="50">
        <v>2017</v>
      </c>
      <c r="N64" s="50">
        <v>20</v>
      </c>
      <c r="O64" s="50">
        <v>69</v>
      </c>
      <c r="P64" s="50">
        <v>3089.9404800000002</v>
      </c>
      <c r="Q64" s="50">
        <v>4</v>
      </c>
      <c r="R64" s="50">
        <v>0.61037440930769205</v>
      </c>
      <c r="S64" s="50">
        <v>0.13288496611575845</v>
      </c>
      <c r="T64" s="96">
        <v>0.65394075800535401</v>
      </c>
      <c r="U64" s="97">
        <v>3000</v>
      </c>
      <c r="V64" s="61">
        <f t="shared" si="3"/>
        <v>1.6828490306482026E-10</v>
      </c>
      <c r="W64" s="61">
        <f t="shared" si="4"/>
        <v>3.3656980612964051E-9</v>
      </c>
      <c r="X64" s="62">
        <f t="shared" si="5"/>
        <v>67</v>
      </c>
      <c r="Y64" s="172">
        <f t="shared" si="6"/>
        <v>150.50611506028187</v>
      </c>
      <c r="Z64" s="172">
        <f t="shared" si="7"/>
        <v>8.9032927297558171</v>
      </c>
      <c r="AA64" s="68">
        <f t="shared" si="8"/>
        <v>3.3656980612964051E-5</v>
      </c>
      <c r="AB64" s="175">
        <f t="shared" si="9"/>
        <v>30.583810161953927</v>
      </c>
      <c r="AC64" s="175">
        <f t="shared" si="10"/>
        <v>43.814030786358721</v>
      </c>
      <c r="AD64" s="70">
        <f t="shared" si="11"/>
        <v>4.0094947774434353E-5</v>
      </c>
      <c r="AE64" s="259">
        <f t="shared" si="12"/>
        <v>71</v>
      </c>
      <c r="AF64" s="259" cm="1">
        <f t="array" ref="AF64">_xlfn.IFS(N64&lt;=AC64,W64*(3/(X64^3 - (X64-AB64)^3)),N64&gt;AC64,W64*(3/X64^3))</f>
        <v>3.9993231655257807E-14</v>
      </c>
      <c r="AG64" s="261">
        <f t="shared" si="13"/>
        <v>4.7713391783216589E-5</v>
      </c>
      <c r="AH64" s="263">
        <f t="shared" si="14"/>
        <v>-7.6184440087822359E-6</v>
      </c>
      <c r="AI64" s="264">
        <f t="shared" si="15"/>
        <v>119.00100743774996</v>
      </c>
    </row>
    <row r="65" spans="1:35" s="50" customFormat="1" ht="15.75" x14ac:dyDescent="0.45">
      <c r="A65" s="50" t="s">
        <v>148</v>
      </c>
      <c r="B65" s="80" t="s">
        <v>149</v>
      </c>
      <c r="C65" s="177">
        <v>36.158549999999998</v>
      </c>
      <c r="D65" s="177">
        <v>120.29216666666601</v>
      </c>
      <c r="E65" s="50" t="s">
        <v>8</v>
      </c>
      <c r="F65" s="50" t="s">
        <v>146</v>
      </c>
      <c r="G65" s="50">
        <v>-1.55</v>
      </c>
      <c r="H65" s="50">
        <v>500</v>
      </c>
      <c r="I65" s="50">
        <v>8.9385600000000007</v>
      </c>
      <c r="J65" s="50">
        <f t="shared" si="34"/>
        <v>1.8490534305561335</v>
      </c>
      <c r="K65" s="50">
        <f t="shared" si="35"/>
        <v>38.852245120075118</v>
      </c>
      <c r="L65" s="52">
        <f t="shared" si="36"/>
        <v>0.41356149725140406</v>
      </c>
      <c r="M65" s="50">
        <v>2017</v>
      </c>
      <c r="N65" s="50">
        <v>20</v>
      </c>
      <c r="O65" s="50">
        <v>69</v>
      </c>
      <c r="P65" s="50">
        <v>2574.9504000000002</v>
      </c>
      <c r="Q65" s="50">
        <v>2</v>
      </c>
      <c r="R65" s="50">
        <v>0.61037440930769205</v>
      </c>
      <c r="S65" s="50">
        <v>0.13315150818983643</v>
      </c>
      <c r="T65" s="96">
        <v>0.65394075800535401</v>
      </c>
      <c r="U65" s="97">
        <v>2000</v>
      </c>
      <c r="V65" s="61">
        <f t="shared" si="3"/>
        <v>2.5242735459723049E-10</v>
      </c>
      <c r="W65" s="61">
        <f t="shared" si="4"/>
        <v>5.0485470919446098E-9</v>
      </c>
      <c r="X65" s="62">
        <f t="shared" si="5"/>
        <v>67</v>
      </c>
      <c r="Y65" s="172">
        <f t="shared" si="6"/>
        <v>150.20483261433023</v>
      </c>
      <c r="Z65" s="172">
        <f t="shared" si="7"/>
        <v>8.9211510487190413</v>
      </c>
      <c r="AA65" s="68">
        <f t="shared" si="8"/>
        <v>5.04854709194461E-5</v>
      </c>
      <c r="AB65" s="175">
        <f t="shared" si="9"/>
        <v>30.583810161953927</v>
      </c>
      <c r="AC65" s="175">
        <f t="shared" si="10"/>
        <v>43.814030786358721</v>
      </c>
      <c r="AD65" s="70">
        <f t="shared" si="11"/>
        <v>6.0142421661651553E-5</v>
      </c>
      <c r="AE65" s="259">
        <f t="shared" si="12"/>
        <v>71</v>
      </c>
      <c r="AF65" s="259" cm="1">
        <f t="array" ref="AF65">_xlfn.IFS(N65&lt;=AC65,W65*(3/(X65^3 - (X65-AB65)^3)),N65&gt;AC65,W65*(3/X65^3))</f>
        <v>5.9989847482886739E-14</v>
      </c>
      <c r="AG65" s="261">
        <f t="shared" si="13"/>
        <v>7.1570087674824927E-5</v>
      </c>
      <c r="AH65" s="263">
        <f t="shared" si="14"/>
        <v>-1.1427666013173374E-5</v>
      </c>
      <c r="AI65" s="264">
        <f t="shared" si="15"/>
        <v>119.00100743774999</v>
      </c>
    </row>
    <row r="66" spans="1:35" s="50" customFormat="1" ht="15.75" x14ac:dyDescent="0.45">
      <c r="A66" s="50" t="s">
        <v>148</v>
      </c>
      <c r="B66" s="80" t="s">
        <v>149</v>
      </c>
      <c r="C66" s="177">
        <v>36.0883167</v>
      </c>
      <c r="D66" s="177">
        <v>120.299833333333</v>
      </c>
      <c r="E66" s="50" t="s">
        <v>8</v>
      </c>
      <c r="F66" s="50" t="s">
        <v>146</v>
      </c>
      <c r="G66" s="50">
        <v>-1.55</v>
      </c>
      <c r="H66" s="50">
        <v>500</v>
      </c>
      <c r="I66" s="50">
        <v>18.622</v>
      </c>
      <c r="J66" s="50">
        <f t="shared" si="34"/>
        <v>2.1678121931805463</v>
      </c>
      <c r="K66" s="50">
        <f t="shared" si="35"/>
        <v>80.942177333489894</v>
      </c>
      <c r="L66" s="52">
        <f t="shared" si="36"/>
        <v>0.86158645260709232</v>
      </c>
      <c r="M66" s="50">
        <v>2017</v>
      </c>
      <c r="N66" s="50">
        <v>20</v>
      </c>
      <c r="O66" s="50">
        <v>69</v>
      </c>
      <c r="P66" s="50">
        <v>1255.2883200000001</v>
      </c>
      <c r="Q66" s="50">
        <v>10</v>
      </c>
      <c r="R66" s="50">
        <v>0.61037440930769205</v>
      </c>
      <c r="S66" s="50">
        <v>0.13208853699948581</v>
      </c>
      <c r="T66" s="96">
        <v>0.65394075800535401</v>
      </c>
      <c r="U66" s="97" t="s">
        <v>126</v>
      </c>
      <c r="V66" s="61">
        <f t="shared" si="3"/>
        <v>5.2589032207756379E-10</v>
      </c>
      <c r="W66" s="61">
        <f t="shared" si="4"/>
        <v>1.0517806441551275E-8</v>
      </c>
      <c r="X66" s="62">
        <f t="shared" si="5"/>
        <v>67</v>
      </c>
      <c r="Y66" s="172">
        <f t="shared" si="6"/>
        <v>151.41359314228649</v>
      </c>
      <c r="Z66" s="172">
        <f t="shared" si="7"/>
        <v>8.8499319789655484</v>
      </c>
      <c r="AA66" s="68">
        <f t="shared" si="8"/>
        <v>1.0517806441551276E-4</v>
      </c>
      <c r="AB66" s="175">
        <f t="shared" si="9"/>
        <v>30.583810161953927</v>
      </c>
      <c r="AC66" s="175">
        <f t="shared" si="10"/>
        <v>43.814030786358721</v>
      </c>
      <c r="AD66" s="70">
        <f t="shared" si="11"/>
        <v>1.2529671179510745E-4</v>
      </c>
      <c r="AE66" s="259">
        <f t="shared" si="12"/>
        <v>71</v>
      </c>
      <c r="AF66" s="259" cm="1">
        <f t="array" ref="AF66">_xlfn.IFS(N66&lt;=AC66,W66*(3/(X66^3 - (X66-AB66)^3)),N66&gt;AC66,W66*(3/X66^3))</f>
        <v>1.2497884892268076E-13</v>
      </c>
      <c r="AG66" s="261">
        <f t="shared" si="13"/>
        <v>1.4910434932255198E-4</v>
      </c>
      <c r="AH66" s="263">
        <f t="shared" si="14"/>
        <v>-2.380763752744453E-5</v>
      </c>
      <c r="AI66" s="264">
        <f t="shared" si="15"/>
        <v>119.00100743774999</v>
      </c>
    </row>
    <row r="67" spans="1:35" s="50" customFormat="1" ht="15.75" x14ac:dyDescent="0.45">
      <c r="A67" s="50" t="s">
        <v>148</v>
      </c>
      <c r="B67" s="80" t="s">
        <v>149</v>
      </c>
      <c r="C67" s="177">
        <v>36.123249999999999</v>
      </c>
      <c r="D67" s="177">
        <v>120.321166666666</v>
      </c>
      <c r="E67" s="50" t="s">
        <v>8</v>
      </c>
      <c r="F67" s="50" t="s">
        <v>146</v>
      </c>
      <c r="G67" s="50">
        <v>-1.55</v>
      </c>
      <c r="H67" s="50">
        <v>500</v>
      </c>
      <c r="I67" s="50">
        <v>17.132239999999999</v>
      </c>
      <c r="J67" s="50">
        <f t="shared" si="34"/>
        <v>2.1316000205261014</v>
      </c>
      <c r="K67" s="50">
        <f t="shared" si="35"/>
        <v>74.466803146810662</v>
      </c>
      <c r="L67" s="52">
        <f t="shared" si="36"/>
        <v>0.79265953639852449</v>
      </c>
      <c r="M67" s="50">
        <v>2017</v>
      </c>
      <c r="N67" s="50">
        <v>20</v>
      </c>
      <c r="O67" s="50">
        <v>69</v>
      </c>
      <c r="P67" s="50">
        <v>1046.0736000000002</v>
      </c>
      <c r="Q67" s="50">
        <v>5</v>
      </c>
      <c r="R67" s="50">
        <v>0.61037440930769205</v>
      </c>
      <c r="S67" s="50">
        <v>0.13275189523153463</v>
      </c>
      <c r="T67" s="96">
        <v>0.65394075800535401</v>
      </c>
      <c r="U67" s="97">
        <v>1000</v>
      </c>
      <c r="V67" s="61">
        <f t="shared" si="3"/>
        <v>4.8381909631135837E-10</v>
      </c>
      <c r="W67" s="61">
        <f t="shared" si="4"/>
        <v>9.6763819262271669E-9</v>
      </c>
      <c r="X67" s="62">
        <f t="shared" si="5"/>
        <v>67</v>
      </c>
      <c r="Y67" s="172">
        <f t="shared" si="6"/>
        <v>150.65698282587749</v>
      </c>
      <c r="Z67" s="172">
        <f t="shared" si="7"/>
        <v>8.8943769805128206</v>
      </c>
      <c r="AA67" s="68">
        <f t="shared" si="8"/>
        <v>9.6763819262271665E-5</v>
      </c>
      <c r="AB67" s="175">
        <f t="shared" si="9"/>
        <v>30.583810161953927</v>
      </c>
      <c r="AC67" s="175">
        <f t="shared" si="10"/>
        <v>43.814030786358721</v>
      </c>
      <c r="AD67" s="70">
        <f t="shared" si="11"/>
        <v>1.1527297485149879E-4</v>
      </c>
      <c r="AE67" s="259">
        <f t="shared" si="12"/>
        <v>71</v>
      </c>
      <c r="AF67" s="259" cm="1">
        <f t="array" ref="AF67">_xlfn.IFS(N67&lt;=AC67,W67*(3/(X67^3 - (X67-AB67)^3)),N67&gt;AC67,W67*(3/X67^3))</f>
        <v>1.1498054100886622E-13</v>
      </c>
      <c r="AG67" s="261">
        <f t="shared" si="13"/>
        <v>1.3717600137674773E-4</v>
      </c>
      <c r="AH67" s="263">
        <f t="shared" si="14"/>
        <v>-2.190302652524894E-5</v>
      </c>
      <c r="AI67" s="264">
        <f t="shared" si="15"/>
        <v>119.00100743774996</v>
      </c>
    </row>
    <row r="68" spans="1:35" s="50" customFormat="1" ht="15.75" x14ac:dyDescent="0.45">
      <c r="A68" s="50" t="s">
        <v>148</v>
      </c>
      <c r="B68" s="80" t="s">
        <v>149</v>
      </c>
      <c r="C68" s="177">
        <v>36.158016699999997</v>
      </c>
      <c r="D68" s="177">
        <v>120.335333333333</v>
      </c>
      <c r="E68" s="50" t="s">
        <v>8</v>
      </c>
      <c r="F68" s="50" t="s">
        <v>146</v>
      </c>
      <c r="G68" s="50">
        <v>-1.55</v>
      </c>
      <c r="H68" s="50">
        <v>500</v>
      </c>
      <c r="I68" s="50">
        <v>13.40784</v>
      </c>
      <c r="J68" s="50">
        <f t="shared" si="34"/>
        <v>2.0251446896118148</v>
      </c>
      <c r="K68" s="50">
        <f t="shared" si="35"/>
        <v>58.278367680112694</v>
      </c>
      <c r="L68" s="52">
        <f t="shared" si="36"/>
        <v>0.62034224587710618</v>
      </c>
      <c r="M68" s="50">
        <v>2017</v>
      </c>
      <c r="N68" s="50">
        <v>20</v>
      </c>
      <c r="O68" s="50">
        <v>69</v>
      </c>
      <c r="P68" s="50">
        <v>1351.84896</v>
      </c>
      <c r="Q68" s="50">
        <v>4</v>
      </c>
      <c r="R68" s="50">
        <v>0.61037440930769205</v>
      </c>
      <c r="S68" s="50">
        <v>0.13288496611575845</v>
      </c>
      <c r="T68" s="96">
        <v>0.66163610404817097</v>
      </c>
      <c r="U68" s="97">
        <v>1000</v>
      </c>
      <c r="V68" s="61">
        <f t="shared" ref="V68:V86" si="37">L68*R68*0.000000001</f>
        <v>3.7864103189584578E-10</v>
      </c>
      <c r="W68" s="61">
        <f t="shared" ref="W68:W86" si="38">V68*N68</f>
        <v>7.5728206379169155E-9</v>
      </c>
      <c r="X68" s="62">
        <f t="shared" ref="X68:X88" si="39">M68-1950</f>
        <v>67</v>
      </c>
      <c r="Y68" s="172">
        <f t="shared" ref="Y68:Y86" si="40">N68/S68</f>
        <v>150.50611506028187</v>
      </c>
      <c r="Z68" s="172">
        <f t="shared" ref="Z68:Z86" si="41">S68*X68</f>
        <v>8.9032927297558171</v>
      </c>
      <c r="AA68" s="68">
        <f t="shared" ref="AA68:AA86" si="42">IF(N68&lt;Z68,W68/(1-(1-N68/Z68)^3),W68)*10000</f>
        <v>7.5728206379169157E-5</v>
      </c>
      <c r="AB68" s="175">
        <f t="shared" ref="AB68:AB86" si="43">N68/T68</f>
        <v>30.228096498409773</v>
      </c>
      <c r="AC68" s="175">
        <f t="shared" ref="AC68:AC86" si="44">T68*X68</f>
        <v>44.329618971227454</v>
      </c>
      <c r="AD68" s="70">
        <f t="shared" ref="AD68:AD86" si="45">IF(N68&lt;AC68,W68/(1-(1-N68/AC68)^3),W68)*10000</f>
        <v>9.0727171645850515E-5</v>
      </c>
      <c r="AE68" s="259">
        <f t="shared" ref="AE68:AE253" si="46">2021-1950</f>
        <v>71</v>
      </c>
      <c r="AF68" s="259" cm="1">
        <f t="array" ref="AF68">_xlfn.IFS(N68&lt;=AC68,W68*(3/(X68^3 - (X68-AB68)^3)),N68&gt;AC68,W68*(3/X68^3))</f>
        <v>9.0497007589880267E-14</v>
      </c>
      <c r="AG68" s="261">
        <f t="shared" ref="AG68:AG84" si="47" xml:space="preserve"> (AF68/3)*(AE68^3)*10000</f>
        <v>1.079662482783388E-4</v>
      </c>
      <c r="AH68" s="263">
        <f t="shared" ref="AH68:AH84" si="48">AD68-AG68</f>
        <v>-1.723907663248828E-5</v>
      </c>
      <c r="AI68" s="264">
        <f t="shared" ref="AI68:AI84" si="49">AG68*100/AD68</f>
        <v>119.00100743775</v>
      </c>
    </row>
    <row r="69" spans="1:35" s="50" customFormat="1" ht="15.75" x14ac:dyDescent="0.45">
      <c r="A69" s="50" t="s">
        <v>148</v>
      </c>
      <c r="B69" s="80" t="s">
        <v>149</v>
      </c>
      <c r="C69" s="177">
        <v>36.159799999999997</v>
      </c>
      <c r="D69" s="177">
        <v>120.219833333333</v>
      </c>
      <c r="E69" s="50" t="s">
        <v>8</v>
      </c>
      <c r="F69" s="50" t="s">
        <v>146</v>
      </c>
      <c r="G69" s="50">
        <v>-1.55</v>
      </c>
      <c r="H69" s="50">
        <v>500</v>
      </c>
      <c r="I69" s="50">
        <v>5.2141599999999997</v>
      </c>
      <c r="J69" s="50">
        <f t="shared" si="34"/>
        <v>1.6149702245227653</v>
      </c>
      <c r="K69" s="50">
        <f t="shared" si="35"/>
        <v>22.663809653377143</v>
      </c>
      <c r="L69" s="52">
        <f t="shared" si="36"/>
        <v>0.24124420672998559</v>
      </c>
      <c r="M69" s="50">
        <v>2017</v>
      </c>
      <c r="N69" s="50">
        <v>20</v>
      </c>
      <c r="O69" s="50">
        <v>69</v>
      </c>
      <c r="P69" s="50">
        <v>3685.3977600000003</v>
      </c>
      <c r="Q69" s="50">
        <v>3</v>
      </c>
      <c r="R69" s="50">
        <v>0.61037440930769205</v>
      </c>
      <c r="S69" s="50">
        <v>0.13301817039062197</v>
      </c>
      <c r="T69" s="96">
        <v>0.65691287475836802</v>
      </c>
      <c r="U69" s="97">
        <v>4000</v>
      </c>
      <c r="V69" s="61">
        <f t="shared" si="37"/>
        <v>1.472492901817177E-10</v>
      </c>
      <c r="W69" s="61">
        <f t="shared" si="38"/>
        <v>2.9449858036343542E-9</v>
      </c>
      <c r="X69" s="62">
        <f t="shared" si="39"/>
        <v>67</v>
      </c>
      <c r="Y69" s="172">
        <f t="shared" si="40"/>
        <v>150.35539837352957</v>
      </c>
      <c r="Z69" s="172">
        <f t="shared" si="41"/>
        <v>8.9122174161716714</v>
      </c>
      <c r="AA69" s="68">
        <f t="shared" si="42"/>
        <v>2.944985803634354E-5</v>
      </c>
      <c r="AB69" s="175">
        <f t="shared" si="43"/>
        <v>30.445437695762305</v>
      </c>
      <c r="AC69" s="175">
        <f t="shared" si="44"/>
        <v>44.01316260881066</v>
      </c>
      <c r="AD69" s="70">
        <f t="shared" si="45"/>
        <v>3.5160036371483796E-5</v>
      </c>
      <c r="AE69" s="259">
        <f t="shared" si="46"/>
        <v>71</v>
      </c>
      <c r="AF69" s="259" cm="1">
        <f t="array" ref="AF69">_xlfn.IFS(N69&lt;=AC69,W69*(3/(X69^3 - (X69-AB69)^3)),N69&gt;AC69,W69*(3/X69^3))</f>
        <v>3.5070839536263228E-14</v>
      </c>
      <c r="AG69" s="261">
        <f t="shared" si="47"/>
        <v>4.1840797497545032E-5</v>
      </c>
      <c r="AH69" s="263">
        <f t="shared" si="48"/>
        <v>-6.6807611260612357E-6</v>
      </c>
      <c r="AI69" s="264">
        <f t="shared" si="49"/>
        <v>119.00100743774999</v>
      </c>
    </row>
    <row r="70" spans="1:35" s="50" customFormat="1" ht="15.75" x14ac:dyDescent="0.45">
      <c r="A70" s="50" t="s">
        <v>148</v>
      </c>
      <c r="B70" s="80" t="s">
        <v>149</v>
      </c>
      <c r="C70" s="177">
        <v>36.182283300000002</v>
      </c>
      <c r="D70" s="177">
        <v>120.322666666666</v>
      </c>
      <c r="E70" s="50" t="s">
        <v>8</v>
      </c>
      <c r="F70" s="50" t="s">
        <v>146</v>
      </c>
      <c r="G70" s="50">
        <v>-1.55</v>
      </c>
      <c r="H70" s="50">
        <v>500</v>
      </c>
      <c r="I70" s="50">
        <v>13.40784</v>
      </c>
      <c r="J70" s="50">
        <f t="shared" si="34"/>
        <v>2.0251446896118148</v>
      </c>
      <c r="K70" s="50">
        <f t="shared" si="35"/>
        <v>58.278367680112694</v>
      </c>
      <c r="L70" s="52">
        <f t="shared" si="36"/>
        <v>0.62034224587710618</v>
      </c>
      <c r="M70" s="50">
        <v>2017</v>
      </c>
      <c r="N70" s="50">
        <v>20</v>
      </c>
      <c r="O70" s="50">
        <v>69</v>
      </c>
      <c r="P70" s="50">
        <v>498.89663999999999</v>
      </c>
      <c r="Q70" s="50">
        <v>3</v>
      </c>
      <c r="R70" s="50">
        <v>0.61037440930769205</v>
      </c>
      <c r="S70" s="50">
        <v>0.13301817039062197</v>
      </c>
      <c r="T70" s="96">
        <v>0.64838498562293401</v>
      </c>
      <c r="U70" s="97">
        <v>2000</v>
      </c>
      <c r="V70" s="61">
        <f t="shared" si="37"/>
        <v>3.7864103189584578E-10</v>
      </c>
      <c r="W70" s="61">
        <f t="shared" si="38"/>
        <v>7.5728206379169155E-9</v>
      </c>
      <c r="X70" s="62">
        <f t="shared" si="39"/>
        <v>67</v>
      </c>
      <c r="Y70" s="172">
        <f t="shared" si="40"/>
        <v>150.35539837352957</v>
      </c>
      <c r="Z70" s="172">
        <f t="shared" si="41"/>
        <v>8.9122174161716714</v>
      </c>
      <c r="AA70" s="68">
        <f t="shared" si="42"/>
        <v>7.5728206379169157E-5</v>
      </c>
      <c r="AB70" s="175">
        <f t="shared" si="43"/>
        <v>30.845871578573117</v>
      </c>
      <c r="AC70" s="175">
        <f t="shared" si="44"/>
        <v>43.441794036736582</v>
      </c>
      <c r="AD70" s="70">
        <f t="shared" si="45"/>
        <v>8.9845274901389593E-5</v>
      </c>
      <c r="AE70" s="259">
        <f t="shared" si="46"/>
        <v>71</v>
      </c>
      <c r="AF70" s="259" cm="1">
        <f t="array" ref="AF70">_xlfn.IFS(N70&lt;=AC70,W70*(3/(X70^3 - (X70-AB70)^3)),N70&gt;AC70,W70*(3/X70^3))</f>
        <v>8.9617348112689662E-14</v>
      </c>
      <c r="AG70" s="261">
        <f t="shared" si="47"/>
        <v>1.0691678226786956E-4</v>
      </c>
      <c r="AH70" s="263">
        <f t="shared" si="48"/>
        <v>-1.7071507366479965E-5</v>
      </c>
      <c r="AI70" s="264">
        <f t="shared" si="49"/>
        <v>119.00100743774999</v>
      </c>
    </row>
    <row r="71" spans="1:35" s="50" customFormat="1" ht="15.75" x14ac:dyDescent="0.45">
      <c r="A71" s="50" t="s">
        <v>148</v>
      </c>
      <c r="B71" s="80" t="s">
        <v>149</v>
      </c>
      <c r="C71" s="177">
        <v>36.103898999999998</v>
      </c>
      <c r="D71" s="177">
        <v>120.11225399999999</v>
      </c>
      <c r="E71" s="50" t="s">
        <v>8</v>
      </c>
      <c r="F71" s="50" t="s">
        <v>146</v>
      </c>
      <c r="G71" s="50">
        <v>-1.55</v>
      </c>
      <c r="H71" s="50">
        <v>500</v>
      </c>
      <c r="I71" s="50">
        <v>32.02984</v>
      </c>
      <c r="J71" s="50">
        <f t="shared" si="34"/>
        <v>2.403340640088095</v>
      </c>
      <c r="K71" s="50">
        <f t="shared" si="35"/>
        <v>139.2205450136025</v>
      </c>
      <c r="L71" s="52">
        <f t="shared" si="36"/>
        <v>1.4819286984841975</v>
      </c>
      <c r="M71" s="50">
        <v>2017</v>
      </c>
      <c r="N71" s="50">
        <v>20</v>
      </c>
      <c r="O71" s="50">
        <v>69</v>
      </c>
      <c r="P71" s="50">
        <v>32.186880000000002</v>
      </c>
      <c r="Q71" s="50">
        <v>26</v>
      </c>
      <c r="R71" s="50">
        <v>0.61037440930769205</v>
      </c>
      <c r="S71" s="50">
        <v>0.12998798451525895</v>
      </c>
      <c r="T71" s="96">
        <v>0.91373889710094303</v>
      </c>
      <c r="U71" s="97" t="s">
        <v>126</v>
      </c>
      <c r="V71" s="61">
        <f t="shared" si="37"/>
        <v>9.0453135397340891E-10</v>
      </c>
      <c r="W71" s="61">
        <f t="shared" si="38"/>
        <v>1.8090627079468178E-8</v>
      </c>
      <c r="X71" s="62">
        <f t="shared" si="39"/>
        <v>67</v>
      </c>
      <c r="Y71" s="172">
        <f t="shared" si="40"/>
        <v>153.86037466910838</v>
      </c>
      <c r="Z71" s="172">
        <f t="shared" si="41"/>
        <v>8.7091949625223499</v>
      </c>
      <c r="AA71" s="68">
        <f t="shared" si="42"/>
        <v>1.8090627079468178E-4</v>
      </c>
      <c r="AB71" s="175">
        <f t="shared" si="43"/>
        <v>21.888090857743741</v>
      </c>
      <c r="AC71" s="175">
        <f t="shared" si="44"/>
        <v>61.220506105763185</v>
      </c>
      <c r="AD71" s="70">
        <f t="shared" si="45"/>
        <v>2.6038875638489326E-4</v>
      </c>
      <c r="AE71" s="259">
        <f t="shared" si="46"/>
        <v>71</v>
      </c>
      <c r="AF71" s="259" cm="1">
        <f t="array" ref="AF71">_xlfn.IFS(N71&lt;=AC71,W71*(3/(X71^3 - (X71-AB71)^3)),N71&gt;AC71,W71*(3/X71^3))</f>
        <v>2.5972818104443694E-13</v>
      </c>
      <c r="AG71" s="261">
        <f t="shared" si="47"/>
        <v>3.0986524335265155E-4</v>
      </c>
      <c r="AH71" s="263">
        <f t="shared" si="48"/>
        <v>-4.9476486967758285E-5</v>
      </c>
      <c r="AI71" s="264">
        <f t="shared" si="49"/>
        <v>119.00100743774999</v>
      </c>
    </row>
    <row r="72" spans="1:35" s="50" customFormat="1" ht="15.75" x14ac:dyDescent="0.45">
      <c r="A72" s="50" t="s">
        <v>148</v>
      </c>
      <c r="B72" s="80" t="s">
        <v>149</v>
      </c>
      <c r="C72" s="177">
        <v>36.179698999999999</v>
      </c>
      <c r="D72" s="177">
        <v>120.13865300000001</v>
      </c>
      <c r="E72" s="50" t="s">
        <v>8</v>
      </c>
      <c r="F72" s="50" t="s">
        <v>146</v>
      </c>
      <c r="G72" s="50">
        <v>-1.55</v>
      </c>
      <c r="H72" s="50">
        <v>500</v>
      </c>
      <c r="I72" s="50">
        <v>16.387360000000001</v>
      </c>
      <c r="J72" s="50">
        <f t="shared" si="34"/>
        <v>2.1122948653307145</v>
      </c>
      <c r="K72" s="50">
        <f t="shared" si="35"/>
        <v>71.229116053471031</v>
      </c>
      <c r="L72" s="52">
        <f t="shared" si="36"/>
        <v>0.75819607829424041</v>
      </c>
      <c r="M72" s="50">
        <v>2017</v>
      </c>
      <c r="N72" s="50">
        <v>20</v>
      </c>
      <c r="O72" s="50">
        <v>69</v>
      </c>
      <c r="P72" s="50">
        <v>177.02784</v>
      </c>
      <c r="Q72" s="50">
        <v>16</v>
      </c>
      <c r="R72" s="50">
        <v>0.61037440930769205</v>
      </c>
      <c r="S72" s="50">
        <v>0.13129688117966493</v>
      </c>
      <c r="T72" s="96">
        <v>0.87084964570451295</v>
      </c>
      <c r="U72" s="97">
        <v>1000</v>
      </c>
      <c r="V72" s="61">
        <f t="shared" si="37"/>
        <v>4.627834834282556E-10</v>
      </c>
      <c r="W72" s="61">
        <f t="shared" si="38"/>
        <v>9.2556696685651127E-9</v>
      </c>
      <c r="X72" s="62">
        <f t="shared" si="39"/>
        <v>67</v>
      </c>
      <c r="Y72" s="172">
        <f t="shared" si="40"/>
        <v>152.32654287219711</v>
      </c>
      <c r="Z72" s="172">
        <f t="shared" si="41"/>
        <v>8.7968910390375505</v>
      </c>
      <c r="AA72" s="68">
        <f t="shared" si="42"/>
        <v>9.2556696685651131E-5</v>
      </c>
      <c r="AB72" s="175">
        <f t="shared" si="43"/>
        <v>22.966076978558224</v>
      </c>
      <c r="AC72" s="175">
        <f t="shared" si="44"/>
        <v>58.346926262202366</v>
      </c>
      <c r="AD72" s="70">
        <f t="shared" si="45"/>
        <v>1.2924781375725012E-4</v>
      </c>
      <c r="AE72" s="259">
        <f t="shared" si="46"/>
        <v>71</v>
      </c>
      <c r="AF72" s="259" cm="1">
        <f t="array" ref="AF72">_xlfn.IFS(N72&lt;=AC72,W72*(3/(X72^3 - (X72-AB72)^3)),N72&gt;AC72,W72*(3/X72^3))</f>
        <v>1.2891992740854108E-13</v>
      </c>
      <c r="AG72" s="261">
        <f t="shared" si="47"/>
        <v>1.5380620046239447E-4</v>
      </c>
      <c r="AH72" s="263">
        <f t="shared" si="48"/>
        <v>-2.4558386705144351E-5</v>
      </c>
      <c r="AI72" s="264">
        <f t="shared" si="49"/>
        <v>119.00100743774999</v>
      </c>
    </row>
    <row r="73" spans="1:35" s="50" customFormat="1" ht="15.75" x14ac:dyDescent="0.45">
      <c r="A73" s="50" t="s">
        <v>148</v>
      </c>
      <c r="B73" s="80" t="s">
        <v>149</v>
      </c>
      <c r="C73" s="177">
        <v>36.255127999999999</v>
      </c>
      <c r="D73" s="177">
        <v>120.325998</v>
      </c>
      <c r="E73" s="50" t="s">
        <v>8</v>
      </c>
      <c r="F73" s="50" t="s">
        <v>146</v>
      </c>
      <c r="G73" s="50">
        <v>-1.55</v>
      </c>
      <c r="H73" s="50">
        <v>500</v>
      </c>
      <c r="I73" s="50">
        <v>14.897600000000001</v>
      </c>
      <c r="J73" s="50">
        <f t="shared" si="34"/>
        <v>2.0709021801724896</v>
      </c>
      <c r="K73" s="50">
        <f t="shared" si="35"/>
        <v>64.753741866791856</v>
      </c>
      <c r="L73" s="52">
        <f t="shared" si="36"/>
        <v>0.68926916208567324</v>
      </c>
      <c r="M73" s="50">
        <v>2017</v>
      </c>
      <c r="N73" s="50">
        <v>20</v>
      </c>
      <c r="O73" s="50">
        <v>69</v>
      </c>
      <c r="P73" s="50">
        <v>160.93440000000001</v>
      </c>
      <c r="Q73" s="50">
        <v>0</v>
      </c>
      <c r="R73" s="50">
        <v>0.61037440930769205</v>
      </c>
      <c r="S73" s="50">
        <v>0.13341858489683281</v>
      </c>
      <c r="T73" s="96">
        <v>0.90558908895428902</v>
      </c>
      <c r="U73" s="97" t="s">
        <v>126</v>
      </c>
      <c r="V73" s="61">
        <f t="shared" si="37"/>
        <v>4.2071225766205069E-10</v>
      </c>
      <c r="W73" s="61">
        <f t="shared" si="38"/>
        <v>8.4142451532410141E-9</v>
      </c>
      <c r="X73" s="62">
        <f t="shared" si="39"/>
        <v>67</v>
      </c>
      <c r="Y73" s="172">
        <f t="shared" si="40"/>
        <v>149.90415327418734</v>
      </c>
      <c r="Z73" s="172">
        <f t="shared" si="41"/>
        <v>8.9390451880877979</v>
      </c>
      <c r="AA73" s="68">
        <f t="shared" si="42"/>
        <v>8.4142451532410144E-5</v>
      </c>
      <c r="AB73" s="175">
        <f t="shared" si="43"/>
        <v>22.085071743846431</v>
      </c>
      <c r="AC73" s="175">
        <f t="shared" si="44"/>
        <v>60.674468959937364</v>
      </c>
      <c r="AD73" s="70">
        <f t="shared" si="45"/>
        <v>1.2042100596450828E-4</v>
      </c>
      <c r="AE73" s="259">
        <f t="shared" si="46"/>
        <v>71</v>
      </c>
      <c r="AF73" s="259" cm="1">
        <f t="array" ref="AF73">_xlfn.IFS(N73&lt;=AC73,W73*(3/(X73^3 - (X73-AB73)^3)),N73&gt;AC73,W73*(3/X73^3))</f>
        <v>1.2011551217853419E-13</v>
      </c>
      <c r="AG73" s="261">
        <f t="shared" si="47"/>
        <v>1.4330221026443785E-4</v>
      </c>
      <c r="AH73" s="263">
        <f t="shared" si="48"/>
        <v>-2.2881204299929567E-5</v>
      </c>
      <c r="AI73" s="264">
        <f t="shared" si="49"/>
        <v>119.00100743774998</v>
      </c>
    </row>
    <row r="74" spans="1:35" s="50" customFormat="1" ht="15.75" x14ac:dyDescent="0.45">
      <c r="A74" s="50" t="s">
        <v>148</v>
      </c>
      <c r="B74" s="80" t="s">
        <v>149</v>
      </c>
      <c r="C74" s="177">
        <v>36.255898999999999</v>
      </c>
      <c r="D74" s="177">
        <v>120.320267</v>
      </c>
      <c r="E74" s="50" t="s">
        <v>8</v>
      </c>
      <c r="F74" s="50" t="s">
        <v>146</v>
      </c>
      <c r="G74" s="50">
        <v>-1.55</v>
      </c>
      <c r="H74" s="50">
        <v>500</v>
      </c>
      <c r="I74" s="50">
        <v>9.6834400000000009</v>
      </c>
      <c r="J74" s="50">
        <f t="shared" si="34"/>
        <v>1.8838155368153453</v>
      </c>
      <c r="K74" s="50">
        <f t="shared" si="35"/>
        <v>42.089932213414706</v>
      </c>
      <c r="L74" s="52">
        <f t="shared" si="36"/>
        <v>0.44802495535568765</v>
      </c>
      <c r="M74" s="50">
        <v>2017</v>
      </c>
      <c r="N74" s="50">
        <v>20</v>
      </c>
      <c r="O74" s="50">
        <v>69</v>
      </c>
      <c r="P74" s="50">
        <v>450.61632000000003</v>
      </c>
      <c r="Q74" s="50">
        <v>36</v>
      </c>
      <c r="R74" s="50">
        <v>0.61037440930769205</v>
      </c>
      <c r="S74" s="50">
        <v>0.12869213622231998</v>
      </c>
      <c r="T74" s="96">
        <v>0.90558908895428902</v>
      </c>
      <c r="U74" s="97" t="s">
        <v>126</v>
      </c>
      <c r="V74" s="61">
        <f t="shared" si="37"/>
        <v>2.7346296748033294E-10</v>
      </c>
      <c r="W74" s="61">
        <f t="shared" si="38"/>
        <v>5.4692593496066591E-9</v>
      </c>
      <c r="X74" s="62">
        <f t="shared" si="39"/>
        <v>67</v>
      </c>
      <c r="Y74" s="172">
        <f t="shared" si="40"/>
        <v>155.40965118062326</v>
      </c>
      <c r="Z74" s="172">
        <f t="shared" si="41"/>
        <v>8.6223731268954396</v>
      </c>
      <c r="AA74" s="68">
        <f t="shared" si="42"/>
        <v>5.4692593496066593E-5</v>
      </c>
      <c r="AB74" s="175">
        <f t="shared" si="43"/>
        <v>22.085071743846431</v>
      </c>
      <c r="AC74" s="175">
        <f t="shared" si="44"/>
        <v>60.674468959937364</v>
      </c>
      <c r="AD74" s="70">
        <f t="shared" si="45"/>
        <v>7.8273653876930385E-5</v>
      </c>
      <c r="AE74" s="259">
        <f t="shared" si="46"/>
        <v>71</v>
      </c>
      <c r="AF74" s="259" cm="1">
        <f t="array" ref="AF74">_xlfn.IFS(N74&lt;=AC74,W74*(3/(X74^3 - (X74-AB74)^3)),N74&gt;AC74,W74*(3/X74^3))</f>
        <v>7.8075082916047228E-14</v>
      </c>
      <c r="AG74" s="261">
        <f t="shared" si="47"/>
        <v>9.3146436671884598E-5</v>
      </c>
      <c r="AH74" s="263">
        <f t="shared" si="48"/>
        <v>-1.4872782794954212E-5</v>
      </c>
      <c r="AI74" s="264">
        <f t="shared" si="49"/>
        <v>119.00100743774998</v>
      </c>
    </row>
    <row r="75" spans="1:35" s="50" customFormat="1" x14ac:dyDescent="0.45">
      <c r="A75" s="50" t="s">
        <v>150</v>
      </c>
      <c r="B75" s="80" t="s">
        <v>151</v>
      </c>
      <c r="C75" s="181">
        <v>37.115560000000002</v>
      </c>
      <c r="D75" s="181">
        <v>122.48</v>
      </c>
      <c r="E75" s="50" t="s">
        <v>8</v>
      </c>
      <c r="F75" s="98">
        <v>0.96</v>
      </c>
      <c r="G75" s="50">
        <v>-1.66</v>
      </c>
      <c r="H75" s="50">
        <v>50</v>
      </c>
      <c r="I75" s="50">
        <v>2233.5130905000001</v>
      </c>
      <c r="J75" s="50">
        <f t="shared" ref="J75:J86" si="50" xml:space="preserve"> LOG(I75, 10) - (G75) * LOG(H75,10)^(G75+1)</f>
        <v>4.5189875775600576</v>
      </c>
      <c r="K75" s="50">
        <f t="shared" ref="K75:K86" si="51" xml:space="preserve"> -1*10^J75*(G75+1)</f>
        <v>21803.766030581926</v>
      </c>
      <c r="L75" s="52">
        <f t="shared" ref="L75:L86" si="52">IF(E75="Fragments",0.000000097*K75*(5000^(4+G75)-1)/(4+G75),0.000106*K75*(5000^(2+G75)-1)/(2+G75))</f>
        <v>116.23157308425252</v>
      </c>
      <c r="M75" s="50">
        <v>2017</v>
      </c>
      <c r="N75" s="50">
        <v>5</v>
      </c>
      <c r="O75" s="50">
        <v>102</v>
      </c>
      <c r="R75" s="50">
        <v>0.61037440899999995</v>
      </c>
      <c r="S75" s="50">
        <v>0.13241980072875215</v>
      </c>
      <c r="T75" s="96">
        <v>0.49764695215524202</v>
      </c>
      <c r="U75" s="50">
        <v>2000</v>
      </c>
      <c r="V75" s="61">
        <f t="shared" si="37"/>
        <v>7.0944777728440926E-8</v>
      </c>
      <c r="W75" s="61">
        <f t="shared" si="38"/>
        <v>3.5472388864220462E-7</v>
      </c>
      <c r="X75" s="62">
        <f t="shared" si="39"/>
        <v>67</v>
      </c>
      <c r="Y75" s="172">
        <f t="shared" si="40"/>
        <v>37.758703551004182</v>
      </c>
      <c r="Z75" s="172">
        <f t="shared" si="41"/>
        <v>8.8721266488263932</v>
      </c>
      <c r="AA75" s="68">
        <f t="shared" si="42"/>
        <v>3.868863171186154E-3</v>
      </c>
      <c r="AB75" s="175">
        <f t="shared" si="43"/>
        <v>10.04728347746464</v>
      </c>
      <c r="AC75" s="175">
        <f t="shared" si="44"/>
        <v>33.342345794401218</v>
      </c>
      <c r="AD75" s="70">
        <f t="shared" si="45"/>
        <v>9.1948091451231305E-3</v>
      </c>
      <c r="AE75" s="259">
        <f t="shared" si="46"/>
        <v>71</v>
      </c>
      <c r="AF75" s="259" cm="1">
        <f t="array" ref="AF75">_xlfn.IFS(N75&lt;=AC75,W75*(3/(X75^3 - (X75-AB75)^3)),N75&gt;AC75,W75*(3/X75^3))</f>
        <v>9.171483006676151E-12</v>
      </c>
      <c r="AG75" s="261">
        <f t="shared" si="47"/>
        <v>1.0941915514674893E-2</v>
      </c>
      <c r="AH75" s="263">
        <f t="shared" si="48"/>
        <v>-1.7471063695517625E-3</v>
      </c>
      <c r="AI75" s="264">
        <f t="shared" si="49"/>
        <v>119.00100743775</v>
      </c>
    </row>
    <row r="76" spans="1:35" s="50" customFormat="1" x14ac:dyDescent="0.45">
      <c r="A76" s="50" t="s">
        <v>150</v>
      </c>
      <c r="B76" s="80" t="s">
        <v>151</v>
      </c>
      <c r="C76" s="181">
        <v>37.115560000000002</v>
      </c>
      <c r="D76" s="181">
        <v>122.50917</v>
      </c>
      <c r="E76" s="50" t="s">
        <v>8</v>
      </c>
      <c r="F76" s="98">
        <v>0.95</v>
      </c>
      <c r="G76" s="50">
        <v>-1.62</v>
      </c>
      <c r="H76" s="50">
        <v>50</v>
      </c>
      <c r="I76" s="50">
        <v>1730.867315</v>
      </c>
      <c r="J76" s="50">
        <f t="shared" si="50"/>
        <v>4.4045358423027423</v>
      </c>
      <c r="K76" s="50">
        <f t="shared" si="51"/>
        <v>15737.202449945073</v>
      </c>
      <c r="L76" s="52">
        <f t="shared" si="52"/>
        <v>107.31149368578636</v>
      </c>
      <c r="M76" s="50">
        <v>2017</v>
      </c>
      <c r="N76" s="50">
        <v>5</v>
      </c>
      <c r="O76" s="50">
        <v>102</v>
      </c>
      <c r="R76" s="50">
        <v>0.61037440899999995</v>
      </c>
      <c r="S76" s="50">
        <v>0.13241980072875215</v>
      </c>
      <c r="T76" s="96">
        <v>0.47844016393621902</v>
      </c>
      <c r="U76" s="50">
        <v>3000</v>
      </c>
      <c r="V76" s="61">
        <f t="shared" si="37"/>
        <v>6.5500189537369092E-8</v>
      </c>
      <c r="W76" s="61">
        <f t="shared" si="38"/>
        <v>3.2750094768684545E-7</v>
      </c>
      <c r="X76" s="62">
        <f t="shared" si="39"/>
        <v>67</v>
      </c>
      <c r="Y76" s="172">
        <f t="shared" si="40"/>
        <v>37.758703551004182</v>
      </c>
      <c r="Z76" s="172">
        <f t="shared" si="41"/>
        <v>8.8721266488263932</v>
      </c>
      <c r="AA76" s="68">
        <f t="shared" si="42"/>
        <v>3.5719510176892176E-3</v>
      </c>
      <c r="AB76" s="175">
        <f t="shared" si="43"/>
        <v>10.450627637245253</v>
      </c>
      <c r="AC76" s="175">
        <f t="shared" si="44"/>
        <v>32.055490983726678</v>
      </c>
      <c r="AD76" s="70">
        <f t="shared" si="45"/>
        <v>8.2133002614165184E-3</v>
      </c>
      <c r="AE76" s="259">
        <f t="shared" si="46"/>
        <v>71</v>
      </c>
      <c r="AF76" s="259" cm="1">
        <f t="array" ref="AF76">_xlfn.IFS(N76&lt;=AC76,W76*(3/(X76^3 - (X76-AB76)^3)),N76&gt;AC76,W76*(3/X76^3))</f>
        <v>8.1924640944030847E-12</v>
      </c>
      <c r="AG76" s="261">
        <f t="shared" si="47"/>
        <v>9.7739100549730073E-3</v>
      </c>
      <c r="AH76" s="263">
        <f t="shared" si="48"/>
        <v>-1.5606097935564889E-3</v>
      </c>
      <c r="AI76" s="264">
        <f t="shared" si="49"/>
        <v>119.00100743774995</v>
      </c>
    </row>
    <row r="77" spans="1:35" s="50" customFormat="1" x14ac:dyDescent="0.45">
      <c r="A77" s="50" t="s">
        <v>150</v>
      </c>
      <c r="B77" s="80" t="s">
        <v>151</v>
      </c>
      <c r="C77" s="181">
        <v>37.115560000000002</v>
      </c>
      <c r="D77" s="181">
        <v>122.57056</v>
      </c>
      <c r="E77" s="50" t="s">
        <v>8</v>
      </c>
      <c r="F77" s="98">
        <v>0.81</v>
      </c>
      <c r="G77" s="50">
        <v>-1.6949999999999998</v>
      </c>
      <c r="H77" s="50">
        <v>50</v>
      </c>
      <c r="I77" s="50">
        <v>2272.4841504999999</v>
      </c>
      <c r="J77" s="50">
        <f t="shared" si="50"/>
        <v>4.5292108753882943</v>
      </c>
      <c r="K77" s="50">
        <f t="shared" si="51"/>
        <v>23506.917329804801</v>
      </c>
      <c r="L77" s="52">
        <f t="shared" si="52"/>
        <v>101.57609401815508</v>
      </c>
      <c r="M77" s="50">
        <v>2017</v>
      </c>
      <c r="N77" s="50">
        <v>5</v>
      </c>
      <c r="O77" s="50">
        <v>102</v>
      </c>
      <c r="R77" s="50">
        <v>0.61037440899999995</v>
      </c>
      <c r="S77" s="50">
        <v>0.13241980072875215</v>
      </c>
      <c r="T77" s="96">
        <v>0.47844016393621902</v>
      </c>
      <c r="U77" s="50">
        <v>4000</v>
      </c>
      <c r="V77" s="61">
        <f t="shared" si="37"/>
        <v>6.1999448354859843E-8</v>
      </c>
      <c r="W77" s="61">
        <f t="shared" si="38"/>
        <v>3.0999724177429923E-7</v>
      </c>
      <c r="X77" s="62">
        <f t="shared" si="39"/>
        <v>67</v>
      </c>
      <c r="Y77" s="172">
        <f t="shared" si="40"/>
        <v>37.758703551004182</v>
      </c>
      <c r="Z77" s="172">
        <f t="shared" si="41"/>
        <v>8.8721266488263932</v>
      </c>
      <c r="AA77" s="68">
        <f t="shared" si="42"/>
        <v>3.3810435391330466E-3</v>
      </c>
      <c r="AB77" s="175">
        <f t="shared" si="43"/>
        <v>10.450627637245253</v>
      </c>
      <c r="AC77" s="175">
        <f t="shared" si="44"/>
        <v>32.055490983726678</v>
      </c>
      <c r="AD77" s="70">
        <f t="shared" si="45"/>
        <v>7.7743299519786998E-3</v>
      </c>
      <c r="AE77" s="259">
        <f t="shared" si="46"/>
        <v>71</v>
      </c>
      <c r="AF77" s="259" cm="1">
        <f t="array" ref="AF77">_xlfn.IFS(N77&lt;=AC77,W77*(3/(X77^3 - (X77-AB77)^3)),N77&gt;AC77,W77*(3/X77^3))</f>
        <v>7.754607400490117E-12</v>
      </c>
      <c r="AG77" s="261">
        <f t="shared" si="47"/>
        <v>9.2515309643893939E-3</v>
      </c>
      <c r="AH77" s="263">
        <f t="shared" si="48"/>
        <v>-1.477201012410694E-3</v>
      </c>
      <c r="AI77" s="264">
        <f t="shared" si="49"/>
        <v>119.00100743774993</v>
      </c>
    </row>
    <row r="78" spans="1:35" s="50" customFormat="1" x14ac:dyDescent="0.45">
      <c r="A78" s="50" t="s">
        <v>150</v>
      </c>
      <c r="B78" s="80" t="s">
        <v>151</v>
      </c>
      <c r="C78" s="181">
        <v>37.115560000000002</v>
      </c>
      <c r="D78" s="181">
        <v>122.59721999999999</v>
      </c>
      <c r="E78" s="50" t="s">
        <v>8</v>
      </c>
      <c r="F78" s="98">
        <v>0.9</v>
      </c>
      <c r="G78" s="50">
        <v>-1.7250000000000001</v>
      </c>
      <c r="H78" s="50">
        <v>50</v>
      </c>
      <c r="I78" s="50">
        <v>2150.7292685000002</v>
      </c>
      <c r="J78" s="50">
        <f t="shared" si="50"/>
        <v>4.5072248605310179</v>
      </c>
      <c r="K78" s="50">
        <f t="shared" si="51"/>
        <v>23311.105350827005</v>
      </c>
      <c r="L78" s="52">
        <f t="shared" si="52"/>
        <v>84.501965636141193</v>
      </c>
      <c r="M78" s="50">
        <v>2017</v>
      </c>
      <c r="N78" s="50">
        <v>5</v>
      </c>
      <c r="O78" s="50">
        <v>102</v>
      </c>
      <c r="R78" s="50">
        <v>0.61037440899999995</v>
      </c>
      <c r="S78" s="50">
        <v>0.13241980072875215</v>
      </c>
      <c r="T78" s="96">
        <v>0.54292459018842598</v>
      </c>
      <c r="U78" s="50">
        <v>5000</v>
      </c>
      <c r="V78" s="61">
        <f t="shared" si="37"/>
        <v>5.1577837334497987E-8</v>
      </c>
      <c r="W78" s="61">
        <f t="shared" si="38"/>
        <v>2.5788918667248995E-7</v>
      </c>
      <c r="X78" s="62">
        <f t="shared" si="39"/>
        <v>67</v>
      </c>
      <c r="Y78" s="172">
        <f t="shared" si="40"/>
        <v>37.758703551004182</v>
      </c>
      <c r="Z78" s="172">
        <f t="shared" si="41"/>
        <v>8.8721266488263932</v>
      </c>
      <c r="AA78" s="68">
        <f t="shared" si="42"/>
        <v>2.8127171823229664E-3</v>
      </c>
      <c r="AB78" s="175">
        <f t="shared" si="43"/>
        <v>9.209382095337979</v>
      </c>
      <c r="AC78" s="175">
        <f t="shared" si="44"/>
        <v>36.375947542624537</v>
      </c>
      <c r="AD78" s="70">
        <f t="shared" si="45"/>
        <v>7.1980391588275603E-3</v>
      </c>
      <c r="AE78" s="259">
        <f t="shared" si="46"/>
        <v>71</v>
      </c>
      <c r="AF78" s="259" cm="1">
        <f t="array" ref="AF78">_xlfn.IFS(N78&lt;=AC78,W78*(3/(X78^3 - (X78-AB78)^3)),N78&gt;AC78,W78*(3/X78^3))</f>
        <v>7.1797785886171776E-12</v>
      </c>
      <c r="AG78" s="261">
        <f t="shared" si="47"/>
        <v>8.5657391147685412E-3</v>
      </c>
      <c r="AH78" s="263">
        <f t="shared" si="48"/>
        <v>-1.3676999559409809E-3</v>
      </c>
      <c r="AI78" s="264">
        <f t="shared" si="49"/>
        <v>119.00100743774998</v>
      </c>
    </row>
    <row r="79" spans="1:35" s="50" customFormat="1" x14ac:dyDescent="0.45">
      <c r="A79" s="50" t="s">
        <v>150</v>
      </c>
      <c r="B79" s="80" t="s">
        <v>151</v>
      </c>
      <c r="C79" s="181">
        <v>37.115560000000002</v>
      </c>
      <c r="D79" s="181">
        <v>122.66889</v>
      </c>
      <c r="E79" s="50" t="s">
        <v>8</v>
      </c>
      <c r="F79" s="98">
        <v>0.83</v>
      </c>
      <c r="G79" s="50">
        <v>-1.64</v>
      </c>
      <c r="H79" s="50">
        <v>50</v>
      </c>
      <c r="I79" s="50">
        <v>2033.3856105</v>
      </c>
      <c r="J79" s="50">
        <f t="shared" si="50"/>
        <v>4.4764407025647319</v>
      </c>
      <c r="K79" s="50">
        <f t="shared" si="51"/>
        <v>19169.936599724282</v>
      </c>
      <c r="L79" s="52">
        <f t="shared" si="52"/>
        <v>115.48594411711908</v>
      </c>
      <c r="M79" s="50">
        <v>2017</v>
      </c>
      <c r="N79" s="50">
        <v>5</v>
      </c>
      <c r="O79" s="50">
        <v>102</v>
      </c>
      <c r="R79" s="50">
        <v>0.61037440899999995</v>
      </c>
      <c r="S79" s="50">
        <v>0.13241980072875215</v>
      </c>
      <c r="T79" s="96">
        <v>0.33336596938596103</v>
      </c>
      <c r="U79" s="50">
        <v>9000</v>
      </c>
      <c r="V79" s="61">
        <f t="shared" si="37"/>
        <v>7.048966488829358E-8</v>
      </c>
      <c r="W79" s="61">
        <f t="shared" si="38"/>
        <v>3.5244832444146793E-7</v>
      </c>
      <c r="X79" s="62">
        <f t="shared" si="39"/>
        <v>67</v>
      </c>
      <c r="Y79" s="172">
        <f t="shared" si="40"/>
        <v>37.758703551004182</v>
      </c>
      <c r="Z79" s="172">
        <f t="shared" si="41"/>
        <v>8.8721266488263932</v>
      </c>
      <c r="AA79" s="68">
        <f t="shared" si="42"/>
        <v>3.8440442999125024E-3</v>
      </c>
      <c r="AB79" s="175">
        <f t="shared" si="43"/>
        <v>14.998531521407788</v>
      </c>
      <c r="AC79" s="175">
        <f t="shared" si="44"/>
        <v>22.335519948859389</v>
      </c>
      <c r="AD79" s="70">
        <f t="shared" si="45"/>
        <v>6.6192938545150543E-3</v>
      </c>
      <c r="AE79" s="259">
        <f t="shared" si="46"/>
        <v>71</v>
      </c>
      <c r="AF79" s="259" cm="1">
        <f t="array" ref="AF79">_xlfn.IFS(N79&lt;=AC79,W79*(3/(X79^3 - (X79-AB79)^3)),N79&gt;AC79,W79*(3/X79^3))</f>
        <v>6.6025014923860866E-12</v>
      </c>
      <c r="AG79" s="261">
        <f t="shared" si="47"/>
        <v>7.8770263721379893E-3</v>
      </c>
      <c r="AH79" s="263">
        <f t="shared" si="48"/>
        <v>-1.2577325176229351E-3</v>
      </c>
      <c r="AI79" s="264">
        <f t="shared" si="49"/>
        <v>119.00100743775002</v>
      </c>
    </row>
    <row r="80" spans="1:35" s="50" customFormat="1" x14ac:dyDescent="0.45">
      <c r="A80" s="50" t="s">
        <v>150</v>
      </c>
      <c r="B80" s="80" t="s">
        <v>151</v>
      </c>
      <c r="C80" s="181">
        <v>37.069389999999999</v>
      </c>
      <c r="D80" s="181">
        <v>122.48</v>
      </c>
      <c r="E80" s="50" t="s">
        <v>8</v>
      </c>
      <c r="F80" s="98">
        <v>0.69</v>
      </c>
      <c r="G80" s="50">
        <v>-1.62</v>
      </c>
      <c r="H80" s="50">
        <v>50</v>
      </c>
      <c r="I80" s="50">
        <v>1958.391089</v>
      </c>
      <c r="J80" s="50">
        <f t="shared" si="50"/>
        <v>4.4581714897002351</v>
      </c>
      <c r="K80" s="50">
        <f t="shared" si="51"/>
        <v>17805.869217515028</v>
      </c>
      <c r="L80" s="52">
        <f t="shared" si="52"/>
        <v>121.41766798659764</v>
      </c>
      <c r="M80" s="50">
        <v>2017</v>
      </c>
      <c r="N80" s="50">
        <v>5</v>
      </c>
      <c r="O80" s="50">
        <v>102</v>
      </c>
      <c r="R80" s="50">
        <v>0.61037440899999995</v>
      </c>
      <c r="S80" s="50">
        <v>0.13241980072875215</v>
      </c>
      <c r="T80" s="96">
        <v>0.49715752015609799</v>
      </c>
      <c r="U80" s="50">
        <v>2000</v>
      </c>
      <c r="V80" s="61">
        <f t="shared" si="37"/>
        <v>7.4110237339477748E-8</v>
      </c>
      <c r="W80" s="61">
        <f t="shared" si="38"/>
        <v>3.7055118669738876E-7</v>
      </c>
      <c r="X80" s="62">
        <f t="shared" si="39"/>
        <v>67</v>
      </c>
      <c r="Y80" s="172">
        <f t="shared" si="40"/>
        <v>37.758703551004182</v>
      </c>
      <c r="Z80" s="172">
        <f t="shared" si="41"/>
        <v>8.8721266488263932</v>
      </c>
      <c r="AA80" s="68">
        <f t="shared" si="42"/>
        <v>4.0414865904305564E-3</v>
      </c>
      <c r="AB80" s="175">
        <f t="shared" si="43"/>
        <v>10.057174632358162</v>
      </c>
      <c r="AC80" s="175">
        <f t="shared" si="44"/>
        <v>33.309553850458563</v>
      </c>
      <c r="AD80" s="70">
        <f t="shared" si="45"/>
        <v>9.5971094610220412E-3</v>
      </c>
      <c r="AE80" s="259">
        <f t="shared" si="46"/>
        <v>71</v>
      </c>
      <c r="AF80" s="259" cm="1">
        <f t="array" ref="AF80">_xlfn.IFS(N80&lt;=AC80,W80*(3/(X80^3 - (X80-AB80)^3)),N80&gt;AC80,W80*(3/X80^3))</f>
        <v>9.5727627344673762E-12</v>
      </c>
      <c r="AG80" s="261">
        <f t="shared" si="47"/>
        <v>1.1420656943519845E-2</v>
      </c>
      <c r="AH80" s="263">
        <f t="shared" si="48"/>
        <v>-1.8235474824978039E-3</v>
      </c>
      <c r="AI80" s="264">
        <f t="shared" si="49"/>
        <v>119.00100743774996</v>
      </c>
    </row>
    <row r="81" spans="1:35" s="50" customFormat="1" x14ac:dyDescent="0.45">
      <c r="A81" s="50" t="s">
        <v>150</v>
      </c>
      <c r="B81" s="80" t="s">
        <v>151</v>
      </c>
      <c r="C81" s="181">
        <v>37.069389999999999</v>
      </c>
      <c r="D81" s="181">
        <v>122.50833</v>
      </c>
      <c r="E81" s="50" t="s">
        <v>8</v>
      </c>
      <c r="F81" s="98">
        <v>0.97</v>
      </c>
      <c r="G81" s="50">
        <v>-1.67</v>
      </c>
      <c r="H81" s="50">
        <v>50</v>
      </c>
      <c r="I81" s="50">
        <v>1610.6659690000001</v>
      </c>
      <c r="J81" s="50">
        <f t="shared" si="50"/>
        <v>4.3778306375376248</v>
      </c>
      <c r="K81" s="50">
        <f t="shared" si="51"/>
        <v>15992.097917227105</v>
      </c>
      <c r="L81" s="52">
        <f t="shared" si="52"/>
        <v>80.243403140068366</v>
      </c>
      <c r="M81" s="50">
        <v>2017</v>
      </c>
      <c r="N81" s="50">
        <v>5</v>
      </c>
      <c r="O81" s="50">
        <v>102</v>
      </c>
      <c r="R81" s="50">
        <v>0.61037440899999995</v>
      </c>
      <c r="S81" s="50">
        <v>0.13241980072875215</v>
      </c>
      <c r="T81" s="96">
        <v>0.53254045161430896</v>
      </c>
      <c r="U81" s="50">
        <v>3000</v>
      </c>
      <c r="V81" s="61">
        <f t="shared" si="37"/>
        <v>4.8978519767767975E-8</v>
      </c>
      <c r="W81" s="61">
        <f t="shared" si="38"/>
        <v>2.4489259883883988E-7</v>
      </c>
      <c r="X81" s="62">
        <f t="shared" si="39"/>
        <v>67</v>
      </c>
      <c r="Y81" s="172">
        <f t="shared" si="40"/>
        <v>37.758703551004182</v>
      </c>
      <c r="Z81" s="172">
        <f t="shared" si="41"/>
        <v>8.8721266488263932</v>
      </c>
      <c r="AA81" s="68">
        <f t="shared" si="42"/>
        <v>2.6709674394083801E-3</v>
      </c>
      <c r="AB81" s="175">
        <f t="shared" si="43"/>
        <v>9.3889581248585348</v>
      </c>
      <c r="AC81" s="175">
        <f t="shared" si="44"/>
        <v>35.680210258158702</v>
      </c>
      <c r="AD81" s="70">
        <f t="shared" si="45"/>
        <v>6.7233742979104566E-3</v>
      </c>
      <c r="AE81" s="259">
        <f t="shared" si="46"/>
        <v>71</v>
      </c>
      <c r="AF81" s="259" cm="1">
        <f t="array" ref="AF81">_xlfn.IFS(N81&lt;=AC81,W81*(3/(X81^3 - (X81-AB81)^3)),N81&gt;AC81,W81*(3/X81^3))</f>
        <v>6.7063178960614733E-12</v>
      </c>
      <c r="AG81" s="261">
        <f t="shared" si="47"/>
        <v>8.0008831483241935E-3</v>
      </c>
      <c r="AH81" s="263">
        <f t="shared" si="48"/>
        <v>-1.2775088504137369E-3</v>
      </c>
      <c r="AI81" s="264">
        <f t="shared" si="49"/>
        <v>119.00100743774999</v>
      </c>
    </row>
    <row r="82" spans="1:35" s="50" customFormat="1" x14ac:dyDescent="0.45">
      <c r="A82" s="50" t="s">
        <v>150</v>
      </c>
      <c r="B82" s="80" t="s">
        <v>151</v>
      </c>
      <c r="C82" s="181">
        <v>37.069389999999999</v>
      </c>
      <c r="D82" s="181">
        <v>122.57111</v>
      </c>
      <c r="E82" s="50" t="s">
        <v>8</v>
      </c>
      <c r="F82" s="98">
        <v>0.95</v>
      </c>
      <c r="G82" s="50">
        <v>-1.65</v>
      </c>
      <c r="H82" s="50">
        <v>50</v>
      </c>
      <c r="I82" s="50">
        <v>2055.6656750000002</v>
      </c>
      <c r="J82" s="50">
        <f t="shared" si="50"/>
        <v>4.4820836340167993</v>
      </c>
      <c r="K82" s="50">
        <f t="shared" si="51"/>
        <v>19724.090687278651</v>
      </c>
      <c r="L82" s="52">
        <f t="shared" si="52"/>
        <v>111.75294004985007</v>
      </c>
      <c r="M82" s="50">
        <v>2017</v>
      </c>
      <c r="N82" s="50">
        <v>5</v>
      </c>
      <c r="O82" s="50">
        <v>102</v>
      </c>
      <c r="R82" s="50">
        <v>0.61037440899999995</v>
      </c>
      <c r="S82" s="50">
        <v>0.13241980072875215</v>
      </c>
      <c r="T82" s="96">
        <v>0.53254045161430896</v>
      </c>
      <c r="U82" s="50">
        <v>2000</v>
      </c>
      <c r="V82" s="61">
        <f t="shared" si="37"/>
        <v>6.8211134736939665E-8</v>
      </c>
      <c r="W82" s="61">
        <f t="shared" si="38"/>
        <v>3.4105567368469833E-7</v>
      </c>
      <c r="X82" s="62">
        <f t="shared" si="39"/>
        <v>67</v>
      </c>
      <c r="Y82" s="172">
        <f t="shared" si="40"/>
        <v>37.758703551004182</v>
      </c>
      <c r="Z82" s="172">
        <f t="shared" si="41"/>
        <v>8.8721266488263932</v>
      </c>
      <c r="AA82" s="68">
        <f t="shared" si="42"/>
        <v>3.7197882000378469E-3</v>
      </c>
      <c r="AB82" s="175">
        <f t="shared" si="43"/>
        <v>9.3889581248585348</v>
      </c>
      <c r="AC82" s="175">
        <f t="shared" si="44"/>
        <v>35.680210258158702</v>
      </c>
      <c r="AD82" s="70">
        <f t="shared" si="45"/>
        <v>9.3634718300215133E-3</v>
      </c>
      <c r="AE82" s="259">
        <f t="shared" si="46"/>
        <v>71</v>
      </c>
      <c r="AF82" s="259" cm="1">
        <f t="array" ref="AF82">_xlfn.IFS(N82&lt;=AC82,W82*(3/(X82^3 - (X82-AB82)^3)),N82&gt;AC82,W82*(3/X82^3))</f>
        <v>9.3397178143802721E-12</v>
      </c>
      <c r="AG82" s="261">
        <f t="shared" si="47"/>
        <v>1.1142625808875525E-2</v>
      </c>
      <c r="AH82" s="263">
        <f t="shared" si="48"/>
        <v>-1.7791539788540121E-3</v>
      </c>
      <c r="AI82" s="264">
        <f t="shared" si="49"/>
        <v>119.00100743774999</v>
      </c>
    </row>
    <row r="83" spans="1:35" s="50" customFormat="1" x14ac:dyDescent="0.45">
      <c r="A83" s="50" t="s">
        <v>150</v>
      </c>
      <c r="B83" s="80" t="s">
        <v>151</v>
      </c>
      <c r="C83" s="181">
        <v>37.069389999999999</v>
      </c>
      <c r="D83" s="181">
        <v>122.59889</v>
      </c>
      <c r="E83" s="50" t="s">
        <v>8</v>
      </c>
      <c r="F83" s="98">
        <v>0.86</v>
      </c>
      <c r="G83" s="50">
        <v>-1.58</v>
      </c>
      <c r="H83" s="50">
        <v>50</v>
      </c>
      <c r="I83" s="50">
        <v>2025.414824</v>
      </c>
      <c r="J83" s="50">
        <f t="shared" si="50"/>
        <v>4.4683621437570942</v>
      </c>
      <c r="K83" s="50">
        <f t="shared" si="51"/>
        <v>17052.581636369698</v>
      </c>
      <c r="L83" s="52">
        <f t="shared" si="52"/>
        <v>149.65845526613322</v>
      </c>
      <c r="M83" s="50">
        <v>2017</v>
      </c>
      <c r="N83" s="50">
        <v>5</v>
      </c>
      <c r="O83" s="50">
        <v>102</v>
      </c>
      <c r="R83" s="50">
        <v>0.61037440899999995</v>
      </c>
      <c r="S83" s="50">
        <v>0.13241980072875215</v>
      </c>
      <c r="T83" s="96">
        <v>0.34016312284385902</v>
      </c>
      <c r="U83" s="50">
        <v>4000</v>
      </c>
      <c r="V83" s="61">
        <f t="shared" si="37"/>
        <v>9.1347691184918988E-8</v>
      </c>
      <c r="W83" s="61">
        <f t="shared" si="38"/>
        <v>4.5673845592459497E-7</v>
      </c>
      <c r="X83" s="62">
        <f t="shared" si="39"/>
        <v>67</v>
      </c>
      <c r="Y83" s="172">
        <f t="shared" si="40"/>
        <v>37.758703551004182</v>
      </c>
      <c r="Z83" s="172">
        <f t="shared" si="41"/>
        <v>8.8721266488263932</v>
      </c>
      <c r="AA83" s="68">
        <f t="shared" si="42"/>
        <v>4.9815043406153427E-3</v>
      </c>
      <c r="AB83" s="175">
        <f t="shared" si="43"/>
        <v>14.698830250024162</v>
      </c>
      <c r="AC83" s="175">
        <f t="shared" si="44"/>
        <v>22.790929230538556</v>
      </c>
      <c r="AD83" s="70">
        <f t="shared" si="45"/>
        <v>8.7109703330415129E-3</v>
      </c>
      <c r="AE83" s="259">
        <f t="shared" si="46"/>
        <v>71</v>
      </c>
      <c r="AF83" s="259" cm="1">
        <f t="array" ref="AF83">_xlfn.IFS(N83&lt;=AC83,W83*(3/(X83^3 - (X83-AB83)^3)),N83&gt;AC83,W83*(3/X83^3))</f>
        <v>8.6888716361801619E-12</v>
      </c>
      <c r="AG83" s="261">
        <f t="shared" si="47"/>
        <v>1.0366142453922927E-2</v>
      </c>
      <c r="AH83" s="263">
        <f t="shared" si="48"/>
        <v>-1.6551721208814141E-3</v>
      </c>
      <c r="AI83" s="264">
        <f t="shared" si="49"/>
        <v>119.00100743774999</v>
      </c>
    </row>
    <row r="84" spans="1:35" s="50" customFormat="1" x14ac:dyDescent="0.45">
      <c r="A84" s="50" t="s">
        <v>150</v>
      </c>
      <c r="B84" s="80" t="s">
        <v>151</v>
      </c>
      <c r="C84" s="181">
        <v>37.069389999999999</v>
      </c>
      <c r="D84" s="181">
        <v>122.66889</v>
      </c>
      <c r="E84" s="50" t="s">
        <v>8</v>
      </c>
      <c r="F84" s="98">
        <v>0.91</v>
      </c>
      <c r="G84" s="50">
        <v>-1.595</v>
      </c>
      <c r="H84" s="50">
        <v>50</v>
      </c>
      <c r="I84" s="50">
        <v>1203.47111875</v>
      </c>
      <c r="J84" s="50">
        <f t="shared" si="50"/>
        <v>4.2440262321062097</v>
      </c>
      <c r="K84" s="50">
        <f t="shared" si="51"/>
        <v>10436.219331858831</v>
      </c>
      <c r="L84" s="52">
        <f t="shared" si="52"/>
        <v>83.264275887242633</v>
      </c>
      <c r="M84" s="50">
        <v>2017</v>
      </c>
      <c r="N84" s="50">
        <v>5</v>
      </c>
      <c r="O84" s="50">
        <v>102</v>
      </c>
      <c r="R84" s="50">
        <v>0.61037440899999995</v>
      </c>
      <c r="S84" s="50">
        <v>0.13241980072875215</v>
      </c>
      <c r="T84" s="96">
        <v>0.22625905701124599</v>
      </c>
      <c r="U84" s="50">
        <v>9000</v>
      </c>
      <c r="V84" s="61">
        <f t="shared" si="37"/>
        <v>5.0822383185488671E-8</v>
      </c>
      <c r="W84" s="61">
        <f t="shared" si="38"/>
        <v>2.5411191592744338E-7</v>
      </c>
      <c r="X84" s="62">
        <f t="shared" si="39"/>
        <v>67</v>
      </c>
      <c r="Y84" s="172">
        <f t="shared" si="40"/>
        <v>37.758703551004182</v>
      </c>
      <c r="Z84" s="172">
        <f t="shared" si="41"/>
        <v>8.8721266488263932</v>
      </c>
      <c r="AA84" s="68">
        <f t="shared" si="42"/>
        <v>2.7715196646450695E-3</v>
      </c>
      <c r="AB84" s="175">
        <f t="shared" si="43"/>
        <v>22.098562886485819</v>
      </c>
      <c r="AC84" s="175">
        <f t="shared" si="44"/>
        <v>15.159356819753482</v>
      </c>
      <c r="AD84" s="70">
        <f t="shared" si="45"/>
        <v>3.6353269104910089E-3</v>
      </c>
      <c r="AE84" s="259">
        <f t="shared" si="46"/>
        <v>71</v>
      </c>
      <c r="AF84" s="259" cm="1">
        <f t="array" ref="AF84">_xlfn.IFS(N84&lt;=AC84,W84*(3/(X84^3 - (X84-AB84)^3)),N84&gt;AC84,W84*(3/X84^3))</f>
        <v>3.6261045180002287E-12</v>
      </c>
      <c r="AG84" s="280">
        <f t="shared" si="47"/>
        <v>4.3260756471399332E-3</v>
      </c>
      <c r="AH84" s="281">
        <f t="shared" si="48"/>
        <v>-6.9074873664892429E-4</v>
      </c>
      <c r="AI84" s="282">
        <f t="shared" si="49"/>
        <v>119.00100743775</v>
      </c>
    </row>
    <row r="85" spans="1:35" s="50" customFormat="1" x14ac:dyDescent="0.45">
      <c r="A85" s="50" t="s">
        <v>150</v>
      </c>
      <c r="B85" s="80" t="s">
        <v>151</v>
      </c>
      <c r="C85" s="181">
        <v>37.040559999999999</v>
      </c>
      <c r="D85" s="181">
        <v>122.48</v>
      </c>
      <c r="E85" s="50" t="s">
        <v>8</v>
      </c>
      <c r="F85" s="98">
        <v>0.84</v>
      </c>
      <c r="G85" s="50">
        <v>-1.78</v>
      </c>
      <c r="H85" s="50">
        <v>50</v>
      </c>
      <c r="I85" s="50">
        <v>1937.3494304999999</v>
      </c>
      <c r="J85" s="50">
        <f t="shared" si="50"/>
        <v>4.4644754391194059</v>
      </c>
      <c r="K85" s="50">
        <f t="shared" si="51"/>
        <v>22728.461640411646</v>
      </c>
      <c r="L85" s="52">
        <f t="shared" si="52"/>
        <v>60.371525354445851</v>
      </c>
      <c r="M85" s="50">
        <v>2017</v>
      </c>
      <c r="N85" s="50">
        <v>5</v>
      </c>
      <c r="O85" s="50">
        <v>102</v>
      </c>
      <c r="R85" s="50">
        <v>0.61037440899999995</v>
      </c>
      <c r="S85" s="50">
        <v>0.13241980072875215</v>
      </c>
      <c r="T85" s="96">
        <v>0.49715752015609799</v>
      </c>
      <c r="U85" s="50">
        <v>1000</v>
      </c>
      <c r="V85" s="61">
        <f t="shared" si="37"/>
        <v>3.6849234108648396E-8</v>
      </c>
      <c r="W85" s="61">
        <f t="shared" si="38"/>
        <v>1.8424617054324199E-7</v>
      </c>
      <c r="X85" s="62">
        <f t="shared" si="39"/>
        <v>67</v>
      </c>
      <c r="Y85" s="172">
        <f t="shared" si="40"/>
        <v>37.758703551004182</v>
      </c>
      <c r="Z85" s="172">
        <f t="shared" si="41"/>
        <v>8.8721266488263932</v>
      </c>
      <c r="AA85" s="68">
        <f t="shared" si="42"/>
        <v>2.0095157007196307E-3</v>
      </c>
      <c r="AB85" s="175">
        <f t="shared" si="43"/>
        <v>10.057174632358162</v>
      </c>
      <c r="AC85" s="175">
        <f t="shared" si="44"/>
        <v>33.309553850458563</v>
      </c>
      <c r="AD85" s="70">
        <f t="shared" si="45"/>
        <v>4.7718931417743823E-3</v>
      </c>
      <c r="AE85" s="259">
        <f t="shared" si="46"/>
        <v>71</v>
      </c>
      <c r="AF85" s="259" cm="1">
        <f t="array" ref="AF85">_xlfn.IFS(N85&lt;=AC85,W85*(3/(X85^3 - (X85-AB85)^3)),N85&gt;AC85,W85*(3/X85^3))</f>
        <v>4.7597874157802465E-12</v>
      </c>
      <c r="AG85" s="280">
        <f t="shared" ref="AG85:AG148" si="53" xml:space="preserve"> (AF85/3)*(AE85^3)*10000</f>
        <v>5.6786009125644127E-3</v>
      </c>
      <c r="AH85" s="281">
        <f t="shared" ref="AH85:AH148" si="54">AD85-AG85</f>
        <v>-9.0670777079003041E-4</v>
      </c>
      <c r="AI85" s="282">
        <f t="shared" ref="AI85:AI148" si="55">AG85*100/AD85</f>
        <v>119.00100743774996</v>
      </c>
    </row>
    <row r="86" spans="1:35" s="50" customFormat="1" x14ac:dyDescent="0.45">
      <c r="A86" s="50" t="s">
        <v>150</v>
      </c>
      <c r="B86" s="80" t="s">
        <v>151</v>
      </c>
      <c r="C86" s="181">
        <v>37.040559999999999</v>
      </c>
      <c r="D86" s="181">
        <v>122.50722</v>
      </c>
      <c r="E86" s="50" t="s">
        <v>8</v>
      </c>
      <c r="F86" s="98">
        <v>0.94</v>
      </c>
      <c r="G86" s="50">
        <v>-1.6400000000000001</v>
      </c>
      <c r="H86" s="50">
        <v>50</v>
      </c>
      <c r="I86" s="50">
        <v>2808.676281</v>
      </c>
      <c r="J86" s="50">
        <f t="shared" si="50"/>
        <v>4.6167226433704043</v>
      </c>
      <c r="K86" s="50">
        <f t="shared" si="51"/>
        <v>26479.063271565064</v>
      </c>
      <c r="L86" s="52">
        <f t="shared" si="52"/>
        <v>159.51850468287941</v>
      </c>
      <c r="M86" s="50">
        <v>2017</v>
      </c>
      <c r="N86" s="50">
        <v>5</v>
      </c>
      <c r="O86" s="50">
        <v>102</v>
      </c>
      <c r="R86" s="50">
        <v>0.61037440899999995</v>
      </c>
      <c r="S86" s="50">
        <v>0.13241980072875215</v>
      </c>
      <c r="T86" s="96">
        <v>0.53254045161430896</v>
      </c>
      <c r="U86" s="50">
        <v>2000</v>
      </c>
      <c r="V86" s="61">
        <f t="shared" si="37"/>
        <v>9.7366013020376245E-8</v>
      </c>
      <c r="W86" s="61">
        <f t="shared" si="38"/>
        <v>4.8683006510188117E-7</v>
      </c>
      <c r="X86" s="62">
        <f t="shared" si="39"/>
        <v>67</v>
      </c>
      <c r="Y86" s="172">
        <f t="shared" si="40"/>
        <v>37.758703551004182</v>
      </c>
      <c r="Z86" s="172">
        <f t="shared" si="41"/>
        <v>8.8721266488263932</v>
      </c>
      <c r="AA86" s="68">
        <f t="shared" si="42"/>
        <v>5.3097041665513918E-3</v>
      </c>
      <c r="AB86" s="175">
        <f t="shared" si="43"/>
        <v>9.3889581248585348</v>
      </c>
      <c r="AC86" s="175">
        <f t="shared" si="44"/>
        <v>35.680210258158702</v>
      </c>
      <c r="AD86" s="70">
        <f t="shared" si="45"/>
        <v>1.3365617265183529E-2</v>
      </c>
      <c r="AE86" s="259">
        <f t="shared" si="46"/>
        <v>71</v>
      </c>
      <c r="AF86" s="259" cm="1">
        <f t="array" ref="AF86">_xlfn.IFS(N86&lt;=AC86,W86*(3/(X86^3 - (X86-AB86)^3)),N86&gt;AC86,W86*(3/X86^3))</f>
        <v>1.3331710282032892E-11</v>
      </c>
      <c r="AG86" s="280">
        <f t="shared" si="53"/>
        <v>1.5905219195842247E-2</v>
      </c>
      <c r="AH86" s="281">
        <f t="shared" si="54"/>
        <v>-2.5396019306587175E-3</v>
      </c>
      <c r="AI86" s="282">
        <f t="shared" si="55"/>
        <v>119.00100743774998</v>
      </c>
    </row>
    <row r="87" spans="1:35" s="50" customFormat="1" x14ac:dyDescent="0.45">
      <c r="A87" s="50" t="s">
        <v>185</v>
      </c>
      <c r="B87" s="93" t="s">
        <v>184</v>
      </c>
      <c r="C87" s="177">
        <v>35.138997000000003</v>
      </c>
      <c r="D87" s="178">
        <v>119.91445</v>
      </c>
      <c r="E87" s="50" t="s">
        <v>8</v>
      </c>
      <c r="F87" s="50" t="s">
        <v>186</v>
      </c>
      <c r="G87" s="50">
        <v>-1.55</v>
      </c>
      <c r="H87" s="50">
        <v>501</v>
      </c>
      <c r="I87" s="50">
        <v>61.32</v>
      </c>
      <c r="J87" s="50">
        <f t="shared" ref="J87:J88" si="56" xml:space="preserve"> LOG(I87, 10) - (G87) * LOG(H87,10)^(G87+1)</f>
        <v>2.6852293051188378</v>
      </c>
      <c r="K87" s="50">
        <f t="shared" ref="K87:K88" si="57" xml:space="preserve"> -1*10^J87*(G87+1)</f>
        <v>266.43544150019636</v>
      </c>
      <c r="L87" s="52">
        <f t="shared" ref="L87:L88" si="58">IF(E87="Fragments",0.000000097*K87*(5000^(4+G87)-1)/(4+G87),0.000106*K87*(5000^(2+G87)-1)/(2+G87))</f>
        <v>2.836063650044403</v>
      </c>
      <c r="M87" s="50">
        <v>2018</v>
      </c>
      <c r="N87" s="92">
        <v>10</v>
      </c>
      <c r="O87" s="50">
        <v>91</v>
      </c>
      <c r="P87" s="50">
        <v>0</v>
      </c>
      <c r="Q87" s="50">
        <v>0</v>
      </c>
      <c r="R87" s="50">
        <v>0.61037440899999995</v>
      </c>
      <c r="S87" s="50">
        <v>0.13341858489683281</v>
      </c>
      <c r="T87" s="50">
        <v>1.32002345850819</v>
      </c>
      <c r="U87" s="50">
        <v>42000</v>
      </c>
      <c r="V87" s="61">
        <f t="shared" ref="V87:V88" si="59">L87*R87*0.000000001</f>
        <v>1.7310606742822353E-9</v>
      </c>
      <c r="W87" s="61">
        <f t="shared" ref="W87:W88" si="60">V87*N87</f>
        <v>1.7310606742822353E-8</v>
      </c>
      <c r="X87" s="62">
        <f t="shared" si="39"/>
        <v>68</v>
      </c>
      <c r="Y87" s="172">
        <f t="shared" ref="Y87:Y88" si="61">N87/S87</f>
        <v>74.952076637093668</v>
      </c>
      <c r="Z87" s="172">
        <f t="shared" ref="Z87:Z88" si="62">S87*X87</f>
        <v>9.0724637729846318</v>
      </c>
      <c r="AA87" s="68">
        <f t="shared" ref="AA87:AA88" si="63">IF(N87&lt;Z87,W87/(1-(1-N87/Z87)^3),W87)*10000</f>
        <v>1.7310606742822353E-4</v>
      </c>
      <c r="AB87" s="175">
        <f t="shared" ref="AB87:AB88" si="64">N87/T87</f>
        <v>7.5756229448387149</v>
      </c>
      <c r="AC87" s="175">
        <f t="shared" ref="AC87:AC88" si="65">T87*X87</f>
        <v>89.761595178556917</v>
      </c>
      <c r="AD87" s="70">
        <f t="shared" ref="AD87:AD88" si="66">IF(N87&lt;AC87,W87/(1-(1-N87/AC87)^3),W87)*10000</f>
        <v>5.8017770065311785E-4</v>
      </c>
      <c r="AE87" s="259">
        <f t="shared" si="46"/>
        <v>71</v>
      </c>
      <c r="AF87" s="259" cm="1">
        <f t="array" ref="AF87">_xlfn.IFS(N87&lt;=AC87,W87*(3/(X87^3 - (X87-AB87)^3)),N87&gt;AC87,W87*(3/X87^3))</f>
        <v>5.5354833539822721E-13</v>
      </c>
      <c r="AG87" s="280">
        <f t="shared" si="53"/>
        <v>6.6040346090238294E-4</v>
      </c>
      <c r="AH87" s="281">
        <f t="shared" si="54"/>
        <v>-8.0225760249265084E-5</v>
      </c>
      <c r="AI87" s="282">
        <f t="shared" si="55"/>
        <v>113.82779106452269</v>
      </c>
    </row>
    <row r="88" spans="1:35" s="50" customFormat="1" x14ac:dyDescent="0.45">
      <c r="A88" s="50" t="s">
        <v>185</v>
      </c>
      <c r="B88" s="93" t="s">
        <v>184</v>
      </c>
      <c r="C88" s="177">
        <v>39.178718000000003</v>
      </c>
      <c r="D88" s="178">
        <v>118.988893</v>
      </c>
      <c r="E88" s="50" t="s">
        <v>8</v>
      </c>
      <c r="F88" s="50" t="s">
        <v>186</v>
      </c>
      <c r="G88" s="50">
        <v>-1.55</v>
      </c>
      <c r="H88" s="50">
        <v>501</v>
      </c>
      <c r="I88" s="50">
        <v>35.28</v>
      </c>
      <c r="J88" s="50">
        <f t="shared" si="56"/>
        <v>2.4451557353962823</v>
      </c>
      <c r="K88" s="50">
        <f t="shared" si="57"/>
        <v>153.29162387682513</v>
      </c>
      <c r="L88" s="52">
        <f t="shared" si="58"/>
        <v>1.6317078534502025</v>
      </c>
      <c r="M88" s="50">
        <v>2018</v>
      </c>
      <c r="N88" s="92">
        <v>10</v>
      </c>
      <c r="O88" s="50">
        <v>91</v>
      </c>
      <c r="P88" s="50">
        <v>0</v>
      </c>
      <c r="Q88" s="50">
        <v>0</v>
      </c>
      <c r="R88" s="50">
        <v>0.61037440899999995</v>
      </c>
      <c r="S88" s="50">
        <v>0.13341858489683281</v>
      </c>
      <c r="T88" s="50">
        <v>1.4182180540595299</v>
      </c>
      <c r="U88" s="50">
        <v>42000</v>
      </c>
      <c r="V88" s="61">
        <f t="shared" si="59"/>
        <v>9.9595271671032605E-10</v>
      </c>
      <c r="W88" s="61">
        <f t="shared" si="60"/>
        <v>9.9595271671032613E-9</v>
      </c>
      <c r="X88" s="62">
        <f t="shared" si="39"/>
        <v>68</v>
      </c>
      <c r="Y88" s="172">
        <f t="shared" si="61"/>
        <v>74.952076637093668</v>
      </c>
      <c r="Z88" s="172">
        <f t="shared" si="62"/>
        <v>9.0724637729846318</v>
      </c>
      <c r="AA88" s="68">
        <f t="shared" si="63"/>
        <v>9.9595271671032619E-5</v>
      </c>
      <c r="AB88" s="175">
        <f t="shared" si="64"/>
        <v>7.0511018890048964</v>
      </c>
      <c r="AC88" s="175">
        <f t="shared" si="65"/>
        <v>96.438827676048035</v>
      </c>
      <c r="AD88" s="70">
        <f t="shared" si="66"/>
        <v>3.5577816882807783E-4</v>
      </c>
      <c r="AE88" s="259">
        <f t="shared" si="46"/>
        <v>71</v>
      </c>
      <c r="AF88" s="259" cm="1">
        <f t="array" ref="AF88">_xlfn.IFS(N88&lt;=AC88,W88*(3/(X88^3 - (X88-AB88)^3)),N88&gt;AC88,W88*(3/X88^3))</f>
        <v>3.3944843606383385E-13</v>
      </c>
      <c r="AG88" s="280">
        <f t="shared" si="53"/>
        <v>4.049744306668094E-4</v>
      </c>
      <c r="AH88" s="281">
        <f t="shared" si="54"/>
        <v>-4.9196261838731572E-5</v>
      </c>
      <c r="AI88" s="282">
        <f t="shared" si="55"/>
        <v>113.82779106452274</v>
      </c>
    </row>
    <row r="89" spans="1:35" x14ac:dyDescent="0.45">
      <c r="A89" s="90" t="s">
        <v>183</v>
      </c>
      <c r="C89" s="174"/>
      <c r="D89" s="174"/>
      <c r="H89" s="76"/>
      <c r="AB89" s="173"/>
      <c r="AC89" s="173"/>
    </row>
    <row r="90" spans="1:35" s="83" customFormat="1" x14ac:dyDescent="0.45">
      <c r="A90" s="83" t="s">
        <v>187</v>
      </c>
      <c r="B90" s="190" t="s">
        <v>188</v>
      </c>
      <c r="C90" s="191">
        <v>-6</v>
      </c>
      <c r="D90" s="192">
        <v>106.22</v>
      </c>
      <c r="E90" s="83" t="s">
        <v>14</v>
      </c>
      <c r="F90" s="83" t="s">
        <v>189</v>
      </c>
      <c r="G90" s="83">
        <v>-2.09</v>
      </c>
      <c r="H90" s="83">
        <v>500</v>
      </c>
      <c r="I90" s="83">
        <v>71.318399999999997</v>
      </c>
      <c r="J90" s="83">
        <f t="shared" ref="J90" si="67" xml:space="preserve"> LOG(I90, 10) - (G90) * LOG(H90,10)^(G90+1)</f>
        <v>2.5613762843817987</v>
      </c>
      <c r="K90" s="83">
        <f t="shared" ref="K90" si="68" xml:space="preserve"> -1*10^J90*(G90+1)</f>
        <v>397.01122156997923</v>
      </c>
      <c r="L90" s="193">
        <f t="shared" ref="L90" si="69">IF(E90="Fragments",0.000000097*K90*(5000^(4+G90)-1)/(4+G90),0.000106*K90*(5000^(2+G90)-1)/(2+G90))</f>
        <v>234.19295163550998</v>
      </c>
      <c r="M90" s="83">
        <v>2016</v>
      </c>
      <c r="N90" s="83">
        <v>10</v>
      </c>
      <c r="O90" s="83">
        <v>67</v>
      </c>
      <c r="P90" s="194">
        <v>659.83104000000003</v>
      </c>
      <c r="Q90" s="83">
        <v>1</v>
      </c>
      <c r="R90" s="83">
        <v>0.69148334600000005</v>
      </c>
      <c r="S90" s="83">
        <v>0.13328497964724689</v>
      </c>
      <c r="T90" s="83">
        <v>0.401345361100783</v>
      </c>
      <c r="V90" s="193">
        <f t="shared" ref="V90" si="70">L90*R90*0.000000001</f>
        <v>1.6194052580653864E-7</v>
      </c>
      <c r="W90" s="193">
        <f t="shared" ref="W90" si="71">V90*N90</f>
        <v>1.6194052580653864E-6</v>
      </c>
      <c r="X90" s="83">
        <f t="shared" ref="X90" si="72">M90-1950</f>
        <v>66</v>
      </c>
      <c r="Y90" s="195">
        <f t="shared" ref="Y90" si="73">N90/S90</f>
        <v>75.027208815772653</v>
      </c>
      <c r="Z90" s="195">
        <f t="shared" ref="Z90" si="74">S90*X90</f>
        <v>8.7968086567182944</v>
      </c>
      <c r="AA90" s="193">
        <f t="shared" ref="AA90" si="75">IF(N90&lt;Z90,W90/(1-(1-N90/Z90)^3),W90)*10000</f>
        <v>1.6194052580653866E-2</v>
      </c>
      <c r="AB90" s="195">
        <f t="shared" ref="AB90" si="76">N90/T90</f>
        <v>24.91619679513094</v>
      </c>
      <c r="AC90" s="195">
        <f t="shared" ref="AC90" si="77">T90*X90</f>
        <v>26.488793832651677</v>
      </c>
      <c r="AD90" s="193">
        <f t="shared" ref="AD90" si="78">IF(N90&lt;AC90,W90/(1-(1-N90/AC90)^3),W90)*10000</f>
        <v>2.1341705185466107E-2</v>
      </c>
      <c r="AE90" s="259">
        <f t="shared" si="46"/>
        <v>71</v>
      </c>
      <c r="AF90" s="259" cm="1">
        <f t="array" ref="AF90">_xlfn.IFS(N90&lt;=AC90,W90*(3/(X90^3 - (X90-AB90)^3)),N90&gt;AC90,W90*(3/X90^3))</f>
        <v>2.2269915253220326E-11</v>
      </c>
      <c r="AG90" s="280">
        <f t="shared" si="53"/>
        <v>2.6568825460651129E-2</v>
      </c>
      <c r="AH90" s="281">
        <f t="shared" si="54"/>
        <v>-5.2271202751850224E-3</v>
      </c>
      <c r="AI90" s="282">
        <f t="shared" si="55"/>
        <v>124.49251467846506</v>
      </c>
    </row>
    <row r="91" spans="1:35" s="83" customFormat="1" x14ac:dyDescent="0.45">
      <c r="A91" s="83" t="s">
        <v>187</v>
      </c>
      <c r="B91" s="190" t="s">
        <v>188</v>
      </c>
      <c r="C91" s="191">
        <v>-6</v>
      </c>
      <c r="D91" s="192">
        <v>106.13</v>
      </c>
      <c r="E91" s="83" t="s">
        <v>14</v>
      </c>
      <c r="F91" s="83" t="s">
        <v>189</v>
      </c>
      <c r="G91" s="83">
        <v>-2.09</v>
      </c>
      <c r="H91" s="83">
        <v>500</v>
      </c>
      <c r="I91" s="83">
        <v>128.29560000000001</v>
      </c>
      <c r="J91" s="83">
        <f t="shared" ref="J91:J139" si="79" xml:space="preserve"> LOG(I91, 10) - (G91) * LOG(H91,10)^(G91+1)</f>
        <v>2.8163864551479811</v>
      </c>
      <c r="K91" s="83">
        <f t="shared" ref="K91:K114" si="80" xml:space="preserve"> -1*10^J91*(G91+1)</f>
        <v>714.1886648894739</v>
      </c>
      <c r="L91" s="193">
        <f t="shared" ref="L91:L114" si="81">IF(E91="Fragments",0.000000097*K91*(5000^(4+G91)-1)/(4+G91),0.000106*K91*(5000^(2+G91)-1)/(2+G91))</f>
        <v>421.29275538779268</v>
      </c>
      <c r="M91" s="83">
        <v>2016</v>
      </c>
      <c r="N91" s="83">
        <v>10</v>
      </c>
      <c r="O91" s="83">
        <v>67</v>
      </c>
      <c r="P91" s="194">
        <v>2655.4175999999998</v>
      </c>
      <c r="Q91" s="83">
        <v>3</v>
      </c>
      <c r="R91" s="83">
        <v>0.69148334600000005</v>
      </c>
      <c r="S91" s="83">
        <v>0.13301817039062197</v>
      </c>
      <c r="T91" s="83">
        <v>0.38567531593546001</v>
      </c>
      <c r="V91" s="193">
        <f t="shared" ref="V91:V114" si="82">L91*R91*0.000000001</f>
        <v>2.913169241411104E-7</v>
      </c>
      <c r="W91" s="193">
        <f t="shared" ref="W91:W114" si="83">V91*N91</f>
        <v>2.9131692414111041E-6</v>
      </c>
      <c r="X91" s="83">
        <f t="shared" ref="X91:X114" si="84">M91-1950</f>
        <v>66</v>
      </c>
      <c r="Y91" s="195">
        <f t="shared" ref="Y91:Y114" si="85">N91/S91</f>
        <v>75.177699186764784</v>
      </c>
      <c r="Z91" s="195">
        <f t="shared" ref="Z91:Z114" si="86">S91*X91</f>
        <v>8.7791992457810508</v>
      </c>
      <c r="AA91" s="193">
        <f t="shared" ref="AA91:AA114" si="87">IF(N91&lt;Z91,W91/(1-(1-N91/Z91)^3),W91)*10000</f>
        <v>2.9131692414111041E-2</v>
      </c>
      <c r="AB91" s="195">
        <f t="shared" ref="AB91:AB114" si="88">N91/T91</f>
        <v>25.92854555844437</v>
      </c>
      <c r="AC91" s="195">
        <f t="shared" ref="AC91:AC114" si="89">T91*X91</f>
        <v>25.45457085174036</v>
      </c>
      <c r="AD91" s="193">
        <f t="shared" ref="AD91:AD114" si="90">IF(N91&lt;AC91,W91/(1-(1-N91/AC91)^3),W91)*10000</f>
        <v>3.7531502377247679E-2</v>
      </c>
      <c r="AE91" s="259">
        <f t="shared" si="46"/>
        <v>71</v>
      </c>
      <c r="AF91" s="259" cm="1">
        <f t="array" ref="AF91">_xlfn.IFS(N91&lt;=AC91,W91*(3/(X91^3 - (X91-AB91)^3)),N91&gt;AC91,W91*(3/X91^3))</f>
        <v>3.9163851716804078E-11</v>
      </c>
      <c r="AG91" s="280">
        <f t="shared" si="53"/>
        <v>4.6723911106043549E-2</v>
      </c>
      <c r="AH91" s="281">
        <f t="shared" si="54"/>
        <v>-9.19240872879587E-3</v>
      </c>
      <c r="AI91" s="282">
        <f t="shared" si="55"/>
        <v>124.49251467846511</v>
      </c>
    </row>
    <row r="92" spans="1:35" s="83" customFormat="1" x14ac:dyDescent="0.45">
      <c r="A92" s="83" t="s">
        <v>187</v>
      </c>
      <c r="B92" s="190" t="s">
        <v>188</v>
      </c>
      <c r="C92" s="191">
        <v>-6</v>
      </c>
      <c r="D92" s="192">
        <v>106.19</v>
      </c>
      <c r="E92" s="83" t="s">
        <v>14</v>
      </c>
      <c r="F92" s="83" t="s">
        <v>189</v>
      </c>
      <c r="G92" s="83">
        <v>-2.09</v>
      </c>
      <c r="H92" s="83">
        <v>500</v>
      </c>
      <c r="I92" s="83">
        <v>160.0788</v>
      </c>
      <c r="J92" s="83">
        <f t="shared" si="79"/>
        <v>2.912508513028663</v>
      </c>
      <c r="K92" s="83">
        <f t="shared" si="80"/>
        <v>891.11757885000702</v>
      </c>
      <c r="L92" s="193">
        <f t="shared" si="81"/>
        <v>525.66135339926939</v>
      </c>
      <c r="M92" s="83">
        <v>2016</v>
      </c>
      <c r="N92" s="83">
        <v>10</v>
      </c>
      <c r="O92" s="83">
        <v>67</v>
      </c>
      <c r="P92" s="194">
        <v>1705.9046400000002</v>
      </c>
      <c r="Q92" s="83">
        <v>5</v>
      </c>
      <c r="R92" s="83">
        <v>0.69148334600000005</v>
      </c>
      <c r="S92" s="83">
        <v>0.13275189523153463</v>
      </c>
      <c r="T92" s="83">
        <v>0.401345361100783</v>
      </c>
      <c r="V92" s="193">
        <f t="shared" si="82"/>
        <v>3.6348607151141528E-7</v>
      </c>
      <c r="W92" s="193">
        <f t="shared" si="83"/>
        <v>3.6348607151141525E-6</v>
      </c>
      <c r="X92" s="83">
        <f t="shared" si="84"/>
        <v>66</v>
      </c>
      <c r="Y92" s="195">
        <f t="shared" si="85"/>
        <v>75.328491412938746</v>
      </c>
      <c r="Z92" s="195">
        <f t="shared" si="86"/>
        <v>8.7616250852812865</v>
      </c>
      <c r="AA92" s="193">
        <f t="shared" si="87"/>
        <v>3.6348607151141528E-2</v>
      </c>
      <c r="AB92" s="195">
        <f t="shared" si="88"/>
        <v>24.91619679513094</v>
      </c>
      <c r="AC92" s="195">
        <f t="shared" si="89"/>
        <v>26.488793832651677</v>
      </c>
      <c r="AD92" s="193">
        <f t="shared" si="90"/>
        <v>4.790284913911682E-2</v>
      </c>
      <c r="AE92" s="259">
        <f t="shared" si="46"/>
        <v>71</v>
      </c>
      <c r="AF92" s="259" cm="1">
        <f t="array" ref="AF92">_xlfn.IFS(N92&lt;=AC92,W92*(3/(X92^3 - (X92-AB92)^3)),N92&gt;AC92,W92*(3/X92^3))</f>
        <v>4.998627717163037E-11</v>
      </c>
      <c r="AG92" s="280">
        <f t="shared" si="53"/>
        <v>5.9635461495917995E-2</v>
      </c>
      <c r="AH92" s="281">
        <f t="shared" si="54"/>
        <v>-1.1732612356801175E-2</v>
      </c>
      <c r="AI92" s="282">
        <f t="shared" si="55"/>
        <v>124.49251467846508</v>
      </c>
    </row>
    <row r="93" spans="1:35" s="83" customFormat="1" x14ac:dyDescent="0.45">
      <c r="A93" s="83" t="s">
        <v>187</v>
      </c>
      <c r="B93" s="190" t="s">
        <v>188</v>
      </c>
      <c r="C93" s="191">
        <v>-6</v>
      </c>
      <c r="D93" s="192">
        <v>106.16</v>
      </c>
      <c r="E93" s="83" t="s">
        <v>14</v>
      </c>
      <c r="F93" s="83" t="s">
        <v>189</v>
      </c>
      <c r="G93" s="83">
        <v>-2.09</v>
      </c>
      <c r="H93" s="83">
        <v>500</v>
      </c>
      <c r="I93" s="83">
        <v>166.28039999999999</v>
      </c>
      <c r="J93" s="83">
        <f t="shared" si="79"/>
        <v>2.9290157535569863</v>
      </c>
      <c r="K93" s="83">
        <f t="shared" si="80"/>
        <v>925.64029376913606</v>
      </c>
      <c r="L93" s="193">
        <f t="shared" si="81"/>
        <v>546.02595788931387</v>
      </c>
      <c r="M93" s="83">
        <v>2016</v>
      </c>
      <c r="N93" s="83">
        <v>10</v>
      </c>
      <c r="O93" s="83">
        <v>67</v>
      </c>
      <c r="P93" s="194">
        <v>531.08352000000002</v>
      </c>
      <c r="Q93" s="83">
        <v>5</v>
      </c>
      <c r="R93" s="83">
        <v>0.69148334600000005</v>
      </c>
      <c r="S93" s="83">
        <v>0.13275189523153463</v>
      </c>
      <c r="T93" s="83">
        <v>0.38567531593546001</v>
      </c>
      <c r="V93" s="193">
        <f t="shared" si="82"/>
        <v>3.775678563641579E-7</v>
      </c>
      <c r="W93" s="193">
        <f t="shared" si="83"/>
        <v>3.7756785636415791E-6</v>
      </c>
      <c r="X93" s="83">
        <f t="shared" si="84"/>
        <v>66</v>
      </c>
      <c r="Y93" s="195">
        <f t="shared" si="85"/>
        <v>75.328491412938746</v>
      </c>
      <c r="Z93" s="195">
        <f t="shared" si="86"/>
        <v>8.7616250852812865</v>
      </c>
      <c r="AA93" s="193">
        <f t="shared" si="87"/>
        <v>3.7756785636415789E-2</v>
      </c>
      <c r="AB93" s="195">
        <f t="shared" si="88"/>
        <v>25.92854555844437</v>
      </c>
      <c r="AC93" s="195">
        <f t="shared" si="89"/>
        <v>25.45457085174036</v>
      </c>
      <c r="AD93" s="193">
        <f t="shared" si="90"/>
        <v>4.8643548398305876E-2</v>
      </c>
      <c r="AE93" s="259">
        <f t="shared" si="46"/>
        <v>71</v>
      </c>
      <c r="AF93" s="259" cm="1">
        <f t="array" ref="AF93">_xlfn.IFS(N93&lt;=AC93,W93*(3/(X93^3 - (X93-AB93)^3)),N93&gt;AC93,W93*(3/X93^3))</f>
        <v>5.0759191500027003E-11</v>
      </c>
      <c r="AG93" s="280">
        <f t="shared" si="53"/>
        <v>6.0557576629887207E-2</v>
      </c>
      <c r="AH93" s="281">
        <f t="shared" si="54"/>
        <v>-1.1914028231581331E-2</v>
      </c>
      <c r="AI93" s="282">
        <f t="shared" si="55"/>
        <v>124.49251467846507</v>
      </c>
    </row>
    <row r="94" spans="1:35" s="83" customFormat="1" x14ac:dyDescent="0.45">
      <c r="A94" s="83" t="s">
        <v>187</v>
      </c>
      <c r="B94" s="190" t="s">
        <v>188</v>
      </c>
      <c r="C94" s="191">
        <v>-5.97</v>
      </c>
      <c r="D94" s="192">
        <v>106.22</v>
      </c>
      <c r="E94" s="83" t="s">
        <v>14</v>
      </c>
      <c r="F94" s="83" t="s">
        <v>189</v>
      </c>
      <c r="G94" s="83">
        <v>-2.09</v>
      </c>
      <c r="H94" s="83">
        <v>500</v>
      </c>
      <c r="I94" s="83">
        <v>113.95439999999999</v>
      </c>
      <c r="J94" s="83">
        <f t="shared" si="79"/>
        <v>2.76490579178442</v>
      </c>
      <c r="K94" s="83">
        <f t="shared" si="80"/>
        <v>634.35488663898934</v>
      </c>
      <c r="L94" s="193">
        <f t="shared" si="81"/>
        <v>374.19960750456545</v>
      </c>
      <c r="M94" s="83">
        <v>2016</v>
      </c>
      <c r="N94" s="83">
        <v>10</v>
      </c>
      <c r="O94" s="83">
        <v>67</v>
      </c>
      <c r="P94" s="194">
        <v>2687.60448</v>
      </c>
      <c r="Q94" s="83">
        <v>6</v>
      </c>
      <c r="R94" s="83">
        <v>0.69148334600000005</v>
      </c>
      <c r="S94" s="83">
        <v>0.13261895760437328</v>
      </c>
      <c r="T94" s="83">
        <v>0.401345361100783</v>
      </c>
      <c r="V94" s="193">
        <f t="shared" si="82"/>
        <v>2.5875279666914368E-7</v>
      </c>
      <c r="W94" s="193">
        <f t="shared" si="83"/>
        <v>2.5875279666914366E-6</v>
      </c>
      <c r="X94" s="83">
        <f t="shared" si="84"/>
        <v>66</v>
      </c>
      <c r="Y94" s="195">
        <f t="shared" si="85"/>
        <v>75.404000910879105</v>
      </c>
      <c r="Z94" s="195">
        <f t="shared" si="86"/>
        <v>8.7528512018886371</v>
      </c>
      <c r="AA94" s="193">
        <f t="shared" si="87"/>
        <v>2.5875279666914365E-2</v>
      </c>
      <c r="AB94" s="195">
        <f t="shared" si="88"/>
        <v>24.91619679513094</v>
      </c>
      <c r="AC94" s="195">
        <f t="shared" si="89"/>
        <v>26.488793832651677</v>
      </c>
      <c r="AD94" s="193">
        <f t="shared" si="90"/>
        <v>3.4100333285473065E-2</v>
      </c>
      <c r="AE94" s="259">
        <f t="shared" si="46"/>
        <v>71</v>
      </c>
      <c r="AF94" s="259" cm="1">
        <f t="array" ref="AF94">_xlfn.IFS(N94&lt;=AC94,W94*(3/(X94^3 - (X94-AB94)^3)),N94&gt;AC94,W94*(3/X94^3))</f>
        <v>3.558345154590645E-11</v>
      </c>
      <c r="AG94" s="280">
        <f t="shared" si="53"/>
        <v>4.2452362420823071E-2</v>
      </c>
      <c r="AH94" s="281">
        <f t="shared" si="54"/>
        <v>-8.3520291353500059E-3</v>
      </c>
      <c r="AI94" s="282">
        <f t="shared" si="55"/>
        <v>124.49251467846508</v>
      </c>
    </row>
    <row r="95" spans="1:35" s="83" customFormat="1" x14ac:dyDescent="0.45">
      <c r="A95" s="83" t="s">
        <v>187</v>
      </c>
      <c r="B95" s="190" t="s">
        <v>188</v>
      </c>
      <c r="C95" s="191">
        <v>-5.97</v>
      </c>
      <c r="D95" s="192">
        <v>106.19</v>
      </c>
      <c r="E95" s="83" t="s">
        <v>14</v>
      </c>
      <c r="F95" s="83" t="s">
        <v>189</v>
      </c>
      <c r="G95" s="83">
        <v>-2.09</v>
      </c>
      <c r="H95" s="83">
        <v>500</v>
      </c>
      <c r="I95" s="83">
        <v>63.954000000000008</v>
      </c>
      <c r="J95" s="83">
        <f t="shared" si="79"/>
        <v>2.514042405586169</v>
      </c>
      <c r="K95" s="83">
        <f t="shared" si="80"/>
        <v>356.0154976035144</v>
      </c>
      <c r="L95" s="193">
        <f t="shared" si="81"/>
        <v>210.00998380358263</v>
      </c>
      <c r="M95" s="83">
        <v>2016</v>
      </c>
      <c r="N95" s="83">
        <v>10</v>
      </c>
      <c r="O95" s="83">
        <v>67</v>
      </c>
      <c r="P95" s="194">
        <v>4618.8172800000002</v>
      </c>
      <c r="Q95" s="83">
        <v>7</v>
      </c>
      <c r="R95" s="83">
        <v>0.69148334600000005</v>
      </c>
      <c r="S95" s="83">
        <v>0.13248615310083081</v>
      </c>
      <c r="T95" s="83">
        <v>0.401345361100783</v>
      </c>
      <c r="V95" s="193">
        <f t="shared" si="82"/>
        <v>1.4521840629390713E-7</v>
      </c>
      <c r="W95" s="193">
        <f t="shared" si="83"/>
        <v>1.4521840629390714E-6</v>
      </c>
      <c r="X95" s="83">
        <f t="shared" si="84"/>
        <v>66</v>
      </c>
      <c r="Y95" s="195">
        <f t="shared" si="85"/>
        <v>75.479586099758905</v>
      </c>
      <c r="Z95" s="195">
        <f t="shared" si="86"/>
        <v>8.7440861046548335</v>
      </c>
      <c r="AA95" s="193">
        <f t="shared" si="87"/>
        <v>1.4521840629390714E-2</v>
      </c>
      <c r="AB95" s="195">
        <f t="shared" si="88"/>
        <v>24.91619679513094</v>
      </c>
      <c r="AC95" s="195">
        <f t="shared" si="89"/>
        <v>26.488793832651677</v>
      </c>
      <c r="AD95" s="193">
        <f t="shared" si="90"/>
        <v>1.9137942150010395E-2</v>
      </c>
      <c r="AE95" s="259">
        <f t="shared" si="46"/>
        <v>71</v>
      </c>
      <c r="AF95" s="259" cm="1">
        <f t="array" ref="AF95">_xlfn.IFS(N95&lt;=AC95,W95*(3/(X95^3 - (X95-AB95)^3)),N95&gt;AC95,W95*(3/X95^3))</f>
        <v>1.9970304439029126E-11</v>
      </c>
      <c r="AG95" s="280">
        <f t="shared" si="53"/>
        <v>2.3825305440257846E-2</v>
      </c>
      <c r="AH95" s="281">
        <f t="shared" si="54"/>
        <v>-4.687363290247451E-3</v>
      </c>
      <c r="AI95" s="282">
        <f t="shared" si="55"/>
        <v>124.49251467846507</v>
      </c>
    </row>
    <row r="96" spans="1:35" s="83" customFormat="1" x14ac:dyDescent="0.45">
      <c r="A96" s="83" t="s">
        <v>187</v>
      </c>
      <c r="B96" s="190" t="s">
        <v>188</v>
      </c>
      <c r="C96" s="191">
        <v>-5.97</v>
      </c>
      <c r="D96" s="192">
        <v>106.13</v>
      </c>
      <c r="E96" s="83" t="s">
        <v>14</v>
      </c>
      <c r="F96" s="83" t="s">
        <v>189</v>
      </c>
      <c r="G96" s="83">
        <v>-2.09</v>
      </c>
      <c r="H96" s="83">
        <v>500</v>
      </c>
      <c r="I96" s="83">
        <v>117.44280000000001</v>
      </c>
      <c r="J96" s="83">
        <f t="shared" si="79"/>
        <v>2.7780010898745671</v>
      </c>
      <c r="K96" s="83">
        <f t="shared" si="80"/>
        <v>653.77391378099799</v>
      </c>
      <c r="L96" s="193">
        <f t="shared" si="81"/>
        <v>385.65469753021461</v>
      </c>
      <c r="M96" s="83">
        <v>2016</v>
      </c>
      <c r="N96" s="83">
        <v>10</v>
      </c>
      <c r="O96" s="83">
        <v>67</v>
      </c>
      <c r="P96" s="194">
        <v>2462.2963199999999</v>
      </c>
      <c r="Q96" s="83">
        <v>7</v>
      </c>
      <c r="R96" s="83">
        <v>0.69148334600000005</v>
      </c>
      <c r="S96" s="83">
        <v>0.13248615310083081</v>
      </c>
      <c r="T96" s="83">
        <v>0.38567531593546001</v>
      </c>
      <c r="V96" s="193">
        <f t="shared" si="82"/>
        <v>2.6667380064881079E-7</v>
      </c>
      <c r="W96" s="193">
        <f t="shared" si="83"/>
        <v>2.6667380064881081E-6</v>
      </c>
      <c r="X96" s="83">
        <f t="shared" si="84"/>
        <v>66</v>
      </c>
      <c r="Y96" s="195">
        <f t="shared" si="85"/>
        <v>75.479586099758905</v>
      </c>
      <c r="Z96" s="195">
        <f t="shared" si="86"/>
        <v>8.7440861046548335</v>
      </c>
      <c r="AA96" s="193">
        <f t="shared" si="87"/>
        <v>2.6667380064881081E-2</v>
      </c>
      <c r="AB96" s="195">
        <f t="shared" si="88"/>
        <v>25.92854555844437</v>
      </c>
      <c r="AC96" s="195">
        <f t="shared" si="89"/>
        <v>25.45457085174036</v>
      </c>
      <c r="AD96" s="193">
        <f t="shared" si="90"/>
        <v>3.4356632085516731E-2</v>
      </c>
      <c r="AE96" s="259">
        <f t="shared" si="46"/>
        <v>71</v>
      </c>
      <c r="AF96" s="259" cm="1">
        <f t="array" ref="AF96">_xlfn.IFS(N96&lt;=AC96,W96*(3/(X96^3 - (X96-AB96)^3)),N96&gt;AC96,W96*(3/X96^3))</f>
        <v>3.5850897493026062E-11</v>
      </c>
      <c r="AG96" s="280">
        <f t="shared" si="53"/>
        <v>4.2771435242088165E-2</v>
      </c>
      <c r="AH96" s="281">
        <f t="shared" si="54"/>
        <v>-8.4148031565714349E-3</v>
      </c>
      <c r="AI96" s="282">
        <f t="shared" si="55"/>
        <v>124.4925146784651</v>
      </c>
    </row>
    <row r="97" spans="1:35" s="83" customFormat="1" x14ac:dyDescent="0.45">
      <c r="A97" s="83" t="s">
        <v>187</v>
      </c>
      <c r="B97" s="190" t="s">
        <v>188</v>
      </c>
      <c r="C97" s="191">
        <v>-5.97</v>
      </c>
      <c r="D97" s="192">
        <v>106.16</v>
      </c>
      <c r="E97" s="83" t="s">
        <v>14</v>
      </c>
      <c r="F97" s="83" t="s">
        <v>189</v>
      </c>
      <c r="G97" s="83">
        <v>-2.09</v>
      </c>
      <c r="H97" s="83">
        <v>500</v>
      </c>
      <c r="I97" s="83">
        <v>118.60560000000001</v>
      </c>
      <c r="J97" s="83">
        <f t="shared" si="79"/>
        <v>2.7822798878538428</v>
      </c>
      <c r="K97" s="83">
        <f t="shared" si="80"/>
        <v>660.24692282833587</v>
      </c>
      <c r="L97" s="193">
        <f t="shared" si="81"/>
        <v>389.4730608720987</v>
      </c>
      <c r="M97" s="83">
        <v>2016</v>
      </c>
      <c r="N97" s="83">
        <v>10</v>
      </c>
      <c r="O97" s="83">
        <v>67</v>
      </c>
      <c r="P97" s="194">
        <v>1625.4374400000002</v>
      </c>
      <c r="Q97" s="83">
        <v>8</v>
      </c>
      <c r="R97" s="83">
        <v>0.69148334600000005</v>
      </c>
      <c r="S97" s="83">
        <v>0.13235348158759747</v>
      </c>
      <c r="T97" s="83">
        <v>0.38567531593546001</v>
      </c>
      <c r="V97" s="193">
        <f t="shared" si="82"/>
        <v>2.6931413530870051E-7</v>
      </c>
      <c r="W97" s="193">
        <f t="shared" si="83"/>
        <v>2.6931413530870052E-6</v>
      </c>
      <c r="X97" s="83">
        <f t="shared" si="84"/>
        <v>66</v>
      </c>
      <c r="Y97" s="195">
        <f t="shared" si="85"/>
        <v>75.555247055450906</v>
      </c>
      <c r="Z97" s="195">
        <f t="shared" si="86"/>
        <v>8.7353297847814328</v>
      </c>
      <c r="AA97" s="193">
        <f t="shared" si="87"/>
        <v>2.6931413530870051E-2</v>
      </c>
      <c r="AB97" s="195">
        <f t="shared" si="88"/>
        <v>25.92854555844437</v>
      </c>
      <c r="AC97" s="195">
        <f t="shared" si="89"/>
        <v>25.45457085174036</v>
      </c>
      <c r="AD97" s="193">
        <f t="shared" si="90"/>
        <v>3.4696796759630819E-2</v>
      </c>
      <c r="AE97" s="259">
        <f t="shared" si="46"/>
        <v>71</v>
      </c>
      <c r="AF97" s="259" cm="1">
        <f t="array" ref="AF97">_xlfn.IFS(N97&lt;=AC97,W97*(3/(X97^3 - (X97-AB97)^3)),N97&gt;AC97,W97*(3/X97^3))</f>
        <v>3.6205856874145196E-11</v>
      </c>
      <c r="AG97" s="280">
        <f t="shared" si="53"/>
        <v>4.3194914798940602E-2</v>
      </c>
      <c r="AH97" s="281">
        <f t="shared" si="54"/>
        <v>-8.4981180393097835E-3</v>
      </c>
      <c r="AI97" s="282">
        <f t="shared" si="55"/>
        <v>124.4925146784651</v>
      </c>
    </row>
    <row r="98" spans="1:35" s="83" customFormat="1" x14ac:dyDescent="0.45">
      <c r="A98" s="83" t="s">
        <v>187</v>
      </c>
      <c r="B98" s="190" t="s">
        <v>188</v>
      </c>
      <c r="C98" s="191">
        <v>-5.96</v>
      </c>
      <c r="D98" s="192">
        <v>106.27</v>
      </c>
      <c r="E98" s="83" t="s">
        <v>14</v>
      </c>
      <c r="F98" s="83" t="s">
        <v>189</v>
      </c>
      <c r="G98" s="83">
        <v>-2.09</v>
      </c>
      <c r="H98" s="83">
        <v>500</v>
      </c>
      <c r="I98" s="83">
        <v>82.171199999999999</v>
      </c>
      <c r="J98" s="83">
        <f t="shared" si="79"/>
        <v>2.6228943223010139</v>
      </c>
      <c r="K98" s="83">
        <f t="shared" si="80"/>
        <v>457.42597267845457</v>
      </c>
      <c r="L98" s="193">
        <f t="shared" si="81"/>
        <v>269.83100949308778</v>
      </c>
      <c r="M98" s="83">
        <v>2016</v>
      </c>
      <c r="N98" s="83">
        <v>10</v>
      </c>
      <c r="O98" s="83">
        <v>67</v>
      </c>
      <c r="P98" s="194">
        <v>354.05568</v>
      </c>
      <c r="Q98" s="83">
        <v>1</v>
      </c>
      <c r="R98" s="83">
        <v>0.69148334600000005</v>
      </c>
      <c r="S98" s="83">
        <v>0.13328497964724689</v>
      </c>
      <c r="T98" s="83">
        <v>0.40079513344175099</v>
      </c>
      <c r="V98" s="193">
        <f t="shared" si="82"/>
        <v>1.8658364929883812E-7</v>
      </c>
      <c r="W98" s="193">
        <f t="shared" si="83"/>
        <v>1.8658364929883812E-6</v>
      </c>
      <c r="X98" s="83">
        <f t="shared" si="84"/>
        <v>66</v>
      </c>
      <c r="Y98" s="195">
        <f t="shared" si="85"/>
        <v>75.027208815772653</v>
      </c>
      <c r="Z98" s="195">
        <f t="shared" si="86"/>
        <v>8.7968086567182944</v>
      </c>
      <c r="AA98" s="193">
        <f t="shared" si="87"/>
        <v>1.8658364929883813E-2</v>
      </c>
      <c r="AB98" s="195">
        <f t="shared" si="88"/>
        <v>24.950402750968873</v>
      </c>
      <c r="AC98" s="195">
        <f t="shared" si="89"/>
        <v>26.452478807155565</v>
      </c>
      <c r="AD98" s="193">
        <f t="shared" si="90"/>
        <v>2.4569864389807929E-2</v>
      </c>
      <c r="AE98" s="259">
        <f t="shared" si="46"/>
        <v>71</v>
      </c>
      <c r="AF98" s="259" cm="1">
        <f t="array" ref="AF98">_xlfn.IFS(N98&lt;=AC98,W98*(3/(X98^3 - (X98-AB98)^3)),N98&gt;AC98,W98*(3/X98^3))</f>
        <v>2.5638476072510152E-11</v>
      </c>
      <c r="AG98" s="280">
        <f t="shared" si="53"/>
        <v>3.0587642031960603E-2</v>
      </c>
      <c r="AH98" s="281">
        <f t="shared" si="54"/>
        <v>-6.0177776421526732E-3</v>
      </c>
      <c r="AI98" s="282">
        <f t="shared" si="55"/>
        <v>124.4925146784651</v>
      </c>
    </row>
    <row r="99" spans="1:35" s="83" customFormat="1" x14ac:dyDescent="0.45">
      <c r="A99" s="83" t="s">
        <v>187</v>
      </c>
      <c r="B99" s="190" t="s">
        <v>188</v>
      </c>
      <c r="C99" s="191">
        <v>-5.95</v>
      </c>
      <c r="D99" s="192">
        <v>106.16</v>
      </c>
      <c r="E99" s="83" t="s">
        <v>14</v>
      </c>
      <c r="F99" s="83" t="s">
        <v>189</v>
      </c>
      <c r="G99" s="83">
        <v>-2.09</v>
      </c>
      <c r="H99" s="83">
        <v>500</v>
      </c>
      <c r="I99" s="83">
        <v>75.194400000000002</v>
      </c>
      <c r="J99" s="83">
        <f t="shared" si="79"/>
        <v>2.5843601913024883</v>
      </c>
      <c r="K99" s="83">
        <f t="shared" si="80"/>
        <v>418.58791839443455</v>
      </c>
      <c r="L99" s="193">
        <f t="shared" si="81"/>
        <v>246.92082944178767</v>
      </c>
      <c r="M99" s="83">
        <v>2016</v>
      </c>
      <c r="N99" s="83">
        <v>10</v>
      </c>
      <c r="O99" s="83">
        <v>67</v>
      </c>
      <c r="P99" s="194">
        <v>740.29824000000008</v>
      </c>
      <c r="Q99" s="83">
        <v>11</v>
      </c>
      <c r="R99" s="83">
        <v>0.69148334600000005</v>
      </c>
      <c r="S99" s="83">
        <v>0.13195626365865479</v>
      </c>
      <c r="T99" s="83">
        <v>0.38567531593546001</v>
      </c>
      <c r="V99" s="193">
        <f t="shared" si="82"/>
        <v>1.7074164133950269E-7</v>
      </c>
      <c r="W99" s="193">
        <f t="shared" si="83"/>
        <v>1.707416413395027E-6</v>
      </c>
      <c r="X99" s="83">
        <f t="shared" si="84"/>
        <v>66</v>
      </c>
      <c r="Y99" s="195">
        <f t="shared" si="85"/>
        <v>75.782685283269743</v>
      </c>
      <c r="Z99" s="195">
        <f t="shared" si="86"/>
        <v>8.7091134014712157</v>
      </c>
      <c r="AA99" s="193">
        <f t="shared" si="87"/>
        <v>1.707416413395027E-2</v>
      </c>
      <c r="AB99" s="195">
        <f t="shared" si="88"/>
        <v>25.92854555844437</v>
      </c>
      <c r="AC99" s="195">
        <f t="shared" si="89"/>
        <v>25.45457085174036</v>
      </c>
      <c r="AD99" s="193">
        <f t="shared" si="90"/>
        <v>2.1997315592707092E-2</v>
      </c>
      <c r="AE99" s="259">
        <f t="shared" si="46"/>
        <v>71</v>
      </c>
      <c r="AF99" s="259" cm="1">
        <f t="array" ref="AF99">_xlfn.IFS(N99&lt;=AC99,W99*(3/(X99^3 - (X99-AB99)^3)),N99&gt;AC99,W99*(3/X99^3))</f>
        <v>2.2954039979033196E-11</v>
      </c>
      <c r="AG99" s="280">
        <f t="shared" si="53"/>
        <v>2.7385011343119166E-2</v>
      </c>
      <c r="AH99" s="281">
        <f t="shared" si="54"/>
        <v>-5.3876957504120741E-3</v>
      </c>
      <c r="AI99" s="282">
        <f t="shared" si="55"/>
        <v>124.49251467846508</v>
      </c>
    </row>
    <row r="100" spans="1:35" s="83" customFormat="1" x14ac:dyDescent="0.45">
      <c r="A100" s="83" t="s">
        <v>187</v>
      </c>
      <c r="B100" s="190" t="s">
        <v>188</v>
      </c>
      <c r="C100" s="191">
        <v>-5.95</v>
      </c>
      <c r="D100" s="192">
        <v>106.37</v>
      </c>
      <c r="E100" s="83" t="s">
        <v>14</v>
      </c>
      <c r="F100" s="83" t="s">
        <v>189</v>
      </c>
      <c r="G100" s="83">
        <v>-2.09</v>
      </c>
      <c r="H100" s="83">
        <v>500</v>
      </c>
      <c r="I100" s="83">
        <v>167.0556</v>
      </c>
      <c r="J100" s="83">
        <f t="shared" si="79"/>
        <v>2.9310357315329938</v>
      </c>
      <c r="K100" s="83">
        <f t="shared" si="80"/>
        <v>929.95563313402761</v>
      </c>
      <c r="L100" s="193">
        <f t="shared" si="81"/>
        <v>548.57153345056975</v>
      </c>
      <c r="M100" s="83">
        <v>2016</v>
      </c>
      <c r="N100" s="83">
        <v>10</v>
      </c>
      <c r="O100" s="83">
        <v>67</v>
      </c>
      <c r="P100" s="194">
        <v>1770.2784000000001</v>
      </c>
      <c r="Q100" s="83">
        <v>4</v>
      </c>
      <c r="R100" s="83">
        <v>0.69148334600000005</v>
      </c>
      <c r="S100" s="83">
        <v>0.13288496611575845</v>
      </c>
      <c r="T100" s="83">
        <v>0.402378163545416</v>
      </c>
      <c r="V100" s="193">
        <f t="shared" si="82"/>
        <v>3.7932807947075096E-7</v>
      </c>
      <c r="W100" s="193">
        <f t="shared" si="83"/>
        <v>3.7932807947075099E-6</v>
      </c>
      <c r="X100" s="83">
        <f t="shared" si="84"/>
        <v>66</v>
      </c>
      <c r="Y100" s="195">
        <f t="shared" si="85"/>
        <v>75.253057530140936</v>
      </c>
      <c r="Z100" s="195">
        <f t="shared" si="86"/>
        <v>8.7704077636400584</v>
      </c>
      <c r="AA100" s="193">
        <f t="shared" si="87"/>
        <v>3.7932807947075098E-2</v>
      </c>
      <c r="AB100" s="195">
        <f t="shared" si="88"/>
        <v>24.852243252686623</v>
      </c>
      <c r="AC100" s="195">
        <f t="shared" si="89"/>
        <v>26.556958793997456</v>
      </c>
      <c r="AD100" s="193">
        <f t="shared" si="90"/>
        <v>5.0065060045335362E-2</v>
      </c>
      <c r="AE100" s="259">
        <f t="shared" si="46"/>
        <v>71</v>
      </c>
      <c r="AF100" s="259" cm="1">
        <f t="array" ref="AF100">_xlfn.IFS(N100&lt;=AC100,W100*(3/(X100^3 - (X100-AB100)^3)),N100&gt;AC100,W100*(3/X100^3))</f>
        <v>5.224252863900928E-11</v>
      </c>
      <c r="AG100" s="280">
        <f t="shared" si="53"/>
        <v>6.2327252225721504E-2</v>
      </c>
      <c r="AH100" s="281">
        <f t="shared" si="54"/>
        <v>-1.2262192180386142E-2</v>
      </c>
      <c r="AI100" s="282">
        <f t="shared" si="55"/>
        <v>124.49251467846513</v>
      </c>
    </row>
    <row r="101" spans="1:35" s="83" customFormat="1" x14ac:dyDescent="0.45">
      <c r="A101" s="83" t="s">
        <v>187</v>
      </c>
      <c r="B101" s="190" t="s">
        <v>188</v>
      </c>
      <c r="C101" s="191">
        <v>-5.94</v>
      </c>
      <c r="D101" s="192">
        <v>106.29</v>
      </c>
      <c r="E101" s="83" t="s">
        <v>14</v>
      </c>
      <c r="F101" s="83" t="s">
        <v>189</v>
      </c>
      <c r="G101" s="83">
        <v>-2.09</v>
      </c>
      <c r="H101" s="83">
        <v>500</v>
      </c>
      <c r="I101" s="83">
        <v>101.55120000000001</v>
      </c>
      <c r="J101" s="83">
        <f t="shared" si="79"/>
        <v>2.714859752692008</v>
      </c>
      <c r="K101" s="83">
        <f t="shared" si="80"/>
        <v>565.30945680073148</v>
      </c>
      <c r="L101" s="193">
        <f t="shared" si="81"/>
        <v>333.47039852447631</v>
      </c>
      <c r="M101" s="83">
        <v>2016</v>
      </c>
      <c r="N101" s="83">
        <v>10</v>
      </c>
      <c r="O101" s="83">
        <v>67</v>
      </c>
      <c r="P101" s="194">
        <v>2993.3798400000001</v>
      </c>
      <c r="Q101" s="83">
        <v>5</v>
      </c>
      <c r="R101" s="83">
        <v>0.69148334600000005</v>
      </c>
      <c r="S101" s="83">
        <v>0.13275189523153463</v>
      </c>
      <c r="T101" s="83">
        <v>0.40079513344175099</v>
      </c>
      <c r="V101" s="193">
        <f t="shared" si="82"/>
        <v>2.3058922696365837E-7</v>
      </c>
      <c r="W101" s="193">
        <f t="shared" si="83"/>
        <v>2.3058922696365838E-6</v>
      </c>
      <c r="X101" s="83">
        <f t="shared" si="84"/>
        <v>66</v>
      </c>
      <c r="Y101" s="195">
        <f t="shared" si="85"/>
        <v>75.328491412938746</v>
      </c>
      <c r="Z101" s="195">
        <f t="shared" si="86"/>
        <v>8.7616250852812865</v>
      </c>
      <c r="AA101" s="193">
        <f t="shared" si="87"/>
        <v>2.3058922696365839E-2</v>
      </c>
      <c r="AB101" s="195">
        <f t="shared" si="88"/>
        <v>24.950402750968873</v>
      </c>
      <c r="AC101" s="195">
        <f t="shared" si="89"/>
        <v>26.452478807155565</v>
      </c>
      <c r="AD101" s="193">
        <f t="shared" si="90"/>
        <v>3.0364643727026779E-2</v>
      </c>
      <c r="AE101" s="259">
        <f t="shared" si="46"/>
        <v>71</v>
      </c>
      <c r="AF101" s="259" cm="1">
        <f t="array" ref="AF101">_xlfn.IFS(N101&lt;=AC101,W101*(3/(X101^3 - (X101-AB101)^3)),N101&gt;AC101,W101*(3/X101^3))</f>
        <v>3.1685286466970089E-11</v>
      </c>
      <c r="AG101" s="280">
        <f t="shared" si="53"/>
        <v>3.7801708548932438E-2</v>
      </c>
      <c r="AH101" s="281">
        <f t="shared" si="54"/>
        <v>-7.4370648219056583E-3</v>
      </c>
      <c r="AI101" s="282">
        <f t="shared" si="55"/>
        <v>124.49251467846507</v>
      </c>
    </row>
    <row r="102" spans="1:35" s="83" customFormat="1" x14ac:dyDescent="0.45">
      <c r="A102" s="83" t="s">
        <v>187</v>
      </c>
      <c r="B102" s="190" t="s">
        <v>188</v>
      </c>
      <c r="C102" s="191">
        <v>-5.94</v>
      </c>
      <c r="D102" s="192">
        <v>106.25</v>
      </c>
      <c r="E102" s="83" t="s">
        <v>14</v>
      </c>
      <c r="F102" s="83" t="s">
        <v>189</v>
      </c>
      <c r="G102" s="83">
        <v>-2.09</v>
      </c>
      <c r="H102" s="83">
        <v>500</v>
      </c>
      <c r="I102" s="83">
        <v>155.42759999999998</v>
      </c>
      <c r="J102" s="83">
        <f t="shared" si="79"/>
        <v>2.8997028339924444</v>
      </c>
      <c r="K102" s="83">
        <f t="shared" si="80"/>
        <v>865.22554266066118</v>
      </c>
      <c r="L102" s="193">
        <f t="shared" si="81"/>
        <v>510.38790003173642</v>
      </c>
      <c r="M102" s="83">
        <v>2016</v>
      </c>
      <c r="N102" s="83">
        <v>10</v>
      </c>
      <c r="O102" s="83">
        <v>67</v>
      </c>
      <c r="P102" s="194">
        <v>2333.5488</v>
      </c>
      <c r="Q102" s="83">
        <v>5</v>
      </c>
      <c r="R102" s="83">
        <v>0.69148334600000005</v>
      </c>
      <c r="S102" s="83">
        <v>0.13275189523153463</v>
      </c>
      <c r="T102" s="83">
        <v>0.40079513344175099</v>
      </c>
      <c r="V102" s="193">
        <f t="shared" si="82"/>
        <v>3.5292473287185866E-7</v>
      </c>
      <c r="W102" s="193">
        <f t="shared" si="83"/>
        <v>3.5292473287185865E-6</v>
      </c>
      <c r="X102" s="83">
        <f t="shared" si="84"/>
        <v>66</v>
      </c>
      <c r="Y102" s="195">
        <f t="shared" si="85"/>
        <v>75.328491412938746</v>
      </c>
      <c r="Z102" s="195">
        <f t="shared" si="86"/>
        <v>8.7616250852812865</v>
      </c>
      <c r="AA102" s="193">
        <f t="shared" si="87"/>
        <v>3.5292473287185863E-2</v>
      </c>
      <c r="AB102" s="195">
        <f t="shared" si="88"/>
        <v>24.950402750968873</v>
      </c>
      <c r="AC102" s="195">
        <f t="shared" si="89"/>
        <v>26.452478807155565</v>
      </c>
      <c r="AD102" s="193">
        <f t="shared" si="90"/>
        <v>4.6474130284495159E-2</v>
      </c>
      <c r="AE102" s="259">
        <f t="shared" si="46"/>
        <v>71</v>
      </c>
      <c r="AF102" s="259" cm="1">
        <f t="array" ref="AF102">_xlfn.IFS(N102&lt;=AC102,W102*(3/(X102^3 - (X102-AB102)^3)),N102&gt;AC102,W102*(3/X102^3))</f>
        <v>4.8495419363568697E-11</v>
      </c>
      <c r="AG102" s="280">
        <f t="shared" si="53"/>
        <v>5.7856813466114126E-2</v>
      </c>
      <c r="AH102" s="281">
        <f t="shared" si="54"/>
        <v>-1.1382683181618967E-2</v>
      </c>
      <c r="AI102" s="282">
        <f t="shared" si="55"/>
        <v>124.4925146784651</v>
      </c>
    </row>
    <row r="103" spans="1:35" s="83" customFormat="1" x14ac:dyDescent="0.45">
      <c r="A103" s="83" t="s">
        <v>187</v>
      </c>
      <c r="B103" s="190" t="s">
        <v>188</v>
      </c>
      <c r="C103" s="191">
        <v>-5.94</v>
      </c>
      <c r="D103" s="192">
        <v>106.22</v>
      </c>
      <c r="E103" s="83" t="s">
        <v>14</v>
      </c>
      <c r="F103" s="83" t="s">
        <v>189</v>
      </c>
      <c r="G103" s="83">
        <v>-2.09</v>
      </c>
      <c r="H103" s="83">
        <v>500</v>
      </c>
      <c r="I103" s="83">
        <v>103.8768</v>
      </c>
      <c r="J103" s="83">
        <f t="shared" si="79"/>
        <v>2.7246932554010517</v>
      </c>
      <c r="K103" s="83">
        <f t="shared" si="80"/>
        <v>578.25547489540531</v>
      </c>
      <c r="L103" s="193">
        <f t="shared" si="81"/>
        <v>341.1071252082433</v>
      </c>
      <c r="M103" s="83">
        <v>2016</v>
      </c>
      <c r="N103" s="83">
        <v>10</v>
      </c>
      <c r="O103" s="83">
        <v>67</v>
      </c>
      <c r="P103" s="194">
        <v>96.560640000000006</v>
      </c>
      <c r="Q103" s="83">
        <v>9</v>
      </c>
      <c r="R103" s="83">
        <v>0.69148334600000005</v>
      </c>
      <c r="S103" s="83">
        <v>0.13222094293149678</v>
      </c>
      <c r="T103" s="83">
        <v>0.401345361100783</v>
      </c>
      <c r="V103" s="193">
        <f t="shared" si="82"/>
        <v>2.3586989628343705E-7</v>
      </c>
      <c r="W103" s="193">
        <f t="shared" si="83"/>
        <v>2.3586989628343705E-6</v>
      </c>
      <c r="X103" s="83">
        <f t="shared" si="84"/>
        <v>66</v>
      </c>
      <c r="Y103" s="195">
        <f t="shared" si="85"/>
        <v>75.630983853904041</v>
      </c>
      <c r="Z103" s="195">
        <f t="shared" si="86"/>
        <v>8.726582233478787</v>
      </c>
      <c r="AA103" s="193">
        <f t="shared" si="87"/>
        <v>2.3586989628343706E-2</v>
      </c>
      <c r="AB103" s="195">
        <f t="shared" si="88"/>
        <v>24.91619679513094</v>
      </c>
      <c r="AC103" s="195">
        <f t="shared" si="89"/>
        <v>26.488793832651677</v>
      </c>
      <c r="AD103" s="193">
        <f t="shared" si="90"/>
        <v>3.1084657552744154E-2</v>
      </c>
      <c r="AE103" s="259">
        <f t="shared" si="46"/>
        <v>71</v>
      </c>
      <c r="AF103" s="259" cm="1">
        <f t="array" ref="AF103">_xlfn.IFS(N103&lt;=AC103,W103*(3/(X103^3 - (X103-AB103)^3)),N103&gt;AC103,W103*(3/X103^3))</f>
        <v>3.2436615694907916E-11</v>
      </c>
      <c r="AG103" s="280">
        <f t="shared" si="53"/>
        <v>3.8698071866600625E-2</v>
      </c>
      <c r="AH103" s="281">
        <f t="shared" si="54"/>
        <v>-7.613414313856471E-3</v>
      </c>
      <c r="AI103" s="282">
        <f t="shared" si="55"/>
        <v>124.49251467846508</v>
      </c>
    </row>
    <row r="104" spans="1:35" s="83" customFormat="1" x14ac:dyDescent="0.45">
      <c r="A104" s="83" t="s">
        <v>187</v>
      </c>
      <c r="B104" s="190" t="s">
        <v>188</v>
      </c>
      <c r="C104" s="196">
        <v>-5.94</v>
      </c>
      <c r="D104" s="192">
        <v>106.19</v>
      </c>
      <c r="E104" s="83" t="s">
        <v>14</v>
      </c>
      <c r="F104" s="83" t="s">
        <v>189</v>
      </c>
      <c r="G104" s="83">
        <v>-2.09</v>
      </c>
      <c r="H104" s="83">
        <v>500</v>
      </c>
      <c r="I104" s="83">
        <v>141.08640000000003</v>
      </c>
      <c r="J104" s="83">
        <f t="shared" si="79"/>
        <v>2.8576598450213186</v>
      </c>
      <c r="K104" s="83">
        <f t="shared" si="80"/>
        <v>785.39176441017742</v>
      </c>
      <c r="L104" s="193">
        <f t="shared" si="81"/>
        <v>463.29475214850953</v>
      </c>
      <c r="M104" s="83">
        <v>2016</v>
      </c>
      <c r="N104" s="83">
        <v>10</v>
      </c>
      <c r="O104" s="83">
        <v>67</v>
      </c>
      <c r="P104" s="194">
        <v>2188.70784</v>
      </c>
      <c r="Q104" s="83">
        <v>9</v>
      </c>
      <c r="R104" s="83">
        <v>0.69148334600000005</v>
      </c>
      <c r="S104" s="83">
        <v>0.13222094293149678</v>
      </c>
      <c r="T104" s="83">
        <v>0.401345361100783</v>
      </c>
      <c r="V104" s="193">
        <f t="shared" si="82"/>
        <v>3.203606053998921E-7</v>
      </c>
      <c r="W104" s="193">
        <f t="shared" si="83"/>
        <v>3.2036060539989212E-6</v>
      </c>
      <c r="X104" s="83">
        <f t="shared" si="84"/>
        <v>66</v>
      </c>
      <c r="Y104" s="195">
        <f t="shared" si="85"/>
        <v>75.630983853904041</v>
      </c>
      <c r="Z104" s="195">
        <f t="shared" si="86"/>
        <v>8.726582233478787</v>
      </c>
      <c r="AA104" s="193">
        <f t="shared" si="87"/>
        <v>3.2036060539989211E-2</v>
      </c>
      <c r="AB104" s="195">
        <f t="shared" si="88"/>
        <v>24.91619679513094</v>
      </c>
      <c r="AC104" s="195">
        <f t="shared" si="89"/>
        <v>26.488793832651677</v>
      </c>
      <c r="AD104" s="193">
        <f t="shared" si="90"/>
        <v>4.221946025820475E-2</v>
      </c>
      <c r="AE104" s="259">
        <f t="shared" si="46"/>
        <v>71</v>
      </c>
      <c r="AF104" s="259" cm="1">
        <f t="array" ref="AF104">_xlfn.IFS(N104&lt;=AC104,W104*(3/(X104^3 - (X104-AB104)^3)),N104&gt;AC104,W104*(3/X104^3))</f>
        <v>4.4055701913979409E-11</v>
      </c>
      <c r="AG104" s="280">
        <f t="shared" si="53"/>
        <v>5.2560067759114287E-2</v>
      </c>
      <c r="AH104" s="281">
        <f t="shared" si="54"/>
        <v>-1.0340607500909538E-2</v>
      </c>
      <c r="AI104" s="282">
        <f t="shared" si="55"/>
        <v>124.4925146784651</v>
      </c>
    </row>
    <row r="105" spans="1:35" s="83" customFormat="1" x14ac:dyDescent="0.45">
      <c r="A105" s="83" t="s">
        <v>187</v>
      </c>
      <c r="B105" s="190" t="s">
        <v>188</v>
      </c>
      <c r="C105" s="191">
        <v>-5.94</v>
      </c>
      <c r="D105" s="192">
        <v>106.13</v>
      </c>
      <c r="E105" s="83" t="s">
        <v>14</v>
      </c>
      <c r="F105" s="83" t="s">
        <v>189</v>
      </c>
      <c r="G105" s="83">
        <v>-2.09</v>
      </c>
      <c r="H105" s="83">
        <v>500</v>
      </c>
      <c r="I105" s="83">
        <v>89.147999999999996</v>
      </c>
      <c r="J105" s="83">
        <f t="shared" si="79"/>
        <v>2.6582862973898553</v>
      </c>
      <c r="K105" s="83">
        <f t="shared" si="80"/>
        <v>496.26402696247447</v>
      </c>
      <c r="L105" s="193">
        <f t="shared" si="81"/>
        <v>292.74118954438779</v>
      </c>
      <c r="M105" s="83">
        <v>2016</v>
      </c>
      <c r="N105" s="83">
        <v>10</v>
      </c>
      <c r="O105" s="83">
        <v>67</v>
      </c>
      <c r="P105" s="194">
        <v>1255.2883200000001</v>
      </c>
      <c r="Q105" s="83">
        <v>13</v>
      </c>
      <c r="R105" s="83">
        <v>0.69148334600000005</v>
      </c>
      <c r="S105" s="83">
        <v>0.13169211421955859</v>
      </c>
      <c r="T105" s="83">
        <v>0.38567531593546001</v>
      </c>
      <c r="V105" s="193">
        <f t="shared" si="82"/>
        <v>2.0242565725817354E-7</v>
      </c>
      <c r="W105" s="193">
        <f t="shared" si="83"/>
        <v>2.0242565725817353E-6</v>
      </c>
      <c r="X105" s="83">
        <f t="shared" si="84"/>
        <v>66</v>
      </c>
      <c r="Y105" s="195">
        <f t="shared" si="85"/>
        <v>75.934690996971057</v>
      </c>
      <c r="Z105" s="195">
        <f t="shared" si="86"/>
        <v>8.6916795384908667</v>
      </c>
      <c r="AA105" s="193">
        <f t="shared" si="87"/>
        <v>2.0242565725817351E-2</v>
      </c>
      <c r="AB105" s="195">
        <f t="shared" si="88"/>
        <v>25.92854555844437</v>
      </c>
      <c r="AC105" s="195">
        <f t="shared" si="89"/>
        <v>25.45457085174036</v>
      </c>
      <c r="AD105" s="193">
        <f t="shared" si="90"/>
        <v>2.6079291682075446E-2</v>
      </c>
      <c r="AE105" s="259">
        <f t="shared" si="46"/>
        <v>71</v>
      </c>
      <c r="AF105" s="259" cm="1">
        <f t="array" ref="AF105">_xlfn.IFS(N105&lt;=AC105,W105*(3/(X105^3 - (X105-AB105)^3)),N105&gt;AC105,W105*(3/X105^3))</f>
        <v>2.7213552552462067E-11</v>
      </c>
      <c r="AG105" s="280">
        <f t="shared" si="53"/>
        <v>3.2466766025347496E-2</v>
      </c>
      <c r="AH105" s="281">
        <f t="shared" si="54"/>
        <v>-6.3874743432720503E-3</v>
      </c>
      <c r="AI105" s="282">
        <f t="shared" si="55"/>
        <v>124.49251467846507</v>
      </c>
    </row>
    <row r="106" spans="1:35" s="83" customFormat="1" x14ac:dyDescent="0.45">
      <c r="A106" s="83" t="s">
        <v>187</v>
      </c>
      <c r="B106" s="190" t="s">
        <v>188</v>
      </c>
      <c r="C106" s="191">
        <v>-5.93</v>
      </c>
      <c r="D106" s="192">
        <v>106.39</v>
      </c>
      <c r="E106" s="83" t="s">
        <v>14</v>
      </c>
      <c r="F106" s="83" t="s">
        <v>189</v>
      </c>
      <c r="G106" s="83">
        <v>-2.09</v>
      </c>
      <c r="H106" s="83">
        <v>500</v>
      </c>
      <c r="I106" s="83">
        <v>79.070400000000006</v>
      </c>
      <c r="J106" s="83">
        <f t="shared" si="79"/>
        <v>2.6061886287981615</v>
      </c>
      <c r="K106" s="83">
        <f t="shared" si="80"/>
        <v>440.16461521889056</v>
      </c>
      <c r="L106" s="193">
        <f t="shared" si="81"/>
        <v>259.64870724806576</v>
      </c>
      <c r="M106" s="83">
        <v>2016</v>
      </c>
      <c r="N106" s="83">
        <v>10</v>
      </c>
      <c r="O106" s="83">
        <v>67</v>
      </c>
      <c r="P106" s="194">
        <v>4972.8729599999997</v>
      </c>
      <c r="Q106" s="83">
        <v>17</v>
      </c>
      <c r="R106" s="83">
        <v>0.69148334600000005</v>
      </c>
      <c r="S106" s="83">
        <v>0.13116540060225193</v>
      </c>
      <c r="T106" s="83">
        <v>0.402378163545416</v>
      </c>
      <c r="V106" s="193">
        <f t="shared" si="82"/>
        <v>1.7954275687246699E-7</v>
      </c>
      <c r="W106" s="193">
        <f t="shared" si="83"/>
        <v>1.79542756872467E-6</v>
      </c>
      <c r="X106" s="83">
        <f t="shared" si="84"/>
        <v>66</v>
      </c>
      <c r="Y106" s="195">
        <f t="shared" si="85"/>
        <v>76.239617719951625</v>
      </c>
      <c r="Z106" s="195">
        <f t="shared" si="86"/>
        <v>8.6569164397486276</v>
      </c>
      <c r="AA106" s="193">
        <f t="shared" si="87"/>
        <v>1.7954275687246699E-2</v>
      </c>
      <c r="AB106" s="195">
        <f t="shared" si="88"/>
        <v>24.852243252686623</v>
      </c>
      <c r="AC106" s="195">
        <f t="shared" si="89"/>
        <v>26.556958793997456</v>
      </c>
      <c r="AD106" s="193">
        <f t="shared" si="90"/>
        <v>2.3696687353244605E-2</v>
      </c>
      <c r="AE106" s="259">
        <f t="shared" si="46"/>
        <v>71</v>
      </c>
      <c r="AF106" s="259" cm="1">
        <f t="array" ref="AF106">_xlfn.IFS(N106&lt;=AC106,W106*(3/(X106^3 - (X106-AB106)^3)),N106&gt;AC106,W106*(3/X106^3))</f>
        <v>2.4727322140041539E-11</v>
      </c>
      <c r="AG106" s="280">
        <f t="shared" si="53"/>
        <v>2.9500601981548028E-2</v>
      </c>
      <c r="AH106" s="281">
        <f t="shared" si="54"/>
        <v>-5.8039146283034235E-3</v>
      </c>
      <c r="AI106" s="282">
        <f t="shared" si="55"/>
        <v>124.49251467846513</v>
      </c>
    </row>
    <row r="107" spans="1:35" s="83" customFormat="1" x14ac:dyDescent="0.45">
      <c r="A107" s="83" t="s">
        <v>187</v>
      </c>
      <c r="B107" s="190" t="s">
        <v>188</v>
      </c>
      <c r="C107" s="191">
        <v>-5.93</v>
      </c>
      <c r="D107" s="192">
        <v>106.35</v>
      </c>
      <c r="E107" s="83" t="s">
        <v>14</v>
      </c>
      <c r="F107" s="83" t="s">
        <v>189</v>
      </c>
      <c r="G107" s="83">
        <v>-2.09</v>
      </c>
      <c r="H107" s="83">
        <v>500</v>
      </c>
      <c r="I107" s="83">
        <v>149.61360000000002</v>
      </c>
      <c r="J107" s="83">
        <f t="shared" si="79"/>
        <v>2.8831457660440174</v>
      </c>
      <c r="K107" s="83">
        <f t="shared" si="80"/>
        <v>832.86049742397881</v>
      </c>
      <c r="L107" s="193">
        <f t="shared" si="81"/>
        <v>491.29608332232033</v>
      </c>
      <c r="M107" s="83">
        <v>2016</v>
      </c>
      <c r="N107" s="83">
        <v>10</v>
      </c>
      <c r="O107" s="83">
        <v>67</v>
      </c>
      <c r="P107" s="194">
        <v>3524.4633600000002</v>
      </c>
      <c r="Q107" s="83">
        <v>12</v>
      </c>
      <c r="R107" s="83">
        <v>0.69148334600000005</v>
      </c>
      <c r="S107" s="83">
        <v>0.1318241227762269</v>
      </c>
      <c r="T107" s="83">
        <v>0.402378163545416</v>
      </c>
      <c r="V107" s="193">
        <f t="shared" si="82"/>
        <v>3.3972305957241291E-7</v>
      </c>
      <c r="W107" s="193">
        <f t="shared" si="83"/>
        <v>3.3972305957241289E-6</v>
      </c>
      <c r="X107" s="83">
        <f t="shared" si="84"/>
        <v>66</v>
      </c>
      <c r="Y107" s="195">
        <f t="shared" si="85"/>
        <v>75.858650066461095</v>
      </c>
      <c r="Z107" s="195">
        <f t="shared" si="86"/>
        <v>8.7003921032309748</v>
      </c>
      <c r="AA107" s="193">
        <f t="shared" si="87"/>
        <v>3.3972305957241287E-2</v>
      </c>
      <c r="AB107" s="195">
        <f t="shared" si="88"/>
        <v>24.852243252686623</v>
      </c>
      <c r="AC107" s="195">
        <f t="shared" si="89"/>
        <v>26.556958793997456</v>
      </c>
      <c r="AD107" s="193">
        <f t="shared" si="90"/>
        <v>4.4837849599766728E-2</v>
      </c>
      <c r="AE107" s="259">
        <f t="shared" si="46"/>
        <v>71</v>
      </c>
      <c r="AF107" s="259" cm="1">
        <f t="array" ref="AF107">_xlfn.IFS(N107&lt;=AC107,W107*(3/(X107^3 - (X107-AB107)^3)),N107&gt;AC107,W107*(3/X107^3))</f>
        <v>4.6787972284588381E-11</v>
      </c>
      <c r="AG107" s="280">
        <f t="shared" si="53"/>
        <v>5.5819766494497706E-2</v>
      </c>
      <c r="AH107" s="281">
        <f t="shared" si="54"/>
        <v>-1.0981916894730978E-2</v>
      </c>
      <c r="AI107" s="282">
        <f t="shared" si="55"/>
        <v>124.49251467846511</v>
      </c>
    </row>
    <row r="108" spans="1:35" s="83" customFormat="1" x14ac:dyDescent="0.45">
      <c r="A108" s="83" t="s">
        <v>187</v>
      </c>
      <c r="B108" s="190" t="s">
        <v>188</v>
      </c>
      <c r="C108" s="191">
        <v>-5.92</v>
      </c>
      <c r="D108" s="192">
        <v>106.24</v>
      </c>
      <c r="E108" s="83" t="s">
        <v>14</v>
      </c>
      <c r="F108" s="83" t="s">
        <v>189</v>
      </c>
      <c r="G108" s="83">
        <v>-2.09</v>
      </c>
      <c r="H108" s="83">
        <v>500</v>
      </c>
      <c r="I108" s="83">
        <v>108.52800000000001</v>
      </c>
      <c r="J108" s="83">
        <f t="shared" si="79"/>
        <v>2.7437164927144817</v>
      </c>
      <c r="K108" s="83">
        <f t="shared" si="80"/>
        <v>604.14751108475116</v>
      </c>
      <c r="L108" s="193">
        <f t="shared" si="81"/>
        <v>356.38057857577621</v>
      </c>
      <c r="M108" s="83">
        <v>2016</v>
      </c>
      <c r="N108" s="83">
        <v>10</v>
      </c>
      <c r="O108" s="83">
        <v>67</v>
      </c>
      <c r="P108" s="194">
        <v>8062.8134399999999</v>
      </c>
      <c r="Q108" s="83">
        <v>18</v>
      </c>
      <c r="R108" s="83">
        <v>0.69148334600000005</v>
      </c>
      <c r="S108" s="83">
        <v>0.13103405168936957</v>
      </c>
      <c r="T108" s="83">
        <v>0.401345361100783</v>
      </c>
      <c r="V108" s="193">
        <f t="shared" si="82"/>
        <v>2.4643123492299369E-7</v>
      </c>
      <c r="W108" s="193">
        <f t="shared" si="83"/>
        <v>2.4643123492299369E-6</v>
      </c>
      <c r="X108" s="83">
        <f t="shared" si="84"/>
        <v>66</v>
      </c>
      <c r="Y108" s="195">
        <f t="shared" si="85"/>
        <v>76.316040533540729</v>
      </c>
      <c r="Z108" s="195">
        <f t="shared" si="86"/>
        <v>8.6482474114983923</v>
      </c>
      <c r="AA108" s="193">
        <f t="shared" si="87"/>
        <v>2.4643123492299367E-2</v>
      </c>
      <c r="AB108" s="195">
        <f t="shared" si="88"/>
        <v>24.91619679513094</v>
      </c>
      <c r="AC108" s="195">
        <f t="shared" si="89"/>
        <v>26.488793832651677</v>
      </c>
      <c r="AD108" s="193">
        <f t="shared" si="90"/>
        <v>3.2476507890926695E-2</v>
      </c>
      <c r="AE108" s="259">
        <f t="shared" si="46"/>
        <v>71</v>
      </c>
      <c r="AF108" s="259" cm="1">
        <f t="array" ref="AF108">_xlfn.IFS(N108&lt;=AC108,W108*(3/(X108^3 - (X108-AB108)^3)),N108&gt;AC108,W108*(3/X108^3))</f>
        <v>3.3889001472291815E-11</v>
      </c>
      <c r="AG108" s="280">
        <f t="shared" si="53"/>
        <v>4.0430821353164781E-2</v>
      </c>
      <c r="AH108" s="281">
        <f t="shared" si="54"/>
        <v>-7.9543134622380857E-3</v>
      </c>
      <c r="AI108" s="282">
        <f t="shared" si="55"/>
        <v>124.49251467846507</v>
      </c>
    </row>
    <row r="109" spans="1:35" s="83" customFormat="1" x14ac:dyDescent="0.45">
      <c r="A109" s="83" t="s">
        <v>187</v>
      </c>
      <c r="B109" s="190" t="s">
        <v>188</v>
      </c>
      <c r="C109" s="191">
        <v>-5.92</v>
      </c>
      <c r="D109" s="192">
        <v>106.27</v>
      </c>
      <c r="E109" s="83" t="s">
        <v>14</v>
      </c>
      <c r="F109" s="83" t="s">
        <v>189</v>
      </c>
      <c r="G109" s="83">
        <v>-2.09</v>
      </c>
      <c r="H109" s="83">
        <v>500</v>
      </c>
      <c r="I109" s="83">
        <v>44.573999999999998</v>
      </c>
      <c r="J109" s="83">
        <f t="shared" si="79"/>
        <v>2.3572563017258741</v>
      </c>
      <c r="K109" s="83">
        <f t="shared" si="80"/>
        <v>248.13201348123698</v>
      </c>
      <c r="L109" s="193">
        <f t="shared" si="81"/>
        <v>146.37059477219375</v>
      </c>
      <c r="M109" s="83">
        <v>2016</v>
      </c>
      <c r="N109" s="83">
        <v>10</v>
      </c>
      <c r="O109" s="83">
        <v>67</v>
      </c>
      <c r="P109" s="194">
        <v>4232.5747199999996</v>
      </c>
      <c r="Q109" s="83">
        <v>7</v>
      </c>
      <c r="R109" s="83">
        <v>0.69148334600000005</v>
      </c>
      <c r="S109" s="83">
        <v>0.13248615310083081</v>
      </c>
      <c r="T109" s="83">
        <v>0.40079513344175099</v>
      </c>
      <c r="V109" s="193">
        <f t="shared" si="82"/>
        <v>1.0121282862908666E-7</v>
      </c>
      <c r="W109" s="193">
        <f t="shared" si="83"/>
        <v>1.0121282862908666E-6</v>
      </c>
      <c r="X109" s="83">
        <f t="shared" si="84"/>
        <v>66</v>
      </c>
      <c r="Y109" s="195">
        <f t="shared" si="85"/>
        <v>75.479586099758905</v>
      </c>
      <c r="Z109" s="195">
        <f t="shared" si="86"/>
        <v>8.7440861046548335</v>
      </c>
      <c r="AA109" s="193">
        <f t="shared" si="87"/>
        <v>1.0121282862908665E-2</v>
      </c>
      <c r="AB109" s="195">
        <f t="shared" si="88"/>
        <v>24.950402750968873</v>
      </c>
      <c r="AC109" s="195">
        <f t="shared" si="89"/>
        <v>26.452478807155565</v>
      </c>
      <c r="AD109" s="193">
        <f t="shared" si="90"/>
        <v>1.3327992475603352E-2</v>
      </c>
      <c r="AE109" s="259">
        <f t="shared" si="46"/>
        <v>71</v>
      </c>
      <c r="AF109" s="259" cm="1">
        <f t="array" ref="AF109">_xlfn.IFS(N109&lt;=AC109,W109*(3/(X109^3 - (X109-AB109)^3)),N109&gt;AC109,W109*(3/X109^3))</f>
        <v>1.3907663907257858E-11</v>
      </c>
      <c r="AG109" s="280">
        <f t="shared" si="53"/>
        <v>1.6592352989035226E-2</v>
      </c>
      <c r="AH109" s="281">
        <f t="shared" si="54"/>
        <v>-3.2643605134318743E-3</v>
      </c>
      <c r="AI109" s="282">
        <f t="shared" si="55"/>
        <v>124.49251467846508</v>
      </c>
    </row>
    <row r="110" spans="1:35" s="83" customFormat="1" x14ac:dyDescent="0.45">
      <c r="A110" s="83" t="s">
        <v>187</v>
      </c>
      <c r="B110" s="190" t="s">
        <v>188</v>
      </c>
      <c r="C110" s="191">
        <v>-5.92</v>
      </c>
      <c r="D110" s="192">
        <v>106.3</v>
      </c>
      <c r="E110" s="83" t="s">
        <v>14</v>
      </c>
      <c r="F110" s="83" t="s">
        <v>189</v>
      </c>
      <c r="G110" s="83">
        <v>-2.09</v>
      </c>
      <c r="H110" s="83">
        <v>500</v>
      </c>
      <c r="I110" s="83">
        <v>70.543200000000013</v>
      </c>
      <c r="J110" s="83">
        <f t="shared" si="79"/>
        <v>2.5566298493573374</v>
      </c>
      <c r="K110" s="83">
        <f t="shared" si="80"/>
        <v>392.69588220508831</v>
      </c>
      <c r="L110" s="193">
        <f t="shared" si="81"/>
        <v>231.64737607425457</v>
      </c>
      <c r="M110" s="83">
        <v>2016</v>
      </c>
      <c r="N110" s="83">
        <v>10</v>
      </c>
      <c r="O110" s="83">
        <v>67</v>
      </c>
      <c r="P110" s="194">
        <v>5439.5827200000003</v>
      </c>
      <c r="Q110" s="83">
        <v>8</v>
      </c>
      <c r="R110" s="83">
        <v>0.69148334600000005</v>
      </c>
      <c r="S110" s="83">
        <v>0.13235348158759747</v>
      </c>
      <c r="T110" s="83">
        <v>0.40079513344175099</v>
      </c>
      <c r="V110" s="193">
        <f t="shared" si="82"/>
        <v>1.6018030269994592E-7</v>
      </c>
      <c r="W110" s="193">
        <f t="shared" si="83"/>
        <v>1.6018030269994593E-6</v>
      </c>
      <c r="X110" s="83">
        <f t="shared" si="84"/>
        <v>66</v>
      </c>
      <c r="Y110" s="195">
        <f t="shared" si="85"/>
        <v>75.555247055450906</v>
      </c>
      <c r="Z110" s="195">
        <f t="shared" si="86"/>
        <v>8.7353297847814328</v>
      </c>
      <c r="AA110" s="193">
        <f t="shared" si="87"/>
        <v>1.6018030269994592E-2</v>
      </c>
      <c r="AB110" s="195">
        <f t="shared" si="88"/>
        <v>24.950402750968873</v>
      </c>
      <c r="AC110" s="195">
        <f t="shared" si="89"/>
        <v>26.452478807155565</v>
      </c>
      <c r="AD110" s="193">
        <f t="shared" si="90"/>
        <v>2.1092996787476621E-2</v>
      </c>
      <c r="AE110" s="259">
        <f t="shared" si="46"/>
        <v>71</v>
      </c>
      <c r="AF110" s="259" cm="1">
        <f t="array" ref="AF110">_xlfn.IFS(N110&lt;=AC110,W110*(3/(X110^3 - (X110-AB110)^3)),N110&gt;AC110,W110*(3/X110^3))</f>
        <v>2.2010389835834187E-11</v>
      </c>
      <c r="AG110" s="280">
        <f t="shared" si="53"/>
        <v>2.6259202121777497E-2</v>
      </c>
      <c r="AH110" s="281">
        <f t="shared" si="54"/>
        <v>-5.1662053343008753E-3</v>
      </c>
      <c r="AI110" s="282">
        <f t="shared" si="55"/>
        <v>124.49251467846507</v>
      </c>
    </row>
    <row r="111" spans="1:35" s="83" customFormat="1" x14ac:dyDescent="0.45">
      <c r="A111" s="83" t="s">
        <v>187</v>
      </c>
      <c r="B111" s="190" t="s">
        <v>188</v>
      </c>
      <c r="C111" s="191">
        <v>-5.91</v>
      </c>
      <c r="D111" s="192">
        <v>106.13</v>
      </c>
      <c r="E111" s="83" t="s">
        <v>14</v>
      </c>
      <c r="F111" s="83" t="s">
        <v>189</v>
      </c>
      <c r="G111" s="83">
        <v>-2.09</v>
      </c>
      <c r="H111" s="83">
        <v>500</v>
      </c>
      <c r="I111" s="83">
        <v>96.9</v>
      </c>
      <c r="J111" s="83">
        <f t="shared" si="79"/>
        <v>2.6944984700442998</v>
      </c>
      <c r="K111" s="83">
        <f t="shared" si="80"/>
        <v>539.41742061138496</v>
      </c>
      <c r="L111" s="193">
        <f t="shared" si="81"/>
        <v>318.19694515694306</v>
      </c>
      <c r="M111" s="83">
        <v>2016</v>
      </c>
      <c r="N111" s="83">
        <v>10</v>
      </c>
      <c r="O111" s="83">
        <v>67</v>
      </c>
      <c r="P111" s="194">
        <v>1657.6243200000001</v>
      </c>
      <c r="Q111" s="83">
        <v>15</v>
      </c>
      <c r="R111" s="83">
        <v>0.69148334600000005</v>
      </c>
      <c r="S111" s="83">
        <v>0.13142849355358946</v>
      </c>
      <c r="T111" s="83">
        <v>0.40427404815974699</v>
      </c>
      <c r="V111" s="193">
        <f t="shared" si="82"/>
        <v>2.2002788832410152E-7</v>
      </c>
      <c r="W111" s="193">
        <f t="shared" si="83"/>
        <v>2.2002788832410153E-6</v>
      </c>
      <c r="X111" s="83">
        <f t="shared" si="84"/>
        <v>66</v>
      </c>
      <c r="Y111" s="195">
        <f t="shared" si="85"/>
        <v>76.087001605344724</v>
      </c>
      <c r="Z111" s="195">
        <f t="shared" si="86"/>
        <v>8.6742805745369047</v>
      </c>
      <c r="AA111" s="193">
        <f t="shared" si="87"/>
        <v>2.2002788832410154E-2</v>
      </c>
      <c r="AB111" s="195">
        <f t="shared" si="88"/>
        <v>24.735696108914087</v>
      </c>
      <c r="AC111" s="195">
        <f t="shared" si="89"/>
        <v>26.682087178543302</v>
      </c>
      <c r="AD111" s="193">
        <f t="shared" si="90"/>
        <v>2.9119420542898962E-2</v>
      </c>
      <c r="AE111" s="259">
        <f t="shared" si="46"/>
        <v>71</v>
      </c>
      <c r="AF111" s="259" cm="1">
        <f t="array" ref="AF111">_xlfn.IFS(N111&lt;=AC111,W111*(3/(X111^3 - (X111-AB111)^3)),N111&gt;AC111,W111*(3/X111^3))</f>
        <v>3.0385905066052013E-11</v>
      </c>
      <c r="AG111" s="280">
        <f t="shared" si="53"/>
        <v>3.6251498893652478E-2</v>
      </c>
      <c r="AH111" s="281">
        <f t="shared" si="54"/>
        <v>-7.1320783507535165E-3</v>
      </c>
      <c r="AI111" s="282">
        <f t="shared" si="55"/>
        <v>124.49251467846511</v>
      </c>
    </row>
    <row r="112" spans="1:35" s="83" customFormat="1" x14ac:dyDescent="0.45">
      <c r="A112" s="83" t="s">
        <v>187</v>
      </c>
      <c r="B112" s="190" t="s">
        <v>188</v>
      </c>
      <c r="C112" s="191">
        <v>-5.91</v>
      </c>
      <c r="D112" s="192">
        <v>106.19</v>
      </c>
      <c r="E112" s="83" t="s">
        <v>14</v>
      </c>
      <c r="F112" s="83" t="s">
        <v>189</v>
      </c>
      <c r="G112" s="83">
        <v>-2.09</v>
      </c>
      <c r="H112" s="83">
        <v>500</v>
      </c>
      <c r="I112" s="83">
        <v>39.147599999999997</v>
      </c>
      <c r="J112" s="83">
        <f t="shared" si="79"/>
        <v>2.3008798351549049</v>
      </c>
      <c r="K112" s="83">
        <f t="shared" si="80"/>
        <v>217.92463792699945</v>
      </c>
      <c r="L112" s="193">
        <f t="shared" si="81"/>
        <v>128.55156584340494</v>
      </c>
      <c r="M112" s="83">
        <v>2016</v>
      </c>
      <c r="N112" s="83">
        <v>10</v>
      </c>
      <c r="O112" s="83">
        <v>67</v>
      </c>
      <c r="P112" s="194">
        <v>3395.7158399999998</v>
      </c>
      <c r="Q112" s="83">
        <v>18</v>
      </c>
      <c r="R112" s="83">
        <v>0.69148334600000005</v>
      </c>
      <c r="S112" s="83">
        <v>0.13103405168936957</v>
      </c>
      <c r="T112" s="83">
        <v>0.402337410078071</v>
      </c>
      <c r="V112" s="193">
        <f t="shared" si="82"/>
        <v>8.8891266882936977E-8</v>
      </c>
      <c r="W112" s="193">
        <f t="shared" si="83"/>
        <v>8.8891266882936974E-7</v>
      </c>
      <c r="X112" s="83">
        <f t="shared" si="84"/>
        <v>66</v>
      </c>
      <c r="Y112" s="195">
        <f t="shared" si="85"/>
        <v>76.316040533540729</v>
      </c>
      <c r="Z112" s="195">
        <f t="shared" si="86"/>
        <v>8.6482474114983923</v>
      </c>
      <c r="AA112" s="193">
        <f t="shared" si="87"/>
        <v>8.889126688293697E-3</v>
      </c>
      <c r="AB112" s="195">
        <f t="shared" si="88"/>
        <v>24.854760580328744</v>
      </c>
      <c r="AC112" s="195">
        <f t="shared" si="89"/>
        <v>26.554269065152685</v>
      </c>
      <c r="AD112" s="193">
        <f t="shared" si="90"/>
        <v>1.1731494842856361E-2</v>
      </c>
      <c r="AE112" s="259">
        <f t="shared" si="46"/>
        <v>71</v>
      </c>
      <c r="AF112" s="259" cm="1">
        <f t="array" ref="AF112">_xlfn.IFS(N112&lt;=AC112,W112*(3/(X112^3 - (X112-AB112)^3)),N112&gt;AC112,W112*(3/X112^3))</f>
        <v>1.2241730155747936E-11</v>
      </c>
      <c r="AG112" s="280">
        <f t="shared" si="53"/>
        <v>1.4604832939246332E-2</v>
      </c>
      <c r="AH112" s="281">
        <f t="shared" si="54"/>
        <v>-2.8733380963899702E-3</v>
      </c>
      <c r="AI112" s="282">
        <f t="shared" si="55"/>
        <v>124.49251467846508</v>
      </c>
    </row>
    <row r="113" spans="1:35" s="83" customFormat="1" x14ac:dyDescent="0.45">
      <c r="A113" s="83" t="s">
        <v>187</v>
      </c>
      <c r="B113" s="190" t="s">
        <v>188</v>
      </c>
      <c r="C113" s="191">
        <v>-5.91</v>
      </c>
      <c r="D113" s="192">
        <v>106.22</v>
      </c>
      <c r="E113" s="83" t="s">
        <v>14</v>
      </c>
      <c r="F113" s="83" t="s">
        <v>189</v>
      </c>
      <c r="G113" s="83">
        <v>-2.09</v>
      </c>
      <c r="H113" s="83">
        <v>500</v>
      </c>
      <c r="I113" s="83">
        <v>52.325999999999993</v>
      </c>
      <c r="J113" s="83">
        <f t="shared" si="79"/>
        <v>2.4268922298672684</v>
      </c>
      <c r="K113" s="83">
        <f t="shared" si="80"/>
        <v>291.2854071301478</v>
      </c>
      <c r="L113" s="193">
        <f t="shared" si="81"/>
        <v>171.82635038474919</v>
      </c>
      <c r="M113" s="83">
        <v>2016</v>
      </c>
      <c r="N113" s="83">
        <v>10</v>
      </c>
      <c r="O113" s="83">
        <v>67</v>
      </c>
      <c r="P113" s="194">
        <v>3443.9961600000001</v>
      </c>
      <c r="Q113" s="83">
        <v>19</v>
      </c>
      <c r="R113" s="83">
        <v>0.69148334600000005</v>
      </c>
      <c r="S113" s="83">
        <v>0.13090283430916907</v>
      </c>
      <c r="T113" s="83">
        <v>0.402337410078071</v>
      </c>
      <c r="V113" s="193">
        <f t="shared" si="82"/>
        <v>1.1881505969501478E-7</v>
      </c>
      <c r="W113" s="193">
        <f t="shared" si="83"/>
        <v>1.1881505969501478E-6</v>
      </c>
      <c r="X113" s="83">
        <f t="shared" si="84"/>
        <v>66</v>
      </c>
      <c r="Y113" s="195">
        <f t="shared" si="85"/>
        <v>76.392539953579529</v>
      </c>
      <c r="Z113" s="195">
        <f t="shared" si="86"/>
        <v>8.6395870644051591</v>
      </c>
      <c r="AA113" s="193">
        <f t="shared" si="87"/>
        <v>1.1881505969501478E-2</v>
      </c>
      <c r="AB113" s="195">
        <f t="shared" si="88"/>
        <v>24.854760580328744</v>
      </c>
      <c r="AC113" s="195">
        <f t="shared" si="89"/>
        <v>26.554269065152685</v>
      </c>
      <c r="AD113" s="193">
        <f t="shared" si="90"/>
        <v>1.5680710928570388E-2</v>
      </c>
      <c r="AE113" s="259">
        <f t="shared" si="46"/>
        <v>71</v>
      </c>
      <c r="AF113" s="259" cm="1">
        <f t="array" ref="AF113">_xlfn.IFS(N113&lt;=AC113,W113*(3/(X113^3 - (X113-AB113)^3)),N113&gt;AC113,W113*(3/X113^3))</f>
        <v>1.6362708624019521E-11</v>
      </c>
      <c r="AG113" s="280">
        <f t="shared" si="53"/>
        <v>1.9521311354438169E-2</v>
      </c>
      <c r="AH113" s="281">
        <f t="shared" si="54"/>
        <v>-3.8406004258677816E-3</v>
      </c>
      <c r="AI113" s="282">
        <f t="shared" si="55"/>
        <v>124.49251467846508</v>
      </c>
    </row>
    <row r="114" spans="1:35" s="83" customFormat="1" x14ac:dyDescent="0.45">
      <c r="A114" s="83" t="s">
        <v>187</v>
      </c>
      <c r="B114" s="190" t="s">
        <v>188</v>
      </c>
      <c r="C114" s="191">
        <v>-5.91</v>
      </c>
      <c r="D114" s="192">
        <v>106.16</v>
      </c>
      <c r="E114" s="83" t="s">
        <v>14</v>
      </c>
      <c r="F114" s="83" t="s">
        <v>189</v>
      </c>
      <c r="G114" s="83">
        <v>-2.09</v>
      </c>
      <c r="H114" s="83">
        <v>500</v>
      </c>
      <c r="I114" s="83">
        <v>93.024000000000001</v>
      </c>
      <c r="J114" s="83">
        <f t="shared" si="79"/>
        <v>2.6767697030838686</v>
      </c>
      <c r="K114" s="83">
        <f t="shared" si="80"/>
        <v>517.84072378692974</v>
      </c>
      <c r="L114" s="193">
        <f t="shared" si="81"/>
        <v>305.4690673506654</v>
      </c>
      <c r="M114" s="83">
        <v>2016</v>
      </c>
      <c r="N114" s="83">
        <v>10</v>
      </c>
      <c r="O114" s="83">
        <v>67</v>
      </c>
      <c r="P114" s="194">
        <v>1223.1014400000001</v>
      </c>
      <c r="Q114" s="83">
        <v>28</v>
      </c>
      <c r="R114" s="197">
        <v>0.69148334600000005</v>
      </c>
      <c r="S114" s="197">
        <v>0.12972777516826065</v>
      </c>
      <c r="T114" s="83">
        <v>0.40427404815974699</v>
      </c>
      <c r="V114" s="193">
        <f t="shared" si="82"/>
        <v>2.1122677279113749E-7</v>
      </c>
      <c r="W114" s="193">
        <f t="shared" si="83"/>
        <v>2.1122677279113749E-6</v>
      </c>
      <c r="X114" s="83">
        <f t="shared" si="84"/>
        <v>66</v>
      </c>
      <c r="Y114" s="195">
        <f t="shared" si="85"/>
        <v>77.084494720037497</v>
      </c>
      <c r="Z114" s="195">
        <f t="shared" si="86"/>
        <v>8.5620331611052034</v>
      </c>
      <c r="AA114" s="193">
        <f t="shared" si="87"/>
        <v>2.1122677279113749E-2</v>
      </c>
      <c r="AB114" s="195">
        <f t="shared" si="88"/>
        <v>24.735696108914087</v>
      </c>
      <c r="AC114" s="195">
        <f t="shared" si="89"/>
        <v>26.682087178543302</v>
      </c>
      <c r="AD114" s="193">
        <f t="shared" si="90"/>
        <v>2.7954643721183007E-2</v>
      </c>
      <c r="AE114" s="259">
        <f t="shared" si="46"/>
        <v>71</v>
      </c>
      <c r="AF114" s="259" cm="1">
        <f t="array" ref="AF114">_xlfn.IFS(N114&lt;=AC114,W114*(3/(X114^3 - (X114-AB114)^3)),N114&gt;AC114,W114*(3/X114^3))</f>
        <v>2.9170468863409934E-11</v>
      </c>
      <c r="AG114" s="280">
        <f t="shared" si="53"/>
        <v>3.4801438937906375E-2</v>
      </c>
      <c r="AH114" s="281">
        <f t="shared" si="54"/>
        <v>-6.8467952167233677E-3</v>
      </c>
      <c r="AI114" s="282">
        <f t="shared" si="55"/>
        <v>124.49251467846508</v>
      </c>
    </row>
    <row r="115" spans="1:35" s="83" customFormat="1" x14ac:dyDescent="0.45">
      <c r="A115" s="83" t="s">
        <v>187</v>
      </c>
      <c r="B115" s="190" t="s">
        <v>188</v>
      </c>
      <c r="C115" s="191">
        <v>-6</v>
      </c>
      <c r="D115" s="192">
        <v>106.22</v>
      </c>
      <c r="E115" s="83" t="s">
        <v>8</v>
      </c>
      <c r="F115" s="83" t="s">
        <v>192</v>
      </c>
      <c r="G115" s="83">
        <v>-1.77</v>
      </c>
      <c r="H115" s="83">
        <v>500</v>
      </c>
      <c r="I115" s="83">
        <v>68.521599999999992</v>
      </c>
      <c r="J115" s="83">
        <f t="shared" si="79"/>
        <v>2.6598721787434263</v>
      </c>
      <c r="K115" s="83">
        <f t="shared" ref="K115:K144" si="91" xml:space="preserve"> -1*10^J115*(G115+1)</f>
        <v>351.85433323438775</v>
      </c>
      <c r="L115" s="193">
        <f t="shared" ref="L115:L144" si="92">IF(E115="Fragments",0.000000097*K115*(5000^(4+G115)-1)/(4+G115),0.000106*K115*(5000^(2+G115)-1)/(2+G115))</f>
        <v>0.98785744757154503</v>
      </c>
      <c r="M115" s="83">
        <v>2016</v>
      </c>
      <c r="N115" s="83">
        <v>10</v>
      </c>
      <c r="O115" s="83">
        <v>67</v>
      </c>
      <c r="P115" s="194">
        <v>659.83104000000003</v>
      </c>
      <c r="Q115" s="83">
        <v>1</v>
      </c>
      <c r="R115" s="83">
        <v>0.69148334600000005</v>
      </c>
      <c r="S115" s="83">
        <v>0.13328497964724689</v>
      </c>
      <c r="T115" s="83">
        <v>0.401345361100783</v>
      </c>
      <c r="V115" s="193">
        <f t="shared" ref="V115:V144" si="93">L115*R115*0.000000001</f>
        <v>6.8308697321779163E-10</v>
      </c>
      <c r="W115" s="193">
        <f t="shared" ref="W115:W144" si="94">V115*N115</f>
        <v>6.8308697321779163E-9</v>
      </c>
      <c r="X115" s="83">
        <f t="shared" ref="X115:X144" si="95">M115-1950</f>
        <v>66</v>
      </c>
      <c r="Y115" s="195">
        <f t="shared" ref="Y115:Y144" si="96">N115/S115</f>
        <v>75.027208815772653</v>
      </c>
      <c r="Z115" s="195">
        <f t="shared" ref="Z115:Z144" si="97">S115*X115</f>
        <v>8.7968086567182944</v>
      </c>
      <c r="AA115" s="193">
        <f t="shared" ref="AA115:AA144" si="98">IF(N115&lt;Z115,W115/(1-(1-N115/Z115)^3),W115)*10000</f>
        <v>6.8308697321779161E-5</v>
      </c>
      <c r="AB115" s="195">
        <f t="shared" ref="AB115:AB144" si="99">N115/T115</f>
        <v>24.91619679513094</v>
      </c>
      <c r="AC115" s="195">
        <f t="shared" ref="AC115:AC144" si="100">T115*X115</f>
        <v>26.488793832651677</v>
      </c>
      <c r="AD115" s="193">
        <f t="shared" ref="AD115:AD144" si="101">IF(N115&lt;AC115,W115/(1-(1-N115/AC115)^3),W115)*10000</f>
        <v>9.0022190096272165E-5</v>
      </c>
      <c r="AE115" s="259">
        <f t="shared" si="46"/>
        <v>71</v>
      </c>
      <c r="AF115" s="259" cm="1">
        <f t="array" ref="AF115">_xlfn.IFS(N115&lt;=AC115,W115*(3/(X115^3 - (X115-AB115)^3)),N115&gt;AC115,W115*(3/X115^3))</f>
        <v>9.3937505317923203E-14</v>
      </c>
      <c r="AG115" s="280">
        <f t="shared" si="53"/>
        <v>1.1207088821947737E-4</v>
      </c>
      <c r="AH115" s="281">
        <f t="shared" si="54"/>
        <v>-2.2048698123205203E-5</v>
      </c>
      <c r="AI115" s="282">
        <f t="shared" si="55"/>
        <v>124.49251467846507</v>
      </c>
    </row>
    <row r="116" spans="1:35" s="83" customFormat="1" x14ac:dyDescent="0.45">
      <c r="A116" s="83" t="s">
        <v>187</v>
      </c>
      <c r="B116" s="190" t="s">
        <v>188</v>
      </c>
      <c r="C116" s="191">
        <v>-6</v>
      </c>
      <c r="D116" s="192">
        <v>106.13</v>
      </c>
      <c r="E116" s="83" t="s">
        <v>8</v>
      </c>
      <c r="F116" s="83" t="s">
        <v>192</v>
      </c>
      <c r="G116" s="83">
        <v>-1.77</v>
      </c>
      <c r="H116" s="83">
        <v>500</v>
      </c>
      <c r="I116" s="83">
        <v>123.26439999999999</v>
      </c>
      <c r="J116" s="83">
        <f t="shared" si="79"/>
        <v>2.9148823495096088</v>
      </c>
      <c r="K116" s="83">
        <f t="shared" si="91"/>
        <v>632.955349459687</v>
      </c>
      <c r="L116" s="193">
        <f t="shared" si="92"/>
        <v>1.7770696475335952</v>
      </c>
      <c r="M116" s="83">
        <v>2016</v>
      </c>
      <c r="N116" s="83">
        <v>10</v>
      </c>
      <c r="O116" s="83">
        <v>67</v>
      </c>
      <c r="P116" s="194">
        <v>2655.4175999999998</v>
      </c>
      <c r="Q116" s="83">
        <v>3</v>
      </c>
      <c r="R116" s="83">
        <v>0.69148334600000005</v>
      </c>
      <c r="S116" s="83">
        <v>0.13301817039062197</v>
      </c>
      <c r="T116" s="83">
        <v>0.38567531593546001</v>
      </c>
      <c r="V116" s="193">
        <f t="shared" si="93"/>
        <v>1.2288140659515712E-9</v>
      </c>
      <c r="W116" s="193">
        <f t="shared" si="94"/>
        <v>1.2288140659515712E-8</v>
      </c>
      <c r="X116" s="83">
        <f t="shared" si="95"/>
        <v>66</v>
      </c>
      <c r="Y116" s="195">
        <f t="shared" si="96"/>
        <v>75.177699186764784</v>
      </c>
      <c r="Z116" s="195">
        <f t="shared" si="97"/>
        <v>8.7791992457810508</v>
      </c>
      <c r="AA116" s="193">
        <f t="shared" si="98"/>
        <v>1.2288140659515712E-4</v>
      </c>
      <c r="AB116" s="195">
        <f t="shared" si="99"/>
        <v>25.92854555844437</v>
      </c>
      <c r="AC116" s="195">
        <f t="shared" si="100"/>
        <v>25.45457085174036</v>
      </c>
      <c r="AD116" s="193">
        <f t="shared" si="101"/>
        <v>1.5831293761400962E-4</v>
      </c>
      <c r="AE116" s="259">
        <f t="shared" si="46"/>
        <v>71</v>
      </c>
      <c r="AF116" s="259" cm="1">
        <f t="array" ref="AF116">_xlfn.IFS(N116&lt;=AC116,W116*(3/(X116^3 - (X116-AB116)^3)),N116&gt;AC116,W116*(3/X116^3))</f>
        <v>1.6519840722724105E-13</v>
      </c>
      <c r="AG116" s="280">
        <f t="shared" si="53"/>
        <v>1.9708775709703026E-4</v>
      </c>
      <c r="AH116" s="281">
        <f t="shared" si="54"/>
        <v>-3.8774819483020632E-5</v>
      </c>
      <c r="AI116" s="282">
        <f t="shared" si="55"/>
        <v>124.49251467846513</v>
      </c>
    </row>
    <row r="117" spans="1:35" s="83" customFormat="1" x14ac:dyDescent="0.45">
      <c r="A117" s="83" t="s">
        <v>187</v>
      </c>
      <c r="B117" s="190" t="s">
        <v>188</v>
      </c>
      <c r="C117" s="191">
        <v>-6</v>
      </c>
      <c r="D117" s="192">
        <v>106.19</v>
      </c>
      <c r="E117" s="83" t="s">
        <v>8</v>
      </c>
      <c r="F117" s="83" t="s">
        <v>192</v>
      </c>
      <c r="G117" s="83">
        <v>-1.77</v>
      </c>
      <c r="H117" s="83">
        <v>500</v>
      </c>
      <c r="I117" s="83">
        <v>153.80119999999999</v>
      </c>
      <c r="J117" s="83">
        <f t="shared" si="79"/>
        <v>3.0110044073902911</v>
      </c>
      <c r="K117" s="83">
        <f t="shared" si="91"/>
        <v>789.75999796631606</v>
      </c>
      <c r="L117" s="193">
        <f t="shared" si="92"/>
        <v>2.2173104665600438</v>
      </c>
      <c r="M117" s="83">
        <v>2016</v>
      </c>
      <c r="N117" s="83">
        <v>10</v>
      </c>
      <c r="O117" s="83">
        <v>67</v>
      </c>
      <c r="P117" s="194">
        <v>1705.9046400000002</v>
      </c>
      <c r="Q117" s="83">
        <v>5</v>
      </c>
      <c r="R117" s="83">
        <v>0.69148334600000005</v>
      </c>
      <c r="S117" s="83">
        <v>0.13275189523153463</v>
      </c>
      <c r="T117" s="83">
        <v>0.401345361100783</v>
      </c>
      <c r="V117" s="193">
        <f t="shared" si="93"/>
        <v>1.5332332605377604E-9</v>
      </c>
      <c r="W117" s="193">
        <f t="shared" si="94"/>
        <v>1.5332332605377605E-8</v>
      </c>
      <c r="X117" s="83">
        <f t="shared" si="95"/>
        <v>66</v>
      </c>
      <c r="Y117" s="195">
        <f t="shared" si="96"/>
        <v>75.328491412938746</v>
      </c>
      <c r="Z117" s="195">
        <f t="shared" si="97"/>
        <v>8.7616250852812865</v>
      </c>
      <c r="AA117" s="193">
        <f t="shared" si="98"/>
        <v>1.5332332605377604E-4</v>
      </c>
      <c r="AB117" s="195">
        <f t="shared" si="99"/>
        <v>24.91619679513094</v>
      </c>
      <c r="AC117" s="195">
        <f t="shared" si="100"/>
        <v>26.488793832651677</v>
      </c>
      <c r="AD117" s="193">
        <f t="shared" si="101"/>
        <v>2.0206067668348046E-4</v>
      </c>
      <c r="AE117" s="259">
        <f t="shared" si="46"/>
        <v>71</v>
      </c>
      <c r="AF117" s="259" cm="1">
        <f t="array" ref="AF117">_xlfn.IFS(N117&lt;=AC117,W117*(3/(X117^3 - (X117-AB117)^3)),N117&gt;AC117,W117*(3/X117^3))</f>
        <v>2.108488570451211E-13</v>
      </c>
      <c r="AG117" s="280">
        <f t="shared" si="53"/>
        <v>2.5155041757958779E-4</v>
      </c>
      <c r="AH117" s="281">
        <f t="shared" si="54"/>
        <v>-4.9489740896107323E-5</v>
      </c>
      <c r="AI117" s="282">
        <f t="shared" si="55"/>
        <v>124.49251467846508</v>
      </c>
    </row>
    <row r="118" spans="1:35" s="83" customFormat="1" x14ac:dyDescent="0.45">
      <c r="A118" s="83" t="s">
        <v>187</v>
      </c>
      <c r="B118" s="190" t="s">
        <v>188</v>
      </c>
      <c r="C118" s="191">
        <v>-6</v>
      </c>
      <c r="D118" s="192">
        <v>106.16</v>
      </c>
      <c r="E118" s="83" t="s">
        <v>8</v>
      </c>
      <c r="F118" s="83" t="s">
        <v>192</v>
      </c>
      <c r="G118" s="83">
        <v>-1.77</v>
      </c>
      <c r="H118" s="83">
        <v>500</v>
      </c>
      <c r="I118" s="83">
        <v>159.75960000000001</v>
      </c>
      <c r="J118" s="83">
        <f t="shared" si="79"/>
        <v>3.0275116479186144</v>
      </c>
      <c r="K118" s="83">
        <f t="shared" si="91"/>
        <v>820.35602694321983</v>
      </c>
      <c r="L118" s="193">
        <f t="shared" si="92"/>
        <v>2.3032111141749625</v>
      </c>
      <c r="M118" s="83">
        <v>2016</v>
      </c>
      <c r="N118" s="83">
        <v>10</v>
      </c>
      <c r="O118" s="83">
        <v>67</v>
      </c>
      <c r="P118" s="194">
        <v>531.08352000000002</v>
      </c>
      <c r="Q118" s="83">
        <v>5</v>
      </c>
      <c r="R118" s="83">
        <v>0.69148334600000005</v>
      </c>
      <c r="S118" s="83">
        <v>0.13275189523153463</v>
      </c>
      <c r="T118" s="83">
        <v>0.38567531593546001</v>
      </c>
      <c r="V118" s="193">
        <f t="shared" si="93"/>
        <v>1.5926321277740912E-9</v>
      </c>
      <c r="W118" s="193">
        <f t="shared" si="94"/>
        <v>1.5926321277740912E-8</v>
      </c>
      <c r="X118" s="83">
        <f t="shared" si="95"/>
        <v>66</v>
      </c>
      <c r="Y118" s="195">
        <f t="shared" si="96"/>
        <v>75.328491412938746</v>
      </c>
      <c r="Z118" s="195">
        <f t="shared" si="97"/>
        <v>8.7616250852812865</v>
      </c>
      <c r="AA118" s="193">
        <f t="shared" si="98"/>
        <v>1.5926321277740912E-4</v>
      </c>
      <c r="AB118" s="195">
        <f t="shared" si="99"/>
        <v>25.92854555844437</v>
      </c>
      <c r="AC118" s="195">
        <f t="shared" si="100"/>
        <v>25.45457085174036</v>
      </c>
      <c r="AD118" s="193">
        <f t="shared" si="101"/>
        <v>2.0518504603145058E-4</v>
      </c>
      <c r="AE118" s="259">
        <f t="shared" si="46"/>
        <v>71</v>
      </c>
      <c r="AF118" s="259" cm="1">
        <f t="array" ref="AF118">_xlfn.IFS(N118&lt;=AC118,W118*(3/(X118^3 - (X118-AB118)^3)),N118&gt;AC118,W118*(3/X118^3))</f>
        <v>2.1410911389875053E-13</v>
      </c>
      <c r="AG118" s="280">
        <f t="shared" si="53"/>
        <v>2.5544002354871897E-4</v>
      </c>
      <c r="AH118" s="281">
        <f t="shared" si="54"/>
        <v>-5.0254977517268394E-5</v>
      </c>
      <c r="AI118" s="282">
        <f t="shared" si="55"/>
        <v>124.4925146784651</v>
      </c>
    </row>
    <row r="119" spans="1:35" s="83" customFormat="1" x14ac:dyDescent="0.45">
      <c r="A119" s="83" t="s">
        <v>187</v>
      </c>
      <c r="B119" s="190" t="s">
        <v>188</v>
      </c>
      <c r="C119" s="191">
        <v>-5.97</v>
      </c>
      <c r="D119" s="192">
        <v>106.22</v>
      </c>
      <c r="E119" s="83" t="s">
        <v>8</v>
      </c>
      <c r="F119" s="83" t="s">
        <v>192</v>
      </c>
      <c r="G119" s="83">
        <v>-1.77</v>
      </c>
      <c r="H119" s="83">
        <v>500</v>
      </c>
      <c r="I119" s="83">
        <v>109.48560000000001</v>
      </c>
      <c r="J119" s="83">
        <f t="shared" si="79"/>
        <v>2.8634016861460472</v>
      </c>
      <c r="K119" s="83">
        <f t="shared" si="91"/>
        <v>562.20203245059747</v>
      </c>
      <c r="L119" s="193">
        <f t="shared" si="92"/>
        <v>1.5784243999240981</v>
      </c>
      <c r="M119" s="83">
        <v>2016</v>
      </c>
      <c r="N119" s="83">
        <v>10</v>
      </c>
      <c r="O119" s="83">
        <v>67</v>
      </c>
      <c r="P119" s="194">
        <v>2687.60448</v>
      </c>
      <c r="Q119" s="83">
        <v>6</v>
      </c>
      <c r="R119" s="83">
        <v>0.69148334600000005</v>
      </c>
      <c r="S119" s="83">
        <v>0.13261895760437328</v>
      </c>
      <c r="T119" s="83">
        <v>0.401345361100783</v>
      </c>
      <c r="V119" s="193">
        <f t="shared" si="93"/>
        <v>1.0914541854675578E-9</v>
      </c>
      <c r="W119" s="193">
        <f t="shared" si="94"/>
        <v>1.0914541854675578E-8</v>
      </c>
      <c r="X119" s="83">
        <f t="shared" si="95"/>
        <v>66</v>
      </c>
      <c r="Y119" s="195">
        <f t="shared" si="96"/>
        <v>75.404000910879105</v>
      </c>
      <c r="Z119" s="195">
        <f t="shared" si="97"/>
        <v>8.7528512018886371</v>
      </c>
      <c r="AA119" s="193">
        <f t="shared" si="98"/>
        <v>1.0914541854675578E-4</v>
      </c>
      <c r="AB119" s="195">
        <f t="shared" si="99"/>
        <v>24.91619679513094</v>
      </c>
      <c r="AC119" s="195">
        <f t="shared" si="100"/>
        <v>26.488793832651677</v>
      </c>
      <c r="AD119" s="193">
        <f t="shared" si="101"/>
        <v>1.4383980374078263E-4</v>
      </c>
      <c r="AE119" s="259">
        <f t="shared" si="46"/>
        <v>71</v>
      </c>
      <c r="AF119" s="259" cm="1">
        <f t="array" ref="AF119">_xlfn.IFS(N119&lt;=AC119,W119*(3/(X119^3 - (X119-AB119)^3)),N119&gt;AC119,W119*(3/X119^3))</f>
        <v>1.500957965405946E-13</v>
      </c>
      <c r="AG119" s="280">
        <f t="shared" si="53"/>
        <v>1.7906978878546917E-4</v>
      </c>
      <c r="AH119" s="281">
        <f t="shared" si="54"/>
        <v>-3.5229985044686536E-5</v>
      </c>
      <c r="AI119" s="282">
        <f t="shared" si="55"/>
        <v>124.49251467846507</v>
      </c>
    </row>
    <row r="120" spans="1:35" s="83" customFormat="1" x14ac:dyDescent="0.45">
      <c r="A120" s="83" t="s">
        <v>187</v>
      </c>
      <c r="B120" s="190" t="s">
        <v>188</v>
      </c>
      <c r="C120" s="191">
        <v>-5.97</v>
      </c>
      <c r="D120" s="192">
        <v>106.19</v>
      </c>
      <c r="E120" s="83" t="s">
        <v>8</v>
      </c>
      <c r="F120" s="83" t="s">
        <v>192</v>
      </c>
      <c r="G120" s="83">
        <v>-1.77</v>
      </c>
      <c r="H120" s="83">
        <v>500</v>
      </c>
      <c r="I120" s="83">
        <v>61.445999999999998</v>
      </c>
      <c r="J120" s="83">
        <f t="shared" si="79"/>
        <v>2.6125382999477962</v>
      </c>
      <c r="K120" s="83">
        <f t="shared" si="91"/>
        <v>315.52154882431489</v>
      </c>
      <c r="L120" s="193">
        <f t="shared" si="92"/>
        <v>0.88585042852883045</v>
      </c>
      <c r="M120" s="83">
        <v>2016</v>
      </c>
      <c r="N120" s="83">
        <v>10</v>
      </c>
      <c r="O120" s="83">
        <v>67</v>
      </c>
      <c r="P120" s="194">
        <v>4618.8172800000002</v>
      </c>
      <c r="Q120" s="83">
        <v>7</v>
      </c>
      <c r="R120" s="83">
        <v>0.69148334600000005</v>
      </c>
      <c r="S120" s="83">
        <v>0.13248615310083081</v>
      </c>
      <c r="T120" s="83">
        <v>0.401345361100783</v>
      </c>
      <c r="V120" s="193">
        <f t="shared" si="93"/>
        <v>6.125508183746496E-10</v>
      </c>
      <c r="W120" s="193">
        <f t="shared" si="94"/>
        <v>6.1255081837464958E-9</v>
      </c>
      <c r="X120" s="83">
        <f t="shared" si="95"/>
        <v>66</v>
      </c>
      <c r="Y120" s="195">
        <f t="shared" si="96"/>
        <v>75.479586099758905</v>
      </c>
      <c r="Z120" s="195">
        <f t="shared" si="97"/>
        <v>8.7440861046548335</v>
      </c>
      <c r="AA120" s="193">
        <f t="shared" si="98"/>
        <v>6.1255081837464955E-5</v>
      </c>
      <c r="AB120" s="195">
        <f t="shared" si="99"/>
        <v>24.91619679513094</v>
      </c>
      <c r="AC120" s="195">
        <f t="shared" si="100"/>
        <v>26.488793832651677</v>
      </c>
      <c r="AD120" s="193">
        <f t="shared" si="101"/>
        <v>8.0726420466765733E-5</v>
      </c>
      <c r="AE120" s="259">
        <f t="shared" si="46"/>
        <v>71</v>
      </c>
      <c r="AF120" s="259" cm="1">
        <f t="array" ref="AF120">_xlfn.IFS(N120&lt;=AC120,W120*(3/(X120^3 - (X120-AB120)^3)),N120&gt;AC120,W120*(3/X120^3))</f>
        <v>8.4237436834007147E-14</v>
      </c>
      <c r="AG120" s="280">
        <f t="shared" si="53"/>
        <v>1.0049835084898777E-4</v>
      </c>
      <c r="AH120" s="281">
        <f t="shared" si="54"/>
        <v>-1.977193038222204E-5</v>
      </c>
      <c r="AI120" s="282">
        <f t="shared" si="55"/>
        <v>124.49251467846508</v>
      </c>
    </row>
    <row r="121" spans="1:35" s="83" customFormat="1" x14ac:dyDescent="0.45">
      <c r="A121" s="83" t="s">
        <v>187</v>
      </c>
      <c r="B121" s="190" t="s">
        <v>188</v>
      </c>
      <c r="C121" s="191">
        <v>-5.97</v>
      </c>
      <c r="D121" s="192">
        <v>106.13</v>
      </c>
      <c r="E121" s="83" t="s">
        <v>8</v>
      </c>
      <c r="F121" s="83" t="s">
        <v>192</v>
      </c>
      <c r="G121" s="83">
        <v>-1.77</v>
      </c>
      <c r="H121" s="83">
        <v>500</v>
      </c>
      <c r="I121" s="83">
        <v>112.8372</v>
      </c>
      <c r="J121" s="83">
        <f t="shared" si="79"/>
        <v>2.8764969842361952</v>
      </c>
      <c r="K121" s="83">
        <f t="shared" si="91"/>
        <v>579.41229875010606</v>
      </c>
      <c r="L121" s="193">
        <f t="shared" si="92"/>
        <v>1.6267435142074902</v>
      </c>
      <c r="M121" s="83">
        <v>2016</v>
      </c>
      <c r="N121" s="83">
        <v>10</v>
      </c>
      <c r="O121" s="83">
        <v>67</v>
      </c>
      <c r="P121" s="194">
        <v>2462.2963199999999</v>
      </c>
      <c r="Q121" s="83">
        <v>7</v>
      </c>
      <c r="R121" s="83">
        <v>0.69148334600000005</v>
      </c>
      <c r="S121" s="83">
        <v>0.13248615310083081</v>
      </c>
      <c r="T121" s="83">
        <v>0.38567531593546001</v>
      </c>
      <c r="V121" s="193">
        <f t="shared" si="93"/>
        <v>1.1248660482879941E-9</v>
      </c>
      <c r="W121" s="193">
        <f t="shared" si="94"/>
        <v>1.124866048287994E-8</v>
      </c>
      <c r="X121" s="83">
        <f t="shared" si="95"/>
        <v>66</v>
      </c>
      <c r="Y121" s="195">
        <f t="shared" si="96"/>
        <v>75.479586099758905</v>
      </c>
      <c r="Z121" s="195">
        <f t="shared" si="97"/>
        <v>8.7440861046548335</v>
      </c>
      <c r="AA121" s="193">
        <f t="shared" si="98"/>
        <v>1.124866048287994E-4</v>
      </c>
      <c r="AB121" s="195">
        <f t="shared" si="99"/>
        <v>25.92854555844437</v>
      </c>
      <c r="AC121" s="195">
        <f t="shared" si="100"/>
        <v>25.45457085174036</v>
      </c>
      <c r="AD121" s="193">
        <f t="shared" si="101"/>
        <v>1.4492090663759791E-4</v>
      </c>
      <c r="AE121" s="259">
        <f t="shared" si="46"/>
        <v>71</v>
      </c>
      <c r="AF121" s="259" cm="1">
        <f t="array" ref="AF121">_xlfn.IFS(N121&lt;=AC121,W121*(3/(X121^3 - (X121-AB121)^3)),N121&gt;AC121,W121*(3/X121^3))</f>
        <v>1.5122391960680975E-13</v>
      </c>
      <c r="AG121" s="280">
        <f t="shared" si="53"/>
        <v>1.8041568096797628E-4</v>
      </c>
      <c r="AH121" s="281">
        <f t="shared" si="54"/>
        <v>-3.5494774330378364E-5</v>
      </c>
      <c r="AI121" s="282">
        <f t="shared" si="55"/>
        <v>124.49251467846508</v>
      </c>
    </row>
    <row r="122" spans="1:35" s="83" customFormat="1" x14ac:dyDescent="0.45">
      <c r="A122" s="83" t="s">
        <v>187</v>
      </c>
      <c r="B122" s="190" t="s">
        <v>188</v>
      </c>
      <c r="C122" s="191">
        <v>-5.97</v>
      </c>
      <c r="D122" s="192">
        <v>106.16</v>
      </c>
      <c r="E122" s="83" t="s">
        <v>8</v>
      </c>
      <c r="F122" s="83" t="s">
        <v>192</v>
      </c>
      <c r="G122" s="83">
        <v>-1.77</v>
      </c>
      <c r="H122" s="83">
        <v>500</v>
      </c>
      <c r="I122" s="83">
        <v>113.95439999999999</v>
      </c>
      <c r="J122" s="83">
        <f t="shared" si="79"/>
        <v>2.88077578221547</v>
      </c>
      <c r="K122" s="83">
        <f t="shared" si="91"/>
        <v>585.14905418327555</v>
      </c>
      <c r="L122" s="193">
        <f t="shared" si="92"/>
        <v>1.6428498856352876</v>
      </c>
      <c r="M122" s="83">
        <v>2016</v>
      </c>
      <c r="N122" s="83">
        <v>10</v>
      </c>
      <c r="O122" s="83">
        <v>67</v>
      </c>
      <c r="P122" s="194">
        <v>1625.4374400000002</v>
      </c>
      <c r="Q122" s="83">
        <v>8</v>
      </c>
      <c r="R122" s="83">
        <v>0.69148334600000005</v>
      </c>
      <c r="S122" s="83">
        <v>0.13235348158759747</v>
      </c>
      <c r="T122" s="83">
        <v>0.38567531593546001</v>
      </c>
      <c r="V122" s="193">
        <f t="shared" si="93"/>
        <v>1.1360033358948062E-9</v>
      </c>
      <c r="W122" s="193">
        <f t="shared" si="94"/>
        <v>1.1360033358948063E-8</v>
      </c>
      <c r="X122" s="83">
        <f t="shared" si="95"/>
        <v>66</v>
      </c>
      <c r="Y122" s="195">
        <f t="shared" si="96"/>
        <v>75.555247055450906</v>
      </c>
      <c r="Z122" s="195">
        <f t="shared" si="97"/>
        <v>8.7353297847814328</v>
      </c>
      <c r="AA122" s="193">
        <f t="shared" si="98"/>
        <v>1.1360033358948063E-4</v>
      </c>
      <c r="AB122" s="195">
        <f t="shared" si="99"/>
        <v>25.92854555844437</v>
      </c>
      <c r="AC122" s="195">
        <f t="shared" si="100"/>
        <v>25.45457085174036</v>
      </c>
      <c r="AD122" s="193">
        <f t="shared" si="101"/>
        <v>1.4635576709935637E-4</v>
      </c>
      <c r="AE122" s="259">
        <f t="shared" si="46"/>
        <v>71</v>
      </c>
      <c r="AF122" s="259" cm="1">
        <f t="array" ref="AF122">_xlfn.IFS(N122&lt;=AC122,W122*(3/(X122^3 - (X122-AB122)^3)),N122&gt;AC122,W122*(3/X122^3))</f>
        <v>1.527211861375703E-13</v>
      </c>
      <c r="AG122" s="280">
        <f t="shared" si="53"/>
        <v>1.8220197483894644E-4</v>
      </c>
      <c r="AH122" s="281">
        <f t="shared" si="54"/>
        <v>-3.5846207739590065E-5</v>
      </c>
      <c r="AI122" s="282">
        <f t="shared" si="55"/>
        <v>124.49251467846511</v>
      </c>
    </row>
    <row r="123" spans="1:35" s="83" customFormat="1" x14ac:dyDescent="0.45">
      <c r="A123" s="83" t="s">
        <v>187</v>
      </c>
      <c r="B123" s="190" t="s">
        <v>188</v>
      </c>
      <c r="C123" s="191">
        <v>-5.96</v>
      </c>
      <c r="D123" s="192">
        <v>106.27</v>
      </c>
      <c r="E123" s="83" t="s">
        <v>8</v>
      </c>
      <c r="F123" s="83" t="s">
        <v>192</v>
      </c>
      <c r="G123" s="83">
        <v>-1.77</v>
      </c>
      <c r="H123" s="83">
        <v>500</v>
      </c>
      <c r="I123" s="83">
        <v>78.948799999999991</v>
      </c>
      <c r="J123" s="83">
        <f t="shared" si="79"/>
        <v>2.7213902166626416</v>
      </c>
      <c r="K123" s="83">
        <f t="shared" si="91"/>
        <v>405.39738394396863</v>
      </c>
      <c r="L123" s="193">
        <f t="shared" si="92"/>
        <v>1.1381835808976499</v>
      </c>
      <c r="M123" s="83">
        <v>2016</v>
      </c>
      <c r="N123" s="83">
        <v>10</v>
      </c>
      <c r="O123" s="83">
        <v>67</v>
      </c>
      <c r="P123" s="194">
        <v>354.05568</v>
      </c>
      <c r="Q123" s="83">
        <v>1</v>
      </c>
      <c r="R123" s="83">
        <v>0.69148334600000005</v>
      </c>
      <c r="S123" s="83">
        <v>0.13328497964724689</v>
      </c>
      <c r="T123" s="83">
        <v>0.40079513344175099</v>
      </c>
      <c r="V123" s="193">
        <f t="shared" si="93"/>
        <v>7.8703499088136882E-10</v>
      </c>
      <c r="W123" s="193">
        <f t="shared" si="94"/>
        <v>7.8703499088136882E-9</v>
      </c>
      <c r="X123" s="83">
        <f t="shared" si="95"/>
        <v>66</v>
      </c>
      <c r="Y123" s="195">
        <f t="shared" si="96"/>
        <v>75.027208815772653</v>
      </c>
      <c r="Z123" s="195">
        <f t="shared" si="97"/>
        <v>8.7968086567182944</v>
      </c>
      <c r="AA123" s="193">
        <f t="shared" si="98"/>
        <v>7.8703499088136889E-5</v>
      </c>
      <c r="AB123" s="195">
        <f t="shared" si="99"/>
        <v>24.950402750968873</v>
      </c>
      <c r="AC123" s="195">
        <f t="shared" si="100"/>
        <v>26.452478807155565</v>
      </c>
      <c r="AD123" s="193">
        <f t="shared" si="101"/>
        <v>1.0363900089132501E-4</v>
      </c>
      <c r="AE123" s="259">
        <f t="shared" si="46"/>
        <v>71</v>
      </c>
      <c r="AF123" s="259" cm="1">
        <f t="array" ref="AF123">_xlfn.IFS(N123&lt;=AC123,W123*(3/(X123^3 - (X123-AB123)^3)),N123&gt;AC123,W123*(3/X123^3))</f>
        <v>1.0814654905597816E-13</v>
      </c>
      <c r="AG123" s="280">
        <f t="shared" si="53"/>
        <v>1.2902279839724733E-4</v>
      </c>
      <c r="AH123" s="281">
        <f t="shared" si="54"/>
        <v>-2.5383797505922328E-5</v>
      </c>
      <c r="AI123" s="282">
        <f t="shared" si="55"/>
        <v>124.49251467846507</v>
      </c>
    </row>
    <row r="124" spans="1:35" s="83" customFormat="1" x14ac:dyDescent="0.45">
      <c r="A124" s="83" t="s">
        <v>187</v>
      </c>
      <c r="B124" s="190" t="s">
        <v>188</v>
      </c>
      <c r="C124" s="191">
        <v>-5.95</v>
      </c>
      <c r="D124" s="192">
        <v>106.16</v>
      </c>
      <c r="E124" s="83" t="s">
        <v>8</v>
      </c>
      <c r="F124" s="83" t="s">
        <v>192</v>
      </c>
      <c r="G124" s="83">
        <v>-1.77</v>
      </c>
      <c r="H124" s="83">
        <v>500</v>
      </c>
      <c r="I124" s="83">
        <v>72.245599999999996</v>
      </c>
      <c r="J124" s="83">
        <f t="shared" si="79"/>
        <v>2.6828560856641159</v>
      </c>
      <c r="K124" s="83">
        <f t="shared" si="91"/>
        <v>370.97685134495225</v>
      </c>
      <c r="L124" s="193">
        <f t="shared" si="92"/>
        <v>1.041545352330868</v>
      </c>
      <c r="M124" s="83">
        <v>2016</v>
      </c>
      <c r="N124" s="83">
        <v>10</v>
      </c>
      <c r="O124" s="83">
        <v>67</v>
      </c>
      <c r="P124" s="194">
        <v>740.29824000000008</v>
      </c>
      <c r="Q124" s="83">
        <v>11</v>
      </c>
      <c r="R124" s="83">
        <v>0.69148334600000005</v>
      </c>
      <c r="S124" s="83">
        <v>0.13195626365865479</v>
      </c>
      <c r="T124" s="83">
        <v>0.38567531593546001</v>
      </c>
      <c r="V124" s="193">
        <f t="shared" si="93"/>
        <v>7.2021126524049758E-10</v>
      </c>
      <c r="W124" s="193">
        <f t="shared" si="94"/>
        <v>7.2021126524049756E-9</v>
      </c>
      <c r="X124" s="83">
        <f t="shared" si="95"/>
        <v>66</v>
      </c>
      <c r="Y124" s="195">
        <f t="shared" si="96"/>
        <v>75.782685283269743</v>
      </c>
      <c r="Z124" s="195">
        <f t="shared" si="97"/>
        <v>8.7091134014712157</v>
      </c>
      <c r="AA124" s="193">
        <f t="shared" si="98"/>
        <v>7.2021126524049762E-5</v>
      </c>
      <c r="AB124" s="195">
        <f t="shared" si="99"/>
        <v>25.92854555844437</v>
      </c>
      <c r="AC124" s="195">
        <f t="shared" si="100"/>
        <v>25.45457085174036</v>
      </c>
      <c r="AD124" s="193">
        <f t="shared" si="101"/>
        <v>9.2787643193709506E-5</v>
      </c>
      <c r="AE124" s="259">
        <f t="shared" si="46"/>
        <v>71</v>
      </c>
      <c r="AF124" s="259" cm="1">
        <f t="array" ref="AF124">_xlfn.IFS(N124&lt;=AC124,W124*(3/(X124^3 - (X124-AB124)^3)),N124&gt;AC124,W124*(3/X124^3))</f>
        <v>9.6823235655845151E-14</v>
      </c>
      <c r="AG124" s="280">
        <f t="shared" si="53"/>
        <v>1.1551367032273065E-4</v>
      </c>
      <c r="AH124" s="281">
        <f t="shared" si="54"/>
        <v>-2.2726027129021142E-5</v>
      </c>
      <c r="AI124" s="282">
        <f t="shared" si="55"/>
        <v>124.49251467846511</v>
      </c>
    </row>
    <row r="125" spans="1:35" s="83" customFormat="1" x14ac:dyDescent="0.45">
      <c r="A125" s="83" t="s">
        <v>187</v>
      </c>
      <c r="B125" s="190" t="s">
        <v>188</v>
      </c>
      <c r="C125" s="191">
        <v>-5.95</v>
      </c>
      <c r="D125" s="192">
        <v>106.37</v>
      </c>
      <c r="E125" s="83" t="s">
        <v>8</v>
      </c>
      <c r="F125" s="83" t="s">
        <v>192</v>
      </c>
      <c r="G125" s="83">
        <v>-1.77</v>
      </c>
      <c r="H125" s="83">
        <v>500</v>
      </c>
      <c r="I125" s="83">
        <v>160.5044</v>
      </c>
      <c r="J125" s="83">
        <f t="shared" si="79"/>
        <v>3.0295316258946214</v>
      </c>
      <c r="K125" s="83">
        <f t="shared" si="91"/>
        <v>824.18053056533165</v>
      </c>
      <c r="L125" s="193">
        <f t="shared" si="92"/>
        <v>2.313948695126824</v>
      </c>
      <c r="M125" s="83">
        <v>2016</v>
      </c>
      <c r="N125" s="83">
        <v>10</v>
      </c>
      <c r="O125" s="83">
        <v>67</v>
      </c>
      <c r="P125" s="194">
        <v>1770.2784000000001</v>
      </c>
      <c r="Q125" s="83">
        <v>4</v>
      </c>
      <c r="R125" s="83">
        <v>0.69148334600000005</v>
      </c>
      <c r="S125" s="83">
        <v>0.13288496611575845</v>
      </c>
      <c r="T125" s="83">
        <v>0.402378163545416</v>
      </c>
      <c r="V125" s="193">
        <f t="shared" si="93"/>
        <v>1.6000569861786303E-9</v>
      </c>
      <c r="W125" s="193">
        <f t="shared" si="94"/>
        <v>1.6000569861786303E-8</v>
      </c>
      <c r="X125" s="83">
        <f t="shared" si="95"/>
        <v>66</v>
      </c>
      <c r="Y125" s="195">
        <f t="shared" si="96"/>
        <v>75.253057530140936</v>
      </c>
      <c r="Z125" s="195">
        <f t="shared" si="97"/>
        <v>8.7704077636400584</v>
      </c>
      <c r="AA125" s="193">
        <f t="shared" si="98"/>
        <v>1.6000569861786303E-4</v>
      </c>
      <c r="AB125" s="195">
        <f t="shared" si="99"/>
        <v>24.852243252686623</v>
      </c>
      <c r="AC125" s="195">
        <f t="shared" si="100"/>
        <v>26.556958793997456</v>
      </c>
      <c r="AD125" s="193">
        <f t="shared" si="101"/>
        <v>2.1118117382915307E-4</v>
      </c>
      <c r="AE125" s="259">
        <f t="shared" si="46"/>
        <v>71</v>
      </c>
      <c r="AF125" s="259" cm="1">
        <f t="array" ref="AF125">_xlfn.IFS(N125&lt;=AC125,W125*(3/(X125^3 - (X125-AB125)^3)),N125&gt;AC125,W125*(3/X125^3))</f>
        <v>2.2036602995779399E-13</v>
      </c>
      <c r="AG125" s="280">
        <f t="shared" si="53"/>
        <v>2.6290475382741336E-4</v>
      </c>
      <c r="AH125" s="281">
        <f t="shared" si="54"/>
        <v>-5.1723579998260295E-5</v>
      </c>
      <c r="AI125" s="282">
        <f t="shared" si="55"/>
        <v>124.49251467846514</v>
      </c>
    </row>
    <row r="126" spans="1:35" s="83" customFormat="1" x14ac:dyDescent="0.45">
      <c r="A126" s="83" t="s">
        <v>187</v>
      </c>
      <c r="B126" s="190" t="s">
        <v>188</v>
      </c>
      <c r="C126" s="191">
        <v>-5.94</v>
      </c>
      <c r="D126" s="192">
        <v>106.29</v>
      </c>
      <c r="E126" s="83" t="s">
        <v>8</v>
      </c>
      <c r="F126" s="83" t="s">
        <v>192</v>
      </c>
      <c r="G126" s="83">
        <v>-1.77</v>
      </c>
      <c r="H126" s="83">
        <v>500</v>
      </c>
      <c r="I126" s="83">
        <v>97.568799999999996</v>
      </c>
      <c r="J126" s="83">
        <f t="shared" si="79"/>
        <v>2.8133556470536352</v>
      </c>
      <c r="K126" s="83">
        <f t="shared" si="91"/>
        <v>501.00997449679096</v>
      </c>
      <c r="L126" s="193">
        <f t="shared" si="92"/>
        <v>1.4066231046942643</v>
      </c>
      <c r="M126" s="83">
        <v>2016</v>
      </c>
      <c r="N126" s="83">
        <v>10</v>
      </c>
      <c r="O126" s="83">
        <v>67</v>
      </c>
      <c r="P126" s="194">
        <v>2993.3798400000001</v>
      </c>
      <c r="Q126" s="83">
        <v>5</v>
      </c>
      <c r="R126" s="83">
        <v>0.69148334600000005</v>
      </c>
      <c r="S126" s="83">
        <v>0.13275189523153463</v>
      </c>
      <c r="T126" s="83">
        <v>0.40079513344175099</v>
      </c>
      <c r="V126" s="193">
        <f t="shared" si="93"/>
        <v>9.7265645099489824E-10</v>
      </c>
      <c r="W126" s="193">
        <f t="shared" si="94"/>
        <v>9.7265645099489828E-9</v>
      </c>
      <c r="X126" s="83">
        <f t="shared" si="95"/>
        <v>66</v>
      </c>
      <c r="Y126" s="195">
        <f t="shared" si="96"/>
        <v>75.328491412938746</v>
      </c>
      <c r="Z126" s="195">
        <f t="shared" si="97"/>
        <v>8.7616250852812865</v>
      </c>
      <c r="AA126" s="193">
        <f t="shared" si="98"/>
        <v>9.7265645099489829E-5</v>
      </c>
      <c r="AB126" s="195">
        <f t="shared" si="99"/>
        <v>24.950402750968873</v>
      </c>
      <c r="AC126" s="195">
        <f t="shared" si="100"/>
        <v>26.452478807155565</v>
      </c>
      <c r="AD126" s="193">
        <f t="shared" si="101"/>
        <v>1.2808216147890152E-4</v>
      </c>
      <c r="AE126" s="259">
        <f t="shared" si="46"/>
        <v>71</v>
      </c>
      <c r="AF126" s="259" cm="1">
        <f t="array" ref="AF126">_xlfn.IFS(N126&lt;=AC126,W126*(3/(X126^3 - (X126-AB126)^3)),N126&gt;AC126,W126*(3/X126^3))</f>
        <v>1.336528106257842E-13</v>
      </c>
      <c r="AG126" s="280">
        <f t="shared" si="53"/>
        <v>1.5945270367961683E-4</v>
      </c>
      <c r="AH126" s="281">
        <f t="shared" si="54"/>
        <v>-3.1370542200715308E-5</v>
      </c>
      <c r="AI126" s="282">
        <f t="shared" si="55"/>
        <v>124.49251467846508</v>
      </c>
    </row>
    <row r="127" spans="1:35" s="83" customFormat="1" x14ac:dyDescent="0.45">
      <c r="A127" s="83" t="s">
        <v>187</v>
      </c>
      <c r="B127" s="190" t="s">
        <v>188</v>
      </c>
      <c r="C127" s="191">
        <v>-5.94</v>
      </c>
      <c r="D127" s="192">
        <v>106.25</v>
      </c>
      <c r="E127" s="83" t="s">
        <v>8</v>
      </c>
      <c r="F127" s="83" t="s">
        <v>192</v>
      </c>
      <c r="G127" s="83">
        <v>-1.77</v>
      </c>
      <c r="H127" s="83">
        <v>500</v>
      </c>
      <c r="I127" s="83">
        <v>149.33240000000001</v>
      </c>
      <c r="J127" s="83">
        <f t="shared" si="79"/>
        <v>2.9981987283540725</v>
      </c>
      <c r="K127" s="83">
        <f t="shared" si="91"/>
        <v>766.81297623363912</v>
      </c>
      <c r="L127" s="193">
        <f t="shared" si="92"/>
        <v>2.1528849808488575</v>
      </c>
      <c r="M127" s="83">
        <v>2016</v>
      </c>
      <c r="N127" s="83">
        <v>10</v>
      </c>
      <c r="O127" s="83">
        <v>67</v>
      </c>
      <c r="P127" s="194">
        <v>2333.5488</v>
      </c>
      <c r="Q127" s="83">
        <v>5</v>
      </c>
      <c r="R127" s="83">
        <v>0.69148334600000005</v>
      </c>
      <c r="S127" s="83">
        <v>0.13275189523153463</v>
      </c>
      <c r="T127" s="83">
        <v>0.40079513344175099</v>
      </c>
      <c r="V127" s="193">
        <f t="shared" si="93"/>
        <v>1.488684110110514E-9</v>
      </c>
      <c r="W127" s="193">
        <f t="shared" si="94"/>
        <v>1.488684110110514E-8</v>
      </c>
      <c r="X127" s="83">
        <f t="shared" si="95"/>
        <v>66</v>
      </c>
      <c r="Y127" s="195">
        <f t="shared" si="96"/>
        <v>75.328491412938746</v>
      </c>
      <c r="Z127" s="195">
        <f t="shared" si="97"/>
        <v>8.7616250852812865</v>
      </c>
      <c r="AA127" s="193">
        <f t="shared" si="98"/>
        <v>1.4886841101105139E-4</v>
      </c>
      <c r="AB127" s="195">
        <f t="shared" si="99"/>
        <v>24.950402750968873</v>
      </c>
      <c r="AC127" s="195">
        <f t="shared" si="100"/>
        <v>26.452478807155565</v>
      </c>
      <c r="AD127" s="193">
        <f t="shared" si="101"/>
        <v>1.9603414791236477E-4</v>
      </c>
      <c r="AE127" s="259">
        <f t="shared" si="46"/>
        <v>71</v>
      </c>
      <c r="AF127" s="259" cm="1">
        <f t="array" ref="AF127">_xlfn.IFS(N127&lt;=AC127,W127*(3/(X127^3 - (X127-AB127)^3)),N127&gt;AC127,W127*(3/X127^3))</f>
        <v>2.0456021778984552E-13</v>
      </c>
      <c r="AG127" s="280">
        <f t="shared" si="53"/>
        <v>2.440478403646047E-4</v>
      </c>
      <c r="AH127" s="281">
        <f t="shared" si="54"/>
        <v>-4.8013692452239932E-5</v>
      </c>
      <c r="AI127" s="282">
        <f t="shared" si="55"/>
        <v>124.4925146784651</v>
      </c>
    </row>
    <row r="128" spans="1:35" s="83" customFormat="1" x14ac:dyDescent="0.45">
      <c r="A128" s="83" t="s">
        <v>187</v>
      </c>
      <c r="B128" s="190" t="s">
        <v>188</v>
      </c>
      <c r="C128" s="191">
        <v>-5.94</v>
      </c>
      <c r="D128" s="192">
        <v>106.22</v>
      </c>
      <c r="E128" s="83" t="s">
        <v>8</v>
      </c>
      <c r="F128" s="83" t="s">
        <v>192</v>
      </c>
      <c r="G128" s="83">
        <v>-1.77</v>
      </c>
      <c r="H128" s="83">
        <v>500</v>
      </c>
      <c r="I128" s="83">
        <v>99.80319999999999</v>
      </c>
      <c r="J128" s="83">
        <f t="shared" si="79"/>
        <v>2.8231891497626789</v>
      </c>
      <c r="K128" s="83">
        <f t="shared" si="91"/>
        <v>512.48348536313017</v>
      </c>
      <c r="L128" s="193">
        <f t="shared" si="92"/>
        <v>1.4388358475498593</v>
      </c>
      <c r="M128" s="83">
        <v>2016</v>
      </c>
      <c r="N128" s="83">
        <v>10</v>
      </c>
      <c r="O128" s="83">
        <v>67</v>
      </c>
      <c r="P128" s="194">
        <v>96.560640000000006</v>
      </c>
      <c r="Q128" s="83">
        <v>9</v>
      </c>
      <c r="R128" s="83">
        <v>0.69148334600000005</v>
      </c>
      <c r="S128" s="83">
        <v>0.13222094293149678</v>
      </c>
      <c r="T128" s="83">
        <v>0.401345361100783</v>
      </c>
      <c r="V128" s="193">
        <f t="shared" si="93"/>
        <v>9.9493102620852278E-10</v>
      </c>
      <c r="W128" s="193">
        <f t="shared" si="94"/>
        <v>9.949310262085227E-9</v>
      </c>
      <c r="X128" s="83">
        <f t="shared" si="95"/>
        <v>66</v>
      </c>
      <c r="Y128" s="195">
        <f t="shared" si="96"/>
        <v>75.630983853904041</v>
      </c>
      <c r="Z128" s="195">
        <f t="shared" si="97"/>
        <v>8.726582233478787</v>
      </c>
      <c r="AA128" s="193">
        <f t="shared" si="98"/>
        <v>9.9493102620852264E-5</v>
      </c>
      <c r="AB128" s="195">
        <f t="shared" si="99"/>
        <v>24.91619679513094</v>
      </c>
      <c r="AC128" s="195">
        <f t="shared" si="100"/>
        <v>26.488793832651677</v>
      </c>
      <c r="AD128" s="193">
        <f t="shared" si="101"/>
        <v>1.3111927687935296E-4</v>
      </c>
      <c r="AE128" s="259">
        <f t="shared" si="46"/>
        <v>71</v>
      </c>
      <c r="AF128" s="259" cm="1">
        <f t="array" ref="AF128">_xlfn.IFS(N128&lt;=AC128,W128*(3/(X128^3 - (X128-AB128)^3)),N128&gt;AC128,W128*(3/X128^3))</f>
        <v>1.3682201861523597E-13</v>
      </c>
      <c r="AG128" s="280">
        <f t="shared" si="53"/>
        <v>1.6323368501532573E-4</v>
      </c>
      <c r="AH128" s="281">
        <f t="shared" si="54"/>
        <v>-3.211440813597277E-5</v>
      </c>
      <c r="AI128" s="282">
        <f t="shared" si="55"/>
        <v>124.49251467846507</v>
      </c>
    </row>
    <row r="129" spans="1:35" s="83" customFormat="1" x14ac:dyDescent="0.45">
      <c r="A129" s="83" t="s">
        <v>187</v>
      </c>
      <c r="B129" s="190" t="s">
        <v>188</v>
      </c>
      <c r="C129" s="196">
        <v>-5.94</v>
      </c>
      <c r="D129" s="192">
        <v>106.19</v>
      </c>
      <c r="E129" s="83" t="s">
        <v>8</v>
      </c>
      <c r="F129" s="83" t="s">
        <v>192</v>
      </c>
      <c r="G129" s="83">
        <v>-1.77</v>
      </c>
      <c r="H129" s="83">
        <v>500</v>
      </c>
      <c r="I129" s="83">
        <v>135.55359999999999</v>
      </c>
      <c r="J129" s="83">
        <f t="shared" si="79"/>
        <v>2.9561557393829458</v>
      </c>
      <c r="K129" s="83">
        <f t="shared" si="91"/>
        <v>696.05965922454936</v>
      </c>
      <c r="L129" s="193">
        <f t="shared" si="92"/>
        <v>1.9542397332393595</v>
      </c>
      <c r="M129" s="83">
        <v>2016</v>
      </c>
      <c r="N129" s="83">
        <v>10</v>
      </c>
      <c r="O129" s="83">
        <v>67</v>
      </c>
      <c r="P129" s="194">
        <v>2188.70784</v>
      </c>
      <c r="Q129" s="83">
        <v>9</v>
      </c>
      <c r="R129" s="83">
        <v>0.69148334600000005</v>
      </c>
      <c r="S129" s="83">
        <v>0.13222094293149678</v>
      </c>
      <c r="T129" s="83">
        <v>0.401345361100783</v>
      </c>
      <c r="V129" s="193">
        <f t="shared" si="93"/>
        <v>1.3513242296264999E-9</v>
      </c>
      <c r="W129" s="193">
        <f t="shared" si="94"/>
        <v>1.3513242296264999E-8</v>
      </c>
      <c r="X129" s="83">
        <f t="shared" si="95"/>
        <v>66</v>
      </c>
      <c r="Y129" s="195">
        <f t="shared" si="96"/>
        <v>75.630983853904041</v>
      </c>
      <c r="Z129" s="195">
        <f t="shared" si="97"/>
        <v>8.726582233478787</v>
      </c>
      <c r="AA129" s="193">
        <f t="shared" si="98"/>
        <v>1.3513242296265E-4</v>
      </c>
      <c r="AB129" s="195">
        <f t="shared" si="99"/>
        <v>24.91619679513094</v>
      </c>
      <c r="AC129" s="195">
        <f t="shared" si="100"/>
        <v>26.488793832651677</v>
      </c>
      <c r="AD129" s="193">
        <f t="shared" si="101"/>
        <v>1.7808737606001655E-4</v>
      </c>
      <c r="AE129" s="259">
        <f t="shared" si="46"/>
        <v>71</v>
      </c>
      <c r="AF129" s="259" cm="1">
        <f t="array" ref="AF129">_xlfn.IFS(N129&lt;=AC129,W129*(3/(X129^3 - (X129-AB129)^3)),N129&gt;AC129,W129*(3/X129^3))</f>
        <v>1.8583289095502187E-13</v>
      </c>
      <c r="AG129" s="280">
        <f t="shared" si="53"/>
        <v>2.2170545278200944E-4</v>
      </c>
      <c r="AH129" s="281">
        <f t="shared" si="54"/>
        <v>-4.3618076721992896E-5</v>
      </c>
      <c r="AI129" s="282">
        <f t="shared" si="55"/>
        <v>124.4925146784651</v>
      </c>
    </row>
    <row r="130" spans="1:35" s="83" customFormat="1" x14ac:dyDescent="0.45">
      <c r="A130" s="83" t="s">
        <v>187</v>
      </c>
      <c r="B130" s="190" t="s">
        <v>188</v>
      </c>
      <c r="C130" s="191">
        <v>-5.94</v>
      </c>
      <c r="D130" s="192">
        <v>106.13</v>
      </c>
      <c r="E130" s="83" t="s">
        <v>8</v>
      </c>
      <c r="F130" s="83" t="s">
        <v>192</v>
      </c>
      <c r="G130" s="83">
        <v>-1.77</v>
      </c>
      <c r="H130" s="83">
        <v>500</v>
      </c>
      <c r="I130" s="83">
        <v>85.652000000000001</v>
      </c>
      <c r="J130" s="83">
        <f t="shared" si="79"/>
        <v>2.7567821917514825</v>
      </c>
      <c r="K130" s="83">
        <f t="shared" si="91"/>
        <v>439.81791654298428</v>
      </c>
      <c r="L130" s="193">
        <f t="shared" si="92"/>
        <v>1.2348218094644301</v>
      </c>
      <c r="M130" s="83">
        <v>2016</v>
      </c>
      <c r="N130" s="83">
        <v>10</v>
      </c>
      <c r="O130" s="83">
        <v>67</v>
      </c>
      <c r="P130" s="194">
        <v>1255.2883200000001</v>
      </c>
      <c r="Q130" s="83">
        <v>13</v>
      </c>
      <c r="R130" s="83">
        <v>0.69148334600000005</v>
      </c>
      <c r="S130" s="83">
        <v>0.13169211421955859</v>
      </c>
      <c r="T130" s="83">
        <v>0.38567531593546001</v>
      </c>
      <c r="V130" s="193">
        <f t="shared" si="93"/>
        <v>8.5385871652223872E-10</v>
      </c>
      <c r="W130" s="193">
        <f t="shared" si="94"/>
        <v>8.5385871652223876E-9</v>
      </c>
      <c r="X130" s="83">
        <f t="shared" si="95"/>
        <v>66</v>
      </c>
      <c r="Y130" s="195">
        <f t="shared" si="96"/>
        <v>75.934690996971057</v>
      </c>
      <c r="Z130" s="195">
        <f t="shared" si="97"/>
        <v>8.6916795384908667</v>
      </c>
      <c r="AA130" s="193">
        <f t="shared" si="98"/>
        <v>8.538587165222388E-5</v>
      </c>
      <c r="AB130" s="195">
        <f t="shared" si="99"/>
        <v>25.92854555844437</v>
      </c>
      <c r="AC130" s="195">
        <f t="shared" si="100"/>
        <v>25.45457085174036</v>
      </c>
      <c r="AD130" s="193">
        <f t="shared" si="101"/>
        <v>1.1000596873481017E-4</v>
      </c>
      <c r="AE130" s="259">
        <f t="shared" si="46"/>
        <v>71</v>
      </c>
      <c r="AF130" s="259" cm="1">
        <f t="array" ref="AF130">_xlfn.IFS(N130&lt;=AC130,W130*(3/(X130^3 - (X130-AB130)^3)),N130&gt;AC130,W130*(3/X130^3))</f>
        <v>1.1479043402497096E-13</v>
      </c>
      <c r="AG130" s="280">
        <f t="shared" si="53"/>
        <v>1.3694919677437127E-4</v>
      </c>
      <c r="AH130" s="281">
        <f t="shared" si="54"/>
        <v>-2.69432280395611E-5</v>
      </c>
      <c r="AI130" s="282">
        <f t="shared" si="55"/>
        <v>124.49251467846508</v>
      </c>
    </row>
    <row r="131" spans="1:35" s="83" customFormat="1" x14ac:dyDescent="0.45">
      <c r="A131" s="83" t="s">
        <v>187</v>
      </c>
      <c r="B131" s="190" t="s">
        <v>188</v>
      </c>
      <c r="C131" s="191">
        <v>-5.93</v>
      </c>
      <c r="D131" s="192">
        <v>106.39</v>
      </c>
      <c r="E131" s="83" t="s">
        <v>8</v>
      </c>
      <c r="F131" s="83" t="s">
        <v>192</v>
      </c>
      <c r="G131" s="83">
        <v>-1.77</v>
      </c>
      <c r="H131" s="83">
        <v>500</v>
      </c>
      <c r="I131" s="83">
        <v>75.9696</v>
      </c>
      <c r="J131" s="83">
        <f t="shared" si="79"/>
        <v>2.7046845231597887</v>
      </c>
      <c r="K131" s="83">
        <f t="shared" si="91"/>
        <v>390.09936945551692</v>
      </c>
      <c r="L131" s="193">
        <f t="shared" si="92"/>
        <v>1.0952332570901913</v>
      </c>
      <c r="M131" s="83">
        <v>2016</v>
      </c>
      <c r="N131" s="83">
        <v>10</v>
      </c>
      <c r="O131" s="83">
        <v>67</v>
      </c>
      <c r="P131" s="194">
        <v>4972.8729599999997</v>
      </c>
      <c r="Q131" s="83">
        <v>17</v>
      </c>
      <c r="R131" s="83">
        <v>0.69148334600000005</v>
      </c>
      <c r="S131" s="83">
        <v>0.13116540060225193</v>
      </c>
      <c r="T131" s="83">
        <v>0.402378163545416</v>
      </c>
      <c r="V131" s="193">
        <f t="shared" si="93"/>
        <v>7.5733555726320384E-10</v>
      </c>
      <c r="W131" s="193">
        <f t="shared" si="94"/>
        <v>7.5733555726320382E-9</v>
      </c>
      <c r="X131" s="83">
        <f t="shared" si="95"/>
        <v>66</v>
      </c>
      <c r="Y131" s="195">
        <f t="shared" si="96"/>
        <v>76.239617719951625</v>
      </c>
      <c r="Z131" s="195">
        <f t="shared" si="97"/>
        <v>8.6569164397486276</v>
      </c>
      <c r="AA131" s="193">
        <f t="shared" si="98"/>
        <v>7.5733555726320377E-5</v>
      </c>
      <c r="AB131" s="195">
        <f t="shared" si="99"/>
        <v>24.852243252686623</v>
      </c>
      <c r="AC131" s="195">
        <f t="shared" si="100"/>
        <v>26.556958793997456</v>
      </c>
      <c r="AD131" s="193">
        <f t="shared" si="101"/>
        <v>9.9955822415654893E-5</v>
      </c>
      <c r="AE131" s="259">
        <f t="shared" si="46"/>
        <v>71</v>
      </c>
      <c r="AF131" s="259" cm="1">
        <f t="array" ref="AF131">_xlfn.IFS(N131&lt;=AC131,W131*(3/(X131^3 - (X131-AB131)^3)),N131&gt;AC131,W131*(3/X131^3))</f>
        <v>1.0430317891273784E-13</v>
      </c>
      <c r="AG131" s="280">
        <f t="shared" si="53"/>
        <v>1.2443751689278972E-4</v>
      </c>
      <c r="AH131" s="281">
        <f t="shared" si="54"/>
        <v>-2.4481694477134828E-5</v>
      </c>
      <c r="AI131" s="282">
        <f t="shared" si="55"/>
        <v>124.49251467846514</v>
      </c>
    </row>
    <row r="132" spans="1:35" s="83" customFormat="1" x14ac:dyDescent="0.45">
      <c r="A132" s="83" t="s">
        <v>187</v>
      </c>
      <c r="B132" s="190" t="s">
        <v>188</v>
      </c>
      <c r="C132" s="191">
        <v>-5.93</v>
      </c>
      <c r="D132" s="192">
        <v>106.35</v>
      </c>
      <c r="E132" s="83" t="s">
        <v>8</v>
      </c>
      <c r="F132" s="83" t="s">
        <v>192</v>
      </c>
      <c r="G132" s="83">
        <v>-1.77</v>
      </c>
      <c r="H132" s="83">
        <v>500</v>
      </c>
      <c r="I132" s="83">
        <v>143.74639999999999</v>
      </c>
      <c r="J132" s="83">
        <f t="shared" si="79"/>
        <v>2.9816416604056446</v>
      </c>
      <c r="K132" s="83">
        <f t="shared" si="91"/>
        <v>738.12919906779098</v>
      </c>
      <c r="L132" s="193">
        <f t="shared" si="92"/>
        <v>2.0723531237098696</v>
      </c>
      <c r="M132" s="83">
        <v>2016</v>
      </c>
      <c r="N132" s="83">
        <v>10</v>
      </c>
      <c r="O132" s="83">
        <v>67</v>
      </c>
      <c r="P132" s="194">
        <v>3524.4633600000002</v>
      </c>
      <c r="Q132" s="83">
        <v>12</v>
      </c>
      <c r="R132" s="83">
        <v>0.69148334600000005</v>
      </c>
      <c r="S132" s="83">
        <v>0.1318241227762269</v>
      </c>
      <c r="T132" s="83">
        <v>0.402378163545416</v>
      </c>
      <c r="V132" s="193">
        <f t="shared" si="93"/>
        <v>1.4329976720764528E-9</v>
      </c>
      <c r="W132" s="193">
        <f t="shared" si="94"/>
        <v>1.4329976720764527E-8</v>
      </c>
      <c r="X132" s="83">
        <f t="shared" si="95"/>
        <v>66</v>
      </c>
      <c r="Y132" s="195">
        <f t="shared" si="96"/>
        <v>75.858650066461095</v>
      </c>
      <c r="Z132" s="195">
        <f t="shared" si="97"/>
        <v>8.7003921032309748</v>
      </c>
      <c r="AA132" s="193">
        <f t="shared" si="98"/>
        <v>1.4329976720764526E-4</v>
      </c>
      <c r="AB132" s="195">
        <f t="shared" si="99"/>
        <v>24.852243252686623</v>
      </c>
      <c r="AC132" s="195">
        <f t="shared" si="100"/>
        <v>26.556958793997456</v>
      </c>
      <c r="AD132" s="193">
        <f t="shared" si="101"/>
        <v>1.8913209535511153E-4</v>
      </c>
      <c r="AE132" s="259">
        <f t="shared" si="46"/>
        <v>71</v>
      </c>
      <c r="AF132" s="259" cm="1">
        <f t="array" ref="AF132">_xlfn.IFS(N132&lt;=AC132,W132*(3/(X132^3 - (X132-AB132)^3)),N132&gt;AC132,W132*(3/X132^3))</f>
        <v>1.9735797578586649E-13</v>
      </c>
      <c r="AG132" s="280">
        <f t="shared" si="53"/>
        <v>2.3545530157165087E-4</v>
      </c>
      <c r="AH132" s="281">
        <f t="shared" si="54"/>
        <v>-4.6323206216539338E-5</v>
      </c>
      <c r="AI132" s="282">
        <f t="shared" si="55"/>
        <v>124.49251467846513</v>
      </c>
    </row>
    <row r="133" spans="1:35" s="83" customFormat="1" x14ac:dyDescent="0.45">
      <c r="A133" s="83" t="s">
        <v>187</v>
      </c>
      <c r="B133" s="190" t="s">
        <v>188</v>
      </c>
      <c r="C133" s="191">
        <v>-5.92</v>
      </c>
      <c r="D133" s="192">
        <v>106.24</v>
      </c>
      <c r="E133" s="83" t="s">
        <v>8</v>
      </c>
      <c r="F133" s="83" t="s">
        <v>192</v>
      </c>
      <c r="G133" s="83">
        <v>-1.77</v>
      </c>
      <c r="H133" s="83">
        <v>500</v>
      </c>
      <c r="I133" s="83">
        <v>104.27199999999999</v>
      </c>
      <c r="J133" s="83">
        <f t="shared" si="79"/>
        <v>2.8422123870761093</v>
      </c>
      <c r="K133" s="83">
        <f t="shared" si="91"/>
        <v>535.43050709580757</v>
      </c>
      <c r="L133" s="193">
        <f t="shared" si="92"/>
        <v>1.5032613332610472</v>
      </c>
      <c r="M133" s="83">
        <v>2016</v>
      </c>
      <c r="N133" s="83">
        <v>10</v>
      </c>
      <c r="O133" s="83">
        <v>67</v>
      </c>
      <c r="P133" s="194">
        <v>8062.8134399999999</v>
      </c>
      <c r="Q133" s="83">
        <v>18</v>
      </c>
      <c r="R133" s="83">
        <v>0.69148334600000005</v>
      </c>
      <c r="S133" s="83">
        <v>0.13103405168936957</v>
      </c>
      <c r="T133" s="83">
        <v>0.401345361100783</v>
      </c>
      <c r="V133" s="193">
        <f t="shared" si="93"/>
        <v>1.03948017663577E-9</v>
      </c>
      <c r="W133" s="193">
        <f t="shared" si="94"/>
        <v>1.03948017663577E-8</v>
      </c>
      <c r="X133" s="83">
        <f t="shared" si="95"/>
        <v>66</v>
      </c>
      <c r="Y133" s="195">
        <f t="shared" si="96"/>
        <v>76.316040533540729</v>
      </c>
      <c r="Z133" s="195">
        <f t="shared" si="97"/>
        <v>8.6482474114983923</v>
      </c>
      <c r="AA133" s="193">
        <f t="shared" si="98"/>
        <v>1.0394801766357701E-4</v>
      </c>
      <c r="AB133" s="195">
        <f t="shared" si="99"/>
        <v>24.91619679513094</v>
      </c>
      <c r="AC133" s="195">
        <f t="shared" si="100"/>
        <v>26.488793832651677</v>
      </c>
      <c r="AD133" s="193">
        <f t="shared" si="101"/>
        <v>1.3699028927693593E-4</v>
      </c>
      <c r="AE133" s="259">
        <f t="shared" si="46"/>
        <v>71</v>
      </c>
      <c r="AF133" s="259" cm="1">
        <f t="array" ref="AF133">_xlfn.IFS(N133&lt;=AC133,W133*(3/(X133^3 - (X133-AB133)^3)),N133&gt;AC133,W133*(3/X133^3))</f>
        <v>1.4294837765770925E-13</v>
      </c>
      <c r="AG133" s="280">
        <f t="shared" si="53"/>
        <v>1.7054265598616123E-4</v>
      </c>
      <c r="AH133" s="281">
        <f t="shared" si="54"/>
        <v>-3.3552366709225303E-5</v>
      </c>
      <c r="AI133" s="282">
        <f t="shared" si="55"/>
        <v>124.49251467846508</v>
      </c>
    </row>
    <row r="134" spans="1:35" s="83" customFormat="1" x14ac:dyDescent="0.45">
      <c r="A134" s="83" t="s">
        <v>187</v>
      </c>
      <c r="B134" s="190" t="s">
        <v>188</v>
      </c>
      <c r="C134" s="191">
        <v>-5.92</v>
      </c>
      <c r="D134" s="192">
        <v>106.27</v>
      </c>
      <c r="E134" s="83" t="s">
        <v>8</v>
      </c>
      <c r="F134" s="83" t="s">
        <v>192</v>
      </c>
      <c r="G134" s="83">
        <v>-1.77</v>
      </c>
      <c r="H134" s="83">
        <v>500</v>
      </c>
      <c r="I134" s="83">
        <v>42.826000000000001</v>
      </c>
      <c r="J134" s="83">
        <f t="shared" si="79"/>
        <v>2.4557521960875017</v>
      </c>
      <c r="K134" s="83">
        <f t="shared" si="91"/>
        <v>219.90895827149231</v>
      </c>
      <c r="L134" s="193">
        <f t="shared" si="92"/>
        <v>0.61741090473221549</v>
      </c>
      <c r="M134" s="83">
        <v>2016</v>
      </c>
      <c r="N134" s="83">
        <v>10</v>
      </c>
      <c r="O134" s="83">
        <v>67</v>
      </c>
      <c r="P134" s="194">
        <v>4232.5747199999996</v>
      </c>
      <c r="Q134" s="83">
        <v>7</v>
      </c>
      <c r="R134" s="83">
        <v>0.69148334600000005</v>
      </c>
      <c r="S134" s="83">
        <v>0.13248615310083081</v>
      </c>
      <c r="T134" s="83">
        <v>0.40079513344175099</v>
      </c>
      <c r="V134" s="193">
        <f t="shared" si="93"/>
        <v>4.2692935826111967E-10</v>
      </c>
      <c r="W134" s="193">
        <f t="shared" si="94"/>
        <v>4.2692935826111971E-9</v>
      </c>
      <c r="X134" s="83">
        <f t="shared" si="95"/>
        <v>66</v>
      </c>
      <c r="Y134" s="195">
        <f t="shared" si="96"/>
        <v>75.479586099758905</v>
      </c>
      <c r="Z134" s="195">
        <f t="shared" si="97"/>
        <v>8.7440861046548335</v>
      </c>
      <c r="AA134" s="193">
        <f t="shared" si="98"/>
        <v>4.2692935826111974E-5</v>
      </c>
      <c r="AB134" s="195">
        <f t="shared" si="99"/>
        <v>24.950402750968873</v>
      </c>
      <c r="AC134" s="195">
        <f t="shared" si="100"/>
        <v>26.452478807155565</v>
      </c>
      <c r="AD134" s="193">
        <f t="shared" si="101"/>
        <v>5.6219269351426273E-5</v>
      </c>
      <c r="AE134" s="259">
        <f t="shared" si="46"/>
        <v>71</v>
      </c>
      <c r="AF134" s="259" cm="1">
        <f t="array" ref="AF134">_xlfn.IFS(N134&lt;=AC134,W134*(3/(X134^3 - (X134-AB134)^3)),N134&gt;AC134,W134*(3/X134^3))</f>
        <v>5.8664401610554166E-14</v>
      </c>
      <c r="AG134" s="280">
        <f t="shared" si="53"/>
        <v>6.9988782149450169E-5</v>
      </c>
      <c r="AH134" s="281">
        <f t="shared" si="54"/>
        <v>-1.3769512798023896E-5</v>
      </c>
      <c r="AI134" s="282">
        <f t="shared" si="55"/>
        <v>124.49251467846507</v>
      </c>
    </row>
    <row r="135" spans="1:35" s="83" customFormat="1" x14ac:dyDescent="0.45">
      <c r="A135" s="83" t="s">
        <v>187</v>
      </c>
      <c r="B135" s="190" t="s">
        <v>188</v>
      </c>
      <c r="C135" s="191">
        <v>-5.92</v>
      </c>
      <c r="D135" s="192">
        <v>106.3</v>
      </c>
      <c r="E135" s="83" t="s">
        <v>8</v>
      </c>
      <c r="F135" s="83" t="s">
        <v>192</v>
      </c>
      <c r="G135" s="83">
        <v>-1.77</v>
      </c>
      <c r="H135" s="83">
        <v>500</v>
      </c>
      <c r="I135" s="83">
        <v>67.776799999999994</v>
      </c>
      <c r="J135" s="83">
        <f t="shared" si="79"/>
        <v>2.6551257437189646</v>
      </c>
      <c r="K135" s="83">
        <f t="shared" si="91"/>
        <v>348.02982961227463</v>
      </c>
      <c r="L135" s="193">
        <f t="shared" si="92"/>
        <v>0.97711986661967964</v>
      </c>
      <c r="M135" s="83">
        <v>2016</v>
      </c>
      <c r="N135" s="83">
        <v>10</v>
      </c>
      <c r="O135" s="83">
        <v>67</v>
      </c>
      <c r="P135" s="194">
        <v>5439.5827200000003</v>
      </c>
      <c r="Q135" s="83">
        <v>8</v>
      </c>
      <c r="R135" s="83">
        <v>0.69148334600000005</v>
      </c>
      <c r="S135" s="83">
        <v>0.13235348158759747</v>
      </c>
      <c r="T135" s="83">
        <v>0.40079513344175099</v>
      </c>
      <c r="V135" s="193">
        <f t="shared" si="93"/>
        <v>6.7566211481324995E-10</v>
      </c>
      <c r="W135" s="193">
        <f t="shared" si="94"/>
        <v>6.7566211481324997E-9</v>
      </c>
      <c r="X135" s="83">
        <f t="shared" si="95"/>
        <v>66</v>
      </c>
      <c r="Y135" s="195">
        <f t="shared" si="96"/>
        <v>75.555247055450906</v>
      </c>
      <c r="Z135" s="195">
        <f t="shared" si="97"/>
        <v>8.7353297847814328</v>
      </c>
      <c r="AA135" s="193">
        <f t="shared" si="98"/>
        <v>6.7566211481325002E-5</v>
      </c>
      <c r="AB135" s="195">
        <f t="shared" si="99"/>
        <v>24.950402750968873</v>
      </c>
      <c r="AC135" s="195">
        <f t="shared" si="100"/>
        <v>26.452478807155565</v>
      </c>
      <c r="AD135" s="193">
        <f t="shared" si="101"/>
        <v>8.8973104538778923E-5</v>
      </c>
      <c r="AE135" s="259">
        <f t="shared" si="46"/>
        <v>71</v>
      </c>
      <c r="AF135" s="259" cm="1">
        <f t="array" ref="AF135">_xlfn.IFS(N135&lt;=AC135,W135*(3/(X135^3 - (X135-AB135)^3)),N135&gt;AC135,W135*(3/X135^3))</f>
        <v>9.2842792114094367E-14</v>
      </c>
      <c r="AG135" s="280">
        <f t="shared" si="53"/>
        <v>1.1076485522782545E-4</v>
      </c>
      <c r="AH135" s="281">
        <f t="shared" si="54"/>
        <v>-2.1791750689046524E-5</v>
      </c>
      <c r="AI135" s="282">
        <f t="shared" si="55"/>
        <v>124.4925146784651</v>
      </c>
    </row>
    <row r="136" spans="1:35" s="83" customFormat="1" x14ac:dyDescent="0.45">
      <c r="A136" s="83" t="s">
        <v>187</v>
      </c>
      <c r="B136" s="190" t="s">
        <v>188</v>
      </c>
      <c r="C136" s="191">
        <v>-5.91</v>
      </c>
      <c r="D136" s="192">
        <v>106.13</v>
      </c>
      <c r="E136" s="83" t="s">
        <v>8</v>
      </c>
      <c r="F136" s="83" t="s">
        <v>192</v>
      </c>
      <c r="G136" s="83">
        <v>-1.77</v>
      </c>
      <c r="H136" s="83">
        <v>500</v>
      </c>
      <c r="I136" s="83">
        <v>93.1</v>
      </c>
      <c r="J136" s="83">
        <f t="shared" si="79"/>
        <v>2.7929943644059279</v>
      </c>
      <c r="K136" s="83">
        <f t="shared" si="91"/>
        <v>478.06295276411385</v>
      </c>
      <c r="L136" s="193">
        <f t="shared" si="92"/>
        <v>1.3421976189830775</v>
      </c>
      <c r="M136" s="83">
        <v>2016</v>
      </c>
      <c r="N136" s="83">
        <v>10</v>
      </c>
      <c r="O136" s="83">
        <v>67</v>
      </c>
      <c r="P136" s="194">
        <v>1657.6243200000001</v>
      </c>
      <c r="Q136" s="83">
        <v>15</v>
      </c>
      <c r="R136" s="83">
        <v>0.69148334600000005</v>
      </c>
      <c r="S136" s="83">
        <v>0.13142849355358946</v>
      </c>
      <c r="T136" s="83">
        <v>0.40427404815974699</v>
      </c>
      <c r="V136" s="193">
        <f t="shared" si="93"/>
        <v>9.2810730056765175E-10</v>
      </c>
      <c r="W136" s="193">
        <f t="shared" si="94"/>
        <v>9.2810730056765177E-9</v>
      </c>
      <c r="X136" s="83">
        <f t="shared" si="95"/>
        <v>66</v>
      </c>
      <c r="Y136" s="195">
        <f t="shared" si="96"/>
        <v>76.087001605344724</v>
      </c>
      <c r="Z136" s="195">
        <f t="shared" si="97"/>
        <v>8.6742805745369047</v>
      </c>
      <c r="AA136" s="193">
        <f t="shared" si="98"/>
        <v>9.2810730056765178E-5</v>
      </c>
      <c r="AB136" s="195">
        <f t="shared" si="99"/>
        <v>24.735696108914087</v>
      </c>
      <c r="AC136" s="195">
        <f t="shared" si="100"/>
        <v>26.682087178543302</v>
      </c>
      <c r="AD136" s="193">
        <f t="shared" si="101"/>
        <v>1.2282964218769806E-4</v>
      </c>
      <c r="AE136" s="259">
        <f t="shared" si="46"/>
        <v>71</v>
      </c>
      <c r="AF136" s="259" cm="1">
        <f t="array" ref="AF136">_xlfn.IFS(N136&lt;=AC136,W136*(3/(X136^3 - (X136-AB136)^3)),N136&gt;AC136,W136*(3/X136^3))</f>
        <v>1.2817184467369778E-13</v>
      </c>
      <c r="AG136" s="280">
        <f t="shared" si="53"/>
        <v>1.5291371033002615E-4</v>
      </c>
      <c r="AH136" s="281">
        <f t="shared" si="54"/>
        <v>-3.0084068142328089E-5</v>
      </c>
      <c r="AI136" s="282">
        <f t="shared" si="55"/>
        <v>124.49251467846508</v>
      </c>
    </row>
    <row r="137" spans="1:35" s="83" customFormat="1" x14ac:dyDescent="0.45">
      <c r="A137" s="83" t="s">
        <v>187</v>
      </c>
      <c r="B137" s="190" t="s">
        <v>188</v>
      </c>
      <c r="C137" s="191">
        <v>-5.91</v>
      </c>
      <c r="D137" s="192">
        <v>106.19</v>
      </c>
      <c r="E137" s="83" t="s">
        <v>8</v>
      </c>
      <c r="F137" s="83" t="s">
        <v>192</v>
      </c>
      <c r="G137" s="83">
        <v>-1.77</v>
      </c>
      <c r="H137" s="83">
        <v>500</v>
      </c>
      <c r="I137" s="83">
        <v>37.612400000000001</v>
      </c>
      <c r="J137" s="83">
        <f t="shared" si="79"/>
        <v>2.3993757295165326</v>
      </c>
      <c r="K137" s="83">
        <f t="shared" si="91"/>
        <v>193.13743291670195</v>
      </c>
      <c r="L137" s="193">
        <f t="shared" si="92"/>
        <v>0.54224783806916321</v>
      </c>
      <c r="M137" s="83">
        <v>2016</v>
      </c>
      <c r="N137" s="83">
        <v>10</v>
      </c>
      <c r="O137" s="83">
        <v>67</v>
      </c>
      <c r="P137" s="194">
        <v>3395.7158399999998</v>
      </c>
      <c r="Q137" s="83">
        <v>18</v>
      </c>
      <c r="R137" s="83">
        <v>0.69148334600000005</v>
      </c>
      <c r="S137" s="83">
        <v>0.13103405168936957</v>
      </c>
      <c r="T137" s="83">
        <v>0.402337410078071</v>
      </c>
      <c r="V137" s="193">
        <f t="shared" si="93"/>
        <v>3.7495534942933118E-10</v>
      </c>
      <c r="W137" s="193">
        <f t="shared" si="94"/>
        <v>3.749553494293312E-9</v>
      </c>
      <c r="X137" s="83">
        <f t="shared" si="95"/>
        <v>66</v>
      </c>
      <c r="Y137" s="195">
        <f t="shared" si="96"/>
        <v>76.316040533540729</v>
      </c>
      <c r="Z137" s="195">
        <f t="shared" si="97"/>
        <v>8.6482474114983923</v>
      </c>
      <c r="AA137" s="193">
        <f t="shared" si="98"/>
        <v>3.7495534942933123E-5</v>
      </c>
      <c r="AB137" s="195">
        <f t="shared" si="99"/>
        <v>24.854760580328744</v>
      </c>
      <c r="AC137" s="195">
        <f t="shared" si="100"/>
        <v>26.554269065152685</v>
      </c>
      <c r="AD137" s="193">
        <f t="shared" si="101"/>
        <v>4.9485027071607283E-5</v>
      </c>
      <c r="AE137" s="259">
        <f t="shared" si="46"/>
        <v>71</v>
      </c>
      <c r="AF137" s="259" cm="1">
        <f t="array" ref="AF137">_xlfn.IFS(N137&lt;=AC137,W137*(3/(X137^3 - (X137-AB137)^3)),N137&gt;AC137,W137*(3/X137^3))</f>
        <v>5.1637268419324739E-14</v>
      </c>
      <c r="AG137" s="280">
        <f t="shared" si="53"/>
        <v>6.1605154590763114E-5</v>
      </c>
      <c r="AH137" s="281">
        <f t="shared" si="54"/>
        <v>-1.2120127519155831E-5</v>
      </c>
      <c r="AI137" s="282">
        <f t="shared" si="55"/>
        <v>124.49251467846508</v>
      </c>
    </row>
    <row r="138" spans="1:35" s="83" customFormat="1" x14ac:dyDescent="0.45">
      <c r="A138" s="83" t="s">
        <v>187</v>
      </c>
      <c r="B138" s="190" t="s">
        <v>188</v>
      </c>
      <c r="C138" s="191">
        <v>-5.91</v>
      </c>
      <c r="D138" s="192">
        <v>106.22</v>
      </c>
      <c r="E138" s="83" t="s">
        <v>8</v>
      </c>
      <c r="F138" s="83" t="s">
        <v>192</v>
      </c>
      <c r="G138" s="83">
        <v>-1.77</v>
      </c>
      <c r="H138" s="83">
        <v>500</v>
      </c>
      <c r="I138" s="83">
        <v>50.274000000000008</v>
      </c>
      <c r="J138" s="83">
        <f t="shared" si="79"/>
        <v>2.525388124228896</v>
      </c>
      <c r="K138" s="83">
        <f t="shared" si="91"/>
        <v>258.15399449262145</v>
      </c>
      <c r="L138" s="193">
        <f t="shared" si="92"/>
        <v>0.72478671425086183</v>
      </c>
      <c r="M138" s="83">
        <v>2016</v>
      </c>
      <c r="N138" s="83">
        <v>10</v>
      </c>
      <c r="O138" s="83">
        <v>67</v>
      </c>
      <c r="P138" s="194">
        <v>3443.9961600000001</v>
      </c>
      <c r="Q138" s="83">
        <v>19</v>
      </c>
      <c r="R138" s="83">
        <v>0.69148334600000005</v>
      </c>
      <c r="S138" s="83">
        <v>0.13090283430916907</v>
      </c>
      <c r="T138" s="83">
        <v>0.402337410078071</v>
      </c>
      <c r="V138" s="193">
        <f t="shared" si="93"/>
        <v>5.0117794230653197E-10</v>
      </c>
      <c r="W138" s="193">
        <f t="shared" si="94"/>
        <v>5.0117794230653197E-9</v>
      </c>
      <c r="X138" s="83">
        <f t="shared" si="95"/>
        <v>66</v>
      </c>
      <c r="Y138" s="195">
        <f t="shared" si="96"/>
        <v>76.392539953579529</v>
      </c>
      <c r="Z138" s="195">
        <f t="shared" si="97"/>
        <v>8.6395870644051591</v>
      </c>
      <c r="AA138" s="193">
        <f t="shared" si="98"/>
        <v>5.0117794230653197E-5</v>
      </c>
      <c r="AB138" s="195">
        <f t="shared" si="99"/>
        <v>24.854760580328744</v>
      </c>
      <c r="AC138" s="195">
        <f t="shared" si="100"/>
        <v>26.554269065152685</v>
      </c>
      <c r="AD138" s="193">
        <f t="shared" si="101"/>
        <v>6.6143353016504802E-5</v>
      </c>
      <c r="AE138" s="259">
        <f t="shared" si="46"/>
        <v>71</v>
      </c>
      <c r="AF138" s="259" cm="1">
        <f t="array" ref="AF138">_xlfn.IFS(N138&lt;=AC138,W138*(3/(X138^3 - (X138-AB138)^3)),N138&gt;AC138,W138*(3/X138^3))</f>
        <v>6.9020111253552887E-14</v>
      </c>
      <c r="AG138" s="280">
        <f t="shared" si="53"/>
        <v>8.234352346290122E-5</v>
      </c>
      <c r="AH138" s="281">
        <f t="shared" si="54"/>
        <v>-1.6200170446396418E-5</v>
      </c>
      <c r="AI138" s="282">
        <f t="shared" si="55"/>
        <v>124.49251467846508</v>
      </c>
    </row>
    <row r="139" spans="1:35" s="83" customFormat="1" x14ac:dyDescent="0.45">
      <c r="A139" s="83" t="s">
        <v>187</v>
      </c>
      <c r="B139" s="190" t="s">
        <v>188</v>
      </c>
      <c r="C139" s="191">
        <v>-5.91</v>
      </c>
      <c r="D139" s="192">
        <v>106.16</v>
      </c>
      <c r="E139" s="83" t="s">
        <v>8</v>
      </c>
      <c r="F139" s="83" t="s">
        <v>192</v>
      </c>
      <c r="G139" s="83">
        <v>-1.77</v>
      </c>
      <c r="H139" s="83">
        <v>500</v>
      </c>
      <c r="I139" s="83">
        <v>89.375999999999991</v>
      </c>
      <c r="J139" s="83">
        <f t="shared" si="79"/>
        <v>2.7752655974454958</v>
      </c>
      <c r="K139" s="83">
        <f t="shared" si="91"/>
        <v>458.94043465354906</v>
      </c>
      <c r="L139" s="193">
        <f t="shared" si="92"/>
        <v>1.2885097142237536</v>
      </c>
      <c r="M139" s="83">
        <v>2016</v>
      </c>
      <c r="N139" s="83">
        <v>10</v>
      </c>
      <c r="O139" s="83">
        <v>67</v>
      </c>
      <c r="P139" s="194">
        <v>1223.1014400000001</v>
      </c>
      <c r="Q139" s="83">
        <v>28</v>
      </c>
      <c r="R139" s="197">
        <v>0.69148334600000005</v>
      </c>
      <c r="S139" s="197">
        <v>0.12972777516826065</v>
      </c>
      <c r="T139" s="83">
        <v>0.40427404815974699</v>
      </c>
      <c r="V139" s="193">
        <f t="shared" si="93"/>
        <v>8.9098300854494508E-10</v>
      </c>
      <c r="W139" s="193">
        <f t="shared" si="94"/>
        <v>8.9098300854494501E-9</v>
      </c>
      <c r="X139" s="83">
        <f t="shared" si="95"/>
        <v>66</v>
      </c>
      <c r="Y139" s="195">
        <f t="shared" si="96"/>
        <v>77.084494720037497</v>
      </c>
      <c r="Z139" s="195">
        <f t="shared" si="97"/>
        <v>8.5620331611052034</v>
      </c>
      <c r="AA139" s="193">
        <f t="shared" si="98"/>
        <v>8.9098300854494495E-5</v>
      </c>
      <c r="AB139" s="195">
        <f t="shared" si="99"/>
        <v>24.735696108914087</v>
      </c>
      <c r="AC139" s="195">
        <f t="shared" si="100"/>
        <v>26.682087178543302</v>
      </c>
      <c r="AD139" s="193">
        <f t="shared" si="101"/>
        <v>1.1791645650019005E-4</v>
      </c>
      <c r="AE139" s="259">
        <f t="shared" si="46"/>
        <v>71</v>
      </c>
      <c r="AF139" s="259" cm="1">
        <f t="array" ref="AF139">_xlfn.IFS(N139&lt;=AC139,W139*(3/(X139^3 - (X139-AB139)^3)),N139&gt;AC139,W139*(3/X139^3))</f>
        <v>1.2304497088674978E-13</v>
      </c>
      <c r="AG139" s="280">
        <f t="shared" si="53"/>
        <v>1.46797161916825E-4</v>
      </c>
      <c r="AH139" s="281">
        <f t="shared" si="54"/>
        <v>-2.8880705416634944E-5</v>
      </c>
      <c r="AI139" s="282">
        <f t="shared" si="55"/>
        <v>124.49251467846508</v>
      </c>
    </row>
    <row r="140" spans="1:35" s="83" customFormat="1" x14ac:dyDescent="0.45">
      <c r="A140" s="83" t="s">
        <v>191</v>
      </c>
      <c r="B140" s="190" t="s">
        <v>190</v>
      </c>
      <c r="C140" s="196">
        <v>-6.8847240000000003</v>
      </c>
      <c r="D140" s="196">
        <v>112.193853</v>
      </c>
      <c r="E140" s="83" t="s">
        <v>8</v>
      </c>
      <c r="F140" s="83" t="s">
        <v>12</v>
      </c>
      <c r="G140" s="83">
        <v>-1.77</v>
      </c>
      <c r="H140" s="83">
        <v>300</v>
      </c>
      <c r="I140" s="83">
        <v>323.24</v>
      </c>
      <c r="J140" s="83">
        <f t="shared" ref="J140:J144" si="102" xml:space="preserve"> LOG(I140, 10) - (G140) * LOG(H140,10)^(G140+1)</f>
        <v>3.3898315233403653</v>
      </c>
      <c r="K140" s="83">
        <f t="shared" si="91"/>
        <v>1889.3927672685538</v>
      </c>
      <c r="L140" s="193">
        <f t="shared" si="92"/>
        <v>5.3046119949039126</v>
      </c>
      <c r="M140" s="83">
        <v>2018</v>
      </c>
      <c r="N140" s="83">
        <v>10</v>
      </c>
      <c r="O140" s="83">
        <v>73</v>
      </c>
      <c r="P140" s="194">
        <v>225.30816000000002</v>
      </c>
      <c r="Q140" s="83">
        <v>0</v>
      </c>
      <c r="R140" s="197">
        <v>0.80058939699999998</v>
      </c>
      <c r="S140" s="197">
        <v>0.55269999999999997</v>
      </c>
      <c r="T140" s="197">
        <v>0.54194655030588301</v>
      </c>
      <c r="V140" s="193">
        <f t="shared" si="93"/>
        <v>4.2468161183190909E-9</v>
      </c>
      <c r="W140" s="193">
        <f t="shared" si="94"/>
        <v>4.2468161183190908E-8</v>
      </c>
      <c r="X140" s="83">
        <f t="shared" si="95"/>
        <v>68</v>
      </c>
      <c r="Y140" s="195">
        <f t="shared" si="96"/>
        <v>18.09299800977022</v>
      </c>
      <c r="Z140" s="195">
        <f t="shared" si="97"/>
        <v>37.583599999999997</v>
      </c>
      <c r="AA140" s="193">
        <f t="shared" si="98"/>
        <v>7.0233398617354785E-4</v>
      </c>
      <c r="AB140" s="195">
        <f t="shared" si="99"/>
        <v>18.452004158631226</v>
      </c>
      <c r="AC140" s="195">
        <f t="shared" si="100"/>
        <v>36.852365420800048</v>
      </c>
      <c r="AD140" s="193">
        <f t="shared" si="101"/>
        <v>6.9263169923554401E-4</v>
      </c>
      <c r="AE140" s="259">
        <f t="shared" si="46"/>
        <v>71</v>
      </c>
      <c r="AF140" s="259" cm="1">
        <f t="array" ref="AF140">_xlfn.IFS(N140&lt;=AC140,W140*(3/(X140^3 - (X140-AB140)^3)),N140&gt;AC140,W140*(3/X140^3))</f>
        <v>6.6084084880248554E-13</v>
      </c>
      <c r="AG140" s="280">
        <f t="shared" si="53"/>
        <v>7.8840736345248792E-4</v>
      </c>
      <c r="AH140" s="281">
        <f t="shared" si="54"/>
        <v>-9.5775664216943908E-5</v>
      </c>
      <c r="AI140" s="282">
        <f t="shared" si="55"/>
        <v>113.82779106452266</v>
      </c>
    </row>
    <row r="141" spans="1:35" s="83" customFormat="1" x14ac:dyDescent="0.45">
      <c r="A141" s="83" t="s">
        <v>191</v>
      </c>
      <c r="B141" s="190" t="s">
        <v>190</v>
      </c>
      <c r="C141" s="196">
        <v>-6.8657529999999998</v>
      </c>
      <c r="D141" s="196">
        <v>112.289153</v>
      </c>
      <c r="E141" s="83" t="s">
        <v>8</v>
      </c>
      <c r="F141" s="83" t="s">
        <v>12</v>
      </c>
      <c r="G141" s="83">
        <v>-1.77</v>
      </c>
      <c r="H141" s="83">
        <v>300</v>
      </c>
      <c r="I141" s="83">
        <v>290.19</v>
      </c>
      <c r="J141" s="83">
        <f t="shared" si="102"/>
        <v>3.3429888677395541</v>
      </c>
      <c r="K141" s="83">
        <f t="shared" si="91"/>
        <v>1696.2098970847098</v>
      </c>
      <c r="L141" s="193">
        <f t="shared" si="92"/>
        <v>4.762236588297136</v>
      </c>
      <c r="M141" s="83">
        <v>2018</v>
      </c>
      <c r="N141" s="83">
        <v>10</v>
      </c>
      <c r="O141" s="83">
        <v>73</v>
      </c>
      <c r="P141" s="194">
        <v>128.74752000000001</v>
      </c>
      <c r="Q141" s="83">
        <v>5</v>
      </c>
      <c r="R141" s="197">
        <v>0.69148334628571395</v>
      </c>
      <c r="S141" s="197">
        <v>0.13275189523153463</v>
      </c>
      <c r="T141" s="197">
        <v>0.546448696547016</v>
      </c>
      <c r="V141" s="193">
        <f t="shared" si="93"/>
        <v>3.2930072918799653E-9</v>
      </c>
      <c r="W141" s="193">
        <f t="shared" si="94"/>
        <v>3.2930072918799654E-8</v>
      </c>
      <c r="X141" s="83">
        <f t="shared" si="95"/>
        <v>68</v>
      </c>
      <c r="Y141" s="195">
        <f t="shared" si="96"/>
        <v>75.328491412938746</v>
      </c>
      <c r="Z141" s="195">
        <f t="shared" si="97"/>
        <v>9.0271288757443546</v>
      </c>
      <c r="AA141" s="193">
        <f t="shared" si="98"/>
        <v>3.2930072918799653E-4</v>
      </c>
      <c r="AB141" s="195">
        <f t="shared" si="99"/>
        <v>18.29997960135972</v>
      </c>
      <c r="AC141" s="195">
        <f t="shared" si="100"/>
        <v>37.158511365197086</v>
      </c>
      <c r="AD141" s="193">
        <f t="shared" si="101"/>
        <v>5.4021789680213988E-4</v>
      </c>
      <c r="AE141" s="259">
        <f t="shared" si="46"/>
        <v>71</v>
      </c>
      <c r="AF141" s="259" cm="1">
        <f t="array" ref="AF141">_xlfn.IFS(N141&lt;=AC141,W141*(3/(X141^3 - (X141-AB141)^3)),N141&gt;AC141,W141*(3/X141^3))</f>
        <v>5.1542263204967024E-13</v>
      </c>
      <c r="AG141" s="280">
        <f t="shared" si="53"/>
        <v>6.149180988650985E-4</v>
      </c>
      <c r="AH141" s="281">
        <f t="shared" si="54"/>
        <v>-7.4700202062958623E-5</v>
      </c>
      <c r="AI141" s="282">
        <f t="shared" si="55"/>
        <v>113.82779106452269</v>
      </c>
    </row>
    <row r="142" spans="1:35" s="83" customFormat="1" x14ac:dyDescent="0.45">
      <c r="A142" s="83" t="s">
        <v>191</v>
      </c>
      <c r="B142" s="190" t="s">
        <v>190</v>
      </c>
      <c r="C142" s="196">
        <v>-6.86768</v>
      </c>
      <c r="D142" s="196">
        <v>112.342806</v>
      </c>
      <c r="E142" s="83" t="s">
        <v>8</v>
      </c>
      <c r="F142" s="83" t="s">
        <v>12</v>
      </c>
      <c r="G142" s="83">
        <v>-1.77</v>
      </c>
      <c r="H142" s="83">
        <v>300</v>
      </c>
      <c r="I142" s="83">
        <v>221.51</v>
      </c>
      <c r="J142" s="83">
        <f t="shared" si="102"/>
        <v>3.2256997623374053</v>
      </c>
      <c r="K142" s="83">
        <f t="shared" si="91"/>
        <v>1294.7636179855751</v>
      </c>
      <c r="L142" s="193">
        <f t="shared" si="92"/>
        <v>3.6351460307856871</v>
      </c>
      <c r="M142" s="83">
        <v>2018</v>
      </c>
      <c r="N142" s="83">
        <v>10</v>
      </c>
      <c r="O142" s="83">
        <v>73</v>
      </c>
      <c r="P142" s="194">
        <v>209.21472</v>
      </c>
      <c r="Q142" s="83">
        <v>0</v>
      </c>
      <c r="R142" s="197">
        <v>0.69148334628571395</v>
      </c>
      <c r="S142" s="197">
        <v>0.13341858489683281</v>
      </c>
      <c r="T142" s="197">
        <v>0.546448696547016</v>
      </c>
      <c r="V142" s="193">
        <f t="shared" si="93"/>
        <v>2.513642941604918E-9</v>
      </c>
      <c r="W142" s="193">
        <f t="shared" si="94"/>
        <v>2.5136429416049179E-8</v>
      </c>
      <c r="X142" s="83">
        <f t="shared" si="95"/>
        <v>68</v>
      </c>
      <c r="Y142" s="195">
        <f t="shared" si="96"/>
        <v>74.952076637093668</v>
      </c>
      <c r="Z142" s="195">
        <f t="shared" si="97"/>
        <v>9.0724637729846318</v>
      </c>
      <c r="AA142" s="193">
        <f t="shared" si="98"/>
        <v>2.5136429416049177E-4</v>
      </c>
      <c r="AB142" s="195">
        <f t="shared" si="99"/>
        <v>18.29997960135972</v>
      </c>
      <c r="AC142" s="195">
        <f t="shared" si="100"/>
        <v>37.158511365197086</v>
      </c>
      <c r="AD142" s="193">
        <f t="shared" si="101"/>
        <v>4.1236316317117059E-4</v>
      </c>
      <c r="AE142" s="259">
        <f t="shared" si="46"/>
        <v>71</v>
      </c>
      <c r="AF142" s="259" cm="1">
        <f t="array" ref="AF142">_xlfn.IFS(N142&lt;=AC142,W142*(3/(X142^3 - (X142-AB142)^3)),N142&gt;AC142,W142*(3/X142^3))</f>
        <v>3.9343625633316946E-13</v>
      </c>
      <c r="AG142" s="280">
        <f t="shared" si="53"/>
        <v>4.6938387980153672E-4</v>
      </c>
      <c r="AH142" s="281">
        <f t="shared" si="54"/>
        <v>-5.7020716630366126E-5</v>
      </c>
      <c r="AI142" s="282">
        <f t="shared" si="55"/>
        <v>113.82779106452266</v>
      </c>
    </row>
    <row r="143" spans="1:35" s="83" customFormat="1" x14ac:dyDescent="0.45">
      <c r="A143" s="83" t="s">
        <v>191</v>
      </c>
      <c r="B143" s="190" t="s">
        <v>190</v>
      </c>
      <c r="C143" s="196">
        <v>-6.8847240000000003</v>
      </c>
      <c r="D143" s="196">
        <v>112.193853</v>
      </c>
      <c r="E143" s="83" t="s">
        <v>14</v>
      </c>
      <c r="F143" s="83" t="s">
        <v>15</v>
      </c>
      <c r="G143" s="83">
        <v>-2.09</v>
      </c>
      <c r="H143" s="83">
        <v>300</v>
      </c>
      <c r="I143" s="83">
        <v>17.34</v>
      </c>
      <c r="J143" s="83">
        <f t="shared" si="102"/>
        <v>2.0166267383283891</v>
      </c>
      <c r="K143" s="83">
        <f t="shared" si="91"/>
        <v>113.25391825572747</v>
      </c>
      <c r="L143" s="193">
        <f t="shared" si="92"/>
        <v>66.80735445136645</v>
      </c>
      <c r="M143" s="83">
        <v>2018</v>
      </c>
      <c r="N143" s="83">
        <v>10</v>
      </c>
      <c r="O143" s="83">
        <v>73</v>
      </c>
      <c r="P143" s="194">
        <v>225.30816000000002</v>
      </c>
      <c r="Q143" s="83">
        <v>0</v>
      </c>
      <c r="R143" s="197">
        <v>0.80058939699999998</v>
      </c>
      <c r="S143" s="197">
        <v>0.55269999999999997</v>
      </c>
      <c r="T143" s="197">
        <v>0.54194655030588301</v>
      </c>
      <c r="V143" s="193">
        <f t="shared" si="93"/>
        <v>5.3485259615384728E-8</v>
      </c>
      <c r="W143" s="193">
        <f t="shared" si="94"/>
        <v>5.3485259615384728E-7</v>
      </c>
      <c r="X143" s="83">
        <f t="shared" si="95"/>
        <v>68</v>
      </c>
      <c r="Y143" s="195">
        <f t="shared" si="96"/>
        <v>18.09299800977022</v>
      </c>
      <c r="Z143" s="195">
        <f t="shared" si="97"/>
        <v>37.583599999999997</v>
      </c>
      <c r="AA143" s="193">
        <f t="shared" si="98"/>
        <v>8.845336021298807E-3</v>
      </c>
      <c r="AB143" s="195">
        <f t="shared" si="99"/>
        <v>18.452004158631226</v>
      </c>
      <c r="AC143" s="195">
        <f t="shared" si="100"/>
        <v>36.852365420800048</v>
      </c>
      <c r="AD143" s="193">
        <f t="shared" si="101"/>
        <v>8.7231434607347568E-3</v>
      </c>
      <c r="AE143" s="259">
        <f t="shared" si="46"/>
        <v>71</v>
      </c>
      <c r="AF143" s="259" cm="1">
        <f t="array" ref="AF143">_xlfn.IFS(N143&lt;=AC143,W143*(3/(X143^3 - (X143-AB143)^3)),N143&gt;AC143,W143*(3/X143^3))</f>
        <v>8.3227630718897134E-12</v>
      </c>
      <c r="AG143" s="280">
        <f t="shared" si="53"/>
        <v>9.9293615127437306E-3</v>
      </c>
      <c r="AH143" s="281">
        <f t="shared" si="54"/>
        <v>-1.2062180520089737E-3</v>
      </c>
      <c r="AI143" s="282">
        <f t="shared" si="55"/>
        <v>113.82779106452267</v>
      </c>
    </row>
    <row r="144" spans="1:35" s="83" customFormat="1" x14ac:dyDescent="0.45">
      <c r="A144" s="83" t="s">
        <v>191</v>
      </c>
      <c r="B144" s="190" t="s">
        <v>190</v>
      </c>
      <c r="C144" s="196">
        <v>-6.8657529999999998</v>
      </c>
      <c r="D144" s="196">
        <v>112.289153</v>
      </c>
      <c r="E144" s="83" t="s">
        <v>14</v>
      </c>
      <c r="F144" s="83" t="s">
        <v>15</v>
      </c>
      <c r="G144" s="83">
        <v>-2.09</v>
      </c>
      <c r="H144" s="83">
        <v>300</v>
      </c>
      <c r="I144" s="83">
        <v>28.29</v>
      </c>
      <c r="J144" s="83">
        <f t="shared" si="102"/>
        <v>2.2292105926451886</v>
      </c>
      <c r="K144" s="83">
        <f t="shared" si="91"/>
        <v>184.77239604697405</v>
      </c>
      <c r="L144" s="193">
        <f t="shared" si="92"/>
        <v>108.99538970179684</v>
      </c>
      <c r="M144" s="83">
        <v>2018</v>
      </c>
      <c r="N144" s="83">
        <v>10</v>
      </c>
      <c r="O144" s="83">
        <v>73</v>
      </c>
      <c r="P144" s="194">
        <v>128.74752000000001</v>
      </c>
      <c r="Q144" s="83">
        <v>5</v>
      </c>
      <c r="R144" s="197">
        <v>0.69148334628571395</v>
      </c>
      <c r="S144" s="197">
        <v>0.13275189523153463</v>
      </c>
      <c r="T144" s="197">
        <v>0.546448696547016</v>
      </c>
      <c r="V144" s="193">
        <f t="shared" si="93"/>
        <v>7.5368496800713933E-8</v>
      </c>
      <c r="W144" s="193">
        <f t="shared" si="94"/>
        <v>7.536849680071393E-7</v>
      </c>
      <c r="X144" s="83">
        <f t="shared" si="95"/>
        <v>68</v>
      </c>
      <c r="Y144" s="195">
        <f t="shared" si="96"/>
        <v>75.328491412938746</v>
      </c>
      <c r="Z144" s="195">
        <f t="shared" si="97"/>
        <v>9.0271288757443546</v>
      </c>
      <c r="AA144" s="193">
        <f t="shared" si="98"/>
        <v>7.5368496800713933E-3</v>
      </c>
      <c r="AB144" s="195">
        <f t="shared" si="99"/>
        <v>18.29997960135972</v>
      </c>
      <c r="AC144" s="195">
        <f t="shared" si="100"/>
        <v>37.158511365197086</v>
      </c>
      <c r="AD144" s="193">
        <f t="shared" si="101"/>
        <v>1.236420305755722E-2</v>
      </c>
      <c r="AE144" s="259">
        <f t="shared" si="46"/>
        <v>71</v>
      </c>
      <c r="AF144" s="259" cm="1">
        <f t="array" ref="AF144">_xlfn.IFS(N144&lt;=AC144,W144*(3/(X144^3 - (X144-AB144)^3)),N144&gt;AC144,W144*(3/X144^3))</f>
        <v>1.1796702998636159E-11</v>
      </c>
      <c r="AG144" s="280">
        <f t="shared" si="53"/>
        <v>1.4073899223149553E-2</v>
      </c>
      <c r="AH144" s="281">
        <f t="shared" si="54"/>
        <v>-1.7096961655923334E-3</v>
      </c>
      <c r="AI144" s="282">
        <f t="shared" si="55"/>
        <v>113.82779106452264</v>
      </c>
    </row>
    <row r="145" spans="1:35" s="83" customFormat="1" x14ac:dyDescent="0.45">
      <c r="A145" s="83" t="s">
        <v>191</v>
      </c>
      <c r="B145" s="190" t="s">
        <v>190</v>
      </c>
      <c r="C145" s="196">
        <v>-6.86768</v>
      </c>
      <c r="D145" s="196">
        <v>112.342806</v>
      </c>
      <c r="E145" s="83" t="s">
        <v>14</v>
      </c>
      <c r="F145" s="83" t="s">
        <v>15</v>
      </c>
      <c r="G145" s="83">
        <v>-2.09</v>
      </c>
      <c r="H145" s="83">
        <v>300</v>
      </c>
      <c r="I145" s="83">
        <v>47.41</v>
      </c>
      <c r="J145" s="83">
        <f xml:space="preserve"> LOG(I145, 10) - (G145) * LOG(H145,10)^(G145+1)</f>
        <v>2.4534476005071544</v>
      </c>
      <c r="K145" s="83">
        <f xml:space="preserve"> -1*10^J145*(G145+1)</f>
        <v>309.65214904867588</v>
      </c>
      <c r="L145" s="193">
        <f>IF(E145="Fragments",0.000000097*K145*(5000^(4+G145)-1)/(4+G145),0.000106*K145*(5000^(2+G145)-1)/(2+G145))</f>
        <v>182.66070787423783</v>
      </c>
      <c r="M145" s="83">
        <v>2018</v>
      </c>
      <c r="N145" s="83">
        <v>10</v>
      </c>
      <c r="O145" s="83">
        <v>73</v>
      </c>
      <c r="P145" s="194">
        <v>209.21472</v>
      </c>
      <c r="Q145" s="83">
        <v>0</v>
      </c>
      <c r="R145" s="197">
        <v>0.69148334628571395</v>
      </c>
      <c r="S145" s="197">
        <v>0.13341858489683281</v>
      </c>
      <c r="T145" s="197">
        <v>0.546448696547016</v>
      </c>
      <c r="V145" s="193">
        <f>L145*R145*0.000000001</f>
        <v>1.2630683751579525E-7</v>
      </c>
      <c r="W145" s="193">
        <f>V145*N145</f>
        <v>1.2630683751579526E-6</v>
      </c>
      <c r="X145" s="83">
        <f>M145-1950</f>
        <v>68</v>
      </c>
      <c r="Y145" s="195">
        <f>N145/S145</f>
        <v>74.952076637093668</v>
      </c>
      <c r="Z145" s="195">
        <f>S145*X145</f>
        <v>9.0724637729846318</v>
      </c>
      <c r="AA145" s="193">
        <f>IF(N145&lt;Z145,W145/(1-(1-N145/Z145)^3),W145)*10000</f>
        <v>1.2630683751579526E-2</v>
      </c>
      <c r="AB145" s="195">
        <f>N145/T145</f>
        <v>18.29997960135972</v>
      </c>
      <c r="AC145" s="195">
        <f>T145*X145</f>
        <v>37.158511365197086</v>
      </c>
      <c r="AD145" s="193">
        <f>IF(N145&lt;AC145,W145/(1-(1-N145/AC145)^3),W145)*10000</f>
        <v>2.0720638634103491E-2</v>
      </c>
      <c r="AE145" s="259">
        <f t="shared" si="46"/>
        <v>71</v>
      </c>
      <c r="AF145" s="259" cm="1">
        <f t="array" ref="AF145">_xlfn.IFS(N145&lt;=AC145,W145*(3/(X145^3 - (X145-AB145)^3)),N145&gt;AC145,W145*(3/X145^3))</f>
        <v>1.9769589578131508E-11</v>
      </c>
      <c r="AG145" s="280">
        <f t="shared" si="53"/>
        <v>2.3585845251662088E-2</v>
      </c>
      <c r="AH145" s="281">
        <f t="shared" si="54"/>
        <v>-2.8652066175585966E-3</v>
      </c>
      <c r="AI145" s="282">
        <f t="shared" si="55"/>
        <v>113.82779106452267</v>
      </c>
    </row>
    <row r="146" spans="1:35" s="83" customFormat="1" x14ac:dyDescent="0.45">
      <c r="A146" s="83" t="s">
        <v>196</v>
      </c>
      <c r="B146" s="190" t="s">
        <v>195</v>
      </c>
      <c r="C146" s="191">
        <v>-22.965350999999998</v>
      </c>
      <c r="D146" s="192">
        <v>-43.132494000000001</v>
      </c>
      <c r="E146" s="83" t="s">
        <v>8</v>
      </c>
      <c r="F146" s="83" t="s">
        <v>193</v>
      </c>
      <c r="G146" s="83">
        <v>-1.77</v>
      </c>
      <c r="H146" s="83">
        <v>200</v>
      </c>
      <c r="I146" s="83">
        <v>288</v>
      </c>
      <c r="J146" s="83">
        <f t="shared" ref="J146:J151" si="103" xml:space="preserve"> LOG(I146, 10) - (G146) * LOG(H146,10)^(G146+1)</f>
        <v>3.3911289915518759</v>
      </c>
      <c r="K146" s="83">
        <f t="shared" ref="K146:K151" si="104" xml:space="preserve"> -1*10^J146*(G146+1)</f>
        <v>1895.0458268015836</v>
      </c>
      <c r="L146" s="193">
        <f t="shared" ref="L146:L151" si="105">IF(E146="Fragments",0.000000097*K146*(5000^(4+G146)-1)/(4+G146),0.000106*K146*(5000^(2+G146)-1)/(2+G146))</f>
        <v>5.3204833838106076</v>
      </c>
      <c r="M146" s="83">
        <v>2017</v>
      </c>
      <c r="N146" s="198">
        <v>10</v>
      </c>
      <c r="O146" s="83">
        <v>80</v>
      </c>
      <c r="P146" s="83">
        <v>2381.8291199999999</v>
      </c>
      <c r="Q146" s="83">
        <v>16</v>
      </c>
      <c r="R146" s="83">
        <v>1.373883272</v>
      </c>
      <c r="S146" s="83">
        <v>0.13129688117966493</v>
      </c>
      <c r="T146" s="83">
        <v>0.67818393099584695</v>
      </c>
      <c r="V146" s="193">
        <f t="shared" ref="V146:V151" si="106">L146*R146*0.000000001</f>
        <v>7.3097231199713495E-9</v>
      </c>
      <c r="W146" s="193">
        <f t="shared" ref="W146:W151" si="107">V146*N146</f>
        <v>7.3097231199713495E-8</v>
      </c>
      <c r="X146" s="83">
        <f t="shared" ref="X146:X151" si="108">M146-1950</f>
        <v>67</v>
      </c>
      <c r="Y146" s="195">
        <f t="shared" ref="Y146:Y151" si="109">N146/S146</f>
        <v>76.163271436098555</v>
      </c>
      <c r="Z146" s="195">
        <f t="shared" ref="Z146:Z151" si="110">S146*X146</f>
        <v>8.7968910390375505</v>
      </c>
      <c r="AA146" s="193">
        <f t="shared" ref="AA146:AA151" si="111">IF(N146&lt;Z146,W146/(1-(1-N146/Z146)^3),W146)*10000</f>
        <v>7.3097231199713492E-4</v>
      </c>
      <c r="AB146" s="195">
        <f t="shared" ref="AB146:AB151" si="112">N146/T146</f>
        <v>14.745262373462573</v>
      </c>
      <c r="AC146" s="195">
        <f t="shared" ref="AC146:AC151" si="113">T146*X146</f>
        <v>45.438323376721748</v>
      </c>
      <c r="AD146" s="193">
        <f t="shared" ref="AD146:AD151" si="114">IF(N146&lt;AC146,W146/(1-(1-N146/AC146)^3),W146)*10000</f>
        <v>1.3907617069096971E-3</v>
      </c>
      <c r="AE146" s="259">
        <f t="shared" si="46"/>
        <v>71</v>
      </c>
      <c r="AF146" s="259" cm="1">
        <f t="array" ref="AF146">_xlfn.IFS(N146&lt;=AC146,W146*(3/(X146^3 - (X146-AB146)^3)),N146&gt;AC146,W146*(3/X146^3))</f>
        <v>1.3872335096834027E-12</v>
      </c>
      <c r="AG146" s="280">
        <f t="shared" si="53"/>
        <v>1.655020442280988E-3</v>
      </c>
      <c r="AH146" s="281">
        <f t="shared" si="54"/>
        <v>-2.6425873537129084E-4</v>
      </c>
      <c r="AI146" s="282">
        <f t="shared" si="55"/>
        <v>119.00100743775003</v>
      </c>
    </row>
    <row r="147" spans="1:35" s="83" customFormat="1" x14ac:dyDescent="0.45">
      <c r="A147" s="83" t="s">
        <v>196</v>
      </c>
      <c r="B147" s="190" t="s">
        <v>195</v>
      </c>
      <c r="C147" s="199">
        <v>-23.024595999999999</v>
      </c>
      <c r="D147" s="199">
        <v>-43.132145000000001</v>
      </c>
      <c r="E147" s="83" t="s">
        <v>8</v>
      </c>
      <c r="F147" s="83" t="s">
        <v>193</v>
      </c>
      <c r="G147" s="83">
        <v>-1.77</v>
      </c>
      <c r="H147" s="83">
        <v>200</v>
      </c>
      <c r="I147" s="83">
        <v>288</v>
      </c>
      <c r="J147" s="83">
        <f t="shared" si="103"/>
        <v>3.3911289915518759</v>
      </c>
      <c r="K147" s="83">
        <f t="shared" si="104"/>
        <v>1895.0458268015836</v>
      </c>
      <c r="L147" s="193">
        <f t="shared" si="105"/>
        <v>5.3204833838106076</v>
      </c>
      <c r="M147" s="83">
        <v>2017</v>
      </c>
      <c r="N147" s="198">
        <v>10</v>
      </c>
      <c r="O147" s="83">
        <v>80</v>
      </c>
      <c r="P147" s="83">
        <v>7097.2070400000002</v>
      </c>
      <c r="Q147" s="83">
        <v>32</v>
      </c>
      <c r="R147" s="83">
        <v>1.373883272</v>
      </c>
      <c r="S147" s="83">
        <v>0.12920891808916402</v>
      </c>
      <c r="T147" s="83">
        <v>0.53316444359034398</v>
      </c>
      <c r="V147" s="193">
        <f t="shared" si="106"/>
        <v>7.3097231199713495E-9</v>
      </c>
      <c r="W147" s="193">
        <f t="shared" si="107"/>
        <v>7.3097231199713495E-8</v>
      </c>
      <c r="X147" s="83">
        <f t="shared" si="108"/>
        <v>67</v>
      </c>
      <c r="Y147" s="195">
        <f t="shared" si="109"/>
        <v>77.394038645995295</v>
      </c>
      <c r="Z147" s="195">
        <f t="shared" si="110"/>
        <v>8.656997511973989</v>
      </c>
      <c r="AA147" s="193">
        <f t="shared" si="111"/>
        <v>7.3097231199713492E-4</v>
      </c>
      <c r="AB147" s="195">
        <f t="shared" si="112"/>
        <v>18.755939410849916</v>
      </c>
      <c r="AC147" s="195">
        <f t="shared" si="113"/>
        <v>35.722017720553048</v>
      </c>
      <c r="AD147" s="193">
        <f t="shared" si="114"/>
        <v>1.1664617984795097E-3</v>
      </c>
      <c r="AE147" s="259">
        <f t="shared" si="46"/>
        <v>71</v>
      </c>
      <c r="AF147" s="259" cm="1">
        <f t="array" ref="AF147">_xlfn.IFS(N147&lt;=AC147,W147*(3/(X147^3 - (X147-AB147)^3)),N147&gt;AC147,W147*(3/X147^3))</f>
        <v>1.1635026234738079E-12</v>
      </c>
      <c r="AG147" s="280">
        <f t="shared" si="53"/>
        <v>1.3881012915671136E-3</v>
      </c>
      <c r="AH147" s="281">
        <f t="shared" si="54"/>
        <v>-2.2163949308760399E-4</v>
      </c>
      <c r="AI147" s="282">
        <f t="shared" si="55"/>
        <v>119.00100743775</v>
      </c>
    </row>
    <row r="148" spans="1:35" s="83" customFormat="1" x14ac:dyDescent="0.45">
      <c r="A148" s="83" t="s">
        <v>196</v>
      </c>
      <c r="B148" s="190" t="s">
        <v>195</v>
      </c>
      <c r="C148" s="191">
        <v>-23.050357999999999</v>
      </c>
      <c r="D148" s="192">
        <v>-43.114297999999998</v>
      </c>
      <c r="E148" s="83" t="s">
        <v>8</v>
      </c>
      <c r="F148" s="83" t="s">
        <v>193</v>
      </c>
      <c r="G148" s="83">
        <v>-1.77</v>
      </c>
      <c r="H148" s="83">
        <v>200</v>
      </c>
      <c r="I148" s="83">
        <v>10416</v>
      </c>
      <c r="J148" s="83">
        <f t="shared" si="103"/>
        <v>4.9494374750167625</v>
      </c>
      <c r="K148" s="83">
        <f t="shared" si="104"/>
        <v>68537.490735990708</v>
      </c>
      <c r="L148" s="193">
        <f t="shared" si="105"/>
        <v>192.42414904781725</v>
      </c>
      <c r="M148" s="83">
        <v>2017</v>
      </c>
      <c r="N148" s="198">
        <v>10</v>
      </c>
      <c r="O148" s="83">
        <v>80</v>
      </c>
      <c r="P148" s="83">
        <v>9929.6524800000007</v>
      </c>
      <c r="Q148" s="83">
        <v>37</v>
      </c>
      <c r="R148" s="83">
        <v>1.373883272</v>
      </c>
      <c r="S148" s="83">
        <v>0.12856326403413854</v>
      </c>
      <c r="T148" s="83">
        <v>0.53316444359034398</v>
      </c>
      <c r="V148" s="193">
        <f t="shared" si="106"/>
        <v>2.6436831950563083E-7</v>
      </c>
      <c r="W148" s="193">
        <f t="shared" si="107"/>
        <v>2.6436831950563081E-6</v>
      </c>
      <c r="X148" s="83">
        <f t="shared" si="108"/>
        <v>67</v>
      </c>
      <c r="Y148" s="195">
        <f t="shared" si="109"/>
        <v>77.782717132513156</v>
      </c>
      <c r="Z148" s="195">
        <f t="shared" si="110"/>
        <v>8.6137386902872812</v>
      </c>
      <c r="AA148" s="193">
        <f t="shared" si="111"/>
        <v>2.6436831950563081E-2</v>
      </c>
      <c r="AB148" s="195">
        <f t="shared" si="112"/>
        <v>18.755939410849916</v>
      </c>
      <c r="AC148" s="195">
        <f t="shared" si="113"/>
        <v>35.722017720553048</v>
      </c>
      <c r="AD148" s="193">
        <f t="shared" si="114"/>
        <v>4.2187035045008987E-2</v>
      </c>
      <c r="AE148" s="259">
        <f t="shared" si="46"/>
        <v>71</v>
      </c>
      <c r="AF148" s="259" cm="1">
        <f t="array" ref="AF148">_xlfn.IFS(N148&lt;=AC148,W148*(3/(X148^3 - (X148-AB148)^3)),N148&gt;AC148,W148*(3/X148^3))</f>
        <v>4.2080011548969443E-11</v>
      </c>
      <c r="AG148" s="280">
        <f t="shared" si="53"/>
        <v>5.0202996711677342E-2</v>
      </c>
      <c r="AH148" s="281">
        <f t="shared" si="54"/>
        <v>-8.0159616666683545E-3</v>
      </c>
      <c r="AI148" s="282">
        <f t="shared" si="55"/>
        <v>119.00100743775</v>
      </c>
    </row>
    <row r="149" spans="1:35" s="83" customFormat="1" x14ac:dyDescent="0.45">
      <c r="A149" s="83" t="s">
        <v>196</v>
      </c>
      <c r="B149" s="190" t="s">
        <v>195</v>
      </c>
      <c r="C149" s="191">
        <v>-22.965350999999998</v>
      </c>
      <c r="D149" s="192">
        <v>-43.132494000000001</v>
      </c>
      <c r="E149" s="83" t="s">
        <v>14</v>
      </c>
      <c r="F149" s="83" t="s">
        <v>194</v>
      </c>
      <c r="G149" s="83">
        <v>-2.09</v>
      </c>
      <c r="H149" s="83">
        <v>200</v>
      </c>
      <c r="I149" s="83">
        <v>138</v>
      </c>
      <c r="J149" s="83">
        <f t="shared" si="103"/>
        <v>2.9825364123672213</v>
      </c>
      <c r="K149" s="83">
        <f t="shared" si="104"/>
        <v>1047.0391248167848</v>
      </c>
      <c r="L149" s="193">
        <f t="shared" si="105"/>
        <v>617.63791499148397</v>
      </c>
      <c r="M149" s="83">
        <v>2017</v>
      </c>
      <c r="N149" s="198">
        <v>10</v>
      </c>
      <c r="O149" s="83">
        <v>80</v>
      </c>
      <c r="P149" s="83">
        <v>2381.8291199999999</v>
      </c>
      <c r="Q149" s="83">
        <v>16</v>
      </c>
      <c r="R149" s="83">
        <v>1.373883272</v>
      </c>
      <c r="S149" s="83">
        <v>0.13129688117966493</v>
      </c>
      <c r="T149" s="83">
        <v>0.67818393099584695</v>
      </c>
      <c r="V149" s="193">
        <f t="shared" si="106"/>
        <v>8.485623995597579E-7</v>
      </c>
      <c r="W149" s="193">
        <f t="shared" si="107"/>
        <v>8.4856239955975797E-6</v>
      </c>
      <c r="X149" s="83">
        <f t="shared" si="108"/>
        <v>67</v>
      </c>
      <c r="Y149" s="195">
        <f t="shared" si="109"/>
        <v>76.163271436098555</v>
      </c>
      <c r="Z149" s="195">
        <f t="shared" si="110"/>
        <v>8.7968910390375505</v>
      </c>
      <c r="AA149" s="193">
        <f t="shared" si="111"/>
        <v>8.4856239955975798E-2</v>
      </c>
      <c r="AB149" s="195">
        <f t="shared" si="112"/>
        <v>14.745262373462573</v>
      </c>
      <c r="AC149" s="195">
        <f t="shared" si="113"/>
        <v>45.438323376721748</v>
      </c>
      <c r="AD149" s="193">
        <f t="shared" si="114"/>
        <v>0.16144908252499487</v>
      </c>
      <c r="AE149" s="259">
        <f t="shared" si="46"/>
        <v>71</v>
      </c>
      <c r="AF149" s="259" cm="1">
        <f t="array" ref="AF149">_xlfn.IFS(N149&lt;=AC149,W149*(3/(X149^3 - (X149-AB149)^3)),N149&gt;AC149,W149*(3/X149^3))</f>
        <v>1.6103950538297088E-10</v>
      </c>
      <c r="AG149" s="280">
        <f t="shared" ref="AG149:AG212" si="115" xml:space="preserve"> (AF149/3)*(AE149^3)*10000</f>
        <v>0.19212603470374828</v>
      </c>
      <c r="AH149" s="281">
        <f t="shared" ref="AH149:AH212" si="116">AD149-AG149</f>
        <v>-3.0676952178753408E-2</v>
      </c>
      <c r="AI149" s="282">
        <f t="shared" ref="AI149:AI212" si="117">AG149*100/AD149</f>
        <v>119.00100743774999</v>
      </c>
    </row>
    <row r="150" spans="1:35" s="83" customFormat="1" x14ac:dyDescent="0.45">
      <c r="A150" s="83" t="s">
        <v>196</v>
      </c>
      <c r="B150" s="190" t="s">
        <v>195</v>
      </c>
      <c r="C150" s="199">
        <v>-23.024595999999999</v>
      </c>
      <c r="D150" s="199">
        <v>-43.132145000000001</v>
      </c>
      <c r="E150" s="83" t="s">
        <v>14</v>
      </c>
      <c r="F150" s="83" t="s">
        <v>194</v>
      </c>
      <c r="G150" s="83">
        <v>-2.09</v>
      </c>
      <c r="H150" s="83">
        <v>200</v>
      </c>
      <c r="I150" s="83">
        <v>138</v>
      </c>
      <c r="J150" s="83">
        <f t="shared" si="103"/>
        <v>2.9825364123672213</v>
      </c>
      <c r="K150" s="83">
        <f t="shared" si="104"/>
        <v>1047.0391248167848</v>
      </c>
      <c r="L150" s="193">
        <f t="shared" si="105"/>
        <v>617.63791499148397</v>
      </c>
      <c r="M150" s="83">
        <v>2017</v>
      </c>
      <c r="N150" s="198">
        <v>10</v>
      </c>
      <c r="O150" s="83">
        <v>80</v>
      </c>
      <c r="P150" s="83">
        <v>7097.2070400000002</v>
      </c>
      <c r="Q150" s="83">
        <v>32</v>
      </c>
      <c r="R150" s="83">
        <v>1.373883272</v>
      </c>
      <c r="S150" s="83">
        <v>0.12920891808916402</v>
      </c>
      <c r="T150" s="83">
        <v>0.53316444359034398</v>
      </c>
      <c r="V150" s="193">
        <f t="shared" si="106"/>
        <v>8.485623995597579E-7</v>
      </c>
      <c r="W150" s="193">
        <f t="shared" si="107"/>
        <v>8.4856239955975797E-6</v>
      </c>
      <c r="X150" s="83">
        <f t="shared" si="108"/>
        <v>67</v>
      </c>
      <c r="Y150" s="195">
        <f t="shared" si="109"/>
        <v>77.394038645995295</v>
      </c>
      <c r="Z150" s="195">
        <f t="shared" si="110"/>
        <v>8.656997511973989</v>
      </c>
      <c r="AA150" s="193">
        <f t="shared" si="111"/>
        <v>8.4856239955975798E-2</v>
      </c>
      <c r="AB150" s="195">
        <f t="shared" si="112"/>
        <v>18.755939410849916</v>
      </c>
      <c r="AC150" s="195">
        <f t="shared" si="113"/>
        <v>35.722017720553048</v>
      </c>
      <c r="AD150" s="193">
        <f t="shared" si="114"/>
        <v>0.13541082288168024</v>
      </c>
      <c r="AE150" s="259">
        <f t="shared" si="46"/>
        <v>71</v>
      </c>
      <c r="AF150" s="259" cm="1">
        <f t="array" ref="AF150">_xlfn.IFS(N150&lt;=AC150,W150*(3/(X150^3 - (X150-AB150)^3)),N150&gt;AC150,W150*(3/X150^3))</f>
        <v>1.3506730171099528E-10</v>
      </c>
      <c r="AG150" s="280">
        <f t="shared" si="115"/>
        <v>0.16114024340894675</v>
      </c>
      <c r="AH150" s="281">
        <f t="shared" si="116"/>
        <v>-2.5729420527266511E-2</v>
      </c>
      <c r="AI150" s="282">
        <f t="shared" si="117"/>
        <v>119.00100743774999</v>
      </c>
    </row>
    <row r="151" spans="1:35" s="83" customFormat="1" x14ac:dyDescent="0.45">
      <c r="A151" s="83" t="s">
        <v>196</v>
      </c>
      <c r="B151" s="190" t="s">
        <v>195</v>
      </c>
      <c r="C151" s="191">
        <v>-23.050357999999999</v>
      </c>
      <c r="D151" s="192">
        <v>-43.114297999999998</v>
      </c>
      <c r="E151" s="83" t="s">
        <v>14</v>
      </c>
      <c r="F151" s="83" t="s">
        <v>194</v>
      </c>
      <c r="G151" s="83">
        <v>-2.09</v>
      </c>
      <c r="H151" s="83">
        <v>200</v>
      </c>
      <c r="I151" s="83">
        <v>4991</v>
      </c>
      <c r="J151" s="83">
        <f t="shared" si="103"/>
        <v>4.540844895832107</v>
      </c>
      <c r="K151" s="83">
        <f t="shared" si="104"/>
        <v>37867.915014207079</v>
      </c>
      <c r="L151" s="193">
        <f t="shared" si="105"/>
        <v>22337.904592192019</v>
      </c>
      <c r="M151" s="83">
        <v>2017</v>
      </c>
      <c r="N151" s="198">
        <v>10</v>
      </c>
      <c r="O151" s="83">
        <v>80</v>
      </c>
      <c r="P151" s="83">
        <v>9929.6524800000007</v>
      </c>
      <c r="Q151" s="83">
        <v>37</v>
      </c>
      <c r="R151" s="83">
        <v>1.373883272</v>
      </c>
      <c r="S151" s="83">
        <v>0.12856326403413854</v>
      </c>
      <c r="T151" s="83">
        <v>0.53316444359034398</v>
      </c>
      <c r="V151" s="193">
        <f t="shared" si="106"/>
        <v>3.0689673450744603E-5</v>
      </c>
      <c r="W151" s="193">
        <f t="shared" si="107"/>
        <v>3.0689673450744605E-4</v>
      </c>
      <c r="X151" s="83">
        <f t="shared" si="108"/>
        <v>67</v>
      </c>
      <c r="Y151" s="195">
        <f t="shared" si="109"/>
        <v>77.782717132513156</v>
      </c>
      <c r="Z151" s="195">
        <f t="shared" si="110"/>
        <v>8.6137386902872812</v>
      </c>
      <c r="AA151" s="193">
        <f t="shared" si="111"/>
        <v>3.0689673450744603</v>
      </c>
      <c r="AB151" s="195">
        <f t="shared" si="112"/>
        <v>18.755939410849916</v>
      </c>
      <c r="AC151" s="195">
        <f t="shared" si="113"/>
        <v>35.722017720553048</v>
      </c>
      <c r="AD151" s="193">
        <f t="shared" si="114"/>
        <v>4.8973580942207722</v>
      </c>
      <c r="AE151" s="259">
        <f t="shared" si="46"/>
        <v>71</v>
      </c>
      <c r="AF151" s="259" cm="1">
        <f t="array" ref="AF151">_xlfn.IFS(N151&lt;=AC151,W151*(3/(X151^3 - (X151-AB151)^3)),N151&gt;AC151,W151*(3/X151^3))</f>
        <v>4.8849340785476665E-9</v>
      </c>
      <c r="AG151" s="280">
        <f t="shared" si="115"/>
        <v>5.8279054699569128</v>
      </c>
      <c r="AH151" s="281">
        <f t="shared" si="116"/>
        <v>-0.93054737573614066</v>
      </c>
      <c r="AI151" s="282">
        <f t="shared" si="117"/>
        <v>119.00100743775</v>
      </c>
    </row>
    <row r="152" spans="1:35" s="83" customFormat="1" x14ac:dyDescent="0.45">
      <c r="A152" s="83" t="s">
        <v>199</v>
      </c>
      <c r="B152" s="190" t="s">
        <v>198</v>
      </c>
      <c r="C152" s="191">
        <v>22.32</v>
      </c>
      <c r="D152" s="191">
        <v>114.35</v>
      </c>
      <c r="E152" s="83" t="s">
        <v>8</v>
      </c>
      <c r="F152" s="83" t="s">
        <v>193</v>
      </c>
      <c r="G152" s="83">
        <v>-1.77</v>
      </c>
      <c r="H152" s="83">
        <v>300</v>
      </c>
      <c r="I152" s="83">
        <v>95.28</v>
      </c>
      <c r="J152" s="83">
        <f t="shared" ref="J152:J161" si="118" xml:space="preserve"> LOG(I152, 10) - (G152) * LOG(H152,10)^(G152+1)</f>
        <v>2.8593081737212676</v>
      </c>
      <c r="K152" s="83">
        <f t="shared" ref="K152:K158" si="119" xml:space="preserve"> -1*10^J152*(G152+1)</f>
        <v>556.92780245436131</v>
      </c>
      <c r="L152" s="193">
        <f t="shared" ref="L152:L161" si="120">IF(E152="Fragments",0.000000097*K152*(5000^(4+G152)-1)/(4+G152),0.000106*K152*(5000^(2+G152)-1)/(2+G152))</f>
        <v>1.5636166033734831</v>
      </c>
      <c r="M152" s="191">
        <v>2015</v>
      </c>
      <c r="N152" s="176">
        <v>4</v>
      </c>
      <c r="O152" s="83">
        <v>4</v>
      </c>
      <c r="P152" s="83">
        <v>16.093440000000001</v>
      </c>
      <c r="Q152" s="83">
        <v>4</v>
      </c>
      <c r="R152" s="83">
        <v>0.64629065600000002</v>
      </c>
      <c r="S152" s="83">
        <v>0.13288496611575845</v>
      </c>
      <c r="T152" s="83">
        <v>2.0069492851669599</v>
      </c>
      <c r="V152" s="193">
        <f t="shared" ref="V152:V159" si="121">L152*R152*0.000000001</f>
        <v>1.0105508003267403E-9</v>
      </c>
      <c r="W152" s="193">
        <f t="shared" ref="W152:W159" si="122">V152*N152</f>
        <v>4.0422032013069612E-9</v>
      </c>
      <c r="X152" s="83">
        <f t="shared" ref="X152:X159" si="123">M152-1950</f>
        <v>65</v>
      </c>
      <c r="Y152" s="195">
        <f t="shared" ref="Y152:Y159" si="124">N152/S152</f>
        <v>30.101223012056376</v>
      </c>
      <c r="Z152" s="195">
        <f t="shared" ref="Z152:Z159" si="125">S152*X152</f>
        <v>8.6375227975242996</v>
      </c>
      <c r="AA152" s="193">
        <f t="shared" ref="AA152:AA159" si="126">IF(N152&lt;Z152,W152/(1-(1-N152/Z152)^3),W152)*10000</f>
        <v>4.7823783193575578E-5</v>
      </c>
      <c r="AB152" s="195">
        <f t="shared" ref="AB152:AB159" si="127">N152/T152</f>
        <v>1.9930747775060178</v>
      </c>
      <c r="AC152" s="195">
        <f t="shared" ref="AC152:AC159" si="128">T152*X152</f>
        <v>130.4517035358524</v>
      </c>
      <c r="AD152" s="193">
        <f t="shared" ref="AD152:AD159" si="129">IF(N152&lt;AC152,W152/(1-(1-N152/AC152)^3),W152)*10000</f>
        <v>4.5318062087987813E-4</v>
      </c>
      <c r="AE152" s="259">
        <f t="shared" si="46"/>
        <v>71</v>
      </c>
      <c r="AF152" s="259" cm="1">
        <f t="array" ref="AF152">_xlfn.IFS(N152&lt;=AC152,W152*(3/(X152^3 - (X152-AB152)^3)),N152&gt;AC152,W152*(3/X152^3))</f>
        <v>4.950539326862568E-13</v>
      </c>
      <c r="AG152" s="280">
        <f t="shared" si="115"/>
        <v>5.9061749367223621E-4</v>
      </c>
      <c r="AH152" s="281">
        <f t="shared" si="116"/>
        <v>-1.3743687279235808E-4</v>
      </c>
      <c r="AI152" s="282">
        <f t="shared" si="117"/>
        <v>130.32717341829752</v>
      </c>
    </row>
    <row r="153" spans="1:35" s="83" customFormat="1" x14ac:dyDescent="0.45">
      <c r="A153" s="83" t="s">
        <v>199</v>
      </c>
      <c r="B153" s="190" t="s">
        <v>198</v>
      </c>
      <c r="C153" s="191">
        <v>22.36</v>
      </c>
      <c r="D153" s="191">
        <v>114.29</v>
      </c>
      <c r="E153" s="83" t="s">
        <v>8</v>
      </c>
      <c r="F153" s="83" t="s">
        <v>193</v>
      </c>
      <c r="G153" s="83">
        <v>-1.77</v>
      </c>
      <c r="H153" s="83">
        <v>300</v>
      </c>
      <c r="I153" s="83">
        <v>107.03999999999999</v>
      </c>
      <c r="J153" s="83">
        <f t="shared" si="118"/>
        <v>2.9098525256702947</v>
      </c>
      <c r="K153" s="83">
        <f t="shared" si="119"/>
        <v>625.66700225351474</v>
      </c>
      <c r="L153" s="193">
        <f t="shared" si="120"/>
        <v>1.7566070657545945</v>
      </c>
      <c r="M153" s="191">
        <v>2017</v>
      </c>
      <c r="N153" s="176">
        <v>4</v>
      </c>
      <c r="O153" s="83">
        <v>4</v>
      </c>
      <c r="P153" s="83">
        <v>16.093440000000001</v>
      </c>
      <c r="Q153" s="83">
        <v>4</v>
      </c>
      <c r="R153" s="83">
        <v>0.64629065600000002</v>
      </c>
      <c r="S153" s="83">
        <v>0.13288496611575845</v>
      </c>
      <c r="T153" s="83">
        <v>2.0084362654519201</v>
      </c>
      <c r="V153" s="193">
        <f t="shared" si="121"/>
        <v>1.1352787328607721E-9</v>
      </c>
      <c r="W153" s="193">
        <f t="shared" si="122"/>
        <v>4.5411149314430882E-9</v>
      </c>
      <c r="X153" s="83">
        <f t="shared" si="123"/>
        <v>67</v>
      </c>
      <c r="Y153" s="195">
        <f t="shared" si="124"/>
        <v>30.101223012056376</v>
      </c>
      <c r="Z153" s="195">
        <f t="shared" si="125"/>
        <v>8.9032927297558171</v>
      </c>
      <c r="AA153" s="193">
        <f t="shared" si="126"/>
        <v>5.4517577236386247E-5</v>
      </c>
      <c r="AB153" s="195">
        <f t="shared" si="127"/>
        <v>1.9915991703624991</v>
      </c>
      <c r="AC153" s="195">
        <f t="shared" si="128"/>
        <v>134.56522978527866</v>
      </c>
      <c r="AD153" s="193">
        <f t="shared" si="129"/>
        <v>5.2467166698700121E-4</v>
      </c>
      <c r="AE153" s="259">
        <f t="shared" si="46"/>
        <v>71</v>
      </c>
      <c r="AF153" s="259" cm="1">
        <f t="array" ref="AF153">_xlfn.IFS(N153&lt;=AC153,W153*(3/(X153^3 - (X153-AB153)^3)),N153&gt;AC153,W153*(3/X153^3))</f>
        <v>5.233406372994676E-13</v>
      </c>
      <c r="AG153" s="280">
        <f t="shared" si="115"/>
        <v>6.2436456945496569E-4</v>
      </c>
      <c r="AH153" s="281">
        <f t="shared" si="116"/>
        <v>-9.9692902467964474E-5</v>
      </c>
      <c r="AI153" s="282">
        <f t="shared" si="117"/>
        <v>119.00100743774952</v>
      </c>
    </row>
    <row r="154" spans="1:35" s="83" customFormat="1" x14ac:dyDescent="0.45">
      <c r="A154" s="83" t="s">
        <v>199</v>
      </c>
      <c r="B154" s="190" t="s">
        <v>198</v>
      </c>
      <c r="C154" s="191">
        <v>22.5</v>
      </c>
      <c r="D154" s="191">
        <v>114.36</v>
      </c>
      <c r="E154" s="83" t="s">
        <v>8</v>
      </c>
      <c r="F154" s="83" t="s">
        <v>193</v>
      </c>
      <c r="G154" s="83">
        <v>-1.77</v>
      </c>
      <c r="H154" s="83">
        <v>300</v>
      </c>
      <c r="I154" s="83">
        <v>82.415999999999997</v>
      </c>
      <c r="J154" s="83">
        <f t="shared" si="118"/>
        <v>2.7963179577830504</v>
      </c>
      <c r="K154" s="83">
        <f t="shared" si="119"/>
        <v>481.73553491896138</v>
      </c>
      <c r="L154" s="193">
        <f t="shared" si="120"/>
        <v>1.352508669013738</v>
      </c>
      <c r="M154" s="191">
        <v>2017</v>
      </c>
      <c r="N154" s="176">
        <v>4</v>
      </c>
      <c r="O154" s="83">
        <v>4</v>
      </c>
      <c r="P154" s="83">
        <v>16.093440000000001</v>
      </c>
      <c r="Q154" s="83">
        <v>4</v>
      </c>
      <c r="R154" s="83">
        <v>0.64629065600000002</v>
      </c>
      <c r="S154" s="83">
        <v>0.13288496611575845</v>
      </c>
      <c r="T154" s="83">
        <v>2.0081740041073499</v>
      </c>
      <c r="V154" s="193">
        <f t="shared" si="121"/>
        <v>8.7411371494257567E-10</v>
      </c>
      <c r="W154" s="193">
        <f t="shared" si="122"/>
        <v>3.4964548597703027E-9</v>
      </c>
      <c r="X154" s="83">
        <f t="shared" si="123"/>
        <v>67</v>
      </c>
      <c r="Y154" s="195">
        <f t="shared" si="124"/>
        <v>30.101223012056376</v>
      </c>
      <c r="Z154" s="195">
        <f t="shared" si="125"/>
        <v>8.9032927297558171</v>
      </c>
      <c r="AA154" s="193">
        <f t="shared" si="126"/>
        <v>4.197608973761215E-5</v>
      </c>
      <c r="AB154" s="195">
        <f t="shared" si="127"/>
        <v>1.991859267084793</v>
      </c>
      <c r="AC154" s="195">
        <f t="shared" si="128"/>
        <v>134.54765827519245</v>
      </c>
      <c r="AD154" s="193">
        <f t="shared" si="129"/>
        <v>4.0392248844907174E-4</v>
      </c>
      <c r="AE154" s="259">
        <f t="shared" si="46"/>
        <v>71</v>
      </c>
      <c r="AF154" s="259" cm="1">
        <f t="array" ref="AF154">_xlfn.IFS(N154&lt;=AC154,W154*(3/(X154^3 - (X154-AB154)^3)),N154&gt;AC154,W154*(3/X154^3))</f>
        <v>4.0289778508234566E-13</v>
      </c>
      <c r="AG154" s="280">
        <f t="shared" si="115"/>
        <v>4.8067183052202475E-4</v>
      </c>
      <c r="AH154" s="281">
        <f t="shared" si="116"/>
        <v>-7.6749342072953005E-5</v>
      </c>
      <c r="AI154" s="282">
        <f t="shared" si="117"/>
        <v>119.00100743775</v>
      </c>
    </row>
    <row r="155" spans="1:35" s="83" customFormat="1" x14ac:dyDescent="0.45">
      <c r="A155" s="83" t="s">
        <v>199</v>
      </c>
      <c r="B155" s="190" t="s">
        <v>198</v>
      </c>
      <c r="C155" s="191">
        <v>22.52</v>
      </c>
      <c r="D155" s="191">
        <v>114.31</v>
      </c>
      <c r="E155" s="83" t="s">
        <v>8</v>
      </c>
      <c r="F155" s="83" t="s">
        <v>193</v>
      </c>
      <c r="G155" s="83">
        <v>-1.77</v>
      </c>
      <c r="H155" s="83">
        <v>300</v>
      </c>
      <c r="I155" s="83">
        <v>88.8</v>
      </c>
      <c r="J155" s="83">
        <f t="shared" si="118"/>
        <v>2.8287193910251478</v>
      </c>
      <c r="K155" s="83">
        <f t="shared" si="119"/>
        <v>519.05110052421594</v>
      </c>
      <c r="L155" s="193">
        <f t="shared" si="120"/>
        <v>1.4572749200206268</v>
      </c>
      <c r="M155" s="191">
        <v>2017</v>
      </c>
      <c r="N155" s="176">
        <v>4</v>
      </c>
      <c r="O155" s="83">
        <v>4</v>
      </c>
      <c r="P155" s="83">
        <v>48.280320000000003</v>
      </c>
      <c r="Q155" s="83">
        <v>4</v>
      </c>
      <c r="R155" s="83">
        <v>0.64629065600000002</v>
      </c>
      <c r="S155" s="83">
        <v>0.13288496611575845</v>
      </c>
      <c r="T155" s="83">
        <v>2.0089817078172598</v>
      </c>
      <c r="V155" s="193">
        <f t="shared" si="121"/>
        <v>9.4182316403247858E-10</v>
      </c>
      <c r="W155" s="193">
        <f t="shared" si="122"/>
        <v>3.7672926561299143E-9</v>
      </c>
      <c r="X155" s="83">
        <f t="shared" si="123"/>
        <v>67</v>
      </c>
      <c r="Y155" s="195">
        <f t="shared" si="124"/>
        <v>30.101223012056376</v>
      </c>
      <c r="Z155" s="195">
        <f t="shared" si="125"/>
        <v>8.9032927297558171</v>
      </c>
      <c r="AA155" s="193">
        <f t="shared" si="126"/>
        <v>4.5227586496553586E-5</v>
      </c>
      <c r="AB155" s="195">
        <f t="shared" si="127"/>
        <v>1.9910584473892314</v>
      </c>
      <c r="AC155" s="195">
        <f t="shared" si="128"/>
        <v>134.60177442375641</v>
      </c>
      <c r="AD155" s="193">
        <f t="shared" si="129"/>
        <v>4.3538039172352631E-4</v>
      </c>
      <c r="AE155" s="259">
        <f t="shared" si="46"/>
        <v>71</v>
      </c>
      <c r="AF155" s="259" cm="1">
        <f t="array" ref="AF155">_xlfn.IFS(N155&lt;=AC155,W155*(3/(X155^3 - (X155-AB155)^3)),N155&gt;AC155,W155*(3/X155^3))</f>
        <v>4.3427588339342645E-13</v>
      </c>
      <c r="AG155" s="280">
        <f t="shared" si="115"/>
        <v>5.1810705233741551E-4</v>
      </c>
      <c r="AH155" s="281">
        <f t="shared" si="116"/>
        <v>-8.2726660613889201E-5</v>
      </c>
      <c r="AI155" s="282">
        <f t="shared" si="117"/>
        <v>119.00100743774929</v>
      </c>
    </row>
    <row r="156" spans="1:35" s="83" customFormat="1" x14ac:dyDescent="0.45">
      <c r="A156" s="83" t="s">
        <v>199</v>
      </c>
      <c r="B156" s="190" t="s">
        <v>198</v>
      </c>
      <c r="C156" s="191">
        <v>22.32</v>
      </c>
      <c r="D156" s="191">
        <v>114.35</v>
      </c>
      <c r="E156" s="83" t="s">
        <v>14</v>
      </c>
      <c r="F156" s="83" t="s">
        <v>197</v>
      </c>
      <c r="G156" s="83">
        <v>-2.09</v>
      </c>
      <c r="H156" s="83">
        <v>300</v>
      </c>
      <c r="I156" s="83">
        <v>12.108499999999999</v>
      </c>
      <c r="J156" s="83">
        <f t="shared" si="118"/>
        <v>1.8606679912980988</v>
      </c>
      <c r="K156" s="83">
        <f t="shared" si="119"/>
        <v>79.085067427882166</v>
      </c>
      <c r="L156" s="193">
        <f t="shared" si="120"/>
        <v>46.651490852039863</v>
      </c>
      <c r="M156" s="191">
        <v>2015</v>
      </c>
      <c r="N156" s="176">
        <v>4</v>
      </c>
      <c r="O156" s="83">
        <v>4</v>
      </c>
      <c r="P156" s="83">
        <v>16.093440000000001</v>
      </c>
      <c r="Q156" s="83">
        <v>4</v>
      </c>
      <c r="R156" s="83">
        <v>0.64629065600000002</v>
      </c>
      <c r="S156" s="83">
        <v>0.13288496611575845</v>
      </c>
      <c r="T156" s="83">
        <v>2.0069492851669599</v>
      </c>
      <c r="V156" s="193">
        <f t="shared" si="121"/>
        <v>3.0150422626142846E-8</v>
      </c>
      <c r="W156" s="193">
        <f t="shared" si="122"/>
        <v>1.2060169050457138E-7</v>
      </c>
      <c r="X156" s="83">
        <f t="shared" si="123"/>
        <v>65</v>
      </c>
      <c r="Y156" s="195">
        <f t="shared" si="124"/>
        <v>30.101223012056376</v>
      </c>
      <c r="Z156" s="195">
        <f t="shared" si="125"/>
        <v>8.6375227975242996</v>
      </c>
      <c r="AA156" s="193">
        <f t="shared" si="126"/>
        <v>1.426852835504282E-3</v>
      </c>
      <c r="AB156" s="195">
        <f t="shared" si="127"/>
        <v>1.9930747775060178</v>
      </c>
      <c r="AC156" s="195">
        <f t="shared" si="128"/>
        <v>130.4517035358524</v>
      </c>
      <c r="AD156" s="193">
        <f t="shared" si="129"/>
        <v>1.3520930606445819E-2</v>
      </c>
      <c r="AE156" s="259">
        <f t="shared" si="46"/>
        <v>71</v>
      </c>
      <c r="AF156" s="259" cm="1">
        <f t="array" ref="AF156">_xlfn.IFS(N156&lt;=AC156,W156*(3/(X156^3 - (X156-AB156)^3)),N156&gt;AC156,W156*(3/X156^3))</f>
        <v>1.4770247362526138E-11</v>
      </c>
      <c r="AG156" s="280">
        <f t="shared" si="115"/>
        <v>1.762144667923031E-2</v>
      </c>
      <c r="AH156" s="281">
        <f t="shared" si="116"/>
        <v>-4.1005160727844905E-3</v>
      </c>
      <c r="AI156" s="282">
        <f t="shared" si="117"/>
        <v>130.32717341829752</v>
      </c>
    </row>
    <row r="157" spans="1:35" s="83" customFormat="1" x14ac:dyDescent="0.45">
      <c r="A157" s="83" t="s">
        <v>199</v>
      </c>
      <c r="B157" s="190" t="s">
        <v>198</v>
      </c>
      <c r="C157" s="191">
        <v>22.36</v>
      </c>
      <c r="D157" s="191">
        <v>114.29</v>
      </c>
      <c r="E157" s="83" t="s">
        <v>14</v>
      </c>
      <c r="F157" s="83" t="s">
        <v>197</v>
      </c>
      <c r="G157" s="83">
        <v>-2.09</v>
      </c>
      <c r="H157" s="83">
        <v>300</v>
      </c>
      <c r="I157" s="83">
        <v>13.603</v>
      </c>
      <c r="J157" s="83">
        <f t="shared" si="118"/>
        <v>1.9112123432471255</v>
      </c>
      <c r="K157" s="83">
        <f t="shared" si="119"/>
        <v>88.846196657016222</v>
      </c>
      <c r="L157" s="193">
        <f t="shared" si="120"/>
        <v>52.409483425717312</v>
      </c>
      <c r="M157" s="191">
        <v>2017</v>
      </c>
      <c r="N157" s="176">
        <v>4</v>
      </c>
      <c r="O157" s="83">
        <v>4</v>
      </c>
      <c r="P157" s="83">
        <v>16.093440000000001</v>
      </c>
      <c r="Q157" s="83">
        <v>4</v>
      </c>
      <c r="R157" s="83">
        <v>0.64629065600000002</v>
      </c>
      <c r="S157" s="83">
        <v>0.13288496611575845</v>
      </c>
      <c r="T157" s="83">
        <v>2.0084362654519201</v>
      </c>
      <c r="V157" s="193">
        <f t="shared" si="121"/>
        <v>3.387175942382797E-8</v>
      </c>
      <c r="W157" s="193">
        <f t="shared" si="122"/>
        <v>1.3548703769531188E-7</v>
      </c>
      <c r="X157" s="83">
        <f t="shared" si="123"/>
        <v>67</v>
      </c>
      <c r="Y157" s="195">
        <f t="shared" si="124"/>
        <v>30.101223012056376</v>
      </c>
      <c r="Z157" s="195">
        <f t="shared" si="125"/>
        <v>8.9032927297558171</v>
      </c>
      <c r="AA157" s="193">
        <f t="shared" si="126"/>
        <v>1.6265664167491266E-3</v>
      </c>
      <c r="AB157" s="195">
        <f t="shared" si="127"/>
        <v>1.9915991703624991</v>
      </c>
      <c r="AC157" s="195">
        <f t="shared" si="128"/>
        <v>134.56522978527866</v>
      </c>
      <c r="AD157" s="193">
        <f t="shared" si="129"/>
        <v>1.5653911208131432E-2</v>
      </c>
      <c r="AE157" s="259">
        <f t="shared" si="46"/>
        <v>71</v>
      </c>
      <c r="AF157" s="259" cm="1">
        <f t="array" ref="AF157">_xlfn.IFS(N157&lt;=AC157,W157*(3/(X157^3 - (X157-AB157)^3)),N157&gt;AC157,W157*(3/X157^3))</f>
        <v>1.5614199095099503E-11</v>
      </c>
      <c r="AG157" s="280">
        <f t="shared" si="115"/>
        <v>1.8628312041087194E-2</v>
      </c>
      <c r="AH157" s="281">
        <f t="shared" si="116"/>
        <v>-2.974400832955762E-3</v>
      </c>
      <c r="AI157" s="282">
        <f t="shared" si="117"/>
        <v>119.00100743774954</v>
      </c>
    </row>
    <row r="158" spans="1:35" s="83" customFormat="1" x14ac:dyDescent="0.45">
      <c r="A158" s="83" t="s">
        <v>199</v>
      </c>
      <c r="B158" s="190" t="s">
        <v>198</v>
      </c>
      <c r="C158" s="191">
        <v>22.5</v>
      </c>
      <c r="D158" s="191">
        <v>114.36</v>
      </c>
      <c r="E158" s="83" t="s">
        <v>14</v>
      </c>
      <c r="F158" s="83" t="s">
        <v>197</v>
      </c>
      <c r="G158" s="83">
        <v>-2.09</v>
      </c>
      <c r="H158" s="83">
        <v>300</v>
      </c>
      <c r="I158" s="83">
        <v>10.473699999999999</v>
      </c>
      <c r="J158" s="83">
        <f t="shared" si="118"/>
        <v>1.7976777753598814</v>
      </c>
      <c r="K158" s="83">
        <f t="shared" si="119"/>
        <v>68.407587291523257</v>
      </c>
      <c r="L158" s="193">
        <f t="shared" si="120"/>
        <v>40.352952036751859</v>
      </c>
      <c r="M158" s="191">
        <v>2017</v>
      </c>
      <c r="N158" s="176">
        <v>4</v>
      </c>
      <c r="O158" s="83">
        <v>4</v>
      </c>
      <c r="P158" s="83">
        <v>16.093440000000001</v>
      </c>
      <c r="Q158" s="83">
        <v>4</v>
      </c>
      <c r="R158" s="83">
        <v>0.64629065600000002</v>
      </c>
      <c r="S158" s="83">
        <v>0.13288496611575845</v>
      </c>
      <c r="T158" s="83">
        <v>2.0081740041073499</v>
      </c>
      <c r="V158" s="193">
        <f t="shared" si="121"/>
        <v>2.6079735843368895E-8</v>
      </c>
      <c r="W158" s="193">
        <f t="shared" si="122"/>
        <v>1.0431894337347558E-7</v>
      </c>
      <c r="X158" s="83">
        <f t="shared" si="123"/>
        <v>67</v>
      </c>
      <c r="Y158" s="195">
        <f t="shared" si="124"/>
        <v>30.101223012056376</v>
      </c>
      <c r="Z158" s="195">
        <f t="shared" si="125"/>
        <v>8.9032927297558171</v>
      </c>
      <c r="AA158" s="193">
        <f t="shared" si="126"/>
        <v>1.2523832006987674E-3</v>
      </c>
      <c r="AB158" s="195">
        <f t="shared" si="127"/>
        <v>1.991859267084793</v>
      </c>
      <c r="AC158" s="195">
        <f t="shared" si="128"/>
        <v>134.54765827519245</v>
      </c>
      <c r="AD158" s="193">
        <f t="shared" si="129"/>
        <v>1.2051283053761548E-2</v>
      </c>
      <c r="AE158" s="259">
        <f t="shared" si="46"/>
        <v>71</v>
      </c>
      <c r="AF158" s="259" cm="1">
        <f t="array" ref="AF158">_xlfn.IFS(N158&lt;=AC158,W158*(3/(X158^3 - (X158-AB158)^3)),N158&gt;AC158,W158*(3/X158^3))</f>
        <v>1.2020710380360831E-11</v>
      </c>
      <c r="AG158" s="280">
        <f t="shared" si="115"/>
        <v>1.4341148243151084E-2</v>
      </c>
      <c r="AH158" s="281">
        <f t="shared" si="116"/>
        <v>-2.2898651893895356E-3</v>
      </c>
      <c r="AI158" s="282">
        <f t="shared" si="117"/>
        <v>119.00100743774999</v>
      </c>
    </row>
    <row r="159" spans="1:35" s="83" customFormat="1" x14ac:dyDescent="0.45">
      <c r="A159" s="83" t="s">
        <v>199</v>
      </c>
      <c r="B159" s="190" t="s">
        <v>198</v>
      </c>
      <c r="C159" s="191">
        <v>22.52</v>
      </c>
      <c r="D159" s="191">
        <v>114.31</v>
      </c>
      <c r="E159" s="83" t="s">
        <v>14</v>
      </c>
      <c r="F159" s="83" t="s">
        <v>197</v>
      </c>
      <c r="G159" s="83">
        <v>-2.09</v>
      </c>
      <c r="H159" s="83">
        <v>300</v>
      </c>
      <c r="I159" s="83">
        <v>11.285</v>
      </c>
      <c r="J159" s="83">
        <f t="shared" si="118"/>
        <v>1.8300792086019786</v>
      </c>
      <c r="K159" s="83">
        <f xml:space="preserve"> -1*10^J159*(G159+1)</f>
        <v>73.706486015910272</v>
      </c>
      <c r="L159" s="193">
        <f t="shared" si="120"/>
        <v>43.478719433891015</v>
      </c>
      <c r="M159" s="191">
        <v>2017</v>
      </c>
      <c r="N159" s="176">
        <v>4</v>
      </c>
      <c r="O159" s="83">
        <v>4</v>
      </c>
      <c r="P159" s="83">
        <v>48.280320000000003</v>
      </c>
      <c r="Q159" s="83">
        <v>4</v>
      </c>
      <c r="R159" s="83">
        <v>0.64629065600000002</v>
      </c>
      <c r="S159" s="83">
        <v>0.13288496611575845</v>
      </c>
      <c r="T159" s="83">
        <v>2.0089817078172598</v>
      </c>
      <c r="V159" s="193">
        <f t="shared" si="121"/>
        <v>2.8099890104969373E-8</v>
      </c>
      <c r="W159" s="193">
        <f t="shared" si="122"/>
        <v>1.1239956041987749E-7</v>
      </c>
      <c r="X159" s="83">
        <f t="shared" si="123"/>
        <v>67</v>
      </c>
      <c r="Y159" s="195">
        <f t="shared" si="124"/>
        <v>30.101223012056376</v>
      </c>
      <c r="Z159" s="195">
        <f t="shared" si="125"/>
        <v>8.9032927297558171</v>
      </c>
      <c r="AA159" s="193">
        <f t="shared" si="126"/>
        <v>1.34939366411923E-3</v>
      </c>
      <c r="AB159" s="195">
        <f t="shared" si="127"/>
        <v>1.9910584473892314</v>
      </c>
      <c r="AC159" s="195">
        <f t="shared" si="128"/>
        <v>134.60177442375641</v>
      </c>
      <c r="AD159" s="193">
        <f t="shared" si="129"/>
        <v>1.2989849505196193E-2</v>
      </c>
      <c r="AE159" s="259">
        <f t="shared" si="46"/>
        <v>71</v>
      </c>
      <c r="AF159" s="259" cm="1">
        <f t="array" ref="AF159">_xlfn.IFS(N159&lt;=AC159,W159*(3/(X159^3 - (X159-AB159)^3)),N159&gt;AC159,W159*(3/X159^3))</f>
        <v>1.2956895800210916E-11</v>
      </c>
      <c r="AG159" s="280">
        <f t="shared" si="115"/>
        <v>1.5458051775830964E-2</v>
      </c>
      <c r="AH159" s="281">
        <f t="shared" si="116"/>
        <v>-2.4682022706347707E-3</v>
      </c>
      <c r="AI159" s="282">
        <f t="shared" si="117"/>
        <v>119.00100743774931</v>
      </c>
    </row>
    <row r="160" spans="1:35" s="83" customFormat="1" x14ac:dyDescent="0.45">
      <c r="A160" s="83" t="s">
        <v>202</v>
      </c>
      <c r="B160" s="190" t="s">
        <v>201</v>
      </c>
      <c r="C160" s="200">
        <v>13.41777778</v>
      </c>
      <c r="D160" s="201">
        <v>100.58277778</v>
      </c>
      <c r="E160" s="83" t="s">
        <v>14</v>
      </c>
      <c r="F160" s="83" t="s">
        <v>15</v>
      </c>
      <c r="G160" s="83">
        <v>-2.09</v>
      </c>
      <c r="H160" s="83">
        <v>300</v>
      </c>
      <c r="I160" s="83">
        <v>413</v>
      </c>
      <c r="J160" s="83">
        <f t="shared" si="118"/>
        <v>3.3935276968445991</v>
      </c>
      <c r="K160" s="83">
        <f xml:space="preserve"> -1*10^J160*(G160+1)</f>
        <v>2697.4549157794409</v>
      </c>
      <c r="L160" s="193">
        <f t="shared" si="120"/>
        <v>1591.2016948335861</v>
      </c>
      <c r="M160" s="191">
        <v>2004</v>
      </c>
      <c r="N160" s="176">
        <v>10</v>
      </c>
      <c r="O160" s="83">
        <v>15</v>
      </c>
      <c r="P160" s="83">
        <v>10911.35232</v>
      </c>
      <c r="Q160" s="83">
        <v>11</v>
      </c>
      <c r="R160" s="83">
        <v>1.3837435549999999</v>
      </c>
      <c r="S160" s="83">
        <v>0.13195626365865479</v>
      </c>
      <c r="T160" s="83">
        <v>0.3977</v>
      </c>
      <c r="V160" s="193">
        <f t="shared" ref="V160:V161" si="130">L160*R160*0.000000001</f>
        <v>2.2018150899310512E-6</v>
      </c>
      <c r="W160" s="193">
        <f t="shared" ref="W160:W161" si="131">V160*N160</f>
        <v>2.2018150899310512E-5</v>
      </c>
      <c r="X160" s="83">
        <f t="shared" ref="X160:X161" si="132">M160-1950</f>
        <v>54</v>
      </c>
      <c r="Y160" s="195">
        <f t="shared" ref="Y160:Y161" si="133">N160/S160</f>
        <v>75.782685283269743</v>
      </c>
      <c r="Z160" s="195">
        <f t="shared" ref="Z160:Z161" si="134">S160*X160</f>
        <v>7.1256382375673581</v>
      </c>
      <c r="AA160" s="193">
        <f t="shared" ref="AA160:AA161" si="135">IF(N160&lt;Z160,W160/(1-(1-N160/Z160)^3),W160)*10000</f>
        <v>0.22018150899310512</v>
      </c>
      <c r="AB160" s="195">
        <f t="shared" ref="AB160:AB161" si="136">N160/T160</f>
        <v>25.144581342720645</v>
      </c>
      <c r="AC160" s="195">
        <f t="shared" ref="AC160:AC161" si="137">T160*X160</f>
        <v>21.4758</v>
      </c>
      <c r="AD160" s="193">
        <f t="shared" ref="AD160" si="138">IF(N160&lt;AC160,W160/(1-(1-N160/AC160)^3),W160)*10000</f>
        <v>0.25982606689127785</v>
      </c>
      <c r="AE160" s="259">
        <f t="shared" si="46"/>
        <v>71</v>
      </c>
      <c r="AF160" s="259" cm="1">
        <f t="array" ref="AF160">_xlfn.IFS(N160&lt;=AC160,W160*(3/(X160^3 - (X160-AB160)^3)),N160&gt;AC160,W160*(3/X160^3))</f>
        <v>4.95019941493823E-10</v>
      </c>
      <c r="AG160" s="280">
        <f t="shared" si="115"/>
        <v>0.59057694093331892</v>
      </c>
      <c r="AH160" s="281">
        <f t="shared" si="116"/>
        <v>-0.33075087404204107</v>
      </c>
      <c r="AI160" s="282">
        <f t="shared" si="117"/>
        <v>227.29703297261591</v>
      </c>
    </row>
    <row r="161" spans="1:35" s="83" customFormat="1" x14ac:dyDescent="0.45">
      <c r="A161" s="83" t="s">
        <v>202</v>
      </c>
      <c r="B161" s="190" t="s">
        <v>201</v>
      </c>
      <c r="C161" s="200">
        <v>13.37388889</v>
      </c>
      <c r="D161" s="201">
        <v>100.58333333</v>
      </c>
      <c r="E161" s="83" t="s">
        <v>14</v>
      </c>
      <c r="F161" s="83" t="s">
        <v>15</v>
      </c>
      <c r="G161" s="83">
        <v>-2.09</v>
      </c>
      <c r="H161" s="83">
        <v>300</v>
      </c>
      <c r="I161" s="83">
        <v>410</v>
      </c>
      <c r="J161" s="83">
        <f t="shared" si="118"/>
        <v>3.3903615019079334</v>
      </c>
      <c r="K161" s="83">
        <f xml:space="preserve"> -1*10^J161*(G161+1)</f>
        <v>2677.860812274987</v>
      </c>
      <c r="L161" s="193">
        <f t="shared" si="120"/>
        <v>1579.6433290115488</v>
      </c>
      <c r="M161" s="191">
        <v>2004</v>
      </c>
      <c r="N161" s="176">
        <v>12</v>
      </c>
      <c r="O161" s="83">
        <v>15</v>
      </c>
      <c r="P161" s="83">
        <v>10911.35232</v>
      </c>
      <c r="Q161" s="83">
        <v>14</v>
      </c>
      <c r="R161" s="83">
        <v>1.3837435549999999</v>
      </c>
      <c r="S161" s="83">
        <v>0.13156023785613885</v>
      </c>
      <c r="T161" s="176">
        <v>0.39600000000000002</v>
      </c>
      <c r="V161" s="193">
        <f t="shared" si="130"/>
        <v>2.1858212757184755E-6</v>
      </c>
      <c r="W161" s="193">
        <f t="shared" si="131"/>
        <v>2.6229855308621707E-5</v>
      </c>
      <c r="X161" s="83">
        <f t="shared" si="132"/>
        <v>54</v>
      </c>
      <c r="Y161" s="195">
        <f t="shared" si="133"/>
        <v>91.212969781355994</v>
      </c>
      <c r="Z161" s="195">
        <f t="shared" si="134"/>
        <v>7.1042528442314978</v>
      </c>
      <c r="AA161" s="193">
        <f t="shared" si="135"/>
        <v>0.26229855308621708</v>
      </c>
      <c r="AB161" s="195">
        <f t="shared" si="136"/>
        <v>30.303030303030301</v>
      </c>
      <c r="AC161" s="195">
        <f t="shared" si="137"/>
        <v>21.384</v>
      </c>
      <c r="AD161" s="193">
        <f>IF(N161&lt;AC161,W161/(1-(1-N161/AC161)^3),W161)*10000</f>
        <v>0.28651098654244583</v>
      </c>
      <c r="AE161" s="259">
        <f t="shared" si="46"/>
        <v>71</v>
      </c>
      <c r="AF161" s="259" cm="1">
        <f t="array" ref="AF161">_xlfn.IFS(N161&lt;=AC161,W161*(3/(X161^3 - (X161-AB161)^3)),N161&gt;AC161,W161*(3/X161^3))</f>
        <v>5.4585998045733465E-10</v>
      </c>
      <c r="AG161" s="280">
        <f t="shared" si="115"/>
        <v>0.6512309715515503</v>
      </c>
      <c r="AH161" s="281">
        <f t="shared" si="116"/>
        <v>-0.36471998500910446</v>
      </c>
      <c r="AI161" s="282">
        <f t="shared" si="117"/>
        <v>227.29703297261591</v>
      </c>
    </row>
    <row r="162" spans="1:35" s="83" customFormat="1" x14ac:dyDescent="0.45">
      <c r="A162" s="83" t="s">
        <v>204</v>
      </c>
      <c r="B162" s="190" t="s">
        <v>203</v>
      </c>
      <c r="C162" s="202">
        <v>54.627960999999999</v>
      </c>
      <c r="D162" s="203">
        <v>19.863931000000001</v>
      </c>
      <c r="E162" s="83" t="s">
        <v>8</v>
      </c>
      <c r="F162" s="204">
        <v>0.93179999999999996</v>
      </c>
      <c r="G162" s="83">
        <v>-1.77</v>
      </c>
      <c r="H162" s="83">
        <v>175</v>
      </c>
      <c r="I162" s="83">
        <v>45.099119999999999</v>
      </c>
      <c r="J162" s="83">
        <f t="shared" ref="J162:J171" si="139" xml:space="preserve"> LOG(I162, 10) - (G162) * LOG(H162,10)^(G162+1)</f>
        <v>2.6043987582099857</v>
      </c>
      <c r="K162" s="83">
        <f t="shared" ref="K162:K171" si="140" xml:space="preserve"> -1*10^J162*(G162+1)</f>
        <v>309.66311870790781</v>
      </c>
      <c r="L162" s="193">
        <f t="shared" ref="L162:L171" si="141">IF(E162="Fragments",0.000000097*K162*(5000^(4+G162)-1)/(4+G162),0.000106*K162*(5000^(2+G162)-1)/(2+G162))</f>
        <v>0.86940244629603824</v>
      </c>
      <c r="M162" s="191">
        <v>2015</v>
      </c>
      <c r="N162" s="195">
        <v>10</v>
      </c>
      <c r="O162" s="83">
        <v>59</v>
      </c>
      <c r="P162" s="83">
        <v>0</v>
      </c>
      <c r="Q162" s="83">
        <v>3</v>
      </c>
      <c r="R162" s="83">
        <v>0.54424737099999998</v>
      </c>
      <c r="S162" s="83">
        <v>0.13301817039062197</v>
      </c>
      <c r="T162" s="83">
        <v>0.27263867707439698</v>
      </c>
      <c r="V162" s="193">
        <f t="shared" ref="V162:V171" si="142">L162*R162*0.000000001</f>
        <v>4.7316999573758755E-10</v>
      </c>
      <c r="W162" s="193">
        <f t="shared" ref="W162:W171" si="143">V162*N162</f>
        <v>4.7316999573758753E-9</v>
      </c>
      <c r="X162" s="83">
        <f t="shared" ref="X162:X171" si="144">M162-1950</f>
        <v>65</v>
      </c>
      <c r="Y162" s="195">
        <f t="shared" ref="Y162:Y171" si="145">N162/S162</f>
        <v>75.177699186764784</v>
      </c>
      <c r="Z162" s="195">
        <f t="shared" ref="Z162:Z171" si="146">S162*X162</f>
        <v>8.6461810753904285</v>
      </c>
      <c r="AA162" s="193">
        <f t="shared" ref="AA162:AA171" si="147">IF(N162&lt;Z162,W162/(1-(1-N162/Z162)^3),W162)*10000</f>
        <v>4.7316999573758751E-5</v>
      </c>
      <c r="AB162" s="195">
        <f t="shared" ref="AB162:AB171" si="148">N162/T162</f>
        <v>36.67858173061493</v>
      </c>
      <c r="AC162" s="195">
        <f t="shared" ref="AC162:AC171" si="149">T162*X162</f>
        <v>17.721514009835804</v>
      </c>
      <c r="AD162" s="193">
        <f t="shared" ref="AD162:AD171" si="150">IF(N162&lt;AC162,W162/(1-(1-N162/AC162)^3),W162)*10000</f>
        <v>5.1583970583160396E-5</v>
      </c>
      <c r="AE162" s="259">
        <f t="shared" si="46"/>
        <v>71</v>
      </c>
      <c r="AF162" s="259" cm="1">
        <f t="array" ref="AF162">_xlfn.IFS(N162&lt;=AC162,W162*(3/(X162^3 - (X162-AB162)^3)),N162&gt;AC162,W162*(3/X162^3))</f>
        <v>5.6350263723070068E-14</v>
      </c>
      <c r="AG162" s="280">
        <f t="shared" si="115"/>
        <v>6.7227930797959107E-5</v>
      </c>
      <c r="AH162" s="281">
        <f t="shared" si="116"/>
        <v>-1.5643960214798711E-5</v>
      </c>
      <c r="AI162" s="282">
        <f t="shared" si="117"/>
        <v>130.32717341829766</v>
      </c>
    </row>
    <row r="163" spans="1:35" s="83" customFormat="1" x14ac:dyDescent="0.45">
      <c r="A163" s="83" t="s">
        <v>204</v>
      </c>
      <c r="B163" s="190" t="s">
        <v>203</v>
      </c>
      <c r="C163" s="202">
        <v>54.62753</v>
      </c>
      <c r="D163" s="203">
        <v>19.857343</v>
      </c>
      <c r="E163" s="83" t="s">
        <v>8</v>
      </c>
      <c r="F163" s="204">
        <v>0.52969999999999995</v>
      </c>
      <c r="G163" s="83">
        <v>-1.77</v>
      </c>
      <c r="H163" s="83">
        <v>175</v>
      </c>
      <c r="I163" s="83">
        <v>21.39988</v>
      </c>
      <c r="J163" s="83">
        <f t="shared" si="139"/>
        <v>2.2806420284995736</v>
      </c>
      <c r="K163" s="83">
        <f t="shared" si="140"/>
        <v>146.93753627066297</v>
      </c>
      <c r="L163" s="193">
        <f t="shared" si="141"/>
        <v>0.41253816088743334</v>
      </c>
      <c r="M163" s="191">
        <v>2015</v>
      </c>
      <c r="N163" s="195">
        <v>10</v>
      </c>
      <c r="O163" s="83">
        <v>59</v>
      </c>
      <c r="P163" s="83">
        <v>627.64416000000006</v>
      </c>
      <c r="Q163" s="83">
        <v>5</v>
      </c>
      <c r="R163" s="83">
        <v>0.54424737099999998</v>
      </c>
      <c r="S163" s="83">
        <v>0.13275189523153463</v>
      </c>
      <c r="T163" s="83">
        <v>0.27263867707439698</v>
      </c>
      <c r="V163" s="193">
        <f t="shared" si="142"/>
        <v>2.2452280950016063E-10</v>
      </c>
      <c r="W163" s="193">
        <f t="shared" si="143"/>
        <v>2.2452280950016064E-9</v>
      </c>
      <c r="X163" s="83">
        <f t="shared" si="144"/>
        <v>65</v>
      </c>
      <c r="Y163" s="195">
        <f t="shared" si="145"/>
        <v>75.328491412938746</v>
      </c>
      <c r="Z163" s="195">
        <f t="shared" si="146"/>
        <v>8.6288731900497506</v>
      </c>
      <c r="AA163" s="193">
        <f t="shared" si="147"/>
        <v>2.2452280950016064E-5</v>
      </c>
      <c r="AB163" s="195">
        <f t="shared" si="148"/>
        <v>36.67858173061493</v>
      </c>
      <c r="AC163" s="195">
        <f t="shared" si="149"/>
        <v>17.721514009835804</v>
      </c>
      <c r="AD163" s="193">
        <f t="shared" si="150"/>
        <v>2.4476991577732833E-5</v>
      </c>
      <c r="AE163" s="259">
        <f t="shared" si="46"/>
        <v>71</v>
      </c>
      <c r="AF163" s="259" cm="1">
        <f t="array" ref="AF163">_xlfn.IFS(N163&lt;=AC163,W163*(3/(X163^3 - (X163-AB163)^3)),N163&gt;AC163,W163*(3/X163^3))</f>
        <v>2.6738634404441875E-14</v>
      </c>
      <c r="AG163" s="280">
        <f t="shared" si="115"/>
        <v>3.1900171261093987E-5</v>
      </c>
      <c r="AH163" s="281">
        <f t="shared" si="116"/>
        <v>-7.4231796833611533E-6</v>
      </c>
      <c r="AI163" s="282">
        <f t="shared" si="117"/>
        <v>130.32717341829769</v>
      </c>
    </row>
    <row r="164" spans="1:35" s="83" customFormat="1" x14ac:dyDescent="0.45">
      <c r="A164" s="83" t="s">
        <v>204</v>
      </c>
      <c r="B164" s="190" t="s">
        <v>203</v>
      </c>
      <c r="C164" s="202">
        <v>54.638492999999997</v>
      </c>
      <c r="D164" s="203">
        <v>19.815564999999999</v>
      </c>
      <c r="E164" s="83" t="s">
        <v>8</v>
      </c>
      <c r="F164" s="204">
        <v>0.90780000000000005</v>
      </c>
      <c r="G164" s="83">
        <v>-1.77</v>
      </c>
      <c r="H164" s="83">
        <v>175</v>
      </c>
      <c r="I164" s="83">
        <v>31.50066</v>
      </c>
      <c r="J164" s="83">
        <f t="shared" si="139"/>
        <v>2.4485503436510756</v>
      </c>
      <c r="K164" s="83">
        <f t="shared" si="140"/>
        <v>216.29230497086104</v>
      </c>
      <c r="L164" s="193">
        <f t="shared" si="141"/>
        <v>0.60725687915728299</v>
      </c>
      <c r="M164" s="191">
        <v>2015</v>
      </c>
      <c r="N164" s="195">
        <v>10</v>
      </c>
      <c r="O164" s="83">
        <v>59</v>
      </c>
      <c r="P164" s="83">
        <v>3798.0518400000001</v>
      </c>
      <c r="Q164" s="83">
        <v>10</v>
      </c>
      <c r="R164" s="83">
        <v>0.54424737099999998</v>
      </c>
      <c r="S164" s="83">
        <v>0.13208853699948581</v>
      </c>
      <c r="T164" s="83">
        <v>0.27242042909379899</v>
      </c>
      <c r="V164" s="193">
        <f t="shared" si="142"/>
        <v>3.3049796000301596E-10</v>
      </c>
      <c r="W164" s="193">
        <f t="shared" si="143"/>
        <v>3.3049796000301596E-9</v>
      </c>
      <c r="X164" s="83">
        <f t="shared" si="144"/>
        <v>65</v>
      </c>
      <c r="Y164" s="195">
        <f t="shared" si="145"/>
        <v>75.706796571143244</v>
      </c>
      <c r="Z164" s="195">
        <f t="shared" si="146"/>
        <v>8.5857549049665778</v>
      </c>
      <c r="AA164" s="193">
        <f t="shared" si="147"/>
        <v>3.3049796000301597E-5</v>
      </c>
      <c r="AB164" s="195">
        <f t="shared" si="148"/>
        <v>36.70796655472865</v>
      </c>
      <c r="AC164" s="195">
        <f t="shared" si="149"/>
        <v>17.707327891096934</v>
      </c>
      <c r="AD164" s="193">
        <f t="shared" si="150"/>
        <v>3.602007340889431E-5</v>
      </c>
      <c r="AE164" s="259">
        <f t="shared" si="46"/>
        <v>71</v>
      </c>
      <c r="AF164" s="259" cm="1">
        <f t="array" ref="AF164">_xlfn.IFS(N164&lt;=AC164,W164*(3/(X164^3 - (X164-AB164)^3)),N164&gt;AC164,W164*(3/X164^3))</f>
        <v>3.9348282285546807E-14</v>
      </c>
      <c r="AG164" s="280">
        <f t="shared" si="115"/>
        <v>4.694394353700781E-5</v>
      </c>
      <c r="AH164" s="281">
        <f t="shared" si="116"/>
        <v>-1.09238701281135E-5</v>
      </c>
      <c r="AI164" s="282">
        <f t="shared" si="117"/>
        <v>130.32717341829766</v>
      </c>
    </row>
    <row r="165" spans="1:35" s="83" customFormat="1" x14ac:dyDescent="0.45">
      <c r="A165" s="83" t="s">
        <v>204</v>
      </c>
      <c r="B165" s="190" t="s">
        <v>203</v>
      </c>
      <c r="C165" s="202">
        <v>54.625312000000001</v>
      </c>
      <c r="D165" s="203">
        <v>19.787800000000001</v>
      </c>
      <c r="E165" s="83" t="s">
        <v>8</v>
      </c>
      <c r="F165" s="204">
        <v>1</v>
      </c>
      <c r="G165" s="83">
        <v>-1.77</v>
      </c>
      <c r="H165" s="83">
        <v>175</v>
      </c>
      <c r="I165" s="83">
        <v>12</v>
      </c>
      <c r="J165" s="83">
        <f t="shared" si="139"/>
        <v>2.0294119365009959</v>
      </c>
      <c r="K165" s="83">
        <f t="shared" si="140"/>
        <v>82.395342181729802</v>
      </c>
      <c r="L165" s="193">
        <f t="shared" si="141"/>
        <v>0.23133110702719831</v>
      </c>
      <c r="M165" s="191">
        <v>2015</v>
      </c>
      <c r="N165" s="195">
        <v>10</v>
      </c>
      <c r="O165" s="83">
        <v>59</v>
      </c>
      <c r="P165" s="83">
        <v>3717.58464</v>
      </c>
      <c r="Q165" s="83">
        <v>15</v>
      </c>
      <c r="R165" s="83">
        <v>0.54424737099999998</v>
      </c>
      <c r="S165" s="83">
        <v>0.13142849355358946</v>
      </c>
      <c r="T165" s="83">
        <v>0.27242042909379899</v>
      </c>
      <c r="V165" s="193">
        <f t="shared" si="142"/>
        <v>1.2590134683007229E-10</v>
      </c>
      <c r="W165" s="193">
        <f t="shared" si="143"/>
        <v>1.259013468300723E-9</v>
      </c>
      <c r="X165" s="83">
        <f t="shared" si="144"/>
        <v>65</v>
      </c>
      <c r="Y165" s="195">
        <f t="shared" si="145"/>
        <v>76.087001605344724</v>
      </c>
      <c r="Z165" s="195">
        <f t="shared" si="146"/>
        <v>8.5428520809833142</v>
      </c>
      <c r="AA165" s="193">
        <f t="shared" si="147"/>
        <v>1.2590134683007231E-5</v>
      </c>
      <c r="AB165" s="195">
        <f t="shared" si="148"/>
        <v>36.70796655472865</v>
      </c>
      <c r="AC165" s="195">
        <f t="shared" si="149"/>
        <v>17.707327891096934</v>
      </c>
      <c r="AD165" s="193">
        <f t="shared" si="150"/>
        <v>1.3721645226059742E-5</v>
      </c>
      <c r="AE165" s="259">
        <f t="shared" si="46"/>
        <v>71</v>
      </c>
      <c r="AF165" s="259" cm="1">
        <f t="array" ref="AF165">_xlfn.IFS(N165&lt;=AC165,W165*(3/(X165^3 - (X165-AB165)^3)),N165&gt;AC165,W165*(3/X165^3))</f>
        <v>1.4989507757188611E-14</v>
      </c>
      <c r="AG165" s="280">
        <f t="shared" si="115"/>
        <v>1.7883032369610445E-5</v>
      </c>
      <c r="AH165" s="281">
        <f t="shared" si="116"/>
        <v>-4.1613871435507037E-6</v>
      </c>
      <c r="AI165" s="282">
        <f t="shared" si="117"/>
        <v>130.32717341829769</v>
      </c>
    </row>
    <row r="166" spans="1:35" s="83" customFormat="1" x14ac:dyDescent="0.45">
      <c r="A166" s="83" t="s">
        <v>204</v>
      </c>
      <c r="B166" s="190" t="s">
        <v>203</v>
      </c>
      <c r="C166" s="202">
        <v>54.645592999999998</v>
      </c>
      <c r="D166" s="203">
        <v>19.742885999999999</v>
      </c>
      <c r="E166" s="83" t="s">
        <v>8</v>
      </c>
      <c r="F166" s="204">
        <v>1</v>
      </c>
      <c r="G166" s="83">
        <v>-1.77</v>
      </c>
      <c r="H166" s="83">
        <v>175</v>
      </c>
      <c r="I166" s="83">
        <v>29.9</v>
      </c>
      <c r="J166" s="83">
        <f t="shared" si="139"/>
        <v>2.4259018787778004</v>
      </c>
      <c r="K166" s="83">
        <f t="shared" si="140"/>
        <v>205.30172760281002</v>
      </c>
      <c r="L166" s="193">
        <f t="shared" si="141"/>
        <v>0.57640000834276905</v>
      </c>
      <c r="M166" s="191">
        <v>2015</v>
      </c>
      <c r="N166" s="195">
        <v>10</v>
      </c>
      <c r="O166" s="83">
        <v>59</v>
      </c>
      <c r="P166" s="83">
        <v>8062.8134399999999</v>
      </c>
      <c r="Q166" s="83">
        <v>20</v>
      </c>
      <c r="R166" s="83">
        <v>0.54424737099999998</v>
      </c>
      <c r="S166" s="83">
        <v>0.13077174832993385</v>
      </c>
      <c r="T166" s="83">
        <v>0.30147435277161899</v>
      </c>
      <c r="V166" s="193">
        <f t="shared" si="142"/>
        <v>3.137041891849301E-10</v>
      </c>
      <c r="W166" s="193">
        <f t="shared" si="143"/>
        <v>3.1370418918493009E-9</v>
      </c>
      <c r="X166" s="83">
        <f t="shared" si="144"/>
        <v>65</v>
      </c>
      <c r="Y166" s="195">
        <f t="shared" si="145"/>
        <v>76.469116056858468</v>
      </c>
      <c r="Z166" s="195">
        <f t="shared" si="146"/>
        <v>8.5001636414457007</v>
      </c>
      <c r="AA166" s="193">
        <f t="shared" si="147"/>
        <v>3.1370418918493007E-5</v>
      </c>
      <c r="AB166" s="195">
        <f t="shared" si="148"/>
        <v>33.170317501520508</v>
      </c>
      <c r="AC166" s="195">
        <f t="shared" si="149"/>
        <v>19.595832930155236</v>
      </c>
      <c r="AD166" s="193">
        <f t="shared" si="150"/>
        <v>3.5544155653640703E-5</v>
      </c>
      <c r="AE166" s="259">
        <f t="shared" si="46"/>
        <v>71</v>
      </c>
      <c r="AF166" s="259" cm="1">
        <f t="array" ref="AF166">_xlfn.IFS(N166&lt;=AC166,W166*(3/(X166^3 - (X166-AB166)^3)),N166&gt;AC166,W166*(3/X166^3))</f>
        <v>3.8828390336248379E-14</v>
      </c>
      <c r="AG166" s="280">
        <f t="shared" si="115"/>
        <v>4.6323693378789975E-5</v>
      </c>
      <c r="AH166" s="281">
        <f t="shared" si="116"/>
        <v>-1.0779537725149272E-5</v>
      </c>
      <c r="AI166" s="282">
        <f t="shared" si="117"/>
        <v>130.32717341829766</v>
      </c>
    </row>
    <row r="167" spans="1:35" s="83" customFormat="1" x14ac:dyDescent="0.45">
      <c r="A167" s="83" t="s">
        <v>204</v>
      </c>
      <c r="B167" s="190" t="s">
        <v>203</v>
      </c>
      <c r="C167" s="202">
        <v>54.665294000000003</v>
      </c>
      <c r="D167" s="203">
        <v>19.647252000000002</v>
      </c>
      <c r="E167" s="83" t="s">
        <v>8</v>
      </c>
      <c r="F167" s="204">
        <v>0.155</v>
      </c>
      <c r="G167" s="83">
        <v>-1.77</v>
      </c>
      <c r="H167" s="83">
        <v>175</v>
      </c>
      <c r="I167" s="83">
        <v>4</v>
      </c>
      <c r="J167" s="83">
        <f t="shared" si="139"/>
        <v>1.5522906817813336</v>
      </c>
      <c r="K167" s="83">
        <f t="shared" si="140"/>
        <v>27.465114060576617</v>
      </c>
      <c r="L167" s="193">
        <f t="shared" si="141"/>
        <v>7.7110369009066149E-2</v>
      </c>
      <c r="M167" s="191">
        <v>2015</v>
      </c>
      <c r="N167" s="195">
        <v>10</v>
      </c>
      <c r="O167" s="83">
        <v>59</v>
      </c>
      <c r="P167" s="83">
        <v>14548.46976</v>
      </c>
      <c r="Q167" s="83">
        <v>25</v>
      </c>
      <c r="R167" s="83">
        <v>0.54424737099999998</v>
      </c>
      <c r="S167" s="83">
        <v>0.13011828484737659</v>
      </c>
      <c r="T167" s="83">
        <v>0.30484980213277302</v>
      </c>
      <c r="V167" s="193">
        <f t="shared" si="142"/>
        <v>4.1967115610024131E-11</v>
      </c>
      <c r="W167" s="193">
        <f t="shared" si="143"/>
        <v>4.1967115610024129E-10</v>
      </c>
      <c r="X167" s="83">
        <f t="shared" si="144"/>
        <v>65</v>
      </c>
      <c r="Y167" s="195">
        <f t="shared" si="145"/>
        <v>76.853149514917064</v>
      </c>
      <c r="Z167" s="195">
        <f t="shared" si="146"/>
        <v>8.4576885150794787</v>
      </c>
      <c r="AA167" s="193">
        <f t="shared" si="147"/>
        <v>4.1967115610024131E-6</v>
      </c>
      <c r="AB167" s="195">
        <f t="shared" si="148"/>
        <v>32.803039168923725</v>
      </c>
      <c r="AC167" s="195">
        <f t="shared" si="149"/>
        <v>19.815237138630245</v>
      </c>
      <c r="AD167" s="193">
        <f t="shared" si="150"/>
        <v>4.7773284564427736E-6</v>
      </c>
      <c r="AE167" s="259">
        <f t="shared" si="46"/>
        <v>71</v>
      </c>
      <c r="AF167" s="259" cm="1">
        <f t="array" ref="AF167">_xlfn.IFS(N167&lt;=AC167,W167*(3/(X167^3 - (X167-AB167)^3)),N167&gt;AC167,W167*(3/X167^3))</f>
        <v>5.2187475172793161E-15</v>
      </c>
      <c r="AG167" s="280">
        <f t="shared" si="115"/>
        <v>6.2261571421898577E-6</v>
      </c>
      <c r="AH167" s="281">
        <f t="shared" si="116"/>
        <v>-1.4488286857470841E-6</v>
      </c>
      <c r="AI167" s="282">
        <f t="shared" si="117"/>
        <v>130.32717341829769</v>
      </c>
    </row>
    <row r="168" spans="1:35" s="83" customFormat="1" x14ac:dyDescent="0.45">
      <c r="A168" s="83" t="s">
        <v>204</v>
      </c>
      <c r="B168" s="190" t="s">
        <v>203</v>
      </c>
      <c r="C168" s="202">
        <v>54.723191</v>
      </c>
      <c r="D168" s="203">
        <v>19.449437</v>
      </c>
      <c r="E168" s="83" t="s">
        <v>8</v>
      </c>
      <c r="F168" s="204">
        <v>0.29849999999999999</v>
      </c>
      <c r="G168" s="83">
        <v>-1.77</v>
      </c>
      <c r="H168" s="83">
        <v>175</v>
      </c>
      <c r="I168" s="83">
        <v>14</v>
      </c>
      <c r="J168" s="83">
        <f t="shared" si="139"/>
        <v>2.096358726131609</v>
      </c>
      <c r="K168" s="83">
        <f t="shared" si="140"/>
        <v>96.127899212018079</v>
      </c>
      <c r="L168" s="193">
        <f t="shared" si="141"/>
        <v>0.26988629153173133</v>
      </c>
      <c r="M168" s="191">
        <v>2015</v>
      </c>
      <c r="N168" s="195">
        <v>10</v>
      </c>
      <c r="O168" s="83">
        <v>59</v>
      </c>
      <c r="P168" s="83">
        <v>28903.818240000001</v>
      </c>
      <c r="Q168" s="83">
        <v>30</v>
      </c>
      <c r="R168" s="83">
        <v>0.54424737099999998</v>
      </c>
      <c r="S168" s="83">
        <v>0.12946808670713136</v>
      </c>
      <c r="T168" s="83">
        <v>0.21461371348946701</v>
      </c>
      <c r="V168" s="193">
        <f t="shared" si="142"/>
        <v>1.4688490463508433E-10</v>
      </c>
      <c r="W168" s="193">
        <f t="shared" si="143"/>
        <v>1.4688490463508434E-9</v>
      </c>
      <c r="X168" s="83">
        <f t="shared" si="144"/>
        <v>65</v>
      </c>
      <c r="Y168" s="195">
        <f t="shared" si="145"/>
        <v>77.239111616910762</v>
      </c>
      <c r="Z168" s="195">
        <f t="shared" si="146"/>
        <v>8.4154256359635387</v>
      </c>
      <c r="AA168" s="193">
        <f t="shared" si="147"/>
        <v>1.4688490463508434E-5</v>
      </c>
      <c r="AB168" s="195">
        <f t="shared" si="148"/>
        <v>46.595344898548568</v>
      </c>
      <c r="AC168" s="195">
        <f t="shared" si="149"/>
        <v>13.949891376815355</v>
      </c>
      <c r="AD168" s="193">
        <f t="shared" si="150"/>
        <v>1.5029677596530295E-5</v>
      </c>
      <c r="AE168" s="259">
        <f t="shared" si="46"/>
        <v>71</v>
      </c>
      <c r="AF168" s="259" cm="1">
        <f t="array" ref="AF168">_xlfn.IFS(N168&lt;=AC168,W168*(3/(X168^3 - (X168-AB168)^3)),N168&gt;AC168,W168*(3/X168^3))</f>
        <v>1.6418400651648934E-14</v>
      </c>
      <c r="AG168" s="280">
        <f t="shared" si="115"/>
        <v>1.9587753985441069E-5</v>
      </c>
      <c r="AH168" s="281">
        <f t="shared" si="116"/>
        <v>-4.5580763889107738E-6</v>
      </c>
      <c r="AI168" s="282">
        <f t="shared" si="117"/>
        <v>130.32717341829766</v>
      </c>
    </row>
    <row r="169" spans="1:35" s="83" customFormat="1" x14ac:dyDescent="0.45">
      <c r="A169" s="83" t="s">
        <v>204</v>
      </c>
      <c r="B169" s="190" t="s">
        <v>203</v>
      </c>
      <c r="C169" s="202">
        <v>54.627960999999999</v>
      </c>
      <c r="D169" s="203">
        <v>19.863931000000001</v>
      </c>
      <c r="E169" s="83" t="s">
        <v>14</v>
      </c>
      <c r="F169" s="204">
        <v>6.8200000000000038E-2</v>
      </c>
      <c r="G169" s="83">
        <v>-2.09</v>
      </c>
      <c r="H169" s="83">
        <v>175</v>
      </c>
      <c r="I169" s="83">
        <v>3.3</v>
      </c>
      <c r="J169" s="83">
        <f t="shared" si="139"/>
        <v>1.3849456688007808</v>
      </c>
      <c r="K169" s="83">
        <f t="shared" si="140"/>
        <v>26.446741283670317</v>
      </c>
      <c r="L169" s="193">
        <f t="shared" si="141"/>
        <v>15.600668358618991</v>
      </c>
      <c r="M169" s="191">
        <v>2015</v>
      </c>
      <c r="N169" s="195">
        <v>10</v>
      </c>
      <c r="O169" s="83">
        <v>59</v>
      </c>
      <c r="P169" s="83">
        <v>0</v>
      </c>
      <c r="Q169" s="83">
        <v>3</v>
      </c>
      <c r="R169" s="83">
        <v>0.54424737099999998</v>
      </c>
      <c r="S169" s="83">
        <v>0.13301817039062197</v>
      </c>
      <c r="T169" s="83">
        <v>0.27263867707439698</v>
      </c>
      <c r="V169" s="193">
        <f t="shared" si="142"/>
        <v>8.4906227400212714E-9</v>
      </c>
      <c r="W169" s="193">
        <f t="shared" si="143"/>
        <v>8.4906227400212714E-8</v>
      </c>
      <c r="X169" s="83">
        <f t="shared" si="144"/>
        <v>65</v>
      </c>
      <c r="Y169" s="195">
        <f t="shared" si="145"/>
        <v>75.177699186764784</v>
      </c>
      <c r="Z169" s="195">
        <f t="shared" si="146"/>
        <v>8.6461810753904285</v>
      </c>
      <c r="AA169" s="193">
        <f t="shared" si="147"/>
        <v>8.4906227400212712E-4</v>
      </c>
      <c r="AB169" s="195">
        <f t="shared" si="148"/>
        <v>36.67858173061493</v>
      </c>
      <c r="AC169" s="195">
        <f t="shared" si="149"/>
        <v>17.721514009835804</v>
      </c>
      <c r="AD169" s="193">
        <f t="shared" si="150"/>
        <v>9.2562934589974848E-4</v>
      </c>
      <c r="AE169" s="259">
        <f t="shared" si="46"/>
        <v>71</v>
      </c>
      <c r="AF169" s="259" cm="1">
        <f t="array" ref="AF169">_xlfn.IFS(N169&lt;=AC169,W169*(3/(X169^3 - (X169-AB169)^3)),N169&gt;AC169,W169*(3/X169^3))</f>
        <v>1.0111563177785145E-12</v>
      </c>
      <c r="AG169" s="280">
        <f t="shared" si="115"/>
        <v>1.2063465628414198E-3</v>
      </c>
      <c r="AH169" s="281">
        <f t="shared" si="116"/>
        <v>-2.8071721694167132E-4</v>
      </c>
      <c r="AI169" s="282">
        <f t="shared" si="117"/>
        <v>130.32717341829769</v>
      </c>
    </row>
    <row r="170" spans="1:35" s="83" customFormat="1" x14ac:dyDescent="0.45">
      <c r="A170" s="83" t="s">
        <v>204</v>
      </c>
      <c r="B170" s="190" t="s">
        <v>203</v>
      </c>
      <c r="C170" s="202">
        <v>54.62753</v>
      </c>
      <c r="D170" s="203">
        <v>19.857343</v>
      </c>
      <c r="E170" s="83" t="s">
        <v>14</v>
      </c>
      <c r="F170" s="204">
        <v>0.47030000000000005</v>
      </c>
      <c r="G170" s="83">
        <v>-2.09</v>
      </c>
      <c r="H170" s="83">
        <v>175</v>
      </c>
      <c r="I170" s="83">
        <v>19</v>
      </c>
      <c r="J170" s="83">
        <f t="shared" si="139"/>
        <v>2.1451853298757224</v>
      </c>
      <c r="K170" s="83">
        <f t="shared" si="140"/>
        <v>152.26911648173834</v>
      </c>
      <c r="L170" s="193">
        <f t="shared" si="141"/>
        <v>89.822029943563962</v>
      </c>
      <c r="M170" s="191">
        <v>2015</v>
      </c>
      <c r="N170" s="195">
        <v>10</v>
      </c>
      <c r="O170" s="83">
        <v>59</v>
      </c>
      <c r="P170" s="83">
        <v>627.64416000000006</v>
      </c>
      <c r="Q170" s="83">
        <v>5</v>
      </c>
      <c r="R170" s="83">
        <v>0.54424737099999998</v>
      </c>
      <c r="S170" s="83">
        <v>0.13275189523153463</v>
      </c>
      <c r="T170" s="83">
        <v>0.27263867707439698</v>
      </c>
      <c r="V170" s="193">
        <f t="shared" si="142"/>
        <v>4.8885403654667963E-8</v>
      </c>
      <c r="W170" s="193">
        <f t="shared" si="143"/>
        <v>4.8885403654667963E-7</v>
      </c>
      <c r="X170" s="83">
        <f t="shared" si="144"/>
        <v>65</v>
      </c>
      <c r="Y170" s="195">
        <f t="shared" si="145"/>
        <v>75.328491412938746</v>
      </c>
      <c r="Z170" s="195">
        <f t="shared" si="146"/>
        <v>8.6288731900497506</v>
      </c>
      <c r="AA170" s="193">
        <f t="shared" si="147"/>
        <v>4.888540365466796E-3</v>
      </c>
      <c r="AB170" s="195">
        <f t="shared" si="148"/>
        <v>36.67858173061493</v>
      </c>
      <c r="AC170" s="195">
        <f t="shared" si="149"/>
        <v>17.721514009835804</v>
      </c>
      <c r="AD170" s="193">
        <f t="shared" si="150"/>
        <v>5.329381082453101E-3</v>
      </c>
      <c r="AE170" s="259">
        <f t="shared" si="46"/>
        <v>71</v>
      </c>
      <c r="AF170" s="259" cm="1">
        <f t="array" ref="AF170">_xlfn.IFS(N170&lt;=AC170,W170*(3/(X170^3 - (X170-AB170)^3)),N170&gt;AC170,W170*(3/X170^3))</f>
        <v>5.8218091023611488E-12</v>
      </c>
      <c r="AG170" s="280">
        <f t="shared" si="115"/>
        <v>6.945631725450604E-3</v>
      </c>
      <c r="AH170" s="281">
        <f t="shared" si="116"/>
        <v>-1.616250642997503E-3</v>
      </c>
      <c r="AI170" s="282">
        <f t="shared" si="117"/>
        <v>130.32717341829769</v>
      </c>
    </row>
    <row r="171" spans="1:35" s="83" customFormat="1" x14ac:dyDescent="0.45">
      <c r="A171" s="83" t="s">
        <v>204</v>
      </c>
      <c r="B171" s="190" t="s">
        <v>203</v>
      </c>
      <c r="C171" s="202">
        <v>54.638492999999997</v>
      </c>
      <c r="D171" s="203">
        <v>19.815564999999999</v>
      </c>
      <c r="E171" s="83" t="s">
        <v>14</v>
      </c>
      <c r="F171" s="204">
        <v>9.2199999999999949E-2</v>
      </c>
      <c r="G171" s="83">
        <v>-2.09</v>
      </c>
      <c r="H171" s="83">
        <v>175</v>
      </c>
      <c r="I171" s="83">
        <v>3.3</v>
      </c>
      <c r="J171" s="83">
        <f t="shared" si="139"/>
        <v>1.3849456688007808</v>
      </c>
      <c r="K171" s="83">
        <f t="shared" si="140"/>
        <v>26.446741283670317</v>
      </c>
      <c r="L171" s="193">
        <f t="shared" si="141"/>
        <v>15.600668358618991</v>
      </c>
      <c r="M171" s="191">
        <v>2015</v>
      </c>
      <c r="N171" s="195">
        <v>10</v>
      </c>
      <c r="O171" s="83">
        <v>59</v>
      </c>
      <c r="P171" s="83">
        <v>3798.0518400000001</v>
      </c>
      <c r="Q171" s="83">
        <v>10</v>
      </c>
      <c r="R171" s="83">
        <v>0.54424737099999998</v>
      </c>
      <c r="S171" s="83">
        <v>0.13208853699948581</v>
      </c>
      <c r="T171" s="83">
        <v>0.27242042909379899</v>
      </c>
      <c r="V171" s="193">
        <f t="shared" si="142"/>
        <v>8.4906227400212714E-9</v>
      </c>
      <c r="W171" s="193">
        <f t="shared" si="143"/>
        <v>8.4906227400212714E-8</v>
      </c>
      <c r="X171" s="83">
        <f t="shared" si="144"/>
        <v>65</v>
      </c>
      <c r="Y171" s="195">
        <f t="shared" si="145"/>
        <v>75.706796571143244</v>
      </c>
      <c r="Z171" s="195">
        <f t="shared" si="146"/>
        <v>8.5857549049665778</v>
      </c>
      <c r="AA171" s="193">
        <f t="shared" si="147"/>
        <v>8.4906227400212712E-4</v>
      </c>
      <c r="AB171" s="195">
        <f t="shared" si="148"/>
        <v>36.70796655472865</v>
      </c>
      <c r="AC171" s="195">
        <f t="shared" si="149"/>
        <v>17.707327891096934</v>
      </c>
      <c r="AD171" s="193">
        <f t="shared" si="150"/>
        <v>9.2536987030117433E-4</v>
      </c>
      <c r="AE171" s="259">
        <f t="shared" si="46"/>
        <v>71</v>
      </c>
      <c r="AF171" s="259" cm="1">
        <f t="array" ref="AF171">_xlfn.IFS(N171&lt;=AC171,W171*(3/(X171^3 - (X171-AB171)^3)),N171&gt;AC171,W171*(3/X171^3))</f>
        <v>1.0108728669653245E-12</v>
      </c>
      <c r="AG171" s="280">
        <f t="shared" si="115"/>
        <v>1.2060083956280875E-3</v>
      </c>
      <c r="AH171" s="281">
        <f t="shared" si="116"/>
        <v>-2.806385253269132E-4</v>
      </c>
      <c r="AI171" s="282">
        <f t="shared" si="117"/>
        <v>130.32717341829766</v>
      </c>
    </row>
    <row r="172" spans="1:35" s="83" customFormat="1" x14ac:dyDescent="0.45">
      <c r="A172" s="83" t="s">
        <v>206</v>
      </c>
      <c r="B172" s="190" t="s">
        <v>205</v>
      </c>
      <c r="C172" s="205">
        <v>-74.688917000000004</v>
      </c>
      <c r="D172" s="206">
        <v>164.1183</v>
      </c>
      <c r="E172" s="83" t="s">
        <v>8</v>
      </c>
      <c r="F172" s="204">
        <v>0.16182572614107885</v>
      </c>
      <c r="G172" s="83">
        <v>-1.77</v>
      </c>
      <c r="H172" s="83">
        <v>300</v>
      </c>
      <c r="I172" s="83">
        <v>0.10190875200493323</v>
      </c>
      <c r="J172" s="83">
        <f t="shared" ref="J172:J193" si="151" xml:space="preserve"> LOG(I172, 10) - (G172) * LOG(H172,10)^(G172+1)</f>
        <v>-0.11148209158874178</v>
      </c>
      <c r="K172" s="83">
        <f t="shared" ref="K172:K193" si="152" xml:space="preserve"> -1*10^J172*(G172+1)</f>
        <v>0.59567398514876124</v>
      </c>
      <c r="L172" s="193">
        <f t="shared" ref="L172:L193" si="153">IF(E172="Fragments",0.000000097*K172*(5000^(4+G172)-1)/(4+G172),0.000106*K172*(5000^(2+G172)-1)/(2+G172))</f>
        <v>1.6723994192273759E-3</v>
      </c>
      <c r="M172" s="191">
        <v>2015</v>
      </c>
      <c r="N172" s="208">
        <v>18</v>
      </c>
      <c r="O172" s="83">
        <v>57</v>
      </c>
      <c r="P172" s="83">
        <v>381060.47232</v>
      </c>
      <c r="Q172" s="83">
        <v>25</v>
      </c>
      <c r="R172" s="83">
        <v>0.83342531099999995</v>
      </c>
      <c r="S172" s="83">
        <v>0.13011828484737659</v>
      </c>
      <c r="T172" s="83">
        <v>0.158075917673271</v>
      </c>
      <c r="V172" s="193">
        <f t="shared" ref="V172:V193" si="154">L172*R172*0.000000001</f>
        <v>1.3938200060857952E-12</v>
      </c>
      <c r="W172" s="193">
        <f t="shared" ref="W172:W193" si="155">V172*N172</f>
        <v>2.5088760109544313E-11</v>
      </c>
      <c r="X172" s="83">
        <f t="shared" ref="X172:X193" si="156">M172-1950</f>
        <v>65</v>
      </c>
      <c r="Y172" s="195">
        <f t="shared" ref="Y172:Y193" si="157">N172/S172</f>
        <v>138.33566912685072</v>
      </c>
      <c r="Z172" s="195">
        <f t="shared" ref="Z172:Z193" si="158">S172*X172</f>
        <v>8.4576885150794787</v>
      </c>
      <c r="AA172" s="193">
        <f t="shared" ref="AA172:AA193" si="159">IF(N172&lt;Z172,W172/(1-(1-N172/Z172)^3),W172)*10000</f>
        <v>2.5088760109544311E-7</v>
      </c>
      <c r="AB172" s="195">
        <f t="shared" ref="AB172:AB193" si="160">N172/T172</f>
        <v>113.8693373724669</v>
      </c>
      <c r="AC172" s="195">
        <f t="shared" ref="AC172:AC193" si="161">T172*X172</f>
        <v>10.274934648762615</v>
      </c>
      <c r="AD172" s="193">
        <f t="shared" ref="AD172:AD193" si="162">IF(N172&lt;AC172,W172/(1-(1-N172/AC172)^3),W172)*10000</f>
        <v>2.5088760109544311E-7</v>
      </c>
      <c r="AE172" s="259">
        <f t="shared" si="46"/>
        <v>71</v>
      </c>
      <c r="AF172" s="259" cm="1">
        <f t="array" ref="AF172">_xlfn.IFS(N172&lt;=AC172,W172*(3/(X172^3 - (X172-AB172)^3)),N172&gt;AC172,W172*(3/X172^3))</f>
        <v>2.7406929568915043E-16</v>
      </c>
      <c r="AG172" s="280">
        <f t="shared" si="115"/>
        <v>3.2697471896466511E-7</v>
      </c>
      <c r="AH172" s="281">
        <f t="shared" si="116"/>
        <v>-7.6087117869221994E-8</v>
      </c>
      <c r="AI172" s="282">
        <f t="shared" si="117"/>
        <v>130.32717341829772</v>
      </c>
    </row>
    <row r="173" spans="1:35" s="83" customFormat="1" x14ac:dyDescent="0.45">
      <c r="A173" s="83" t="s">
        <v>206</v>
      </c>
      <c r="B173" s="190" t="s">
        <v>205</v>
      </c>
      <c r="C173" s="205">
        <v>-74.697182999999995</v>
      </c>
      <c r="D173" s="205">
        <v>164.12553299999999</v>
      </c>
      <c r="E173" s="83" t="s">
        <v>8</v>
      </c>
      <c r="F173" s="204">
        <v>0.19780487804878047</v>
      </c>
      <c r="G173" s="83">
        <v>-1.77</v>
      </c>
      <c r="H173" s="83">
        <v>300</v>
      </c>
      <c r="I173" s="83">
        <v>0.1271507659630782</v>
      </c>
      <c r="J173" s="83">
        <f t="shared" si="151"/>
        <v>-1.537459402044139E-2</v>
      </c>
      <c r="K173" s="83">
        <f t="shared" si="152"/>
        <v>0.74321784916253142</v>
      </c>
      <c r="L173" s="193">
        <f t="shared" si="153"/>
        <v>2.0866398907590802E-3</v>
      </c>
      <c r="M173" s="191">
        <v>2015</v>
      </c>
      <c r="N173" s="208">
        <v>18</v>
      </c>
      <c r="O173" s="83">
        <v>57</v>
      </c>
      <c r="P173" s="83">
        <v>384955.08480000001</v>
      </c>
      <c r="Q173" s="83">
        <v>25</v>
      </c>
      <c r="R173" s="83">
        <v>0.83342531099999995</v>
      </c>
      <c r="S173" s="83">
        <v>0.13011828484737659</v>
      </c>
      <c r="T173" s="83">
        <v>0.158075917673271</v>
      </c>
      <c r="V173" s="193">
        <f t="shared" si="154"/>
        <v>1.7390584999008924E-12</v>
      </c>
      <c r="W173" s="193">
        <f t="shared" si="155"/>
        <v>3.1303052998216065E-11</v>
      </c>
      <c r="X173" s="83">
        <f t="shared" si="156"/>
        <v>65</v>
      </c>
      <c r="Y173" s="195">
        <f t="shared" si="157"/>
        <v>138.33566912685072</v>
      </c>
      <c r="Z173" s="195">
        <f t="shared" si="158"/>
        <v>8.4576885150794787</v>
      </c>
      <c r="AA173" s="193">
        <f t="shared" si="159"/>
        <v>3.1303052998216065E-7</v>
      </c>
      <c r="AB173" s="195">
        <f t="shared" si="160"/>
        <v>113.8693373724669</v>
      </c>
      <c r="AC173" s="195">
        <f t="shared" si="161"/>
        <v>10.274934648762615</v>
      </c>
      <c r="AD173" s="193">
        <f t="shared" si="162"/>
        <v>3.1303052998216065E-7</v>
      </c>
      <c r="AE173" s="259">
        <f t="shared" si="46"/>
        <v>71</v>
      </c>
      <c r="AF173" s="259" cm="1">
        <f t="array" ref="AF173">_xlfn.IFS(N173&lt;=AC173,W173*(3/(X173^3 - (X173-AB173)^3)),N173&gt;AC173,W173*(3/X173^3))</f>
        <v>3.4195415200600165E-16</v>
      </c>
      <c r="AG173" s="280">
        <f t="shared" si="115"/>
        <v>4.0796384166206686E-7</v>
      </c>
      <c r="AH173" s="281">
        <f t="shared" si="116"/>
        <v>-9.493331167990621E-8</v>
      </c>
      <c r="AI173" s="282">
        <f t="shared" si="117"/>
        <v>130.32717341829769</v>
      </c>
    </row>
    <row r="174" spans="1:35" s="83" customFormat="1" x14ac:dyDescent="0.45">
      <c r="A174" s="83" t="s">
        <v>206</v>
      </c>
      <c r="B174" s="190" t="s">
        <v>205</v>
      </c>
      <c r="C174" s="207">
        <v>-74.698633000000001</v>
      </c>
      <c r="D174" s="205">
        <v>164.13159999999999</v>
      </c>
      <c r="E174" s="83" t="s">
        <v>8</v>
      </c>
      <c r="F174" s="204">
        <v>0.55884947944238572</v>
      </c>
      <c r="G174" s="83">
        <v>-1.77</v>
      </c>
      <c r="H174" s="83">
        <v>300</v>
      </c>
      <c r="I174" s="83">
        <v>0.16551026543570438</v>
      </c>
      <c r="J174" s="83">
        <f t="shared" si="151"/>
        <v>9.913136042065207E-2</v>
      </c>
      <c r="K174" s="83">
        <f t="shared" si="152"/>
        <v>0.96743564664929582</v>
      </c>
      <c r="L174" s="193">
        <f t="shared" si="153"/>
        <v>2.7161481849708206E-3</v>
      </c>
      <c r="M174" s="191">
        <v>2015</v>
      </c>
      <c r="N174" s="208">
        <v>18</v>
      </c>
      <c r="O174" s="83">
        <v>57</v>
      </c>
      <c r="P174" s="83">
        <v>381317.96736000001</v>
      </c>
      <c r="Q174" s="83">
        <v>70</v>
      </c>
      <c r="R174" s="83">
        <v>0.83342531099999995</v>
      </c>
      <c r="S174" s="83">
        <v>0.12438211290744003</v>
      </c>
      <c r="T174" s="83">
        <v>0.158075917673271</v>
      </c>
      <c r="V174" s="193">
        <f t="shared" si="154"/>
        <v>2.2637066457813913E-12</v>
      </c>
      <c r="W174" s="193">
        <f t="shared" si="155"/>
        <v>4.0746719624065044E-11</v>
      </c>
      <c r="X174" s="83">
        <f t="shared" si="156"/>
        <v>65</v>
      </c>
      <c r="Y174" s="195">
        <f t="shared" si="157"/>
        <v>144.7153419350164</v>
      </c>
      <c r="Z174" s="195">
        <f t="shared" si="158"/>
        <v>8.0848373389836024</v>
      </c>
      <c r="AA174" s="193">
        <f t="shared" si="159"/>
        <v>4.0746719624065045E-7</v>
      </c>
      <c r="AB174" s="195">
        <f t="shared" si="160"/>
        <v>113.8693373724669</v>
      </c>
      <c r="AC174" s="195">
        <f t="shared" si="161"/>
        <v>10.274934648762615</v>
      </c>
      <c r="AD174" s="193">
        <f t="shared" si="162"/>
        <v>4.0746719624065045E-7</v>
      </c>
      <c r="AE174" s="259">
        <f t="shared" si="46"/>
        <v>71</v>
      </c>
      <c r="AF174" s="259" cm="1">
        <f t="array" ref="AF174">_xlfn.IFS(N174&lt;=AC174,W174*(3/(X174^3 - (X174-AB174)^3)),N174&gt;AC174,W174*(3/X174^3))</f>
        <v>4.4511664587053309E-16</v>
      </c>
      <c r="AG174" s="280">
        <f t="shared" si="115"/>
        <v>5.3104047946722789E-7</v>
      </c>
      <c r="AH174" s="281">
        <f t="shared" si="116"/>
        <v>-1.2357328322657743E-7</v>
      </c>
      <c r="AI174" s="282">
        <f t="shared" si="117"/>
        <v>130.32717341829769</v>
      </c>
    </row>
    <row r="175" spans="1:35" s="83" customFormat="1" x14ac:dyDescent="0.45">
      <c r="A175" s="83" t="s">
        <v>206</v>
      </c>
      <c r="B175" s="190" t="s">
        <v>205</v>
      </c>
      <c r="C175" s="207">
        <v>-74.699533000000002</v>
      </c>
      <c r="D175" s="206">
        <v>164.13679999999999</v>
      </c>
      <c r="E175" s="83" t="s">
        <v>8</v>
      </c>
      <c r="F175" s="204">
        <v>0.8965606413240238</v>
      </c>
      <c r="G175" s="83">
        <v>-1.77</v>
      </c>
      <c r="H175" s="83">
        <v>300</v>
      </c>
      <c r="I175" s="83">
        <v>0.18118853497492488</v>
      </c>
      <c r="J175" s="83">
        <f t="shared" si="151"/>
        <v>0.13843713870513674</v>
      </c>
      <c r="K175" s="83">
        <f t="shared" si="152"/>
        <v>1.0590777982106436</v>
      </c>
      <c r="L175" s="193">
        <f t="shared" si="153"/>
        <v>2.9734404033134937E-3</v>
      </c>
      <c r="M175" s="191">
        <v>2015</v>
      </c>
      <c r="N175" s="208">
        <v>18</v>
      </c>
      <c r="O175" s="83">
        <v>57</v>
      </c>
      <c r="P175" s="83">
        <v>381672.02304</v>
      </c>
      <c r="Q175" s="83">
        <v>140</v>
      </c>
      <c r="R175" s="83">
        <v>0.83342531099999995</v>
      </c>
      <c r="S175" s="83">
        <v>0.11595768328139726</v>
      </c>
      <c r="T175" s="83">
        <v>0.158075917673271</v>
      </c>
      <c r="V175" s="193">
        <f t="shared" si="154"/>
        <v>2.4781404928715139E-12</v>
      </c>
      <c r="W175" s="193">
        <f t="shared" si="155"/>
        <v>4.4606528871687247E-11</v>
      </c>
      <c r="X175" s="83">
        <f t="shared" si="156"/>
        <v>65</v>
      </c>
      <c r="Y175" s="195">
        <f t="shared" si="157"/>
        <v>155.22904123842292</v>
      </c>
      <c r="Z175" s="195">
        <f t="shared" si="158"/>
        <v>7.5372494132908221</v>
      </c>
      <c r="AA175" s="193">
        <f t="shared" si="159"/>
        <v>4.4606528871687249E-7</v>
      </c>
      <c r="AB175" s="195">
        <f t="shared" si="160"/>
        <v>113.8693373724669</v>
      </c>
      <c r="AC175" s="195">
        <f t="shared" si="161"/>
        <v>10.274934648762615</v>
      </c>
      <c r="AD175" s="193">
        <f t="shared" si="162"/>
        <v>4.4606528871687249E-7</v>
      </c>
      <c r="AE175" s="259">
        <f t="shared" si="46"/>
        <v>71</v>
      </c>
      <c r="AF175" s="259" cm="1">
        <f t="array" ref="AF175">_xlfn.IFS(N175&lt;=AC175,W175*(3/(X175^3 - (X175-AB175)^3)),N175&gt;AC175,W175*(3/X175^3))</f>
        <v>4.8728115289963308E-16</v>
      </c>
      <c r="AG175" s="280">
        <f t="shared" si="115"/>
        <v>5.8134428238486854E-7</v>
      </c>
      <c r="AH175" s="281">
        <f t="shared" si="116"/>
        <v>-1.3527899366799605E-7</v>
      </c>
      <c r="AI175" s="282">
        <f t="shared" si="117"/>
        <v>130.32717341829766</v>
      </c>
    </row>
    <row r="176" spans="1:35" s="83" customFormat="1" x14ac:dyDescent="0.45">
      <c r="A176" s="83" t="s">
        <v>206</v>
      </c>
      <c r="B176" s="190" t="s">
        <v>205</v>
      </c>
      <c r="C176" s="207">
        <v>-74.717282999999995</v>
      </c>
      <c r="D176" s="205">
        <v>164.11513299999999</v>
      </c>
      <c r="E176" s="83" t="s">
        <v>8</v>
      </c>
      <c r="F176" s="204">
        <v>0.31490842794397944</v>
      </c>
      <c r="G176" s="83">
        <v>-1.77</v>
      </c>
      <c r="H176" s="83">
        <v>300</v>
      </c>
      <c r="I176" s="83">
        <v>0.1985914141634596</v>
      </c>
      <c r="J176" s="83">
        <f t="shared" si="151"/>
        <v>0.17826689366555026</v>
      </c>
      <c r="K176" s="83">
        <f t="shared" si="152"/>
        <v>1.1608005864437398</v>
      </c>
      <c r="L176" s="193">
        <f t="shared" si="153"/>
        <v>3.2590347656738607E-3</v>
      </c>
      <c r="M176" s="191">
        <v>2015</v>
      </c>
      <c r="N176" s="208">
        <v>18</v>
      </c>
      <c r="O176" s="83">
        <v>57</v>
      </c>
      <c r="P176" s="83">
        <v>394755.98976000003</v>
      </c>
      <c r="Q176" s="83">
        <v>25</v>
      </c>
      <c r="R176" s="83">
        <v>0.83342531099999995</v>
      </c>
      <c r="S176" s="83">
        <v>0.13011828484737659</v>
      </c>
      <c r="T176" s="83">
        <v>0.158075917673271</v>
      </c>
      <c r="V176" s="193">
        <f t="shared" si="154"/>
        <v>2.7161620631415496E-12</v>
      </c>
      <c r="W176" s="193">
        <f t="shared" si="155"/>
        <v>4.8890917136547891E-11</v>
      </c>
      <c r="X176" s="83">
        <f t="shared" si="156"/>
        <v>65</v>
      </c>
      <c r="Y176" s="195">
        <f t="shared" si="157"/>
        <v>138.33566912685072</v>
      </c>
      <c r="Z176" s="195">
        <f t="shared" si="158"/>
        <v>8.4576885150794787</v>
      </c>
      <c r="AA176" s="193">
        <f t="shared" si="159"/>
        <v>4.8890917136547895E-7</v>
      </c>
      <c r="AB176" s="195">
        <f t="shared" si="160"/>
        <v>113.8693373724669</v>
      </c>
      <c r="AC176" s="195">
        <f t="shared" si="161"/>
        <v>10.274934648762615</v>
      </c>
      <c r="AD176" s="193">
        <f t="shared" si="162"/>
        <v>4.8890917136547895E-7</v>
      </c>
      <c r="AE176" s="259">
        <f t="shared" si="46"/>
        <v>71</v>
      </c>
      <c r="AF176" s="259" cm="1">
        <f t="array" ref="AF176">_xlfn.IFS(N176&lt;=AC176,W176*(3/(X176^3 - (X176-AB176)^3)),N176&gt;AC176,W176*(3/X176^3))</f>
        <v>5.3408375570193416E-16</v>
      </c>
      <c r="AG176" s="280">
        <f t="shared" si="115"/>
        <v>6.3718150362344986E-7</v>
      </c>
      <c r="AH176" s="281">
        <f t="shared" si="116"/>
        <v>-1.482723322579709E-7</v>
      </c>
      <c r="AI176" s="282">
        <f t="shared" si="117"/>
        <v>130.32717341829766</v>
      </c>
    </row>
    <row r="177" spans="1:35" s="83" customFormat="1" x14ac:dyDescent="0.45">
      <c r="A177" s="83" t="s">
        <v>206</v>
      </c>
      <c r="B177" s="190" t="s">
        <v>205</v>
      </c>
      <c r="C177" s="207">
        <v>-74.717967000000002</v>
      </c>
      <c r="D177" s="205">
        <v>164.12928299999999</v>
      </c>
      <c r="E177" s="83" t="s">
        <v>8</v>
      </c>
      <c r="F177" s="204">
        <v>0.75075075075075071</v>
      </c>
      <c r="G177" s="83">
        <v>-1.77</v>
      </c>
      <c r="H177" s="83">
        <v>300</v>
      </c>
      <c r="I177" s="83">
        <v>2.6130449232034159E-2</v>
      </c>
      <c r="J177" s="83">
        <f t="shared" si="151"/>
        <v>-0.70254669861524111</v>
      </c>
      <c r="K177" s="83">
        <f t="shared" si="152"/>
        <v>0.15273691926891311</v>
      </c>
      <c r="L177" s="193">
        <f t="shared" si="153"/>
        <v>4.2882036390445524E-4</v>
      </c>
      <c r="M177" s="191">
        <v>2015</v>
      </c>
      <c r="N177" s="208">
        <v>18</v>
      </c>
      <c r="O177" s="83">
        <v>57</v>
      </c>
      <c r="P177" s="83">
        <v>382589.34911999997</v>
      </c>
      <c r="Q177" s="83">
        <v>70</v>
      </c>
      <c r="R177" s="83">
        <v>0.83342531099999995</v>
      </c>
      <c r="S177" s="83">
        <v>0.12438211290744003</v>
      </c>
      <c r="T177" s="83">
        <v>0.158075917673271</v>
      </c>
      <c r="V177" s="193">
        <f t="shared" si="154"/>
        <v>3.5738974515020378E-13</v>
      </c>
      <c r="W177" s="193">
        <f t="shared" si="155"/>
        <v>6.4330154127036684E-12</v>
      </c>
      <c r="X177" s="83">
        <f t="shared" si="156"/>
        <v>65</v>
      </c>
      <c r="Y177" s="195">
        <f t="shared" si="157"/>
        <v>144.7153419350164</v>
      </c>
      <c r="Z177" s="195">
        <f t="shared" si="158"/>
        <v>8.0848373389836024</v>
      </c>
      <c r="AA177" s="193">
        <f t="shared" si="159"/>
        <v>6.4330154127036688E-8</v>
      </c>
      <c r="AB177" s="195">
        <f t="shared" si="160"/>
        <v>113.8693373724669</v>
      </c>
      <c r="AC177" s="195">
        <f t="shared" si="161"/>
        <v>10.274934648762615</v>
      </c>
      <c r="AD177" s="193">
        <f t="shared" si="162"/>
        <v>6.4330154127036688E-8</v>
      </c>
      <c r="AE177" s="259">
        <f t="shared" si="46"/>
        <v>71</v>
      </c>
      <c r="AF177" s="259" cm="1">
        <f t="array" ref="AF177">_xlfn.IFS(N177&lt;=AC177,W177*(3/(X177^3 - (X177-AB177)^3)),N177&gt;AC177,W177*(3/X177^3))</f>
        <v>7.0274178381833432E-17</v>
      </c>
      <c r="AG177" s="280">
        <f t="shared" si="115"/>
        <v>8.3839671529401282E-8</v>
      </c>
      <c r="AH177" s="281">
        <f t="shared" si="116"/>
        <v>-1.9509517402364594E-8</v>
      </c>
      <c r="AI177" s="282">
        <f t="shared" si="117"/>
        <v>130.32717341829766</v>
      </c>
    </row>
    <row r="178" spans="1:35" s="83" customFormat="1" x14ac:dyDescent="0.45">
      <c r="A178" s="83" t="s">
        <v>206</v>
      </c>
      <c r="B178" s="190" t="s">
        <v>205</v>
      </c>
      <c r="C178" s="207">
        <v>-74.718350000000001</v>
      </c>
      <c r="D178" s="205">
        <v>164.139983</v>
      </c>
      <c r="E178" s="83" t="s">
        <v>8</v>
      </c>
      <c r="F178" s="204">
        <v>0.60526315789473684</v>
      </c>
      <c r="G178" s="83">
        <v>-1.77</v>
      </c>
      <c r="H178" s="83">
        <v>300</v>
      </c>
      <c r="I178" s="83">
        <v>0.12020006646735715</v>
      </c>
      <c r="J178" s="83">
        <f t="shared" si="151"/>
        <v>-3.97888669336669E-2</v>
      </c>
      <c r="K178" s="83">
        <f t="shared" si="152"/>
        <v>0.70258982863700059</v>
      </c>
      <c r="L178" s="193">
        <f t="shared" si="153"/>
        <v>1.9725736739604951E-3</v>
      </c>
      <c r="M178" s="191">
        <v>2015</v>
      </c>
      <c r="N178" s="208">
        <v>18</v>
      </c>
      <c r="O178" s="83">
        <v>57</v>
      </c>
      <c r="P178" s="83">
        <v>392438.5344</v>
      </c>
      <c r="Q178" s="83">
        <v>140</v>
      </c>
      <c r="R178" s="83">
        <v>0.83342531099999995</v>
      </c>
      <c r="S178" s="83">
        <v>0.11595768328139726</v>
      </c>
      <c r="T178" s="83">
        <v>0.158075917673271</v>
      </c>
      <c r="V178" s="193">
        <f t="shared" si="154"/>
        <v>1.6439928276909382E-12</v>
      </c>
      <c r="W178" s="193">
        <f t="shared" si="155"/>
        <v>2.9591870898436889E-11</v>
      </c>
      <c r="X178" s="83">
        <f t="shared" si="156"/>
        <v>65</v>
      </c>
      <c r="Y178" s="195">
        <f t="shared" si="157"/>
        <v>155.22904123842292</v>
      </c>
      <c r="Z178" s="195">
        <f t="shared" si="158"/>
        <v>7.5372494132908221</v>
      </c>
      <c r="AA178" s="193">
        <f t="shared" si="159"/>
        <v>2.959187089843689E-7</v>
      </c>
      <c r="AB178" s="195">
        <f t="shared" si="160"/>
        <v>113.8693373724669</v>
      </c>
      <c r="AC178" s="195">
        <f t="shared" si="161"/>
        <v>10.274934648762615</v>
      </c>
      <c r="AD178" s="193">
        <f t="shared" si="162"/>
        <v>2.959187089843689E-7</v>
      </c>
      <c r="AE178" s="259">
        <f t="shared" si="46"/>
        <v>71</v>
      </c>
      <c r="AF178" s="259" cm="1">
        <f t="array" ref="AF178">_xlfn.IFS(N178&lt;=AC178,W178*(3/(X178^3 - (X178-AB178)^3)),N178&gt;AC178,W178*(3/X178^3))</f>
        <v>3.2326122055643396E-16</v>
      </c>
      <c r="AG178" s="280">
        <f t="shared" si="115"/>
        <v>3.8566248903524616E-7</v>
      </c>
      <c r="AH178" s="281">
        <f t="shared" si="116"/>
        <v>-8.9743780050877254E-8</v>
      </c>
      <c r="AI178" s="282">
        <f t="shared" si="117"/>
        <v>130.32717341829772</v>
      </c>
    </row>
    <row r="179" spans="1:35" s="83" customFormat="1" x14ac:dyDescent="0.45">
      <c r="A179" s="83" t="s">
        <v>206</v>
      </c>
      <c r="B179" s="190" t="s">
        <v>205</v>
      </c>
      <c r="C179" s="207">
        <v>-74.748750000000001</v>
      </c>
      <c r="D179" s="205">
        <v>164.08738299999999</v>
      </c>
      <c r="E179" s="83" t="s">
        <v>8</v>
      </c>
      <c r="F179" s="204">
        <v>0.7289719626168224</v>
      </c>
      <c r="G179" s="83">
        <v>-1.77</v>
      </c>
      <c r="H179" s="83">
        <v>300</v>
      </c>
      <c r="I179" s="83">
        <v>0.20381750400986645</v>
      </c>
      <c r="J179" s="83">
        <f t="shared" si="151"/>
        <v>0.18954790407523925</v>
      </c>
      <c r="K179" s="83">
        <f t="shared" si="152"/>
        <v>1.1913479702975223</v>
      </c>
      <c r="L179" s="193">
        <f t="shared" si="153"/>
        <v>3.3447988384547509E-3</v>
      </c>
      <c r="M179" s="191">
        <v>2015</v>
      </c>
      <c r="N179" s="208">
        <v>18</v>
      </c>
      <c r="O179" s="83">
        <v>57</v>
      </c>
      <c r="P179" s="83">
        <v>286978.22207999998</v>
      </c>
      <c r="Q179" s="83">
        <v>25</v>
      </c>
      <c r="R179" s="83">
        <v>0.83342531099999995</v>
      </c>
      <c r="S179" s="83">
        <v>0.13011828484737659</v>
      </c>
      <c r="T179" s="83">
        <v>0.158075917673271</v>
      </c>
      <c r="V179" s="193">
        <f t="shared" si="154"/>
        <v>2.7876400121715895E-12</v>
      </c>
      <c r="W179" s="193">
        <f t="shared" si="155"/>
        <v>5.0177520219088612E-11</v>
      </c>
      <c r="X179" s="83">
        <f t="shared" si="156"/>
        <v>65</v>
      </c>
      <c r="Y179" s="195">
        <f t="shared" si="157"/>
        <v>138.33566912685072</v>
      </c>
      <c r="Z179" s="195">
        <f t="shared" si="158"/>
        <v>8.4576885150794787</v>
      </c>
      <c r="AA179" s="193">
        <f t="shared" si="159"/>
        <v>5.0177520219088612E-7</v>
      </c>
      <c r="AB179" s="195">
        <f t="shared" si="160"/>
        <v>113.8693373724669</v>
      </c>
      <c r="AC179" s="195">
        <f t="shared" si="161"/>
        <v>10.274934648762615</v>
      </c>
      <c r="AD179" s="193">
        <f t="shared" si="162"/>
        <v>5.0177520219088612E-7</v>
      </c>
      <c r="AE179" s="259">
        <f t="shared" si="46"/>
        <v>71</v>
      </c>
      <c r="AF179" s="259" cm="1">
        <f t="array" ref="AF179">_xlfn.IFS(N179&lt;=AC179,W179*(3/(X179^3 - (X179-AB179)^3)),N179&gt;AC179,W179*(3/X179^3))</f>
        <v>5.4813859137830076E-16</v>
      </c>
      <c r="AG179" s="280">
        <f t="shared" si="115"/>
        <v>6.5394943792933001E-7</v>
      </c>
      <c r="AH179" s="281">
        <f t="shared" si="116"/>
        <v>-1.5217423573844388E-7</v>
      </c>
      <c r="AI179" s="282">
        <f t="shared" si="117"/>
        <v>130.32717341829769</v>
      </c>
    </row>
    <row r="180" spans="1:35" s="83" customFormat="1" x14ac:dyDescent="0.45">
      <c r="A180" s="83" t="s">
        <v>206</v>
      </c>
      <c r="B180" s="190" t="s">
        <v>205</v>
      </c>
      <c r="C180" s="207">
        <v>-74.773167000000001</v>
      </c>
      <c r="D180" s="205">
        <v>163.966283</v>
      </c>
      <c r="E180" s="83" t="s">
        <v>8</v>
      </c>
      <c r="F180" s="204">
        <v>0.85836909871244638</v>
      </c>
      <c r="G180" s="83">
        <v>-1.77</v>
      </c>
      <c r="H180" s="83">
        <v>300</v>
      </c>
      <c r="I180" s="83">
        <v>1.0452179692813665E-2</v>
      </c>
      <c r="J180" s="83">
        <f t="shared" si="151"/>
        <v>-1.1004867072872784</v>
      </c>
      <c r="K180" s="83">
        <f t="shared" si="152"/>
        <v>6.1094767707565292E-2</v>
      </c>
      <c r="L180" s="193">
        <f t="shared" si="153"/>
        <v>1.7152814556178225E-4</v>
      </c>
      <c r="M180" s="191">
        <v>2015</v>
      </c>
      <c r="N180" s="208">
        <v>18</v>
      </c>
      <c r="O180" s="83">
        <v>57</v>
      </c>
      <c r="P180" s="83">
        <v>385840.22399999999</v>
      </c>
      <c r="Q180" s="83">
        <v>25</v>
      </c>
      <c r="R180" s="83">
        <v>0.83342531099999995</v>
      </c>
      <c r="S180" s="83">
        <v>0.13011828484737659</v>
      </c>
      <c r="T180" s="83">
        <v>0.124401536560669</v>
      </c>
      <c r="V180" s="193">
        <f t="shared" si="154"/>
        <v>1.4295589806008164E-13</v>
      </c>
      <c r="W180" s="193">
        <f t="shared" si="155"/>
        <v>2.5732061650814694E-12</v>
      </c>
      <c r="X180" s="83">
        <f t="shared" si="156"/>
        <v>65</v>
      </c>
      <c r="Y180" s="195">
        <f t="shared" si="157"/>
        <v>138.33566912685072</v>
      </c>
      <c r="Z180" s="195">
        <f t="shared" si="158"/>
        <v>8.4576885150794787</v>
      </c>
      <c r="AA180" s="193">
        <f t="shared" si="159"/>
        <v>2.5732061650814696E-8</v>
      </c>
      <c r="AB180" s="195">
        <f t="shared" si="160"/>
        <v>144.69274654997236</v>
      </c>
      <c r="AC180" s="195">
        <f t="shared" si="161"/>
        <v>8.0860998764434857</v>
      </c>
      <c r="AD180" s="193">
        <f t="shared" si="162"/>
        <v>2.5732061650814696E-8</v>
      </c>
      <c r="AE180" s="259">
        <f t="shared" si="46"/>
        <v>71</v>
      </c>
      <c r="AF180" s="259" cm="1">
        <f t="array" ref="AF180">_xlfn.IFS(N180&lt;=AC180,W180*(3/(X180^3 - (X180-AB180)^3)),N180&gt;AC180,W180*(3/X180^3))</f>
        <v>2.8109671352733392E-17</v>
      </c>
      <c r="AG180" s="280">
        <f t="shared" si="115"/>
        <v>3.3535868611760534E-8</v>
      </c>
      <c r="AH180" s="281">
        <f t="shared" si="116"/>
        <v>-7.8038069609458383E-9</v>
      </c>
      <c r="AI180" s="282">
        <f t="shared" si="117"/>
        <v>130.32717341829766</v>
      </c>
    </row>
    <row r="181" spans="1:35" s="83" customFormat="1" x14ac:dyDescent="0.45">
      <c r="A181" s="83" t="s">
        <v>206</v>
      </c>
      <c r="B181" s="190" t="s">
        <v>205</v>
      </c>
      <c r="C181" s="207">
        <v>-74.774450000000002</v>
      </c>
      <c r="D181" s="205">
        <v>164.00443300000001</v>
      </c>
      <c r="E181" s="83" t="s">
        <v>8</v>
      </c>
      <c r="F181" s="204">
        <v>0.86565158978952084</v>
      </c>
      <c r="G181" s="83">
        <v>-1.77</v>
      </c>
      <c r="H181" s="83">
        <v>300</v>
      </c>
      <c r="I181" s="83">
        <v>0.10102031673104404</v>
      </c>
      <c r="J181" s="83">
        <f t="shared" si="151"/>
        <v>-0.11528484892270696</v>
      </c>
      <c r="K181" s="83">
        <f t="shared" si="152"/>
        <v>0.590480929893618</v>
      </c>
      <c r="L181" s="193">
        <f t="shared" si="153"/>
        <v>1.657819526854624E-3</v>
      </c>
      <c r="M181" s="191">
        <v>2015</v>
      </c>
      <c r="N181" s="208">
        <v>18</v>
      </c>
      <c r="O181" s="83">
        <v>57</v>
      </c>
      <c r="P181" s="83">
        <v>400694.46912000002</v>
      </c>
      <c r="Q181" s="83">
        <v>70</v>
      </c>
      <c r="R181" s="83">
        <v>0.83342531099999995</v>
      </c>
      <c r="S181" s="83">
        <v>0.12438211290744003</v>
      </c>
      <c r="T181" s="83">
        <v>0.15800791818840601</v>
      </c>
      <c r="V181" s="193">
        <f t="shared" si="154"/>
        <v>1.3816687547506877E-12</v>
      </c>
      <c r="W181" s="193">
        <f t="shared" si="155"/>
        <v>2.4870037585512377E-11</v>
      </c>
      <c r="X181" s="83">
        <f t="shared" si="156"/>
        <v>65</v>
      </c>
      <c r="Y181" s="195">
        <f t="shared" si="157"/>
        <v>144.7153419350164</v>
      </c>
      <c r="Z181" s="195">
        <f t="shared" si="158"/>
        <v>8.0848373389836024</v>
      </c>
      <c r="AA181" s="193">
        <f t="shared" si="159"/>
        <v>2.4870037585512379E-7</v>
      </c>
      <c r="AB181" s="195">
        <f t="shared" si="160"/>
        <v>113.91834160195124</v>
      </c>
      <c r="AC181" s="195">
        <f t="shared" si="161"/>
        <v>10.270514682246391</v>
      </c>
      <c r="AD181" s="193">
        <f t="shared" si="162"/>
        <v>2.4870037585512379E-7</v>
      </c>
      <c r="AE181" s="259">
        <f t="shared" si="46"/>
        <v>71</v>
      </c>
      <c r="AF181" s="259" cm="1">
        <f t="array" ref="AF181">_xlfn.IFS(N181&lt;=AC181,W181*(3/(X181^3 - (X181-AB181)^3)),N181&gt;AC181,W181*(3/X181^3))</f>
        <v>2.7167997362416797E-16</v>
      </c>
      <c r="AG181" s="280">
        <f t="shared" si="115"/>
        <v>3.2412417013266532E-7</v>
      </c>
      <c r="AH181" s="281">
        <f t="shared" si="116"/>
        <v>-7.5423794277541537E-8</v>
      </c>
      <c r="AI181" s="282">
        <f t="shared" si="117"/>
        <v>130.32717341829766</v>
      </c>
    </row>
    <row r="182" spans="1:35" s="83" customFormat="1" x14ac:dyDescent="0.45">
      <c r="A182" s="83" t="s">
        <v>206</v>
      </c>
      <c r="B182" s="190" t="s">
        <v>205</v>
      </c>
      <c r="C182" s="207">
        <v>-74.776949999999999</v>
      </c>
      <c r="D182" s="206">
        <v>164.04663300000001</v>
      </c>
      <c r="E182" s="83" t="s">
        <v>8</v>
      </c>
      <c r="F182" s="204">
        <v>0.85236958745311975</v>
      </c>
      <c r="G182" s="83">
        <v>-1.77</v>
      </c>
      <c r="H182" s="83">
        <v>300</v>
      </c>
      <c r="I182" s="83">
        <v>0.13065224616017079</v>
      </c>
      <c r="J182" s="83">
        <f t="shared" si="151"/>
        <v>-3.5766942792222478E-3</v>
      </c>
      <c r="K182" s="83">
        <f t="shared" si="152"/>
        <v>0.76368459634456565</v>
      </c>
      <c r="L182" s="193">
        <f t="shared" si="153"/>
        <v>2.1441018195222767E-3</v>
      </c>
      <c r="M182" s="191">
        <v>2015</v>
      </c>
      <c r="N182" s="208">
        <v>18</v>
      </c>
      <c r="O182" s="83">
        <v>57</v>
      </c>
      <c r="P182" s="83">
        <v>393178.83264000004</v>
      </c>
      <c r="Q182" s="83">
        <v>140</v>
      </c>
      <c r="R182" s="83">
        <v>0.83342531099999995</v>
      </c>
      <c r="S182" s="83">
        <v>0.11595768328139726</v>
      </c>
      <c r="T182" s="83">
        <v>0.15800791818840601</v>
      </c>
      <c r="V182" s="193">
        <f t="shared" si="154"/>
        <v>1.7869487257510193E-12</v>
      </c>
      <c r="W182" s="193">
        <f t="shared" si="155"/>
        <v>3.2165077063518345E-11</v>
      </c>
      <c r="X182" s="83">
        <f t="shared" si="156"/>
        <v>65</v>
      </c>
      <c r="Y182" s="195">
        <f t="shared" si="157"/>
        <v>155.22904123842292</v>
      </c>
      <c r="Z182" s="195">
        <f t="shared" si="158"/>
        <v>7.5372494132908221</v>
      </c>
      <c r="AA182" s="193">
        <f t="shared" si="159"/>
        <v>3.2165077063518345E-7</v>
      </c>
      <c r="AB182" s="195">
        <f t="shared" si="160"/>
        <v>113.91834160195124</v>
      </c>
      <c r="AC182" s="195">
        <f t="shared" si="161"/>
        <v>10.270514682246391</v>
      </c>
      <c r="AD182" s="193">
        <f t="shared" si="162"/>
        <v>3.2165077063518345E-7</v>
      </c>
      <c r="AE182" s="259">
        <f t="shared" si="46"/>
        <v>71</v>
      </c>
      <c r="AF182" s="259" cm="1">
        <f t="array" ref="AF182">_xlfn.IFS(N182&lt;=AC182,W182*(3/(X182^3 - (X182-AB182)^3)),N182&gt;AC182,W182*(3/X182^3))</f>
        <v>3.5137089190916721E-16</v>
      </c>
      <c r="AG182" s="280">
        <f t="shared" si="115"/>
        <v>4.1919835764700645E-7</v>
      </c>
      <c r="AH182" s="281">
        <f t="shared" si="116"/>
        <v>-9.7547587011822997E-8</v>
      </c>
      <c r="AI182" s="282">
        <f t="shared" si="117"/>
        <v>130.32717341829769</v>
      </c>
    </row>
    <row r="183" spans="1:35" s="83" customFormat="1" x14ac:dyDescent="0.45">
      <c r="A183" s="83" t="s">
        <v>206</v>
      </c>
      <c r="B183" s="190" t="s">
        <v>205</v>
      </c>
      <c r="C183" s="205">
        <v>-74.688917000000004</v>
      </c>
      <c r="D183" s="206">
        <v>164.1183</v>
      </c>
      <c r="E183" s="83" t="s">
        <v>14</v>
      </c>
      <c r="F183" s="204">
        <v>0.37759336099585061</v>
      </c>
      <c r="G183" s="83">
        <v>-2.09</v>
      </c>
      <c r="H183" s="83">
        <v>300</v>
      </c>
      <c r="I183" s="83">
        <v>0.23778708801151088</v>
      </c>
      <c r="J183" s="83">
        <f t="shared" si="151"/>
        <v>0.15376591364750358</v>
      </c>
      <c r="K183" s="83">
        <f t="shared" si="152"/>
        <v>1.553074938173191</v>
      </c>
      <c r="L183" s="193">
        <f t="shared" si="153"/>
        <v>0.91614338366454906</v>
      </c>
      <c r="M183" s="191">
        <v>2015</v>
      </c>
      <c r="N183" s="208">
        <v>18</v>
      </c>
      <c r="O183" s="83">
        <v>57</v>
      </c>
      <c r="P183" s="83">
        <v>381060.47232</v>
      </c>
      <c r="Q183" s="83">
        <v>25</v>
      </c>
      <c r="R183" s="83">
        <v>0.83342531099999995</v>
      </c>
      <c r="S183" s="83">
        <v>0.13011828484737659</v>
      </c>
      <c r="T183" s="83">
        <v>0.158075917673271</v>
      </c>
      <c r="V183" s="193">
        <f t="shared" si="154"/>
        <v>7.6353708445121909E-10</v>
      </c>
      <c r="W183" s="193">
        <f t="shared" si="155"/>
        <v>1.3743667520121943E-8</v>
      </c>
      <c r="X183" s="83">
        <f t="shared" si="156"/>
        <v>65</v>
      </c>
      <c r="Y183" s="195">
        <f t="shared" si="157"/>
        <v>138.33566912685072</v>
      </c>
      <c r="Z183" s="195">
        <f t="shared" si="158"/>
        <v>8.4576885150794787</v>
      </c>
      <c r="AA183" s="193">
        <f t="shared" si="159"/>
        <v>1.3743667520121943E-4</v>
      </c>
      <c r="AB183" s="195">
        <f t="shared" si="160"/>
        <v>113.8693373724669</v>
      </c>
      <c r="AC183" s="195">
        <f t="shared" si="161"/>
        <v>10.274934648762615</v>
      </c>
      <c r="AD183" s="193">
        <f t="shared" si="162"/>
        <v>1.3743667520121943E-4</v>
      </c>
      <c r="AE183" s="259">
        <f t="shared" si="46"/>
        <v>71</v>
      </c>
      <c r="AF183" s="259" cm="1">
        <f t="array" ref="AF183">_xlfn.IFS(N183&lt;=AC183,W183*(3/(X183^3 - (X183-AB183)^3)),N183&gt;AC183,W183*(3/X183^3))</f>
        <v>1.5013564883155515E-13</v>
      </c>
      <c r="AG183" s="280">
        <f t="shared" si="115"/>
        <v>1.7911733402983576E-4</v>
      </c>
      <c r="AH183" s="281">
        <f t="shared" si="116"/>
        <v>-4.1680658828616331E-5</v>
      </c>
      <c r="AI183" s="282">
        <f t="shared" si="117"/>
        <v>130.32717341829769</v>
      </c>
    </row>
    <row r="184" spans="1:35" s="83" customFormat="1" x14ac:dyDescent="0.45">
      <c r="A184" s="83" t="s">
        <v>206</v>
      </c>
      <c r="B184" s="190" t="s">
        <v>205</v>
      </c>
      <c r="C184" s="205">
        <v>-74.697182999999995</v>
      </c>
      <c r="D184" s="205">
        <v>164.12553299999999</v>
      </c>
      <c r="E184" s="83" t="s">
        <v>14</v>
      </c>
      <c r="F184" s="204">
        <v>0.13008130081300814</v>
      </c>
      <c r="G184" s="83">
        <v>-2.09</v>
      </c>
      <c r="H184" s="83">
        <v>300</v>
      </c>
      <c r="I184" s="83">
        <v>8.3617437542509318E-2</v>
      </c>
      <c r="J184" s="83">
        <f t="shared" si="151"/>
        <v>-0.30012550035368402</v>
      </c>
      <c r="K184" s="83">
        <f t="shared" si="152"/>
        <v>0.54613624199496824</v>
      </c>
      <c r="L184" s="193">
        <f t="shared" si="153"/>
        <v>0.32216031073918205</v>
      </c>
      <c r="M184" s="191">
        <v>2015</v>
      </c>
      <c r="N184" s="208">
        <v>18</v>
      </c>
      <c r="O184" s="83">
        <v>57</v>
      </c>
      <c r="P184" s="83">
        <v>384955.08480000001</v>
      </c>
      <c r="Q184" s="83">
        <v>25</v>
      </c>
      <c r="R184" s="83">
        <v>0.83342531099999995</v>
      </c>
      <c r="S184" s="83">
        <v>0.13011828484737659</v>
      </c>
      <c r="T184" s="83">
        <v>0.158075917673271</v>
      </c>
      <c r="V184" s="193">
        <f t="shared" si="154"/>
        <v>2.6849655716965945E-10</v>
      </c>
      <c r="W184" s="193">
        <f t="shared" si="155"/>
        <v>4.8329380290538698E-9</v>
      </c>
      <c r="X184" s="83">
        <f t="shared" si="156"/>
        <v>65</v>
      </c>
      <c r="Y184" s="195">
        <f t="shared" si="157"/>
        <v>138.33566912685072</v>
      </c>
      <c r="Z184" s="195">
        <f t="shared" si="158"/>
        <v>8.4576885150794787</v>
      </c>
      <c r="AA184" s="193">
        <f t="shared" si="159"/>
        <v>4.8329380290538695E-5</v>
      </c>
      <c r="AB184" s="195">
        <f t="shared" si="160"/>
        <v>113.8693373724669</v>
      </c>
      <c r="AC184" s="195">
        <f t="shared" si="161"/>
        <v>10.274934648762615</v>
      </c>
      <c r="AD184" s="193">
        <f t="shared" si="162"/>
        <v>4.8329380290538695E-5</v>
      </c>
      <c r="AE184" s="259">
        <f t="shared" si="46"/>
        <v>71</v>
      </c>
      <c r="AF184" s="259" cm="1">
        <f t="array" ref="AF184">_xlfn.IFS(N184&lt;=AC184,W184*(3/(X184^3 - (X184-AB184)^3)),N184&gt;AC184,W184*(3/X184^3))</f>
        <v>5.2794953435272135E-14</v>
      </c>
      <c r="AG184" s="280">
        <f t="shared" si="115"/>
        <v>6.2986315263238946E-5</v>
      </c>
      <c r="AH184" s="281">
        <f t="shared" si="116"/>
        <v>-1.4656934972700251E-5</v>
      </c>
      <c r="AI184" s="282">
        <f t="shared" si="117"/>
        <v>130.32717341829769</v>
      </c>
    </row>
    <row r="185" spans="1:35" s="83" customFormat="1" x14ac:dyDescent="0.45">
      <c r="A185" s="83" t="s">
        <v>206</v>
      </c>
      <c r="B185" s="190" t="s">
        <v>205</v>
      </c>
      <c r="C185" s="207">
        <v>-74.698633000000001</v>
      </c>
      <c r="D185" s="205">
        <v>164.13159999999999</v>
      </c>
      <c r="E185" s="83" t="s">
        <v>14</v>
      </c>
      <c r="F185" s="204">
        <v>0.36474325039703548</v>
      </c>
      <c r="G185" s="83">
        <v>-2.09</v>
      </c>
      <c r="H185" s="83">
        <v>300</v>
      </c>
      <c r="I185" s="83">
        <v>0.10802327712522923</v>
      </c>
      <c r="J185" s="83">
        <f t="shared" si="151"/>
        <v>-0.18890500638232044</v>
      </c>
      <c r="K185" s="83">
        <f t="shared" si="152"/>
        <v>0.70553975762724963</v>
      </c>
      <c r="L185" s="193">
        <f t="shared" si="153"/>
        <v>0.41619085143618095</v>
      </c>
      <c r="M185" s="191">
        <v>2015</v>
      </c>
      <c r="N185" s="208">
        <v>18</v>
      </c>
      <c r="O185" s="83">
        <v>57</v>
      </c>
      <c r="P185" s="83">
        <v>381317.96736000001</v>
      </c>
      <c r="Q185" s="83">
        <v>70</v>
      </c>
      <c r="R185" s="83">
        <v>0.83342531099999995</v>
      </c>
      <c r="S185" s="83">
        <v>0.12438211290744003</v>
      </c>
      <c r="T185" s="83">
        <v>0.158075917673271</v>
      </c>
      <c r="V185" s="193">
        <f t="shared" si="154"/>
        <v>3.4686398979355389E-10</v>
      </c>
      <c r="W185" s="193">
        <f t="shared" si="155"/>
        <v>6.2435518162839699E-9</v>
      </c>
      <c r="X185" s="83">
        <f t="shared" si="156"/>
        <v>65</v>
      </c>
      <c r="Y185" s="195">
        <f t="shared" si="157"/>
        <v>144.7153419350164</v>
      </c>
      <c r="Z185" s="195">
        <f t="shared" si="158"/>
        <v>8.0848373389836024</v>
      </c>
      <c r="AA185" s="193">
        <f t="shared" si="159"/>
        <v>6.2435518162839697E-5</v>
      </c>
      <c r="AB185" s="195">
        <f t="shared" si="160"/>
        <v>113.8693373724669</v>
      </c>
      <c r="AC185" s="195">
        <f t="shared" si="161"/>
        <v>10.274934648762615</v>
      </c>
      <c r="AD185" s="193">
        <f t="shared" si="162"/>
        <v>6.2435518162839697E-5</v>
      </c>
      <c r="AE185" s="259">
        <f t="shared" si="46"/>
        <v>71</v>
      </c>
      <c r="AF185" s="259" cm="1">
        <f t="array" ref="AF185">_xlfn.IFS(N185&lt;=AC185,W185*(3/(X185^3 - (X185-AB185)^3)),N185&gt;AC185,W185*(3/X185^3))</f>
        <v>6.8204480469192205E-14</v>
      </c>
      <c r="AG185" s="280">
        <f t="shared" si="115"/>
        <v>8.1370446030696835E-5</v>
      </c>
      <c r="AH185" s="281">
        <f t="shared" si="116"/>
        <v>-1.8934927867857138E-5</v>
      </c>
      <c r="AI185" s="282">
        <f t="shared" si="117"/>
        <v>130.32717341829769</v>
      </c>
    </row>
    <row r="186" spans="1:35" s="83" customFormat="1" x14ac:dyDescent="0.45">
      <c r="A186" s="83" t="s">
        <v>206</v>
      </c>
      <c r="B186" s="190" t="s">
        <v>205</v>
      </c>
      <c r="C186" s="207">
        <v>-74.699533000000002</v>
      </c>
      <c r="D186" s="206">
        <v>164.13679999999999</v>
      </c>
      <c r="E186" s="83" t="s">
        <v>14</v>
      </c>
      <c r="F186" s="204">
        <v>7.7579519006982151E-2</v>
      </c>
      <c r="G186" s="83">
        <v>-2.09</v>
      </c>
      <c r="H186" s="83">
        <v>300</v>
      </c>
      <c r="I186" s="83">
        <v>1.56782695392205E-2</v>
      </c>
      <c r="J186" s="83">
        <f t="shared" si="151"/>
        <v>-1.027124228289946</v>
      </c>
      <c r="K186" s="83">
        <f t="shared" si="152"/>
        <v>0.10240054537405663</v>
      </c>
      <c r="L186" s="193">
        <f t="shared" si="153"/>
        <v>6.0405058263596705E-2</v>
      </c>
      <c r="M186" s="191">
        <v>2015</v>
      </c>
      <c r="N186" s="208">
        <v>18</v>
      </c>
      <c r="O186" s="83">
        <v>57</v>
      </c>
      <c r="P186" s="83">
        <v>381672.02304</v>
      </c>
      <c r="Q186" s="83">
        <v>140</v>
      </c>
      <c r="R186" s="83">
        <v>0.83342531099999995</v>
      </c>
      <c r="S186" s="83">
        <v>0.11595768328139726</v>
      </c>
      <c r="T186" s="83">
        <v>0.158075917673271</v>
      </c>
      <c r="V186" s="193">
        <f t="shared" si="154"/>
        <v>5.0343104469311201E-11</v>
      </c>
      <c r="W186" s="193">
        <f t="shared" si="155"/>
        <v>9.0617588044760161E-10</v>
      </c>
      <c r="X186" s="83">
        <f t="shared" si="156"/>
        <v>65</v>
      </c>
      <c r="Y186" s="195">
        <f t="shared" si="157"/>
        <v>155.22904123842292</v>
      </c>
      <c r="Z186" s="195">
        <f t="shared" si="158"/>
        <v>7.5372494132908221</v>
      </c>
      <c r="AA186" s="193">
        <f t="shared" si="159"/>
        <v>9.0617588044760167E-6</v>
      </c>
      <c r="AB186" s="195">
        <f t="shared" si="160"/>
        <v>113.8693373724669</v>
      </c>
      <c r="AC186" s="195">
        <f t="shared" si="161"/>
        <v>10.274934648762615</v>
      </c>
      <c r="AD186" s="193">
        <f t="shared" si="162"/>
        <v>9.0617588044760167E-6</v>
      </c>
      <c r="AE186" s="259">
        <f t="shared" si="46"/>
        <v>71</v>
      </c>
      <c r="AF186" s="259" cm="1">
        <f t="array" ref="AF186">_xlfn.IFS(N186&lt;=AC186,W186*(3/(X186^3 - (X186-AB186)^3)),N186&gt;AC186,W186*(3/X186^3))</f>
        <v>9.8990537691135372E-15</v>
      </c>
      <c r="AG186" s="280">
        <f t="shared" si="115"/>
        <v>1.1809934111857318E-5</v>
      </c>
      <c r="AH186" s="281">
        <f t="shared" si="116"/>
        <v>-2.7481753073813009E-6</v>
      </c>
      <c r="AI186" s="282">
        <f t="shared" si="117"/>
        <v>130.32717341829769</v>
      </c>
    </row>
    <row r="187" spans="1:35" s="83" customFormat="1" x14ac:dyDescent="0.45">
      <c r="A187" s="83" t="s">
        <v>206</v>
      </c>
      <c r="B187" s="190" t="s">
        <v>205</v>
      </c>
      <c r="C187" s="207">
        <v>-74.717282999999995</v>
      </c>
      <c r="D187" s="205">
        <v>164.11513299999999</v>
      </c>
      <c r="E187" s="83" t="s">
        <v>14</v>
      </c>
      <c r="F187" s="204">
        <v>0.24587718571310185</v>
      </c>
      <c r="G187" s="83">
        <v>-2.09</v>
      </c>
      <c r="H187" s="83">
        <v>300</v>
      </c>
      <c r="I187" s="83">
        <v>0.15505808574289071</v>
      </c>
      <c r="J187" s="83">
        <f t="shared" si="151"/>
        <v>-3.1927936692766945E-2</v>
      </c>
      <c r="K187" s="83">
        <f t="shared" si="152"/>
        <v>1.0127413937494192</v>
      </c>
      <c r="L187" s="193">
        <f t="shared" si="153"/>
        <v>0.59740602622697081</v>
      </c>
      <c r="M187" s="191">
        <v>2015</v>
      </c>
      <c r="N187" s="208">
        <v>18</v>
      </c>
      <c r="O187" s="83">
        <v>57</v>
      </c>
      <c r="P187" s="83">
        <v>394755.98976000003</v>
      </c>
      <c r="Q187" s="83">
        <v>25</v>
      </c>
      <c r="R187" s="83">
        <v>0.83342531099999995</v>
      </c>
      <c r="S187" s="83">
        <v>0.13011828484737659</v>
      </c>
      <c r="T187" s="83">
        <v>0.158075917673271</v>
      </c>
      <c r="V187" s="193">
        <f t="shared" si="154"/>
        <v>4.9789330320148732E-10</v>
      </c>
      <c r="W187" s="193">
        <f t="shared" si="155"/>
        <v>8.9620794576267715E-9</v>
      </c>
      <c r="X187" s="83">
        <f t="shared" si="156"/>
        <v>65</v>
      </c>
      <c r="Y187" s="195">
        <f t="shared" si="157"/>
        <v>138.33566912685072</v>
      </c>
      <c r="Z187" s="195">
        <f t="shared" si="158"/>
        <v>8.4576885150794787</v>
      </c>
      <c r="AA187" s="193">
        <f t="shared" si="159"/>
        <v>8.962079457626771E-5</v>
      </c>
      <c r="AB187" s="195">
        <f t="shared" si="160"/>
        <v>113.8693373724669</v>
      </c>
      <c r="AC187" s="195">
        <f t="shared" si="161"/>
        <v>10.274934648762615</v>
      </c>
      <c r="AD187" s="193">
        <f t="shared" si="162"/>
        <v>8.962079457626771E-5</v>
      </c>
      <c r="AE187" s="259">
        <f t="shared" si="46"/>
        <v>71</v>
      </c>
      <c r="AF187" s="259" cm="1">
        <f t="array" ref="AF187">_xlfn.IFS(N187&lt;=AC187,W187*(3/(X187^3 - (X187-AB187)^3)),N187&gt;AC187,W187*(3/X187^3))</f>
        <v>9.7901641776532782E-14</v>
      </c>
      <c r="AG187" s="280">
        <f t="shared" si="115"/>
        <v>1.1680024836626875E-4</v>
      </c>
      <c r="AH187" s="281">
        <f t="shared" si="116"/>
        <v>-2.7179453790001037E-5</v>
      </c>
      <c r="AI187" s="282">
        <f t="shared" si="117"/>
        <v>130.32717341829769</v>
      </c>
    </row>
    <row r="188" spans="1:35" s="83" customFormat="1" x14ac:dyDescent="0.45">
      <c r="A188" s="83" t="s">
        <v>206</v>
      </c>
      <c r="B188" s="190" t="s">
        <v>205</v>
      </c>
      <c r="C188" s="207">
        <v>-74.717967000000002</v>
      </c>
      <c r="D188" s="205">
        <v>164.12928299999999</v>
      </c>
      <c r="E188" s="83" t="s">
        <v>14</v>
      </c>
      <c r="F188" s="204">
        <v>4.954954954954955E-2</v>
      </c>
      <c r="G188" s="83">
        <v>-2.09</v>
      </c>
      <c r="H188" s="83">
        <v>300</v>
      </c>
      <c r="I188" s="83">
        <v>1.7246096493142549E-3</v>
      </c>
      <c r="J188" s="83">
        <f t="shared" si="151"/>
        <v>-1.9857315431317208</v>
      </c>
      <c r="K188" s="83">
        <f t="shared" si="152"/>
        <v>1.1264059991146229E-2</v>
      </c>
      <c r="L188" s="193">
        <f t="shared" si="153"/>
        <v>6.6445564089956362E-3</v>
      </c>
      <c r="M188" s="191">
        <v>2015</v>
      </c>
      <c r="N188" s="208">
        <v>18</v>
      </c>
      <c r="O188" s="83">
        <v>57</v>
      </c>
      <c r="P188" s="83">
        <v>382589.34911999997</v>
      </c>
      <c r="Q188" s="83">
        <v>70</v>
      </c>
      <c r="R188" s="83">
        <v>0.83342531099999995</v>
      </c>
      <c r="S188" s="83">
        <v>0.12438211290744003</v>
      </c>
      <c r="T188" s="83">
        <v>0.158075917673271</v>
      </c>
      <c r="V188" s="193">
        <f t="shared" si="154"/>
        <v>5.5377414916242311E-12</v>
      </c>
      <c r="W188" s="193">
        <f t="shared" si="155"/>
        <v>9.9679346849236164E-11</v>
      </c>
      <c r="X188" s="83">
        <f t="shared" si="156"/>
        <v>65</v>
      </c>
      <c r="Y188" s="195">
        <f t="shared" si="157"/>
        <v>144.7153419350164</v>
      </c>
      <c r="Z188" s="195">
        <f t="shared" si="158"/>
        <v>8.0848373389836024</v>
      </c>
      <c r="AA188" s="193">
        <f t="shared" si="159"/>
        <v>9.9679346849236157E-7</v>
      </c>
      <c r="AB188" s="195">
        <f t="shared" si="160"/>
        <v>113.8693373724669</v>
      </c>
      <c r="AC188" s="195">
        <f t="shared" si="161"/>
        <v>10.274934648762615</v>
      </c>
      <c r="AD188" s="193">
        <f t="shared" si="162"/>
        <v>9.9679346849236157E-7</v>
      </c>
      <c r="AE188" s="259">
        <f t="shared" si="46"/>
        <v>71</v>
      </c>
      <c r="AF188" s="259" cm="1">
        <f t="array" ref="AF188">_xlfn.IFS(N188&lt;=AC188,W188*(3/(X188^3 - (X188-AB188)^3)),N188&gt;AC188,W188*(3/X188^3))</f>
        <v>1.0888959146024888E-15</v>
      </c>
      <c r="AG188" s="280">
        <f t="shared" si="115"/>
        <v>1.2990927523043046E-6</v>
      </c>
      <c r="AH188" s="281">
        <f t="shared" si="116"/>
        <v>-3.0229928381194301E-7</v>
      </c>
      <c r="AI188" s="282">
        <f t="shared" si="117"/>
        <v>130.32717341829769</v>
      </c>
    </row>
    <row r="189" spans="1:35" s="83" customFormat="1" x14ac:dyDescent="0.45">
      <c r="A189" s="83" t="s">
        <v>206</v>
      </c>
      <c r="B189" s="190" t="s">
        <v>205</v>
      </c>
      <c r="C189" s="207">
        <v>-74.718350000000001</v>
      </c>
      <c r="D189" s="205">
        <v>164.139983</v>
      </c>
      <c r="E189" s="83" t="s">
        <v>14</v>
      </c>
      <c r="F189" s="204">
        <v>4.3947368421052631E-2</v>
      </c>
      <c r="G189" s="83">
        <v>-2.09</v>
      </c>
      <c r="H189" s="83">
        <v>300</v>
      </c>
      <c r="I189" s="83">
        <v>8.7275700434994077E-3</v>
      </c>
      <c r="J189" s="83">
        <f t="shared" si="151"/>
        <v>-1.2815290118620255</v>
      </c>
      <c r="K189" s="83">
        <f t="shared" si="152"/>
        <v>5.7002970258224803E-2</v>
      </c>
      <c r="L189" s="193">
        <f t="shared" si="153"/>
        <v>3.3625482433402132E-2</v>
      </c>
      <c r="M189" s="191">
        <v>2015</v>
      </c>
      <c r="N189" s="208">
        <v>18</v>
      </c>
      <c r="O189" s="83">
        <v>57</v>
      </c>
      <c r="P189" s="83">
        <v>392438.5344</v>
      </c>
      <c r="Q189" s="83">
        <v>140</v>
      </c>
      <c r="R189" s="83">
        <v>0.83342531099999995</v>
      </c>
      <c r="S189" s="83">
        <v>0.11595768328139726</v>
      </c>
      <c r="T189" s="83">
        <v>0.158075917673271</v>
      </c>
      <c r="V189" s="193">
        <f t="shared" si="154"/>
        <v>2.8024328154583207E-11</v>
      </c>
      <c r="W189" s="193">
        <f t="shared" si="155"/>
        <v>5.0443790678249775E-10</v>
      </c>
      <c r="X189" s="83">
        <f t="shared" si="156"/>
        <v>65</v>
      </c>
      <c r="Y189" s="195">
        <f t="shared" si="157"/>
        <v>155.22904123842292</v>
      </c>
      <c r="Z189" s="195">
        <f t="shared" si="158"/>
        <v>7.5372494132908221</v>
      </c>
      <c r="AA189" s="193">
        <f t="shared" si="159"/>
        <v>5.0443790678249778E-6</v>
      </c>
      <c r="AB189" s="195">
        <f t="shared" si="160"/>
        <v>113.8693373724669</v>
      </c>
      <c r="AC189" s="195">
        <f t="shared" si="161"/>
        <v>10.274934648762615</v>
      </c>
      <c r="AD189" s="193">
        <f t="shared" si="162"/>
        <v>5.0443790678249778E-6</v>
      </c>
      <c r="AE189" s="259">
        <f t="shared" si="46"/>
        <v>71</v>
      </c>
      <c r="AF189" s="259" cm="1">
        <f t="array" ref="AF189">_xlfn.IFS(N189&lt;=AC189,W189*(3/(X189^3 - (X189-AB189)^3)),N189&gt;AC189,W189*(3/X189^3))</f>
        <v>5.5104732648065303E-15</v>
      </c>
      <c r="AG189" s="280">
        <f t="shared" si="115"/>
        <v>6.5741966556005666E-6</v>
      </c>
      <c r="AH189" s="281">
        <f t="shared" si="116"/>
        <v>-1.5298175877755888E-6</v>
      </c>
      <c r="AI189" s="282">
        <f t="shared" si="117"/>
        <v>130.32717341829766</v>
      </c>
    </row>
    <row r="190" spans="1:35" s="83" customFormat="1" x14ac:dyDescent="0.45">
      <c r="A190" s="83" t="s">
        <v>206</v>
      </c>
      <c r="B190" s="190" t="s">
        <v>205</v>
      </c>
      <c r="C190" s="207">
        <v>-74.748750000000001</v>
      </c>
      <c r="D190" s="205">
        <v>164.08738299999999</v>
      </c>
      <c r="E190" s="83" t="s">
        <v>14</v>
      </c>
      <c r="F190" s="204">
        <v>0.26168224299065418</v>
      </c>
      <c r="G190" s="83">
        <v>-2.09</v>
      </c>
      <c r="H190" s="83">
        <v>300</v>
      </c>
      <c r="I190" s="83">
        <v>7.3165257849695645E-2</v>
      </c>
      <c r="J190" s="83">
        <f t="shared" si="151"/>
        <v>-0.35811744733137085</v>
      </c>
      <c r="K190" s="83">
        <f t="shared" si="152"/>
        <v>0.4778692117455971</v>
      </c>
      <c r="L190" s="193">
        <f t="shared" si="153"/>
        <v>0.28189027189678428</v>
      </c>
      <c r="M190" s="191">
        <v>2015</v>
      </c>
      <c r="N190" s="208">
        <v>18</v>
      </c>
      <c r="O190" s="83">
        <v>57</v>
      </c>
      <c r="P190" s="83">
        <v>286978.22207999998</v>
      </c>
      <c r="Q190" s="83">
        <v>25</v>
      </c>
      <c r="R190" s="83">
        <v>0.83342531099999995</v>
      </c>
      <c r="S190" s="83">
        <v>0.13011828484737659</v>
      </c>
      <c r="T190" s="83">
        <v>0.158075917673271</v>
      </c>
      <c r="V190" s="193">
        <f t="shared" si="154"/>
        <v>2.3493448752345198E-10</v>
      </c>
      <c r="W190" s="193">
        <f t="shared" si="155"/>
        <v>4.2288207754221356E-9</v>
      </c>
      <c r="X190" s="83">
        <f t="shared" si="156"/>
        <v>65</v>
      </c>
      <c r="Y190" s="195">
        <f t="shared" si="157"/>
        <v>138.33566912685072</v>
      </c>
      <c r="Z190" s="195">
        <f t="shared" si="158"/>
        <v>8.4576885150794787</v>
      </c>
      <c r="AA190" s="193">
        <f t="shared" si="159"/>
        <v>4.2288207754221357E-5</v>
      </c>
      <c r="AB190" s="195">
        <f t="shared" si="160"/>
        <v>113.8693373724669</v>
      </c>
      <c r="AC190" s="195">
        <f t="shared" si="161"/>
        <v>10.274934648762615</v>
      </c>
      <c r="AD190" s="193">
        <f t="shared" si="162"/>
        <v>4.2288207754221357E-5</v>
      </c>
      <c r="AE190" s="259">
        <f t="shared" si="46"/>
        <v>71</v>
      </c>
      <c r="AF190" s="259" cm="1">
        <f t="array" ref="AF190">_xlfn.IFS(N190&lt;=AC190,W190*(3/(X190^3 - (X190-AB190)^3)),N190&gt;AC190,W190*(3/X190^3))</f>
        <v>4.619558425586311E-14</v>
      </c>
      <c r="AG190" s="280">
        <f t="shared" si="115"/>
        <v>5.5113025855334067E-5</v>
      </c>
      <c r="AH190" s="281">
        <f t="shared" si="116"/>
        <v>-1.282481810111271E-5</v>
      </c>
      <c r="AI190" s="282">
        <f t="shared" si="117"/>
        <v>130.32717341829766</v>
      </c>
    </row>
    <row r="191" spans="1:35" s="83" customFormat="1" x14ac:dyDescent="0.45">
      <c r="A191" s="83" t="s">
        <v>206</v>
      </c>
      <c r="B191" s="190" t="s">
        <v>205</v>
      </c>
      <c r="C191" s="207">
        <v>-74.773167000000001</v>
      </c>
      <c r="D191" s="205">
        <v>163.966283</v>
      </c>
      <c r="E191" s="83" t="s">
        <v>14</v>
      </c>
      <c r="F191" s="204">
        <v>0.14163090128755365</v>
      </c>
      <c r="G191" s="83">
        <v>-2.09</v>
      </c>
      <c r="H191" s="83">
        <v>300</v>
      </c>
      <c r="I191" s="83">
        <v>1.7246096493142549E-3</v>
      </c>
      <c r="J191" s="83">
        <f t="shared" si="151"/>
        <v>-1.9857315431317208</v>
      </c>
      <c r="K191" s="83">
        <f t="shared" si="152"/>
        <v>1.1264059991146229E-2</v>
      </c>
      <c r="L191" s="193">
        <f t="shared" si="153"/>
        <v>6.6445564089956362E-3</v>
      </c>
      <c r="M191" s="191">
        <v>2015</v>
      </c>
      <c r="N191" s="208">
        <v>18</v>
      </c>
      <c r="O191" s="83">
        <v>57</v>
      </c>
      <c r="P191" s="83">
        <v>385840.22399999999</v>
      </c>
      <c r="Q191" s="83">
        <v>25</v>
      </c>
      <c r="R191" s="83">
        <v>0.83342531099999995</v>
      </c>
      <c r="S191" s="83">
        <v>0.13011828484737659</v>
      </c>
      <c r="T191" s="83">
        <v>0.124401536560669</v>
      </c>
      <c r="V191" s="193">
        <f t="shared" si="154"/>
        <v>5.5377414916242311E-12</v>
      </c>
      <c r="W191" s="193">
        <f t="shared" si="155"/>
        <v>9.9679346849236164E-11</v>
      </c>
      <c r="X191" s="83">
        <f t="shared" si="156"/>
        <v>65</v>
      </c>
      <c r="Y191" s="195">
        <f t="shared" si="157"/>
        <v>138.33566912685072</v>
      </c>
      <c r="Z191" s="195">
        <f t="shared" si="158"/>
        <v>8.4576885150794787</v>
      </c>
      <c r="AA191" s="193">
        <f t="shared" si="159"/>
        <v>9.9679346849236157E-7</v>
      </c>
      <c r="AB191" s="195">
        <f t="shared" si="160"/>
        <v>144.69274654997236</v>
      </c>
      <c r="AC191" s="195">
        <f t="shared" si="161"/>
        <v>8.0860998764434857</v>
      </c>
      <c r="AD191" s="193">
        <f t="shared" si="162"/>
        <v>9.9679346849236157E-7</v>
      </c>
      <c r="AE191" s="259">
        <f t="shared" si="46"/>
        <v>71</v>
      </c>
      <c r="AF191" s="259" cm="1">
        <f t="array" ref="AF191">_xlfn.IFS(N191&lt;=AC191,W191*(3/(X191^3 - (X191-AB191)^3)),N191&gt;AC191,W191*(3/X191^3))</f>
        <v>1.0888959146024888E-15</v>
      </c>
      <c r="AG191" s="280">
        <f t="shared" si="115"/>
        <v>1.2990927523043046E-6</v>
      </c>
      <c r="AH191" s="281">
        <f t="shared" si="116"/>
        <v>-3.0229928381194301E-7</v>
      </c>
      <c r="AI191" s="282">
        <f t="shared" si="117"/>
        <v>130.32717341829769</v>
      </c>
    </row>
    <row r="192" spans="1:35" s="83" customFormat="1" x14ac:dyDescent="0.45">
      <c r="A192" s="83" t="s">
        <v>206</v>
      </c>
      <c r="B192" s="190" t="s">
        <v>205</v>
      </c>
      <c r="C192" s="207">
        <v>-74.774450000000002</v>
      </c>
      <c r="D192" s="205">
        <v>164.00443300000001</v>
      </c>
      <c r="E192" s="83" t="s">
        <v>14</v>
      </c>
      <c r="F192" s="204">
        <v>0.10434393193013884</v>
      </c>
      <c r="G192" s="83">
        <v>-2.09</v>
      </c>
      <c r="H192" s="83">
        <v>300</v>
      </c>
      <c r="I192" s="83">
        <v>1.2176789342127918E-2</v>
      </c>
      <c r="J192" s="83">
        <f t="shared" si="151"/>
        <v>-1.1368895619835897</v>
      </c>
      <c r="K192" s="83">
        <f t="shared" si="152"/>
        <v>7.9531090240517258E-2</v>
      </c>
      <c r="L192" s="193">
        <f t="shared" si="153"/>
        <v>4.6914595251393396E-2</v>
      </c>
      <c r="M192" s="191">
        <v>2015</v>
      </c>
      <c r="N192" s="208">
        <v>18</v>
      </c>
      <c r="O192" s="83">
        <v>57</v>
      </c>
      <c r="P192" s="83">
        <v>400694.46912000002</v>
      </c>
      <c r="Q192" s="83">
        <v>70</v>
      </c>
      <c r="R192" s="83">
        <v>0.83342531099999995</v>
      </c>
      <c r="S192" s="83">
        <v>0.12438211290744003</v>
      </c>
      <c r="T192" s="83">
        <v>0.15800791818840601</v>
      </c>
      <c r="V192" s="193">
        <f t="shared" si="154"/>
        <v>3.9099811137831665E-11</v>
      </c>
      <c r="W192" s="193">
        <f t="shared" si="155"/>
        <v>7.0379660048097E-10</v>
      </c>
      <c r="X192" s="83">
        <f t="shared" si="156"/>
        <v>65</v>
      </c>
      <c r="Y192" s="195">
        <f t="shared" si="157"/>
        <v>144.7153419350164</v>
      </c>
      <c r="Z192" s="195">
        <f t="shared" si="158"/>
        <v>8.0848373389836024</v>
      </c>
      <c r="AA192" s="193">
        <f t="shared" si="159"/>
        <v>7.0379660048097001E-6</v>
      </c>
      <c r="AB192" s="195">
        <f t="shared" si="160"/>
        <v>113.91834160195124</v>
      </c>
      <c r="AC192" s="195">
        <f t="shared" si="161"/>
        <v>10.270514682246391</v>
      </c>
      <c r="AD192" s="193">
        <f t="shared" si="162"/>
        <v>7.0379660048097001E-6</v>
      </c>
      <c r="AE192" s="259">
        <f t="shared" si="46"/>
        <v>71</v>
      </c>
      <c r="AF192" s="259" cm="1">
        <f t="array" ref="AF192">_xlfn.IFS(N192&lt;=AC192,W192*(3/(X192^3 - (X192-AB192)^3)),N192&gt;AC192,W192*(3/X192^3))</f>
        <v>7.6882650940115075E-15</v>
      </c>
      <c r="AG192" s="280">
        <f t="shared" si="115"/>
        <v>9.1723821602091766E-6</v>
      </c>
      <c r="AH192" s="281">
        <f t="shared" si="116"/>
        <v>-2.1344161553994765E-6</v>
      </c>
      <c r="AI192" s="282">
        <f t="shared" si="117"/>
        <v>130.32717341829772</v>
      </c>
    </row>
    <row r="193" spans="1:35" s="83" customFormat="1" x14ac:dyDescent="0.45">
      <c r="A193" s="83" t="s">
        <v>206</v>
      </c>
      <c r="B193" s="190" t="s">
        <v>205</v>
      </c>
      <c r="C193" s="207">
        <v>-74.776949999999999</v>
      </c>
      <c r="D193" s="206">
        <v>164.04663300000001</v>
      </c>
      <c r="E193" s="83" t="s">
        <v>14</v>
      </c>
      <c r="F193" s="204">
        <v>7.9440845550630759E-2</v>
      </c>
      <c r="G193" s="83">
        <v>-2.09</v>
      </c>
      <c r="H193" s="83">
        <v>300</v>
      </c>
      <c r="I193" s="83">
        <v>1.2176789342127918E-2</v>
      </c>
      <c r="J193" s="83">
        <f t="shared" si="151"/>
        <v>-1.1368895619835897</v>
      </c>
      <c r="K193" s="83">
        <f t="shared" si="152"/>
        <v>7.9531090240517258E-2</v>
      </c>
      <c r="L193" s="193">
        <f t="shared" si="153"/>
        <v>4.6914595251393396E-2</v>
      </c>
      <c r="M193" s="191">
        <v>2015</v>
      </c>
      <c r="N193" s="208">
        <v>18</v>
      </c>
      <c r="O193" s="83">
        <v>57</v>
      </c>
      <c r="P193" s="83">
        <v>393178.83264000004</v>
      </c>
      <c r="Q193" s="83">
        <v>140</v>
      </c>
      <c r="R193" s="83">
        <v>0.83342531099999995</v>
      </c>
      <c r="S193" s="83">
        <v>0.11595768328139726</v>
      </c>
      <c r="T193" s="83">
        <v>0.15800791818840601</v>
      </c>
      <c r="V193" s="193">
        <f t="shared" si="154"/>
        <v>3.9099811137831665E-11</v>
      </c>
      <c r="W193" s="193">
        <f t="shared" si="155"/>
        <v>7.0379660048097E-10</v>
      </c>
      <c r="X193" s="83">
        <f t="shared" si="156"/>
        <v>65</v>
      </c>
      <c r="Y193" s="195">
        <f t="shared" si="157"/>
        <v>155.22904123842292</v>
      </c>
      <c r="Z193" s="195">
        <f t="shared" si="158"/>
        <v>7.5372494132908221</v>
      </c>
      <c r="AA193" s="193">
        <f t="shared" si="159"/>
        <v>7.0379660048097001E-6</v>
      </c>
      <c r="AB193" s="195">
        <f t="shared" si="160"/>
        <v>113.91834160195124</v>
      </c>
      <c r="AC193" s="195">
        <f t="shared" si="161"/>
        <v>10.270514682246391</v>
      </c>
      <c r="AD193" s="193">
        <f t="shared" si="162"/>
        <v>7.0379660048097001E-6</v>
      </c>
      <c r="AE193" s="259">
        <f t="shared" si="46"/>
        <v>71</v>
      </c>
      <c r="AF193" s="259" cm="1">
        <f t="array" ref="AF193">_xlfn.IFS(N193&lt;=AC193,W193*(3/(X193^3 - (X193-AB193)^3)),N193&gt;AC193,W193*(3/X193^3))</f>
        <v>7.6882650940115075E-15</v>
      </c>
      <c r="AG193" s="280">
        <f t="shared" si="115"/>
        <v>9.1723821602091766E-6</v>
      </c>
      <c r="AH193" s="281">
        <f t="shared" si="116"/>
        <v>-2.1344161553994765E-6</v>
      </c>
      <c r="AI193" s="282">
        <f t="shared" si="117"/>
        <v>130.32717341829772</v>
      </c>
    </row>
    <row r="194" spans="1:35" x14ac:dyDescent="0.45">
      <c r="A194" s="83" t="s">
        <v>207</v>
      </c>
      <c r="B194" s="44" t="s">
        <v>208</v>
      </c>
      <c r="C194" s="176">
        <v>42.166609000000001</v>
      </c>
      <c r="D194" s="176">
        <v>11.725922000000001</v>
      </c>
      <c r="E194" s="83" t="s">
        <v>14</v>
      </c>
      <c r="G194" s="83">
        <v>-2.09</v>
      </c>
      <c r="H194">
        <v>100</v>
      </c>
      <c r="I194">
        <v>124.39931153184142</v>
      </c>
      <c r="J194" s="83">
        <f t="shared" ref="J194:J202" si="163" xml:space="preserve"> LOG(I194, 10) - (G194) * LOG(H194,10)^(G194+1)</f>
        <v>3.0766192497565155</v>
      </c>
      <c r="K194" s="83">
        <f t="shared" ref="K194:K202" si="164" xml:space="preserve"> -1*10^J194*(G194+1)</f>
        <v>1300.306542465059</v>
      </c>
      <c r="L194" s="193">
        <f t="shared" ref="L194:L202" si="165">IF(E194="Fragments",0.000000097*K194*(5000^(4+G194)-1)/(4+G194),0.000106*K194*(5000^(2+G194)-1)/(2+G194))</f>
        <v>767.03783335549895</v>
      </c>
      <c r="M194" s="191">
        <v>2017</v>
      </c>
      <c r="N194" s="210">
        <v>2.5</v>
      </c>
      <c r="O194" t="s">
        <v>94</v>
      </c>
      <c r="Q194" s="83">
        <v>10</v>
      </c>
      <c r="R194">
        <v>0.91868156199999995</v>
      </c>
      <c r="S194">
        <v>0.13341858489683281</v>
      </c>
      <c r="T194">
        <v>0.12336546963836</v>
      </c>
      <c r="V194" s="193">
        <f t="shared" ref="V194:V211" si="166">L194*R194*0.000000001</f>
        <v>7.0466351486012554E-7</v>
      </c>
      <c r="W194" s="193">
        <f t="shared" ref="W194:W211" si="167">V194*N194</f>
        <v>1.7616587871503137E-6</v>
      </c>
      <c r="X194" s="83">
        <f t="shared" ref="X194:X211" si="168">M194-1950</f>
        <v>67</v>
      </c>
      <c r="Y194" s="195">
        <f t="shared" ref="Y194:Y211" si="169">N194/S194</f>
        <v>18.738019159273417</v>
      </c>
      <c r="Z194" s="195">
        <f t="shared" ref="Z194:Z211" si="170">S194*X194</f>
        <v>8.9390451880877979</v>
      </c>
      <c r="AA194" s="193">
        <f t="shared" ref="AA194:AA211" si="171">IF(N194&lt;Z194,W194/(1-(1-N194/Z194)^3),W194)*10000</f>
        <v>2.8130659623361472E-2</v>
      </c>
      <c r="AB194" s="195">
        <f t="shared" ref="AB194:AB211" si="172">N194/T194</f>
        <v>20.264989930558617</v>
      </c>
      <c r="AC194" s="195">
        <f t="shared" ref="AC194:AC211" si="173">T194*X194</f>
        <v>8.2654864657701204</v>
      </c>
      <c r="AD194" s="193">
        <f t="shared" ref="AD194:AD211" si="174">IF(N194&lt;AC194,W194/(1-(1-N194/AC194)^3),W194)*10000</f>
        <v>2.6667265570191969E-2</v>
      </c>
      <c r="AE194" s="259">
        <f t="shared" si="46"/>
        <v>71</v>
      </c>
      <c r="AF194" s="259" cm="1">
        <f t="array" ref="AF194">_xlfn.IFS(N194&lt;=AC194,W194*(3/(X194^3 - (X194-AB194)^3)),N194&gt;AC194,W194*(3/X194^3))</f>
        <v>2.6599613885543077E-11</v>
      </c>
      <c r="AG194" s="280">
        <f t="shared" si="115"/>
        <v>3.1734314684628694E-2</v>
      </c>
      <c r="AH194" s="281">
        <f t="shared" si="116"/>
        <v>-5.0670491144367245E-3</v>
      </c>
      <c r="AI194" s="282">
        <f t="shared" si="117"/>
        <v>119.00100743775</v>
      </c>
    </row>
    <row r="195" spans="1:35" x14ac:dyDescent="0.45">
      <c r="A195" s="83" t="s">
        <v>207</v>
      </c>
      <c r="B195" s="44" t="s">
        <v>208</v>
      </c>
      <c r="C195" s="209">
        <v>42.161991999999998</v>
      </c>
      <c r="D195" s="209">
        <v>11.716246999999999</v>
      </c>
      <c r="E195" s="83" t="s">
        <v>14</v>
      </c>
      <c r="G195" s="83">
        <v>-2.09</v>
      </c>
      <c r="H195">
        <v>100</v>
      </c>
      <c r="I195">
        <v>78.877796901892751</v>
      </c>
      <c r="J195" s="83">
        <f t="shared" si="163"/>
        <v>2.8787560449592515</v>
      </c>
      <c r="K195" s="83">
        <f t="shared" si="164"/>
        <v>824.48459001727508</v>
      </c>
      <c r="L195" s="193">
        <f t="shared" si="165"/>
        <v>486.35521925695554</v>
      </c>
      <c r="M195" s="191">
        <v>2017</v>
      </c>
      <c r="N195" s="210">
        <v>2.5</v>
      </c>
      <c r="O195" t="s">
        <v>94</v>
      </c>
      <c r="Q195" s="83">
        <v>27.7</v>
      </c>
      <c r="R195">
        <v>0.91868156199999995</v>
      </c>
      <c r="S195">
        <v>0.13341858489683281</v>
      </c>
      <c r="T195">
        <v>0.12336546963836</v>
      </c>
      <c r="V195" s="193">
        <f t="shared" si="166"/>
        <v>4.4680557251383241E-7</v>
      </c>
      <c r="W195" s="193">
        <f t="shared" si="167"/>
        <v>1.1170139312845809E-6</v>
      </c>
      <c r="X195" s="83">
        <f t="shared" si="168"/>
        <v>67</v>
      </c>
      <c r="Y195" s="195">
        <f t="shared" si="169"/>
        <v>18.738019159273417</v>
      </c>
      <c r="Z195" s="195">
        <f t="shared" si="170"/>
        <v>8.9390451880877979</v>
      </c>
      <c r="AA195" s="193">
        <f t="shared" si="171"/>
        <v>1.7836790486737038E-2</v>
      </c>
      <c r="AB195" s="195">
        <f t="shared" si="172"/>
        <v>20.264989930558617</v>
      </c>
      <c r="AC195" s="195">
        <f t="shared" si="173"/>
        <v>8.2654864657701204</v>
      </c>
      <c r="AD195" s="193">
        <f t="shared" si="174"/>
        <v>1.6908897096557008E-2</v>
      </c>
      <c r="AE195" s="259">
        <f t="shared" si="46"/>
        <v>71</v>
      </c>
      <c r="AF195" s="259" cm="1">
        <f t="array" ref="AF195">_xlfn.IFS(N195&lt;=AC195,W195*(3/(X195^3 - (X195-AB195)^3)),N195&gt;AC195,W195*(3/X195^3))</f>
        <v>1.6866001233420014E-11</v>
      </c>
      <c r="AG195" s="280">
        <f t="shared" si="115"/>
        <v>2.01217578915153E-2</v>
      </c>
      <c r="AH195" s="281">
        <f t="shared" si="116"/>
        <v>-3.2128607949582916E-3</v>
      </c>
      <c r="AI195" s="282">
        <f t="shared" si="117"/>
        <v>119.00100743775</v>
      </c>
    </row>
    <row r="196" spans="1:35" x14ac:dyDescent="0.45">
      <c r="A196" s="83" t="s">
        <v>207</v>
      </c>
      <c r="B196" s="44" t="s">
        <v>208</v>
      </c>
      <c r="C196" s="176">
        <v>42.157035999999998</v>
      </c>
      <c r="D196" s="176">
        <v>11.699755</v>
      </c>
      <c r="E196" s="83" t="s">
        <v>14</v>
      </c>
      <c r="G196" s="83">
        <v>-2.09</v>
      </c>
      <c r="H196">
        <v>100</v>
      </c>
      <c r="I196">
        <v>65.927710843373134</v>
      </c>
      <c r="J196" s="83">
        <f t="shared" si="163"/>
        <v>2.8008692692646258</v>
      </c>
      <c r="K196" s="83">
        <f t="shared" si="164"/>
        <v>689.12144837264782</v>
      </c>
      <c r="L196" s="193">
        <f t="shared" si="165"/>
        <v>406.50585490133597</v>
      </c>
      <c r="M196" s="191">
        <v>2017</v>
      </c>
      <c r="N196" s="210">
        <v>2.5</v>
      </c>
      <c r="O196" t="s">
        <v>94</v>
      </c>
      <c r="Q196" s="83">
        <v>35.700000000000003</v>
      </c>
      <c r="R196">
        <v>0.91868156199999995</v>
      </c>
      <c r="S196">
        <v>0.13341858489683281</v>
      </c>
      <c r="T196">
        <v>0.12336546963836</v>
      </c>
      <c r="V196" s="193">
        <f t="shared" si="166"/>
        <v>3.7344943374290471E-7</v>
      </c>
      <c r="W196" s="193">
        <f t="shared" si="167"/>
        <v>9.3362358435726182E-7</v>
      </c>
      <c r="X196" s="83">
        <f t="shared" si="168"/>
        <v>67</v>
      </c>
      <c r="Y196" s="195">
        <f t="shared" si="169"/>
        <v>18.738019159273417</v>
      </c>
      <c r="Z196" s="195">
        <f t="shared" si="170"/>
        <v>8.9390451880877979</v>
      </c>
      <c r="AA196" s="193">
        <f t="shared" si="171"/>
        <v>1.4908362197869769E-2</v>
      </c>
      <c r="AB196" s="195">
        <f t="shared" si="172"/>
        <v>20.264989930558617</v>
      </c>
      <c r="AC196" s="195">
        <f t="shared" si="173"/>
        <v>8.2654864657701204</v>
      </c>
      <c r="AD196" s="193">
        <f t="shared" si="174"/>
        <v>1.4132809513540191E-2</v>
      </c>
      <c r="AE196" s="259">
        <f t="shared" si="46"/>
        <v>71</v>
      </c>
      <c r="AF196" s="259" cm="1">
        <f t="array" ref="AF196">_xlfn.IFS(N196&lt;=AC196,W196*(3/(X196^3 - (X196-AB196)^3)),N196&gt;AC196,W196*(3/X196^3))</f>
        <v>1.409695625479882E-11</v>
      </c>
      <c r="AG196" s="280">
        <f t="shared" si="115"/>
        <v>1.6818185700371E-2</v>
      </c>
      <c r="AH196" s="281">
        <f t="shared" si="116"/>
        <v>-2.6853761868308092E-3</v>
      </c>
      <c r="AI196" s="282">
        <f t="shared" si="117"/>
        <v>119.00100743774999</v>
      </c>
    </row>
    <row r="197" spans="1:35" x14ac:dyDescent="0.45">
      <c r="A197" s="83" t="s">
        <v>207</v>
      </c>
      <c r="B197" s="44" t="s">
        <v>208</v>
      </c>
      <c r="C197" s="209">
        <v>42.077109999999998</v>
      </c>
      <c r="D197" s="209">
        <v>11.801812</v>
      </c>
      <c r="E197" s="83" t="s">
        <v>14</v>
      </c>
      <c r="G197" s="83">
        <v>-2.09</v>
      </c>
      <c r="H197">
        <v>100</v>
      </c>
      <c r="I197">
        <v>29.039586919104963</v>
      </c>
      <c r="J197" s="83">
        <f t="shared" si="163"/>
        <v>2.4447917072697409</v>
      </c>
      <c r="K197" s="83">
        <f t="shared" si="164"/>
        <v>303.54159035461993</v>
      </c>
      <c r="L197" s="193">
        <f t="shared" si="165"/>
        <v>179.05615037320825</v>
      </c>
      <c r="M197" s="191">
        <v>2017</v>
      </c>
      <c r="N197" s="210">
        <v>2.5</v>
      </c>
      <c r="O197" t="s">
        <v>94</v>
      </c>
      <c r="Q197" s="83">
        <v>10</v>
      </c>
      <c r="R197">
        <v>0.91868156199999995</v>
      </c>
      <c r="S197">
        <v>0.13341858489683281</v>
      </c>
      <c r="T197">
        <v>0.14065300447411</v>
      </c>
      <c r="V197" s="193">
        <f t="shared" si="166"/>
        <v>1.6449558391056586E-7</v>
      </c>
      <c r="W197" s="193">
        <f t="shared" si="167"/>
        <v>4.1123895977641465E-7</v>
      </c>
      <c r="X197" s="83">
        <f t="shared" si="168"/>
        <v>67</v>
      </c>
      <c r="Y197" s="195">
        <f t="shared" si="169"/>
        <v>18.738019159273417</v>
      </c>
      <c r="Z197" s="195">
        <f t="shared" si="170"/>
        <v>8.9390451880877979</v>
      </c>
      <c r="AA197" s="193">
        <f t="shared" si="171"/>
        <v>6.5667785871569477E-3</v>
      </c>
      <c r="AB197" s="195">
        <f t="shared" si="172"/>
        <v>17.774238163964533</v>
      </c>
      <c r="AC197" s="195">
        <f t="shared" si="173"/>
        <v>9.4237512997653692</v>
      </c>
      <c r="AD197" s="193">
        <f t="shared" si="174"/>
        <v>6.8153645512724599E-3</v>
      </c>
      <c r="AE197" s="259">
        <f t="shared" si="46"/>
        <v>71</v>
      </c>
      <c r="AF197" s="259" cm="1">
        <f t="array" ref="AF197">_xlfn.IFS(N197&lt;=AC197,W197*(3/(X197^3 - (X197-AB197)^3)),N197&gt;AC197,W197*(3/X197^3))</f>
        <v>6.7980747810792479E-12</v>
      </c>
      <c r="AG197" s="280">
        <f t="shared" si="115"/>
        <v>8.110352476569516E-3</v>
      </c>
      <c r="AH197" s="281">
        <f t="shared" si="116"/>
        <v>-1.294987925297056E-3</v>
      </c>
      <c r="AI197" s="282">
        <f t="shared" si="117"/>
        <v>119.00100743774998</v>
      </c>
    </row>
    <row r="198" spans="1:35" x14ac:dyDescent="0.45">
      <c r="A198" s="83" t="s">
        <v>207</v>
      </c>
      <c r="B198" s="44" t="s">
        <v>208</v>
      </c>
      <c r="C198" s="176">
        <v>42.073971</v>
      </c>
      <c r="D198" s="176">
        <v>11.793429</v>
      </c>
      <c r="E198" s="83" t="s">
        <v>14</v>
      </c>
      <c r="G198" s="83">
        <v>-2.09</v>
      </c>
      <c r="H198">
        <v>100</v>
      </c>
      <c r="I198">
        <v>128.32358003442332</v>
      </c>
      <c r="J198" s="83">
        <f t="shared" si="163"/>
        <v>3.0901077401990507</v>
      </c>
      <c r="K198" s="83">
        <f t="shared" si="164"/>
        <v>1341.3256762967669</v>
      </c>
      <c r="L198" s="193">
        <f t="shared" si="165"/>
        <v>791.23461043296106</v>
      </c>
      <c r="M198" s="191">
        <v>2017</v>
      </c>
      <c r="N198" s="210">
        <v>2.5</v>
      </c>
      <c r="O198" t="s">
        <v>94</v>
      </c>
      <c r="Q198" s="83">
        <v>30</v>
      </c>
      <c r="R198">
        <v>0.91868156199999995</v>
      </c>
      <c r="S198">
        <v>0.133418584896833</v>
      </c>
      <c r="T198">
        <v>0.14065300447411</v>
      </c>
      <c r="V198" s="193">
        <f t="shared" si="166"/>
        <v>7.268926478210142E-7</v>
      </c>
      <c r="W198" s="193">
        <f t="shared" si="167"/>
        <v>1.8172316195525354E-6</v>
      </c>
      <c r="X198" s="83">
        <f t="shared" si="168"/>
        <v>67</v>
      </c>
      <c r="Y198" s="195">
        <f t="shared" si="169"/>
        <v>18.738019159273389</v>
      </c>
      <c r="Z198" s="195">
        <f t="shared" si="170"/>
        <v>8.9390451880878103</v>
      </c>
      <c r="AA198" s="193">
        <f t="shared" si="171"/>
        <v>2.9018062135139529E-2</v>
      </c>
      <c r="AB198" s="195">
        <f t="shared" si="172"/>
        <v>17.774238163964533</v>
      </c>
      <c r="AC198" s="195">
        <f t="shared" si="173"/>
        <v>9.4237512997653692</v>
      </c>
      <c r="AD198" s="193">
        <f t="shared" si="174"/>
        <v>3.0116543354947227E-2</v>
      </c>
      <c r="AE198" s="259">
        <f t="shared" si="46"/>
        <v>71</v>
      </c>
      <c r="AF198" s="259" cm="1">
        <f t="array" ref="AF198">_xlfn.IFS(N198&lt;=AC198,W198*(3/(X198^3 - (X198-AB198)^3)),N198&gt;AC198,W198*(3/X198^3))</f>
        <v>3.0040141262336684E-11</v>
      </c>
      <c r="AG198" s="280">
        <f t="shared" si="115"/>
        <v>3.5838989997813944E-2</v>
      </c>
      <c r="AH198" s="281">
        <f t="shared" si="116"/>
        <v>-5.7224466428667173E-3</v>
      </c>
      <c r="AI198" s="282">
        <f t="shared" si="117"/>
        <v>119.00100743774998</v>
      </c>
    </row>
    <row r="199" spans="1:35" x14ac:dyDescent="0.45">
      <c r="A199" s="83" t="s">
        <v>207</v>
      </c>
      <c r="B199" s="44" t="s">
        <v>208</v>
      </c>
      <c r="C199" s="176">
        <v>42.069118000000003</v>
      </c>
      <c r="D199" s="211">
        <v>11.782688</v>
      </c>
      <c r="E199" s="83" t="s">
        <v>14</v>
      </c>
      <c r="G199" s="83">
        <v>-2.09</v>
      </c>
      <c r="H199">
        <v>100</v>
      </c>
      <c r="I199">
        <v>102.03098106712517</v>
      </c>
      <c r="J199" s="83">
        <f t="shared" si="163"/>
        <v>2.9905333355095811</v>
      </c>
      <c r="K199" s="83">
        <f t="shared" si="164"/>
        <v>1066.4974796243368</v>
      </c>
      <c r="L199" s="193">
        <f t="shared" si="165"/>
        <v>629.11620401397283</v>
      </c>
      <c r="M199" s="191">
        <v>2017</v>
      </c>
      <c r="N199" s="210">
        <v>2.5</v>
      </c>
      <c r="O199" t="s">
        <v>94</v>
      </c>
      <c r="Q199" s="83">
        <v>37.700000000000003</v>
      </c>
      <c r="R199">
        <v>0.91868156199999995</v>
      </c>
      <c r="S199">
        <v>0.133418584896833</v>
      </c>
      <c r="T199">
        <v>0.171243496618182</v>
      </c>
      <c r="V199" s="193">
        <f t="shared" si="166"/>
        <v>5.7795745698306724E-7</v>
      </c>
      <c r="W199" s="193">
        <f t="shared" si="167"/>
        <v>1.4448936424576681E-6</v>
      </c>
      <c r="X199" s="83">
        <f t="shared" si="168"/>
        <v>67</v>
      </c>
      <c r="Y199" s="195">
        <f t="shared" si="169"/>
        <v>18.738019159273389</v>
      </c>
      <c r="Z199" s="195">
        <f t="shared" si="170"/>
        <v>8.9390451880878103</v>
      </c>
      <c r="AA199" s="193">
        <f t="shared" si="171"/>
        <v>2.3072465306227061E-2</v>
      </c>
      <c r="AB199" s="195">
        <f t="shared" si="172"/>
        <v>14.599094560502914</v>
      </c>
      <c r="AC199" s="195">
        <f t="shared" si="173"/>
        <v>11.473314273418193</v>
      </c>
      <c r="AD199" s="193">
        <f t="shared" si="174"/>
        <v>2.7701228286418175E-2</v>
      </c>
      <c r="AE199" s="259">
        <f t="shared" si="46"/>
        <v>71</v>
      </c>
      <c r="AF199" s="259" cm="1">
        <f t="array" ref="AF199">_xlfn.IFS(N199&lt;=AC199,W199*(3/(X199^3 - (X199-AB199)^3)),N199&gt;AC199,W199*(3/X199^3))</f>
        <v>2.7630953561194205E-11</v>
      </c>
      <c r="AG199" s="280">
        <f t="shared" si="115"/>
        <v>3.2964740733468598E-2</v>
      </c>
      <c r="AH199" s="281">
        <f t="shared" si="116"/>
        <v>-5.2635124470504224E-3</v>
      </c>
      <c r="AI199" s="282">
        <f t="shared" si="117"/>
        <v>119.00100743774999</v>
      </c>
    </row>
    <row r="200" spans="1:35" x14ac:dyDescent="0.45">
      <c r="A200" s="83" t="s">
        <v>207</v>
      </c>
      <c r="B200" s="44" t="s">
        <v>208</v>
      </c>
      <c r="C200" s="176">
        <v>42.037565999999998</v>
      </c>
      <c r="D200" s="176">
        <v>11.895206</v>
      </c>
      <c r="E200" s="83" t="s">
        <v>14</v>
      </c>
      <c r="G200" s="83">
        <v>-2.09</v>
      </c>
      <c r="H200">
        <v>100</v>
      </c>
      <c r="I200">
        <v>114.58864027538698</v>
      </c>
      <c r="J200" s="83">
        <f t="shared" si="163"/>
        <v>3.0409428389871822</v>
      </c>
      <c r="K200" s="83">
        <f t="shared" si="164"/>
        <v>1197.758707885796</v>
      </c>
      <c r="L200" s="193">
        <f t="shared" si="165"/>
        <v>706.54589066184769</v>
      </c>
      <c r="M200" s="191">
        <v>2017</v>
      </c>
      <c r="N200" s="210">
        <v>2.5</v>
      </c>
      <c r="O200" t="s">
        <v>94</v>
      </c>
      <c r="Q200" s="83">
        <v>10</v>
      </c>
      <c r="R200">
        <v>0.91868156199999995</v>
      </c>
      <c r="S200">
        <v>0.133418584896833</v>
      </c>
      <c r="T200">
        <v>0.135215749965132</v>
      </c>
      <c r="V200" s="193">
        <f t="shared" si="166"/>
        <v>6.4909068245790742E-7</v>
      </c>
      <c r="W200" s="193">
        <f t="shared" si="167"/>
        <v>1.6227267061447686E-6</v>
      </c>
      <c r="X200" s="83">
        <f t="shared" si="168"/>
        <v>67</v>
      </c>
      <c r="Y200" s="195">
        <f t="shared" si="169"/>
        <v>18.738019159273389</v>
      </c>
      <c r="Z200" s="195">
        <f t="shared" si="170"/>
        <v>8.9390451880878103</v>
      </c>
      <c r="AA200" s="193">
        <f t="shared" si="171"/>
        <v>2.591215334391659E-2</v>
      </c>
      <c r="AB200" s="195">
        <f t="shared" si="172"/>
        <v>18.488970409472813</v>
      </c>
      <c r="AC200" s="195">
        <f t="shared" si="173"/>
        <v>9.059455247663843</v>
      </c>
      <c r="AD200" s="193">
        <f t="shared" si="174"/>
        <v>2.6155062884576481E-2</v>
      </c>
      <c r="AE200" s="259">
        <f t="shared" si="46"/>
        <v>71</v>
      </c>
      <c r="AF200" s="259" cm="1">
        <f t="array" ref="AF200">_xlfn.IFS(N200&lt;=AC200,W200*(3/(X200^3 - (X200-AB200)^3)),N200&gt;AC200,W200*(3/X200^3))</f>
        <v>2.6088710597290708E-11</v>
      </c>
      <c r="AG200" s="280">
        <f t="shared" si="115"/>
        <v>3.1124788328623049E-2</v>
      </c>
      <c r="AH200" s="281">
        <f t="shared" si="116"/>
        <v>-4.9697254440465681E-3</v>
      </c>
      <c r="AI200" s="282">
        <f t="shared" si="117"/>
        <v>119.00100743775</v>
      </c>
    </row>
    <row r="201" spans="1:35" x14ac:dyDescent="0.45">
      <c r="A201" s="83" t="s">
        <v>207</v>
      </c>
      <c r="B201" s="44" t="s">
        <v>208</v>
      </c>
      <c r="C201" s="176">
        <v>42.019134000000001</v>
      </c>
      <c r="D201" s="176">
        <v>11.866828</v>
      </c>
      <c r="E201" s="83" t="s">
        <v>14</v>
      </c>
      <c r="G201" s="83">
        <v>-2.09</v>
      </c>
      <c r="H201">
        <v>100</v>
      </c>
      <c r="I201">
        <v>67.889845094664366</v>
      </c>
      <c r="J201" s="83">
        <f t="shared" si="163"/>
        <v>2.8136060906675606</v>
      </c>
      <c r="K201" s="83">
        <f t="shared" si="164"/>
        <v>709.6310152885045</v>
      </c>
      <c r="L201" s="193">
        <f t="shared" si="165"/>
        <v>418.60424344006861</v>
      </c>
      <c r="M201" s="191">
        <v>2017</v>
      </c>
      <c r="N201" s="210">
        <v>2.5</v>
      </c>
      <c r="O201" t="s">
        <v>94</v>
      </c>
      <c r="Q201" s="83">
        <v>28</v>
      </c>
      <c r="R201">
        <v>0.91868156199999995</v>
      </c>
      <c r="S201">
        <v>0.133418584896833</v>
      </c>
      <c r="T201">
        <v>0.135215749965132</v>
      </c>
      <c r="V201" s="193">
        <f t="shared" si="166"/>
        <v>3.8456400022335052E-7</v>
      </c>
      <c r="W201" s="193">
        <f t="shared" si="167"/>
        <v>9.6141000055837627E-7</v>
      </c>
      <c r="X201" s="83">
        <f t="shared" si="168"/>
        <v>67</v>
      </c>
      <c r="Y201" s="195">
        <f t="shared" si="169"/>
        <v>18.738019159273389</v>
      </c>
      <c r="Z201" s="195">
        <f t="shared" si="170"/>
        <v>8.9390451880878103</v>
      </c>
      <c r="AA201" s="193">
        <f t="shared" si="171"/>
        <v>1.5352063453758853E-2</v>
      </c>
      <c r="AB201" s="195">
        <f t="shared" si="172"/>
        <v>18.488970409472813</v>
      </c>
      <c r="AC201" s="195">
        <f t="shared" si="173"/>
        <v>9.059455247663843</v>
      </c>
      <c r="AD201" s="193">
        <f t="shared" si="174"/>
        <v>1.5495979037779951E-2</v>
      </c>
      <c r="AE201" s="259">
        <f t="shared" si="46"/>
        <v>71</v>
      </c>
      <c r="AF201" s="259" cm="1">
        <f t="array" ref="AF201">_xlfn.IFS(N201&lt;=AC201,W201*(3/(X201^3 - (X201-AB201)^3)),N201&gt;AC201,W201*(3/X201^3))</f>
        <v>1.5456667579901737E-11</v>
      </c>
      <c r="AG201" s="280">
        <f t="shared" si="115"/>
        <v>1.8440371167300702E-2</v>
      </c>
      <c r="AH201" s="281">
        <f t="shared" si="116"/>
        <v>-2.9443921295207506E-3</v>
      </c>
      <c r="AI201" s="282">
        <f t="shared" si="117"/>
        <v>119.00100743775</v>
      </c>
    </row>
    <row r="202" spans="1:35" x14ac:dyDescent="0.45">
      <c r="A202" s="83" t="s">
        <v>207</v>
      </c>
      <c r="B202" s="44" t="s">
        <v>208</v>
      </c>
      <c r="C202" s="176">
        <v>42.008094999999997</v>
      </c>
      <c r="D202" s="176">
        <v>11.847958</v>
      </c>
      <c r="E202" s="83" t="s">
        <v>14</v>
      </c>
      <c r="G202" s="83">
        <v>-2.09</v>
      </c>
      <c r="H202">
        <v>100</v>
      </c>
      <c r="I202">
        <v>43.166953528399311</v>
      </c>
      <c r="J202" s="83">
        <f t="shared" si="163"/>
        <v>2.6169526726969905</v>
      </c>
      <c r="K202" s="83">
        <f t="shared" si="164"/>
        <v>451.21047214876012</v>
      </c>
      <c r="L202" s="193">
        <f t="shared" si="165"/>
        <v>266.16454785206673</v>
      </c>
      <c r="M202" s="191">
        <v>2017</v>
      </c>
      <c r="N202" s="210">
        <v>2.5</v>
      </c>
      <c r="O202" t="s">
        <v>94</v>
      </c>
      <c r="Q202" s="83">
        <v>37.700000000000003</v>
      </c>
      <c r="R202">
        <v>0.91868156199999995</v>
      </c>
      <c r="S202">
        <v>0.133418584896833</v>
      </c>
      <c r="T202">
        <v>0.135215749965132</v>
      </c>
      <c r="V202" s="193">
        <f t="shared" si="166"/>
        <v>2.4452046256976042E-7</v>
      </c>
      <c r="W202" s="193">
        <f t="shared" si="167"/>
        <v>6.1130115642440103E-7</v>
      </c>
      <c r="X202" s="83">
        <f t="shared" si="168"/>
        <v>67</v>
      </c>
      <c r="Y202" s="195">
        <f t="shared" si="169"/>
        <v>18.738019159273389</v>
      </c>
      <c r="Z202" s="195">
        <f t="shared" si="170"/>
        <v>8.9390451880878103</v>
      </c>
      <c r="AA202" s="193">
        <f t="shared" si="171"/>
        <v>9.7614276295576504E-3</v>
      </c>
      <c r="AB202" s="195">
        <f t="shared" si="172"/>
        <v>18.488970409472813</v>
      </c>
      <c r="AC202" s="195">
        <f t="shared" si="173"/>
        <v>9.059455247663843</v>
      </c>
      <c r="AD202" s="193">
        <f t="shared" si="174"/>
        <v>9.8529346482993906E-3</v>
      </c>
      <c r="AE202" s="259">
        <f t="shared" si="46"/>
        <v>71</v>
      </c>
      <c r="AF202" s="259" cm="1">
        <f t="array" ref="AF202">_xlfn.IFS(N202&lt;=AC202,W202*(3/(X202^3 - (X202-AB202)^3)),N202&gt;AC202,W202*(3/X202^3))</f>
        <v>9.8279389236369421E-12</v>
      </c>
      <c r="AG202" s="280">
        <f t="shared" si="115"/>
        <v>1.1725091493659405E-2</v>
      </c>
      <c r="AH202" s="281">
        <f t="shared" si="116"/>
        <v>-1.8721568453600144E-3</v>
      </c>
      <c r="AI202" s="282">
        <f t="shared" si="117"/>
        <v>119.00100743775</v>
      </c>
    </row>
    <row r="203" spans="1:35" x14ac:dyDescent="0.45">
      <c r="A203" s="83" t="s">
        <v>207</v>
      </c>
      <c r="B203" s="44" t="s">
        <v>208</v>
      </c>
      <c r="C203" s="176">
        <v>42.166609000000001</v>
      </c>
      <c r="D203" s="176">
        <v>11.725922000000001</v>
      </c>
      <c r="E203" s="83" t="s">
        <v>8</v>
      </c>
      <c r="G203" s="83">
        <v>-1.77</v>
      </c>
      <c r="H203">
        <v>100</v>
      </c>
      <c r="I203">
        <v>152.65404475043019</v>
      </c>
      <c r="J203" s="83">
        <f t="shared" ref="J203:J211" si="175" xml:space="preserve"> LOG(I203, 10) - (G203) * LOG(H203,10)^(G203+1)</f>
        <v>3.2216672460060427</v>
      </c>
      <c r="K203" s="83">
        <f t="shared" ref="K203:K211" si="176" xml:space="preserve"> -1*10^J203*(G203+1)</f>
        <v>1282.7971050922001</v>
      </c>
      <c r="L203" s="193">
        <f t="shared" ref="L203:L211" si="177">IF(E203="Fragments",0.000000097*K203*(5000^(4+G203)-1)/(4+G203),0.000106*K203*(5000^(2+G203)-1)/(2+G203))</f>
        <v>3.6015491477388992</v>
      </c>
      <c r="M203" s="191">
        <v>2017</v>
      </c>
      <c r="N203" s="210">
        <v>2.5</v>
      </c>
      <c r="O203" t="s">
        <v>94</v>
      </c>
      <c r="Q203" s="83">
        <v>10</v>
      </c>
      <c r="R203">
        <v>0.91868156199999995</v>
      </c>
      <c r="S203">
        <v>0.133418584896833</v>
      </c>
      <c r="T203">
        <v>0.12336546963836</v>
      </c>
      <c r="V203" s="193">
        <f t="shared" si="166"/>
        <v>3.308676796664541E-9</v>
      </c>
      <c r="W203" s="193">
        <f t="shared" si="167"/>
        <v>8.2716919916613517E-9</v>
      </c>
      <c r="X203" s="83">
        <f t="shared" si="168"/>
        <v>67</v>
      </c>
      <c r="Y203" s="195">
        <f t="shared" si="169"/>
        <v>18.738019159273389</v>
      </c>
      <c r="Z203" s="195">
        <f t="shared" si="170"/>
        <v>8.9390451880878103</v>
      </c>
      <c r="AA203" s="193">
        <f t="shared" si="171"/>
        <v>1.320846883766354E-4</v>
      </c>
      <c r="AB203" s="195">
        <f t="shared" si="172"/>
        <v>20.264989930558617</v>
      </c>
      <c r="AC203" s="195">
        <f t="shared" si="173"/>
        <v>8.2654864657701204</v>
      </c>
      <c r="AD203" s="193">
        <f t="shared" si="174"/>
        <v>1.2521346850219645E-4</v>
      </c>
      <c r="AE203" s="259">
        <f t="shared" si="46"/>
        <v>71</v>
      </c>
      <c r="AF203" s="259" cm="1">
        <f t="array" ref="AF203">_xlfn.IFS(N203&lt;=AC203,W203*(3/(X203^3 - (X203-AB203)^3)),N203&gt;AC203,W203*(3/X203^3))</f>
        <v>1.2489581680811449E-13</v>
      </c>
      <c r="AG203" s="280">
        <f t="shared" si="115"/>
        <v>1.4900528896536353E-4</v>
      </c>
      <c r="AH203" s="281">
        <f t="shared" si="116"/>
        <v>-2.3791820463167081E-5</v>
      </c>
      <c r="AI203" s="282">
        <f t="shared" si="117"/>
        <v>119.00100743774999</v>
      </c>
    </row>
    <row r="204" spans="1:35" x14ac:dyDescent="0.45">
      <c r="A204" s="83" t="s">
        <v>207</v>
      </c>
      <c r="B204" s="44" t="s">
        <v>208</v>
      </c>
      <c r="C204" s="209">
        <v>42.161991999999998</v>
      </c>
      <c r="D204" s="209">
        <v>11.716246999999999</v>
      </c>
      <c r="E204" s="83" t="s">
        <v>8</v>
      </c>
      <c r="G204" s="83">
        <v>-1.77</v>
      </c>
      <c r="H204">
        <v>100</v>
      </c>
      <c r="I204">
        <v>110.66437177280507</v>
      </c>
      <c r="J204" s="83">
        <f t="shared" si="175"/>
        <v>3.0819667529996946</v>
      </c>
      <c r="K204" s="83">
        <f t="shared" si="176"/>
        <v>929.9454592185067</v>
      </c>
      <c r="L204" s="193">
        <f t="shared" si="177"/>
        <v>2.6108916700832023</v>
      </c>
      <c r="M204" s="191">
        <v>2017</v>
      </c>
      <c r="N204" s="210">
        <v>2.5</v>
      </c>
      <c r="O204" t="s">
        <v>94</v>
      </c>
      <c r="Q204" s="83">
        <v>27.7</v>
      </c>
      <c r="R204">
        <v>0.91868156199999995</v>
      </c>
      <c r="S204">
        <v>0.133418584896833</v>
      </c>
      <c r="T204">
        <v>0.12336546963836</v>
      </c>
      <c r="V204" s="193">
        <f t="shared" si="166"/>
        <v>2.398578037684825E-9</v>
      </c>
      <c r="W204" s="193">
        <f t="shared" si="167"/>
        <v>5.9964450942120626E-9</v>
      </c>
      <c r="X204" s="83">
        <f t="shared" si="168"/>
        <v>67</v>
      </c>
      <c r="Y204" s="195">
        <f t="shared" si="169"/>
        <v>18.738019159273389</v>
      </c>
      <c r="Z204" s="195">
        <f t="shared" si="170"/>
        <v>8.9390451880878103</v>
      </c>
      <c r="AA204" s="193">
        <f t="shared" si="171"/>
        <v>9.5752910339874149E-5</v>
      </c>
      <c r="AB204" s="195">
        <f t="shared" si="172"/>
        <v>20.264989930558617</v>
      </c>
      <c r="AC204" s="195">
        <f t="shared" si="173"/>
        <v>8.2654864657701204</v>
      </c>
      <c r="AD204" s="193">
        <f t="shared" si="174"/>
        <v>9.0771717526013529E-5</v>
      </c>
      <c r="AE204" s="259">
        <f t="shared" si="46"/>
        <v>71</v>
      </c>
      <c r="AF204" s="259" cm="1">
        <f t="array" ref="AF204">_xlfn.IFS(N204&lt;=AC204,W204*(3/(X204^3 - (X204-AB204)^3)),N204&gt;AC204,W204*(3/X204^3))</f>
        <v>9.0541440462437411E-14</v>
      </c>
      <c r="AG204" s="280">
        <f t="shared" si="115"/>
        <v>1.080192583245048E-4</v>
      </c>
      <c r="AH204" s="281">
        <f t="shared" si="116"/>
        <v>-1.7247540798491268E-5</v>
      </c>
      <c r="AI204" s="282">
        <f t="shared" si="117"/>
        <v>119.00100743775003</v>
      </c>
    </row>
    <row r="205" spans="1:35" x14ac:dyDescent="0.45">
      <c r="A205" s="83" t="s">
        <v>207</v>
      </c>
      <c r="B205" s="44" t="s">
        <v>208</v>
      </c>
      <c r="C205" s="176">
        <v>42.157035999999998</v>
      </c>
      <c r="D205" s="176">
        <v>11.699755</v>
      </c>
      <c r="E205" s="83" t="s">
        <v>8</v>
      </c>
      <c r="G205" s="83">
        <v>-1.77</v>
      </c>
      <c r="H205">
        <v>100</v>
      </c>
      <c r="I205">
        <v>34.925989672977565</v>
      </c>
      <c r="J205" s="83">
        <f t="shared" si="175"/>
        <v>2.5811076513252473</v>
      </c>
      <c r="K205" s="83">
        <f t="shared" si="176"/>
        <v>293.49342507250805</v>
      </c>
      <c r="L205" s="193">
        <f t="shared" si="177"/>
        <v>0.82400481786314017</v>
      </c>
      <c r="M205" s="191">
        <v>2017</v>
      </c>
      <c r="N205" s="210">
        <v>2.5</v>
      </c>
      <c r="O205" t="s">
        <v>94</v>
      </c>
      <c r="Q205" s="83">
        <v>35.700000000000003</v>
      </c>
      <c r="R205">
        <v>0.91868156199999995</v>
      </c>
      <c r="S205">
        <v>0.133418584896833</v>
      </c>
      <c r="T205">
        <v>0.12336546963836</v>
      </c>
      <c r="V205" s="193">
        <f t="shared" si="166"/>
        <v>7.5699803317003516E-10</v>
      </c>
      <c r="W205" s="193">
        <f t="shared" si="167"/>
        <v>1.8924950829250879E-9</v>
      </c>
      <c r="X205" s="83">
        <f t="shared" si="168"/>
        <v>67</v>
      </c>
      <c r="Y205" s="195">
        <f t="shared" si="169"/>
        <v>18.738019159273389</v>
      </c>
      <c r="Z205" s="195">
        <f t="shared" si="170"/>
        <v>8.9390451880878103</v>
      </c>
      <c r="AA205" s="193">
        <f t="shared" si="171"/>
        <v>3.021989014272631E-5</v>
      </c>
      <c r="AB205" s="195">
        <f t="shared" si="172"/>
        <v>20.264989930558617</v>
      </c>
      <c r="AC205" s="195">
        <f t="shared" si="173"/>
        <v>8.2654864657701204</v>
      </c>
      <c r="AD205" s="193">
        <f t="shared" si="174"/>
        <v>2.8647811559628448E-5</v>
      </c>
      <c r="AE205" s="259">
        <f t="shared" si="46"/>
        <v>71</v>
      </c>
      <c r="AF205" s="259" cm="1">
        <f t="array" ref="AF205">_xlfn.IFS(N205&lt;=AC205,W205*(3/(X205^3 - (X205-AB205)^3)),N205&gt;AC205,W205*(3/X205^3))</f>
        <v>2.857513546509556E-14</v>
      </c>
      <c r="AG205" s="280">
        <f t="shared" si="115"/>
        <v>3.4091184364826062E-5</v>
      </c>
      <c r="AH205" s="281">
        <f t="shared" si="116"/>
        <v>-5.4433728051976134E-6</v>
      </c>
      <c r="AI205" s="282">
        <f t="shared" si="117"/>
        <v>119.00100743775003</v>
      </c>
    </row>
    <row r="206" spans="1:35" x14ac:dyDescent="0.45">
      <c r="A206" s="83" t="s">
        <v>207</v>
      </c>
      <c r="B206" s="44" t="s">
        <v>208</v>
      </c>
      <c r="C206" s="209">
        <v>42.077109999999998</v>
      </c>
      <c r="D206" s="209">
        <v>11.801812</v>
      </c>
      <c r="E206" s="83" t="s">
        <v>8</v>
      </c>
      <c r="G206" s="83">
        <v>-1.77</v>
      </c>
      <c r="H206">
        <v>100</v>
      </c>
      <c r="I206">
        <v>45.91394148020651</v>
      </c>
      <c r="J206" s="83">
        <f t="shared" si="175"/>
        <v>2.6999035064264971</v>
      </c>
      <c r="K206" s="83">
        <f t="shared" si="176"/>
        <v>385.82843520768</v>
      </c>
      <c r="L206" s="193">
        <f t="shared" si="177"/>
        <v>1.083242288651546</v>
      </c>
      <c r="M206" s="191">
        <v>2017</v>
      </c>
      <c r="N206" s="210">
        <v>2.5</v>
      </c>
      <c r="O206" t="s">
        <v>94</v>
      </c>
      <c r="Q206" s="83">
        <v>10</v>
      </c>
      <c r="R206">
        <v>0.91868156199999995</v>
      </c>
      <c r="S206">
        <v>0.133418584896833</v>
      </c>
      <c r="T206">
        <v>0.14065300447411</v>
      </c>
      <c r="V206" s="193">
        <f t="shared" si="166"/>
        <v>9.9515471776285711E-10</v>
      </c>
      <c r="W206" s="193">
        <f t="shared" si="167"/>
        <v>2.4878867944071428E-9</v>
      </c>
      <c r="X206" s="83">
        <f t="shared" si="168"/>
        <v>67</v>
      </c>
      <c r="Y206" s="195">
        <f t="shared" si="169"/>
        <v>18.738019159273389</v>
      </c>
      <c r="Z206" s="195">
        <f t="shared" si="170"/>
        <v>8.9390451880878103</v>
      </c>
      <c r="AA206" s="193">
        <f t="shared" si="171"/>
        <v>3.9727271311224546E-5</v>
      </c>
      <c r="AB206" s="195">
        <f t="shared" si="172"/>
        <v>17.774238163964533</v>
      </c>
      <c r="AC206" s="195">
        <f t="shared" si="173"/>
        <v>9.4237512997653692</v>
      </c>
      <c r="AD206" s="193">
        <f t="shared" si="174"/>
        <v>4.1231150558789454E-5</v>
      </c>
      <c r="AE206" s="259">
        <f t="shared" si="46"/>
        <v>71</v>
      </c>
      <c r="AF206" s="259" cm="1">
        <f t="array" ref="AF206">_xlfn.IFS(N206&lt;=AC206,W206*(3/(X206^3 - (X206-AB206)^3)),N206&gt;AC206,W206*(3/X206^3))</f>
        <v>4.112655202813124E-14</v>
      </c>
      <c r="AG206" s="280">
        <f t="shared" si="115"/>
        <v>4.9065484543134937E-5</v>
      </c>
      <c r="AH206" s="281">
        <f t="shared" si="116"/>
        <v>-7.8343339843454829E-6</v>
      </c>
      <c r="AI206" s="282">
        <f t="shared" si="117"/>
        <v>119.00100743774999</v>
      </c>
    </row>
    <row r="207" spans="1:35" x14ac:dyDescent="0.45">
      <c r="A207" s="83" t="s">
        <v>207</v>
      </c>
      <c r="B207" s="44" t="s">
        <v>208</v>
      </c>
      <c r="C207" s="176">
        <v>42.073971</v>
      </c>
      <c r="D207" s="176">
        <v>11.793429</v>
      </c>
      <c r="E207" s="83" t="s">
        <v>8</v>
      </c>
      <c r="G207" s="83">
        <v>-1.77</v>
      </c>
      <c r="H207">
        <v>100</v>
      </c>
      <c r="I207">
        <v>100.06884681583449</v>
      </c>
      <c r="J207" s="83">
        <f t="shared" si="175"/>
        <v>3.0382578251142895</v>
      </c>
      <c r="K207" s="83">
        <f t="shared" si="176"/>
        <v>840.90812801673644</v>
      </c>
      <c r="L207" s="193">
        <f t="shared" si="177"/>
        <v>2.3609126803943896</v>
      </c>
      <c r="M207" s="191">
        <v>2017</v>
      </c>
      <c r="N207" s="210">
        <v>2.5</v>
      </c>
      <c r="O207" t="s">
        <v>94</v>
      </c>
      <c r="Q207" s="83">
        <v>30</v>
      </c>
      <c r="R207">
        <v>0.91868156199999995</v>
      </c>
      <c r="S207">
        <v>0.133418584896833</v>
      </c>
      <c r="T207">
        <v>0.14065300447411</v>
      </c>
      <c r="V207" s="193">
        <f t="shared" si="166"/>
        <v>2.1689269489703245E-9</v>
      </c>
      <c r="W207" s="193">
        <f t="shared" si="167"/>
        <v>5.422317372425811E-9</v>
      </c>
      <c r="X207" s="83">
        <f t="shared" si="168"/>
        <v>67</v>
      </c>
      <c r="Y207" s="195">
        <f t="shared" si="169"/>
        <v>18.738019159273389</v>
      </c>
      <c r="Z207" s="195">
        <f t="shared" si="170"/>
        <v>8.9390451880878103</v>
      </c>
      <c r="AA207" s="193">
        <f t="shared" si="171"/>
        <v>8.6585078498822526E-5</v>
      </c>
      <c r="AB207" s="195">
        <f t="shared" si="172"/>
        <v>17.774238163964533</v>
      </c>
      <c r="AC207" s="195">
        <f t="shared" si="173"/>
        <v>9.4237512997653692</v>
      </c>
      <c r="AD207" s="193">
        <f t="shared" si="174"/>
        <v>8.9862764038387057E-5</v>
      </c>
      <c r="AE207" s="259">
        <f t="shared" si="46"/>
        <v>71</v>
      </c>
      <c r="AF207" s="259" cm="1">
        <f t="array" ref="AF207">_xlfn.IFS(N207&lt;=AC207,W207*(3/(X207^3 - (X207-AB207)^3)),N207&gt;AC207,W207*(3/X207^3))</f>
        <v>8.9634792881824289E-14</v>
      </c>
      <c r="AG207" s="280">
        <f t="shared" si="115"/>
        <v>1.0693759451708871E-4</v>
      </c>
      <c r="AH207" s="281">
        <f t="shared" si="116"/>
        <v>-1.7074830478701656E-5</v>
      </c>
      <c r="AI207" s="282">
        <f t="shared" si="117"/>
        <v>119.00100743774999</v>
      </c>
    </row>
    <row r="208" spans="1:35" x14ac:dyDescent="0.45">
      <c r="A208" s="83" t="s">
        <v>207</v>
      </c>
      <c r="B208" s="44" t="s">
        <v>208</v>
      </c>
      <c r="C208" s="176">
        <v>42.069118000000003</v>
      </c>
      <c r="D208" s="176">
        <v>11.895206</v>
      </c>
      <c r="E208" s="83" t="s">
        <v>8</v>
      </c>
      <c r="G208" s="83">
        <v>-1.77</v>
      </c>
      <c r="H208">
        <v>100</v>
      </c>
      <c r="I208">
        <v>91.827882960412907</v>
      </c>
      <c r="J208" s="83">
        <f t="shared" si="175"/>
        <v>3.0009335020904775</v>
      </c>
      <c r="K208" s="83">
        <f t="shared" si="176"/>
        <v>771.65687041535864</v>
      </c>
      <c r="L208" s="193">
        <f t="shared" si="177"/>
        <v>2.1664845773030885</v>
      </c>
      <c r="M208" s="191">
        <v>2017</v>
      </c>
      <c r="N208" s="210">
        <v>2.5</v>
      </c>
      <c r="O208" t="s">
        <v>94</v>
      </c>
      <c r="Q208" s="83">
        <v>37.700000000000003</v>
      </c>
      <c r="R208">
        <v>0.91868156199999995</v>
      </c>
      <c r="S208">
        <v>0.133418584896833</v>
      </c>
      <c r="T208">
        <v>0.171243496618182</v>
      </c>
      <c r="V208" s="193">
        <f t="shared" si="166"/>
        <v>1.9903094355257109E-9</v>
      </c>
      <c r="W208" s="193">
        <f t="shared" si="167"/>
        <v>4.9757735888142773E-9</v>
      </c>
      <c r="X208" s="83">
        <f t="shared" si="168"/>
        <v>67</v>
      </c>
      <c r="Y208" s="195">
        <f t="shared" si="169"/>
        <v>18.738019159273389</v>
      </c>
      <c r="Z208" s="195">
        <f t="shared" si="170"/>
        <v>8.9390451880878103</v>
      </c>
      <c r="AA208" s="193">
        <f t="shared" si="171"/>
        <v>7.9454542622448969E-5</v>
      </c>
      <c r="AB208" s="195">
        <f t="shared" si="172"/>
        <v>14.599094560502914</v>
      </c>
      <c r="AC208" s="195">
        <f t="shared" si="173"/>
        <v>11.473314273418193</v>
      </c>
      <c r="AD208" s="193">
        <f t="shared" si="174"/>
        <v>9.5394592401158525E-5</v>
      </c>
      <c r="AE208" s="259">
        <f t="shared" si="46"/>
        <v>71</v>
      </c>
      <c r="AF208" s="259" cm="1">
        <f t="array" ref="AF208">_xlfn.IFS(N208&lt;=AC208,W208*(3/(X208^3 - (X208-AB208)^3)),N208&gt;AC208,W208*(3/X208^3))</f>
        <v>9.5152587653227151E-14</v>
      </c>
      <c r="AG208" s="280">
        <f t="shared" si="115"/>
        <v>1.1352052599851393E-4</v>
      </c>
      <c r="AH208" s="281">
        <f t="shared" si="116"/>
        <v>-1.8125933597355409E-5</v>
      </c>
      <c r="AI208" s="282">
        <f t="shared" si="117"/>
        <v>119.00100743774999</v>
      </c>
    </row>
    <row r="209" spans="1:35" x14ac:dyDescent="0.45">
      <c r="A209" s="83" t="s">
        <v>207</v>
      </c>
      <c r="B209" s="44" t="s">
        <v>208</v>
      </c>
      <c r="C209" s="176">
        <v>42.037565999999998</v>
      </c>
      <c r="D209" s="176">
        <v>11.895206</v>
      </c>
      <c r="E209" s="83" t="s">
        <v>8</v>
      </c>
      <c r="G209" s="83">
        <v>-1.77</v>
      </c>
      <c r="H209">
        <v>100</v>
      </c>
      <c r="I209">
        <v>45.91394148020651</v>
      </c>
      <c r="J209" s="83">
        <f t="shared" si="175"/>
        <v>2.6999035064264971</v>
      </c>
      <c r="K209" s="83">
        <f t="shared" si="176"/>
        <v>385.82843520768</v>
      </c>
      <c r="L209" s="193">
        <f t="shared" si="177"/>
        <v>1.083242288651546</v>
      </c>
      <c r="M209" s="191">
        <v>2017</v>
      </c>
      <c r="N209" s="210">
        <v>2.5</v>
      </c>
      <c r="O209" t="s">
        <v>94</v>
      </c>
      <c r="Q209" s="83">
        <v>10</v>
      </c>
      <c r="R209">
        <v>0.91868156199999995</v>
      </c>
      <c r="S209">
        <v>0.133418584896833</v>
      </c>
      <c r="T209">
        <v>0.135215749965132</v>
      </c>
      <c r="V209" s="193">
        <f t="shared" si="166"/>
        <v>9.9515471776285711E-10</v>
      </c>
      <c r="W209" s="193">
        <f t="shared" si="167"/>
        <v>2.4878867944071428E-9</v>
      </c>
      <c r="X209" s="83">
        <f t="shared" si="168"/>
        <v>67</v>
      </c>
      <c r="Y209" s="195">
        <f t="shared" si="169"/>
        <v>18.738019159273389</v>
      </c>
      <c r="Z209" s="195">
        <f t="shared" si="170"/>
        <v>8.9390451880878103</v>
      </c>
      <c r="AA209" s="193">
        <f t="shared" si="171"/>
        <v>3.9727271311224546E-5</v>
      </c>
      <c r="AB209" s="195">
        <f t="shared" si="172"/>
        <v>18.488970409472813</v>
      </c>
      <c r="AC209" s="195">
        <f t="shared" si="173"/>
        <v>9.059455247663843</v>
      </c>
      <c r="AD209" s="193">
        <f t="shared" si="174"/>
        <v>4.0099688574189919E-5</v>
      </c>
      <c r="AE209" s="259">
        <f t="shared" si="46"/>
        <v>71</v>
      </c>
      <c r="AF209" s="259" cm="1">
        <f t="array" ref="AF209">_xlfn.IFS(N209&lt;=AC209,W209*(3/(X209^3 - (X209-AB209)^3)),N209&gt;AC209,W209*(3/X209^3))</f>
        <v>3.9997960428167618E-14</v>
      </c>
      <c r="AG209" s="280">
        <f t="shared" si="115"/>
        <v>4.771903338268634E-5</v>
      </c>
      <c r="AH209" s="281">
        <f t="shared" si="116"/>
        <v>-7.6193448084964214E-6</v>
      </c>
      <c r="AI209" s="282">
        <f t="shared" si="117"/>
        <v>119.00100743775002</v>
      </c>
    </row>
    <row r="210" spans="1:35" x14ac:dyDescent="0.45">
      <c r="A210" s="83" t="s">
        <v>207</v>
      </c>
      <c r="B210" s="44" t="s">
        <v>208</v>
      </c>
      <c r="C210" s="176">
        <v>42.019134000000001</v>
      </c>
      <c r="D210" s="176">
        <v>11.866828</v>
      </c>
      <c r="E210" s="83" t="s">
        <v>8</v>
      </c>
      <c r="G210" s="83">
        <v>-1.77</v>
      </c>
      <c r="H210">
        <v>100</v>
      </c>
      <c r="I210">
        <v>43.559380378657437</v>
      </c>
      <c r="J210" s="83">
        <f t="shared" si="175"/>
        <v>2.6770406234669926</v>
      </c>
      <c r="K210" s="83">
        <f t="shared" si="176"/>
        <v>366.04236160728601</v>
      </c>
      <c r="L210" s="193">
        <f t="shared" si="177"/>
        <v>1.0276914020540306</v>
      </c>
      <c r="M210" s="191">
        <v>2017</v>
      </c>
      <c r="N210" s="210">
        <v>2.5</v>
      </c>
      <c r="O210" t="s">
        <v>94</v>
      </c>
      <c r="Q210" s="83">
        <v>28</v>
      </c>
      <c r="R210">
        <v>0.91868156199999995</v>
      </c>
      <c r="S210">
        <v>0.133418584896833</v>
      </c>
      <c r="T210">
        <v>0.135215749965132</v>
      </c>
      <c r="V210" s="193">
        <f t="shared" si="166"/>
        <v>9.4412114249296702E-10</v>
      </c>
      <c r="W210" s="193">
        <f t="shared" si="167"/>
        <v>2.3603028562324174E-9</v>
      </c>
      <c r="X210" s="83">
        <f t="shared" si="168"/>
        <v>67</v>
      </c>
      <c r="Y210" s="195">
        <f t="shared" si="169"/>
        <v>18.738019159273389</v>
      </c>
      <c r="Z210" s="195">
        <f t="shared" si="170"/>
        <v>8.9390451880878103</v>
      </c>
      <c r="AA210" s="193">
        <f t="shared" si="171"/>
        <v>3.7689975346546364E-5</v>
      </c>
      <c r="AB210" s="195">
        <f t="shared" si="172"/>
        <v>18.488970409472813</v>
      </c>
      <c r="AC210" s="195">
        <f t="shared" si="173"/>
        <v>9.059455247663843</v>
      </c>
      <c r="AD210" s="193">
        <f t="shared" si="174"/>
        <v>3.8043294288334026E-5</v>
      </c>
      <c r="AE210" s="259">
        <f t="shared" si="46"/>
        <v>71</v>
      </c>
      <c r="AF210" s="259" cm="1">
        <f t="array" ref="AF210">_xlfn.IFS(N210&lt;=AC210,W210*(3/(X210^3 - (X210-AB210)^3)),N210&gt;AC210,W210*(3/X210^3))</f>
        <v>3.794678297031287E-14</v>
      </c>
      <c r="AG210" s="280">
        <f t="shared" si="115"/>
        <v>4.5271903465625501E-5</v>
      </c>
      <c r="AH210" s="281">
        <f t="shared" si="116"/>
        <v>-7.2286091772914753E-6</v>
      </c>
      <c r="AI210" s="282">
        <f t="shared" si="117"/>
        <v>119.00100743775</v>
      </c>
    </row>
    <row r="211" spans="1:35" x14ac:dyDescent="0.45">
      <c r="A211" s="83" t="s">
        <v>207</v>
      </c>
      <c r="B211" s="44" t="s">
        <v>208</v>
      </c>
      <c r="C211" s="176">
        <v>42.008094999999997</v>
      </c>
      <c r="D211" s="176">
        <v>11.847958</v>
      </c>
      <c r="E211" s="83" t="s">
        <v>8</v>
      </c>
      <c r="G211" s="83">
        <v>-1.77</v>
      </c>
      <c r="H211">
        <v>100</v>
      </c>
      <c r="I211">
        <v>24.722891566265048</v>
      </c>
      <c r="J211" s="83">
        <f t="shared" si="175"/>
        <v>2.4310581941339171</v>
      </c>
      <c r="K211" s="83">
        <f t="shared" si="176"/>
        <v>207.75377280413531</v>
      </c>
      <c r="L211" s="193">
        <f t="shared" si="177"/>
        <v>0.58328430927390928</v>
      </c>
      <c r="M211" s="191">
        <v>2017</v>
      </c>
      <c r="N211" s="210">
        <v>2.5</v>
      </c>
      <c r="O211" t="s">
        <v>94</v>
      </c>
      <c r="Q211" s="83">
        <v>37.700000000000003</v>
      </c>
      <c r="R211">
        <v>0.91868156199999995</v>
      </c>
      <c r="S211">
        <v>0.133418584896833</v>
      </c>
      <c r="T211">
        <v>0.135215749965132</v>
      </c>
      <c r="V211" s="193">
        <f t="shared" si="166"/>
        <v>5.3585254033384607E-10</v>
      </c>
      <c r="W211" s="193">
        <f t="shared" si="167"/>
        <v>1.3396313508346152E-9</v>
      </c>
      <c r="X211" s="83">
        <f t="shared" si="168"/>
        <v>67</v>
      </c>
      <c r="Y211" s="195">
        <f t="shared" si="169"/>
        <v>18.738019159273389</v>
      </c>
      <c r="Z211" s="195">
        <f t="shared" si="170"/>
        <v>8.9390451880878103</v>
      </c>
      <c r="AA211" s="193">
        <f t="shared" si="171"/>
        <v>2.139160762912091E-5</v>
      </c>
      <c r="AB211" s="195">
        <f t="shared" si="172"/>
        <v>18.488970409472813</v>
      </c>
      <c r="AC211" s="195">
        <f t="shared" si="173"/>
        <v>9.059455247663843</v>
      </c>
      <c r="AD211" s="193">
        <f t="shared" si="174"/>
        <v>2.1592140001486877E-5</v>
      </c>
      <c r="AE211" s="259">
        <f t="shared" si="46"/>
        <v>71</v>
      </c>
      <c r="AF211" s="259" cm="1">
        <f t="array" ref="AF211">_xlfn.IFS(N211&lt;=AC211,W211*(3/(X211^3 - (X211-AB211)^3)),N211&gt;AC211,W211*(3/X211^3))</f>
        <v>2.1537363307474868E-14</v>
      </c>
      <c r="AG211" s="280">
        <f t="shared" si="115"/>
        <v>2.5694864129138794E-5</v>
      </c>
      <c r="AH211" s="281">
        <f t="shared" si="116"/>
        <v>-4.1027241276519169E-6</v>
      </c>
      <c r="AI211" s="282">
        <f t="shared" si="117"/>
        <v>119.00100743775002</v>
      </c>
    </row>
    <row r="212" spans="1:35" x14ac:dyDescent="0.45">
      <c r="A212" s="83" t="s">
        <v>209</v>
      </c>
      <c r="B212" s="81" t="s">
        <v>210</v>
      </c>
      <c r="C212" s="212" t="s">
        <v>211</v>
      </c>
      <c r="D212" s="212" t="s">
        <v>212</v>
      </c>
      <c r="E212" s="83" t="s">
        <v>8</v>
      </c>
      <c r="F212" t="s">
        <v>231</v>
      </c>
      <c r="G212" s="83">
        <v>-1.77</v>
      </c>
      <c r="H212">
        <v>500</v>
      </c>
      <c r="I212">
        <v>127.31136000000001</v>
      </c>
      <c r="J212" s="83">
        <f t="shared" ref="J212:J221" si="178" xml:space="preserve"> LOG(I212, 10) - (G212) * LOG(H212,10)^(G212+1)</f>
        <v>2.9289118409289538</v>
      </c>
      <c r="K212" s="83">
        <f t="shared" ref="K212:K221" si="179" xml:space="preserve"> -1*10^J212*(G212+1)</f>
        <v>653.73624792712212</v>
      </c>
      <c r="L212" s="193">
        <f t="shared" ref="L212:L221" si="180">IF(E212="Fragments",0.000000097*K212*(5000^(4+G212)-1)/(4+G212),0.000106*K212*(5000^(2+G212)-1)/(2+G212))</f>
        <v>1.8354135796079201</v>
      </c>
      <c r="M212" s="191">
        <v>2021</v>
      </c>
      <c r="N212" s="210">
        <v>5</v>
      </c>
      <c r="O212" t="s">
        <v>94</v>
      </c>
      <c r="Q212" s="213">
        <v>10</v>
      </c>
      <c r="R212">
        <v>0.88629531800000005</v>
      </c>
      <c r="S212">
        <v>0.13222094293149678</v>
      </c>
      <c r="T212">
        <v>0.236419034456642</v>
      </c>
      <c r="V212" s="193">
        <f t="shared" ref="V212:V221" si="181">L212*R212*0.000000001</f>
        <v>1.62671846220012E-9</v>
      </c>
      <c r="W212" s="193">
        <f t="shared" ref="W212:W221" si="182">V212*N212</f>
        <v>8.1335923110005998E-9</v>
      </c>
      <c r="X212" s="83">
        <f t="shared" ref="X212:X221" si="183">M212-1950</f>
        <v>71</v>
      </c>
      <c r="Y212" s="195">
        <f t="shared" ref="Y212:Y221" si="184">N212/S212</f>
        <v>37.815491926952021</v>
      </c>
      <c r="Z212" s="195">
        <f t="shared" ref="Z212:Z221" si="185">S212*X212</f>
        <v>9.3876869481362704</v>
      </c>
      <c r="AA212" s="193">
        <f t="shared" ref="AA212:AA221" si="186">IF(N212&lt;Z212,W212/(1-(1-N212/Z212)^3),W212)*10000</f>
        <v>9.0584739213545517E-5</v>
      </c>
      <c r="AB212" s="195">
        <f t="shared" ref="AB212:AB221" si="187">N212/T212</f>
        <v>21.148889350180362</v>
      </c>
      <c r="AC212" s="195">
        <f t="shared" ref="AC212:AC221" si="188">T212*X212</f>
        <v>16.785751446421582</v>
      </c>
      <c r="AD212" s="193">
        <f t="shared" ref="AD212:AD221" si="189">IF(N212&lt;AC212,W212/(1-(1-N212/AC212)^3),W212)*10000</f>
        <v>1.2439313172967823E-4</v>
      </c>
      <c r="AE212" s="259">
        <f t="shared" si="46"/>
        <v>71</v>
      </c>
      <c r="AF212" s="259" cm="1">
        <f t="array" ref="AF212">_xlfn.IFS(N212&lt;=AC212,W212*(3/(X212^3 - (X212-AB212)^3)),N212&gt;AC212,W212*(3/X212^3))</f>
        <v>1.0426597539305434E-13</v>
      </c>
      <c r="AG212" s="280">
        <f t="shared" si="115"/>
        <v>1.2439313172967823E-4</v>
      </c>
      <c r="AH212" s="281">
        <f t="shared" si="116"/>
        <v>0</v>
      </c>
      <c r="AI212" s="282">
        <f t="shared" si="117"/>
        <v>100</v>
      </c>
    </row>
    <row r="213" spans="1:35" x14ac:dyDescent="0.45">
      <c r="A213" s="83" t="s">
        <v>209</v>
      </c>
      <c r="B213" s="81" t="s">
        <v>210</v>
      </c>
      <c r="C213" s="212" t="s">
        <v>213</v>
      </c>
      <c r="D213" s="212" t="s">
        <v>214</v>
      </c>
      <c r="E213" s="83" t="s">
        <v>8</v>
      </c>
      <c r="F213" t="s">
        <v>231</v>
      </c>
      <c r="G213" s="83">
        <v>-1.77</v>
      </c>
      <c r="H213">
        <v>500</v>
      </c>
      <c r="I213">
        <v>75.229440000000011</v>
      </c>
      <c r="J213" s="83">
        <f t="shared" si="178"/>
        <v>2.7004325124135846</v>
      </c>
      <c r="K213" s="83">
        <f t="shared" si="179"/>
        <v>386.29869195693624</v>
      </c>
      <c r="L213" s="193">
        <f t="shared" si="180"/>
        <v>1.0845625697683177</v>
      </c>
      <c r="M213" s="191">
        <v>2021</v>
      </c>
      <c r="N213" s="210">
        <v>5</v>
      </c>
      <c r="O213" t="s">
        <v>94</v>
      </c>
      <c r="Q213" s="213">
        <v>20</v>
      </c>
      <c r="R213">
        <v>0.88629531800000005</v>
      </c>
      <c r="S213">
        <v>0.13222094293149678</v>
      </c>
      <c r="T213">
        <v>0.236419034456642</v>
      </c>
      <c r="V213" s="193">
        <f t="shared" si="181"/>
        <v>9.6124272766370843E-10</v>
      </c>
      <c r="W213" s="193">
        <f t="shared" si="182"/>
        <v>4.8062136383185418E-9</v>
      </c>
      <c r="X213" s="83">
        <f t="shared" si="183"/>
        <v>71</v>
      </c>
      <c r="Y213" s="195">
        <f t="shared" si="184"/>
        <v>37.815491926952021</v>
      </c>
      <c r="Z213" s="195">
        <f t="shared" si="185"/>
        <v>9.3876869481362704</v>
      </c>
      <c r="AA213" s="193">
        <f t="shared" si="186"/>
        <v>5.352734589891333E-5</v>
      </c>
      <c r="AB213" s="195">
        <f t="shared" si="187"/>
        <v>21.148889350180362</v>
      </c>
      <c r="AC213" s="195">
        <f t="shared" si="188"/>
        <v>16.785751446421582</v>
      </c>
      <c r="AD213" s="193">
        <f t="shared" si="189"/>
        <v>7.3505032385719034E-5</v>
      </c>
      <c r="AE213" s="259">
        <f t="shared" si="46"/>
        <v>71</v>
      </c>
      <c r="AF213" s="259" cm="1">
        <f t="array" ref="AF213">_xlfn.IFS(N213&lt;=AC213,W213*(3/(X213^3 - (X213-AB213)^3)),N213&gt;AC213,W213*(3/X213^3))</f>
        <v>6.161171273225945E-14</v>
      </c>
      <c r="AG213" s="280">
        <f t="shared" ref="AG213:AG253" si="190" xml:space="preserve"> (AF213/3)*(AE213^3)*10000</f>
        <v>7.3505032385719047E-5</v>
      </c>
      <c r="AH213" s="281">
        <f t="shared" ref="AH213:AH253" si="191">AD213-AG213</f>
        <v>0</v>
      </c>
      <c r="AI213" s="282">
        <f t="shared" ref="AI213:AI253" si="192">AG213*100/AD213</f>
        <v>100.00000000000001</v>
      </c>
    </row>
    <row r="214" spans="1:35" x14ac:dyDescent="0.45">
      <c r="A214" s="83" t="s">
        <v>209</v>
      </c>
      <c r="B214" s="81" t="s">
        <v>210</v>
      </c>
      <c r="C214" s="212" t="s">
        <v>215</v>
      </c>
      <c r="D214" s="212" t="s">
        <v>216</v>
      </c>
      <c r="E214" s="83" t="s">
        <v>8</v>
      </c>
      <c r="F214" t="s">
        <v>231</v>
      </c>
      <c r="G214" s="83">
        <v>-1.77</v>
      </c>
      <c r="H214">
        <v>500</v>
      </c>
      <c r="I214">
        <v>40.508160000000004</v>
      </c>
      <c r="J214" s="83">
        <f t="shared" si="178"/>
        <v>2.4315872001210046</v>
      </c>
      <c r="K214" s="83">
        <f t="shared" si="179"/>
        <v>208.00698797681176</v>
      </c>
      <c r="L214" s="193">
        <f t="shared" si="180"/>
        <v>0.58399522987524777</v>
      </c>
      <c r="M214" s="191">
        <v>2021</v>
      </c>
      <c r="N214" s="210">
        <v>5</v>
      </c>
      <c r="O214" t="s">
        <v>94</v>
      </c>
      <c r="Q214" s="213">
        <v>19</v>
      </c>
      <c r="R214">
        <v>0.88629531800000005</v>
      </c>
      <c r="S214">
        <v>0.13222094293149678</v>
      </c>
      <c r="T214">
        <v>0.236419034456642</v>
      </c>
      <c r="V214" s="193">
        <f t="shared" si="181"/>
        <v>5.1759223797276594E-10</v>
      </c>
      <c r="W214" s="193">
        <f t="shared" si="182"/>
        <v>2.5879611898638295E-9</v>
      </c>
      <c r="X214" s="83">
        <f t="shared" si="183"/>
        <v>71</v>
      </c>
      <c r="Y214" s="195">
        <f t="shared" si="184"/>
        <v>37.815491926952021</v>
      </c>
      <c r="Z214" s="195">
        <f t="shared" si="185"/>
        <v>9.3876869481362704</v>
      </c>
      <c r="AA214" s="193">
        <f t="shared" si="186"/>
        <v>2.8822417022491784E-5</v>
      </c>
      <c r="AB214" s="195">
        <f t="shared" si="187"/>
        <v>21.148889350180362</v>
      </c>
      <c r="AC214" s="195">
        <f t="shared" si="188"/>
        <v>16.785751446421582</v>
      </c>
      <c r="AD214" s="193">
        <f t="shared" si="189"/>
        <v>3.9579632823079469E-5</v>
      </c>
      <c r="AE214" s="259">
        <f t="shared" si="46"/>
        <v>71</v>
      </c>
      <c r="AF214" s="259" cm="1">
        <f t="array" ref="AF214">_xlfn.IFS(N214&lt;=AC214,W214*(3/(X214^3 - (X214-AB214)^3)),N214&gt;AC214,W214*(3/X214^3))</f>
        <v>3.3175537625062773E-14</v>
      </c>
      <c r="AG214" s="280">
        <f t="shared" si="190"/>
        <v>3.9579632823079469E-5</v>
      </c>
      <c r="AH214" s="281">
        <f t="shared" si="191"/>
        <v>0</v>
      </c>
      <c r="AI214" s="282">
        <f t="shared" si="192"/>
        <v>100</v>
      </c>
    </row>
    <row r="215" spans="1:35" x14ac:dyDescent="0.45">
      <c r="A215" s="83" t="s">
        <v>209</v>
      </c>
      <c r="B215" s="81" t="s">
        <v>210</v>
      </c>
      <c r="C215" s="212" t="s">
        <v>217</v>
      </c>
      <c r="D215" s="212" t="s">
        <v>218</v>
      </c>
      <c r="E215" s="83" t="s">
        <v>8</v>
      </c>
      <c r="F215" t="s">
        <v>231</v>
      </c>
      <c r="G215" s="83">
        <v>-1.77</v>
      </c>
      <c r="H215">
        <v>500</v>
      </c>
      <c r="I215">
        <v>115.73760000000001</v>
      </c>
      <c r="J215" s="83">
        <f t="shared" si="178"/>
        <v>2.8875191557707289</v>
      </c>
      <c r="K215" s="83">
        <f t="shared" si="179"/>
        <v>594.30567993374791</v>
      </c>
      <c r="L215" s="193">
        <f t="shared" si="180"/>
        <v>1.6685577996435652</v>
      </c>
      <c r="M215" s="191">
        <v>2021</v>
      </c>
      <c r="N215" s="210">
        <v>5</v>
      </c>
      <c r="O215" t="s">
        <v>94</v>
      </c>
      <c r="Q215" s="213">
        <v>38</v>
      </c>
      <c r="R215">
        <v>0.88629531800000005</v>
      </c>
      <c r="S215">
        <v>0.13222094293149678</v>
      </c>
      <c r="T215">
        <v>0.236419034456642</v>
      </c>
      <c r="V215" s="193">
        <f t="shared" si="181"/>
        <v>1.4788349656364742E-9</v>
      </c>
      <c r="W215" s="193">
        <f t="shared" si="182"/>
        <v>7.3941748281823704E-9</v>
      </c>
      <c r="X215" s="83">
        <f t="shared" si="183"/>
        <v>71</v>
      </c>
      <c r="Y215" s="195">
        <f t="shared" si="184"/>
        <v>37.815491926952021</v>
      </c>
      <c r="Z215" s="195">
        <f t="shared" si="185"/>
        <v>9.3876869481362704</v>
      </c>
      <c r="AA215" s="193">
        <f t="shared" si="186"/>
        <v>8.2349762921405095E-5</v>
      </c>
      <c r="AB215" s="195">
        <f t="shared" si="187"/>
        <v>21.148889350180362</v>
      </c>
      <c r="AC215" s="195">
        <f t="shared" si="188"/>
        <v>16.785751446421582</v>
      </c>
      <c r="AD215" s="193">
        <f t="shared" si="189"/>
        <v>1.1308466520879849E-4</v>
      </c>
      <c r="AE215" s="259">
        <f t="shared" si="46"/>
        <v>71</v>
      </c>
      <c r="AF215" s="259" cm="1">
        <f t="array" ref="AF215">_xlfn.IFS(N215&lt;=AC215,W215*(3/(X215^3 - (X215-AB215)^3)),N215&gt;AC215,W215*(3/X215^3))</f>
        <v>9.4787250357322217E-14</v>
      </c>
      <c r="AG215" s="280">
        <f t="shared" si="190"/>
        <v>1.1308466520879852E-4</v>
      </c>
      <c r="AH215" s="281">
        <f t="shared" si="191"/>
        <v>0</v>
      </c>
      <c r="AI215" s="282">
        <f t="shared" si="192"/>
        <v>100.00000000000001</v>
      </c>
    </row>
    <row r="216" spans="1:35" x14ac:dyDescent="0.45">
      <c r="A216" s="83" t="s">
        <v>209</v>
      </c>
      <c r="B216" s="81" t="s">
        <v>210</v>
      </c>
      <c r="C216" s="212" t="s">
        <v>219</v>
      </c>
      <c r="D216" s="212" t="s">
        <v>220</v>
      </c>
      <c r="E216" s="83" t="s">
        <v>8</v>
      </c>
      <c r="F216" t="s">
        <v>231</v>
      </c>
      <c r="G216" s="83">
        <v>-1.77</v>
      </c>
      <c r="H216">
        <v>500</v>
      </c>
      <c r="I216">
        <v>156.24576000000002</v>
      </c>
      <c r="J216" s="83">
        <f t="shared" si="178"/>
        <v>3.017852924265735</v>
      </c>
      <c r="K216" s="83">
        <f t="shared" si="179"/>
        <v>802.31266791055941</v>
      </c>
      <c r="L216" s="193">
        <f t="shared" si="180"/>
        <v>2.2525530295188116</v>
      </c>
      <c r="M216" s="191">
        <v>2021</v>
      </c>
      <c r="N216" s="210">
        <v>5</v>
      </c>
      <c r="O216" t="s">
        <v>94</v>
      </c>
      <c r="Q216" s="213">
        <v>24</v>
      </c>
      <c r="R216">
        <v>0.88629531800000005</v>
      </c>
      <c r="S216">
        <v>0.13222094293149678</v>
      </c>
      <c r="T216">
        <v>0.23302099017564701</v>
      </c>
      <c r="V216" s="193">
        <f t="shared" si="181"/>
        <v>1.9964272036092391E-9</v>
      </c>
      <c r="W216" s="193">
        <f t="shared" si="182"/>
        <v>9.9821360180461958E-9</v>
      </c>
      <c r="X216" s="83">
        <f t="shared" si="183"/>
        <v>71</v>
      </c>
      <c r="Y216" s="195">
        <f t="shared" si="184"/>
        <v>37.815491926952021</v>
      </c>
      <c r="Z216" s="195">
        <f t="shared" si="185"/>
        <v>9.3876869481362704</v>
      </c>
      <c r="AA216" s="193">
        <f t="shared" si="186"/>
        <v>1.1117217994389685E-4</v>
      </c>
      <c r="AB216" s="195">
        <f t="shared" si="187"/>
        <v>21.457294453306933</v>
      </c>
      <c r="AC216" s="195">
        <f t="shared" si="188"/>
        <v>16.544490302470937</v>
      </c>
      <c r="AD216" s="193">
        <f t="shared" si="189"/>
        <v>1.5118804988735403E-4</v>
      </c>
      <c r="AE216" s="259">
        <f t="shared" si="46"/>
        <v>71</v>
      </c>
      <c r="AF216" s="259" cm="1">
        <f t="array" ref="AF216">_xlfn.IFS(N216&lt;=AC216,W216*(3/(X216^3 - (X216-AB216)^3)),N216&gt;AC216,W216*(3/X216^3))</f>
        <v>1.2672540091309352E-13</v>
      </c>
      <c r="AG216" s="280">
        <f t="shared" si="190"/>
        <v>1.5118804988735406E-4</v>
      </c>
      <c r="AH216" s="281">
        <f t="shared" si="191"/>
        <v>0</v>
      </c>
      <c r="AI216" s="282">
        <f t="shared" si="192"/>
        <v>100.00000000000001</v>
      </c>
    </row>
    <row r="217" spans="1:35" x14ac:dyDescent="0.45">
      <c r="A217" s="83" t="s">
        <v>209</v>
      </c>
      <c r="B217" s="81" t="s">
        <v>210</v>
      </c>
      <c r="C217" s="212" t="s">
        <v>221</v>
      </c>
      <c r="D217" s="212" t="s">
        <v>222</v>
      </c>
      <c r="E217" s="83" t="s">
        <v>8</v>
      </c>
      <c r="F217" t="s">
        <v>231</v>
      </c>
      <c r="G217" s="83">
        <v>-1.77</v>
      </c>
      <c r="H217">
        <v>500</v>
      </c>
      <c r="I217">
        <v>101.27040000000001</v>
      </c>
      <c r="J217" s="83">
        <f t="shared" si="178"/>
        <v>2.8295272087930421</v>
      </c>
      <c r="K217" s="83">
        <f t="shared" si="179"/>
        <v>520.01746994202938</v>
      </c>
      <c r="L217" s="193">
        <f t="shared" si="180"/>
        <v>1.4599880746881193</v>
      </c>
      <c r="M217" s="191">
        <v>2021</v>
      </c>
      <c r="N217" s="210">
        <v>5</v>
      </c>
      <c r="O217" t="s">
        <v>94</v>
      </c>
      <c r="Q217" s="213">
        <v>42</v>
      </c>
      <c r="R217">
        <v>0.88629531800000005</v>
      </c>
      <c r="S217">
        <v>0.13222094293149678</v>
      </c>
      <c r="T217">
        <v>0.23302099017564701</v>
      </c>
      <c r="V217" s="193">
        <f t="shared" si="181"/>
        <v>1.2939805949319145E-9</v>
      </c>
      <c r="W217" s="193">
        <f t="shared" si="182"/>
        <v>6.4699029746595725E-9</v>
      </c>
      <c r="X217" s="83">
        <f t="shared" si="183"/>
        <v>71</v>
      </c>
      <c r="Y217" s="195">
        <f t="shared" si="184"/>
        <v>37.815491926952021</v>
      </c>
      <c r="Z217" s="195">
        <f t="shared" si="185"/>
        <v>9.3876869481362704</v>
      </c>
      <c r="AA217" s="193">
        <f t="shared" si="186"/>
        <v>7.2056042556229444E-5</v>
      </c>
      <c r="AB217" s="195">
        <f t="shared" si="187"/>
        <v>21.457294453306933</v>
      </c>
      <c r="AC217" s="195">
        <f t="shared" si="188"/>
        <v>16.544490302470937</v>
      </c>
      <c r="AD217" s="193">
        <f t="shared" si="189"/>
        <v>9.7992254556618372E-5</v>
      </c>
      <c r="AE217" s="259">
        <f t="shared" si="46"/>
        <v>71</v>
      </c>
      <c r="AF217" s="259" cm="1">
        <f t="array" ref="AF217">_xlfn.IFS(N217&lt;=AC217,W217*(3/(X217^3 - (X217-AB217)^3)),N217&gt;AC217,W217*(3/X217^3))</f>
        <v>8.2136833925153224E-14</v>
      </c>
      <c r="AG217" s="280">
        <f t="shared" si="190"/>
        <v>9.7992254556618385E-5</v>
      </c>
      <c r="AH217" s="281">
        <f t="shared" si="191"/>
        <v>0</v>
      </c>
      <c r="AI217" s="282">
        <f t="shared" si="192"/>
        <v>100.00000000000001</v>
      </c>
    </row>
    <row r="218" spans="1:35" x14ac:dyDescent="0.45">
      <c r="A218" s="83" t="s">
        <v>209</v>
      </c>
      <c r="B218" s="81" t="s">
        <v>210</v>
      </c>
      <c r="C218" s="212" t="s">
        <v>223</v>
      </c>
      <c r="D218" s="212" t="s">
        <v>224</v>
      </c>
      <c r="E218" s="83" t="s">
        <v>8</v>
      </c>
      <c r="F218" t="s">
        <v>231</v>
      </c>
      <c r="G218" s="83">
        <v>-1.77</v>
      </c>
      <c r="H218">
        <v>500</v>
      </c>
      <c r="I218">
        <v>40.508160000000004</v>
      </c>
      <c r="J218" s="83">
        <f t="shared" si="178"/>
        <v>2.4315872001210046</v>
      </c>
      <c r="K218" s="83">
        <f t="shared" si="179"/>
        <v>208.00698797681176</v>
      </c>
      <c r="L218" s="193">
        <f t="shared" si="180"/>
        <v>0.58399522987524777</v>
      </c>
      <c r="M218" s="191">
        <v>2021</v>
      </c>
      <c r="N218" s="210">
        <v>5</v>
      </c>
      <c r="O218" t="s">
        <v>94</v>
      </c>
      <c r="Q218" s="213">
        <v>9</v>
      </c>
      <c r="R218">
        <v>0.88629531800000005</v>
      </c>
      <c r="S218">
        <v>0.13222094293149678</v>
      </c>
      <c r="T218">
        <v>0.23302099017564701</v>
      </c>
      <c r="V218" s="193">
        <f t="shared" si="181"/>
        <v>5.1759223797276594E-10</v>
      </c>
      <c r="W218" s="193">
        <f t="shared" si="182"/>
        <v>2.5879611898638295E-9</v>
      </c>
      <c r="X218" s="83">
        <f t="shared" si="183"/>
        <v>71</v>
      </c>
      <c r="Y218" s="195">
        <f t="shared" si="184"/>
        <v>37.815491926952021</v>
      </c>
      <c r="Z218" s="195">
        <f t="shared" si="185"/>
        <v>9.3876869481362704</v>
      </c>
      <c r="AA218" s="193">
        <f t="shared" si="186"/>
        <v>2.8822417022491784E-5</v>
      </c>
      <c r="AB218" s="195">
        <f t="shared" si="187"/>
        <v>21.457294453306933</v>
      </c>
      <c r="AC218" s="195">
        <f t="shared" si="188"/>
        <v>16.544490302470937</v>
      </c>
      <c r="AD218" s="193">
        <f t="shared" si="189"/>
        <v>3.9196901822647357E-5</v>
      </c>
      <c r="AE218" s="259">
        <f t="shared" si="46"/>
        <v>71</v>
      </c>
      <c r="AF218" s="259" cm="1">
        <f t="array" ref="AF218">_xlfn.IFS(N218&lt;=AC218,W218*(3/(X218^3 - (X218-AB218)^3)),N218&gt;AC218,W218*(3/X218^3))</f>
        <v>3.2854733570061296E-14</v>
      </c>
      <c r="AG218" s="280">
        <f t="shared" si="190"/>
        <v>3.9196901822647357E-5</v>
      </c>
      <c r="AH218" s="281">
        <f t="shared" si="191"/>
        <v>0</v>
      </c>
      <c r="AI218" s="282">
        <f t="shared" si="192"/>
        <v>100</v>
      </c>
    </row>
    <row r="219" spans="1:35" x14ac:dyDescent="0.45">
      <c r="A219" s="83" t="s">
        <v>209</v>
      </c>
      <c r="B219" s="81" t="s">
        <v>210</v>
      </c>
      <c r="C219" s="212" t="s">
        <v>225</v>
      </c>
      <c r="D219" s="212" t="s">
        <v>226</v>
      </c>
      <c r="E219" s="83" t="s">
        <v>8</v>
      </c>
      <c r="F219" t="s">
        <v>231</v>
      </c>
      <c r="G219" s="83">
        <v>-1.77</v>
      </c>
      <c r="H219">
        <v>500</v>
      </c>
      <c r="I219">
        <v>104.16384000000002</v>
      </c>
      <c r="J219" s="83">
        <f t="shared" si="178"/>
        <v>2.8417616652100537</v>
      </c>
      <c r="K219" s="83">
        <f t="shared" si="179"/>
        <v>534.8751119403729</v>
      </c>
      <c r="L219" s="193">
        <f t="shared" si="180"/>
        <v>1.5017020196792079</v>
      </c>
      <c r="M219" s="191">
        <v>2021</v>
      </c>
      <c r="N219" s="210">
        <v>5</v>
      </c>
      <c r="O219" t="s">
        <v>94</v>
      </c>
      <c r="Q219" s="213">
        <v>31</v>
      </c>
      <c r="R219">
        <v>0.88629531800000005</v>
      </c>
      <c r="S219">
        <v>0.13222094293149678</v>
      </c>
      <c r="T219">
        <v>0.240066047057577</v>
      </c>
      <c r="V219" s="193">
        <f t="shared" si="181"/>
        <v>1.330951469072826E-9</v>
      </c>
      <c r="W219" s="193">
        <f t="shared" si="182"/>
        <v>6.6547573453641302E-9</v>
      </c>
      <c r="X219" s="83">
        <f t="shared" si="183"/>
        <v>71</v>
      </c>
      <c r="Y219" s="195">
        <f t="shared" si="184"/>
        <v>37.815491926952021</v>
      </c>
      <c r="Z219" s="195">
        <f t="shared" si="185"/>
        <v>9.3876869481362704</v>
      </c>
      <c r="AA219" s="193">
        <f t="shared" si="186"/>
        <v>7.4114786629264563E-5</v>
      </c>
      <c r="AB219" s="195">
        <f t="shared" si="187"/>
        <v>20.827601659141781</v>
      </c>
      <c r="AC219" s="195">
        <f t="shared" si="188"/>
        <v>17.044689341087967</v>
      </c>
      <c r="AD219" s="193">
        <f t="shared" si="189"/>
        <v>1.0283555798290531E-4</v>
      </c>
      <c r="AE219" s="259">
        <f t="shared" si="46"/>
        <v>71</v>
      </c>
      <c r="AF219" s="259" cm="1">
        <f t="array" ref="AF219">_xlfn.IFS(N219&lt;=AC219,W219*(3/(X219^3 - (X219-AB219)^3)),N219&gt;AC219,W219*(3/X219^3))</f>
        <v>8.6196477322215852E-14</v>
      </c>
      <c r="AG219" s="280">
        <f t="shared" si="190"/>
        <v>1.0283555798290532E-4</v>
      </c>
      <c r="AH219" s="281">
        <f t="shared" si="191"/>
        <v>0</v>
      </c>
      <c r="AI219" s="282">
        <f t="shared" si="192"/>
        <v>100.00000000000001</v>
      </c>
    </row>
    <row r="220" spans="1:35" x14ac:dyDescent="0.45">
      <c r="A220" s="83" t="s">
        <v>209</v>
      </c>
      <c r="B220" s="81" t="s">
        <v>210</v>
      </c>
      <c r="C220" s="212" t="s">
        <v>227</v>
      </c>
      <c r="D220" s="212" t="s">
        <v>228</v>
      </c>
      <c r="E220" s="83" t="s">
        <v>8</v>
      </c>
      <c r="F220" t="s">
        <v>231</v>
      </c>
      <c r="G220" s="83">
        <v>-1.77</v>
      </c>
      <c r="H220">
        <v>500</v>
      </c>
      <c r="I220">
        <v>63.655680000000004</v>
      </c>
      <c r="J220" s="83">
        <f t="shared" si="178"/>
        <v>2.627881845264973</v>
      </c>
      <c r="K220" s="83">
        <f t="shared" si="179"/>
        <v>326.86812396356129</v>
      </c>
      <c r="L220" s="193">
        <f t="shared" si="180"/>
        <v>0.9177067898039607</v>
      </c>
      <c r="M220" s="191">
        <v>2021</v>
      </c>
      <c r="N220" s="210">
        <v>5</v>
      </c>
      <c r="O220" t="s">
        <v>94</v>
      </c>
      <c r="Q220" s="213">
        <v>32</v>
      </c>
      <c r="R220">
        <v>0.88629531800000005</v>
      </c>
      <c r="S220">
        <v>0.13222094293149678</v>
      </c>
      <c r="T220">
        <v>0.225287888165324</v>
      </c>
      <c r="V220" s="193">
        <f t="shared" si="181"/>
        <v>8.1335923110006063E-10</v>
      </c>
      <c r="W220" s="193">
        <f t="shared" si="182"/>
        <v>4.0667961555003032E-9</v>
      </c>
      <c r="X220" s="83">
        <f t="shared" si="183"/>
        <v>71</v>
      </c>
      <c r="Y220" s="195">
        <f t="shared" si="184"/>
        <v>37.815491926952021</v>
      </c>
      <c r="Z220" s="195">
        <f t="shared" si="185"/>
        <v>9.3876869481362704</v>
      </c>
      <c r="AA220" s="193">
        <f t="shared" si="186"/>
        <v>4.5292369606772799E-5</v>
      </c>
      <c r="AB220" s="195">
        <f t="shared" si="187"/>
        <v>22.193825157306406</v>
      </c>
      <c r="AC220" s="195">
        <f t="shared" si="188"/>
        <v>15.995440059738003</v>
      </c>
      <c r="AD220" s="193">
        <f t="shared" si="189"/>
        <v>6.023320396495068E-5</v>
      </c>
      <c r="AE220" s="259">
        <f t="shared" si="46"/>
        <v>71</v>
      </c>
      <c r="AF220" s="259" cm="1">
        <f t="array" ref="AF220">_xlfn.IFS(N220&lt;=AC220,W220*(3/(X220^3 - (X220-AB220)^3)),N220&gt;AC220,W220*(3/X220^3))</f>
        <v>5.0487303238752667E-14</v>
      </c>
      <c r="AG220" s="280">
        <f t="shared" si="190"/>
        <v>6.0233203964950687E-5</v>
      </c>
      <c r="AH220" s="281">
        <f t="shared" si="191"/>
        <v>0</v>
      </c>
      <c r="AI220" s="282">
        <f t="shared" si="192"/>
        <v>100.00000000000001</v>
      </c>
    </row>
    <row r="221" spans="1:35" x14ac:dyDescent="0.45">
      <c r="A221" s="83" t="s">
        <v>209</v>
      </c>
      <c r="B221" s="81" t="s">
        <v>210</v>
      </c>
      <c r="C221" s="212" t="s">
        <v>229</v>
      </c>
      <c r="D221" s="212" t="s">
        <v>230</v>
      </c>
      <c r="E221" s="83" t="s">
        <v>8</v>
      </c>
      <c r="F221" t="s">
        <v>231</v>
      </c>
      <c r="G221" s="83">
        <v>-1.77</v>
      </c>
      <c r="H221">
        <v>500</v>
      </c>
      <c r="I221">
        <v>63.655680000000004</v>
      </c>
      <c r="J221" s="83">
        <f t="shared" si="178"/>
        <v>2.627881845264973</v>
      </c>
      <c r="K221" s="83">
        <f t="shared" si="179"/>
        <v>326.86812396356129</v>
      </c>
      <c r="L221" s="193">
        <f t="shared" si="180"/>
        <v>0.9177067898039607</v>
      </c>
      <c r="M221" s="191">
        <v>2021</v>
      </c>
      <c r="N221" s="210">
        <v>5</v>
      </c>
      <c r="O221" t="s">
        <v>94</v>
      </c>
      <c r="Q221" s="213">
        <v>12</v>
      </c>
      <c r="R221">
        <v>0.88629531800000005</v>
      </c>
      <c r="S221">
        <v>0.13222094293149678</v>
      </c>
      <c r="T221">
        <v>0.209484796030626</v>
      </c>
      <c r="V221" s="193">
        <f t="shared" si="181"/>
        <v>8.1335923110006063E-10</v>
      </c>
      <c r="W221" s="193">
        <f t="shared" si="182"/>
        <v>4.0667961555003032E-9</v>
      </c>
      <c r="X221" s="83">
        <f t="shared" si="183"/>
        <v>71</v>
      </c>
      <c r="Y221" s="195">
        <f t="shared" si="184"/>
        <v>37.815491926952021</v>
      </c>
      <c r="Z221" s="195">
        <f t="shared" si="185"/>
        <v>9.3876869481362704</v>
      </c>
      <c r="AA221" s="193">
        <f t="shared" si="186"/>
        <v>4.5292369606772799E-5</v>
      </c>
      <c r="AB221" s="195">
        <f t="shared" si="187"/>
        <v>23.86808061845699</v>
      </c>
      <c r="AC221" s="195">
        <f t="shared" si="188"/>
        <v>14.873420518174447</v>
      </c>
      <c r="AD221" s="193">
        <f t="shared" si="189"/>
        <v>5.7483650899720819E-5</v>
      </c>
      <c r="AE221" s="259">
        <f t="shared" si="46"/>
        <v>71</v>
      </c>
      <c r="AF221" s="259" cm="1">
        <f t="array" ref="AF221">_xlfn.IFS(N221&lt;=AC221,W221*(3/(X221^3 - (X221-AB221)^3)),N221&gt;AC221,W221*(3/X221^3))</f>
        <v>4.8182635543239093E-14</v>
      </c>
      <c r="AG221" s="280">
        <f t="shared" si="190"/>
        <v>5.7483650899720819E-5</v>
      </c>
      <c r="AH221" s="281">
        <f t="shared" si="191"/>
        <v>0</v>
      </c>
      <c r="AI221" s="282">
        <f t="shared" si="192"/>
        <v>100</v>
      </c>
    </row>
    <row r="222" spans="1:35" x14ac:dyDescent="0.45">
      <c r="A222" s="83" t="s">
        <v>209</v>
      </c>
      <c r="B222" s="81" t="s">
        <v>210</v>
      </c>
      <c r="C222" s="212" t="s">
        <v>211</v>
      </c>
      <c r="D222" s="212" t="s">
        <v>212</v>
      </c>
      <c r="E222" s="83" t="s">
        <v>14</v>
      </c>
      <c r="F222" t="s">
        <v>232</v>
      </c>
      <c r="G222" s="83">
        <v>-2.09</v>
      </c>
      <c r="H222">
        <v>500</v>
      </c>
      <c r="I222">
        <v>85.5976</v>
      </c>
      <c r="J222" s="83">
        <f t="shared" ref="J222:J231" si="193" xml:space="preserve"> LOG(I222, 10) - (G222) * LOG(H222,10)^(G222+1)</f>
        <v>2.6406362810191855</v>
      </c>
      <c r="K222" s="83">
        <f t="shared" ref="K222:K231" si="194" xml:space="preserve"> -1*10^J222*(G222+1)</f>
        <v>476.49986173916523</v>
      </c>
      <c r="L222" s="193">
        <f t="shared" ref="L222:L231" si="195">IF(E222="Fragments",0.000000097*K222*(5000^(4+G222)-1)/(4+G222),0.000106*K222*(5000^(2+G222)-1)/(2+G222))</f>
        <v>281.08250601409662</v>
      </c>
      <c r="M222" s="191">
        <v>2021</v>
      </c>
      <c r="N222" s="210">
        <v>5</v>
      </c>
      <c r="O222" t="s">
        <v>94</v>
      </c>
      <c r="Q222" s="213">
        <v>10</v>
      </c>
      <c r="R222">
        <v>0.88629531800000005</v>
      </c>
      <c r="S222">
        <v>0.13222094293149678</v>
      </c>
      <c r="T222">
        <v>0.236419034456642</v>
      </c>
      <c r="V222" s="193">
        <f t="shared" ref="V222:V231" si="196">L222*R222*0.000000001</f>
        <v>2.491221090520007E-7</v>
      </c>
      <c r="W222" s="193">
        <f t="shared" ref="W222:W231" si="197">V222*N222</f>
        <v>1.2456105452600036E-6</v>
      </c>
      <c r="X222" s="83">
        <f t="shared" ref="X222:X231" si="198">M222-1950</f>
        <v>71</v>
      </c>
      <c r="Y222" s="195">
        <f t="shared" ref="Y222:Y231" si="199">N222/S222</f>
        <v>37.815491926952021</v>
      </c>
      <c r="Z222" s="195">
        <f t="shared" ref="Z222:Z231" si="200">S222*X222</f>
        <v>9.3876869481362704</v>
      </c>
      <c r="AA222" s="193">
        <f t="shared" ref="AA222:AA231" si="201">IF(N222&lt;Z222,W222/(1-(1-N222/Z222)^3),W222)*10000</f>
        <v>1.3872505787069483E-2</v>
      </c>
      <c r="AB222" s="195">
        <f t="shared" ref="AB222:AB231" si="202">N222/T222</f>
        <v>21.148889350180362</v>
      </c>
      <c r="AC222" s="195">
        <f t="shared" ref="AC222:AC231" si="203">T222*X222</f>
        <v>16.785751446421582</v>
      </c>
      <c r="AD222" s="193">
        <f t="shared" ref="AD222:AD231" si="204">IF(N222&lt;AC222,W222/(1-(1-N222/AC222)^3),W222)*10000</f>
        <v>1.9050056938659431E-2</v>
      </c>
      <c r="AE222" s="259">
        <f t="shared" si="46"/>
        <v>71</v>
      </c>
      <c r="AF222" s="259" cm="1">
        <f t="array" ref="AF222">_xlfn.IFS(N222&lt;=AC222,W222*(3/(X222^3 - (X222-AB222)^3)),N222&gt;AC222,W222*(3/X222^3))</f>
        <v>1.5967704489657564E-11</v>
      </c>
      <c r="AG222" s="280">
        <f t="shared" si="190"/>
        <v>1.9050056938659427E-2</v>
      </c>
      <c r="AH222" s="281">
        <f t="shared" si="191"/>
        <v>0</v>
      </c>
      <c r="AI222" s="282">
        <f t="shared" si="192"/>
        <v>99.999999999999986</v>
      </c>
    </row>
    <row r="223" spans="1:35" x14ac:dyDescent="0.45">
      <c r="A223" s="83" t="s">
        <v>209</v>
      </c>
      <c r="B223" s="81" t="s">
        <v>210</v>
      </c>
      <c r="C223" s="212" t="s">
        <v>213</v>
      </c>
      <c r="D223" s="212" t="s">
        <v>214</v>
      </c>
      <c r="E223" s="83" t="s">
        <v>14</v>
      </c>
      <c r="F223" t="s">
        <v>232</v>
      </c>
      <c r="G223" s="83">
        <v>-2.09</v>
      </c>
      <c r="H223">
        <v>500</v>
      </c>
      <c r="I223">
        <v>50.580400000000004</v>
      </c>
      <c r="J223" s="83">
        <f t="shared" si="193"/>
        <v>2.4121569525038158</v>
      </c>
      <c r="K223" s="83">
        <f t="shared" si="194"/>
        <v>281.5681001185975</v>
      </c>
      <c r="L223" s="193">
        <f t="shared" si="195"/>
        <v>166.09420809923884</v>
      </c>
      <c r="M223" s="191">
        <v>2021</v>
      </c>
      <c r="N223" s="210">
        <v>5</v>
      </c>
      <c r="O223" t="s">
        <v>94</v>
      </c>
      <c r="Q223" s="213">
        <v>20</v>
      </c>
      <c r="R223">
        <v>0.88629531800000005</v>
      </c>
      <c r="S223">
        <v>0.13222094293149678</v>
      </c>
      <c r="T223">
        <v>0.236419034456642</v>
      </c>
      <c r="V223" s="193">
        <f t="shared" si="196"/>
        <v>1.4720851898527307E-7</v>
      </c>
      <c r="W223" s="193">
        <f t="shared" si="197"/>
        <v>7.3604259492636537E-7</v>
      </c>
      <c r="X223" s="83">
        <f t="shared" si="198"/>
        <v>71</v>
      </c>
      <c r="Y223" s="195">
        <f t="shared" si="199"/>
        <v>37.815491926952021</v>
      </c>
      <c r="Z223" s="195">
        <f t="shared" si="200"/>
        <v>9.3876869481362704</v>
      </c>
      <c r="AA223" s="193">
        <f t="shared" si="201"/>
        <v>8.1973897832683263E-3</v>
      </c>
      <c r="AB223" s="195">
        <f t="shared" si="202"/>
        <v>21.148889350180362</v>
      </c>
      <c r="AC223" s="195">
        <f t="shared" si="203"/>
        <v>16.785751446421582</v>
      </c>
      <c r="AD223" s="193">
        <f t="shared" si="204"/>
        <v>1.1256851827389657E-2</v>
      </c>
      <c r="AE223" s="259">
        <f t="shared" si="46"/>
        <v>71</v>
      </c>
      <c r="AF223" s="259" cm="1">
        <f t="array" ref="AF223">_xlfn.IFS(N223&lt;=AC223,W223*(3/(X223^3 - (X223-AB223)^3)),N223&gt;AC223,W223*(3/X223^3))</f>
        <v>9.4354617438885562E-12</v>
      </c>
      <c r="AG223" s="280">
        <f t="shared" si="190"/>
        <v>1.1256851827389657E-2</v>
      </c>
      <c r="AH223" s="281">
        <f t="shared" si="191"/>
        <v>0</v>
      </c>
      <c r="AI223" s="282">
        <f t="shared" si="192"/>
        <v>100.00000000000001</v>
      </c>
    </row>
    <row r="224" spans="1:35" x14ac:dyDescent="0.45">
      <c r="A224" s="83" t="s">
        <v>209</v>
      </c>
      <c r="B224" s="81" t="s">
        <v>210</v>
      </c>
      <c r="C224" s="212" t="s">
        <v>215</v>
      </c>
      <c r="D224" s="212" t="s">
        <v>216</v>
      </c>
      <c r="E224" s="83" t="s">
        <v>14</v>
      </c>
      <c r="F224" t="s">
        <v>232</v>
      </c>
      <c r="G224" s="83">
        <v>-2.09</v>
      </c>
      <c r="H224">
        <v>500</v>
      </c>
      <c r="I224">
        <v>27.235599999999998</v>
      </c>
      <c r="J224" s="83">
        <f t="shared" si="193"/>
        <v>2.1433116402112358</v>
      </c>
      <c r="K224" s="83">
        <f t="shared" si="194"/>
        <v>151.61359237155244</v>
      </c>
      <c r="L224" s="193">
        <f t="shared" si="195"/>
        <v>89.435342822667039</v>
      </c>
      <c r="M224" s="191">
        <v>2021</v>
      </c>
      <c r="N224" s="210">
        <v>5</v>
      </c>
      <c r="O224" t="s">
        <v>94</v>
      </c>
      <c r="Q224" s="213">
        <v>19</v>
      </c>
      <c r="R224">
        <v>0.88629531800000005</v>
      </c>
      <c r="S224">
        <v>0.13222094293149678</v>
      </c>
      <c r="T224">
        <v>0.236419034456642</v>
      </c>
      <c r="V224" s="193">
        <f t="shared" si="196"/>
        <v>7.9266125607454714E-8</v>
      </c>
      <c r="W224" s="193">
        <f t="shared" si="197"/>
        <v>3.9633062803727358E-7</v>
      </c>
      <c r="X224" s="83">
        <f t="shared" si="198"/>
        <v>71</v>
      </c>
      <c r="Y224" s="195">
        <f t="shared" si="199"/>
        <v>37.815491926952021</v>
      </c>
      <c r="Z224" s="195">
        <f t="shared" si="200"/>
        <v>9.3876869481362704</v>
      </c>
      <c r="AA224" s="193">
        <f t="shared" si="201"/>
        <v>4.4139791140675603E-3</v>
      </c>
      <c r="AB224" s="195">
        <f t="shared" si="202"/>
        <v>21.148889350180362</v>
      </c>
      <c r="AC224" s="195">
        <f t="shared" si="203"/>
        <v>16.785751446421582</v>
      </c>
      <c r="AD224" s="193">
        <f t="shared" si="204"/>
        <v>6.0613817532098142E-3</v>
      </c>
      <c r="AE224" s="259">
        <f t="shared" si="46"/>
        <v>71</v>
      </c>
      <c r="AF224" s="259" cm="1">
        <f t="array" ref="AF224">_xlfn.IFS(N224&lt;=AC224,W224*(3/(X224^3 - (X224-AB224)^3)),N224&gt;AC224,W224*(3/X224^3))</f>
        <v>5.0806332467092217E-12</v>
      </c>
      <c r="AG224" s="280">
        <f t="shared" si="190"/>
        <v>6.0613817532098142E-3</v>
      </c>
      <c r="AH224" s="281">
        <f t="shared" si="191"/>
        <v>0</v>
      </c>
      <c r="AI224" s="282">
        <f t="shared" si="192"/>
        <v>100.00000000000001</v>
      </c>
    </row>
    <row r="225" spans="1:35" x14ac:dyDescent="0.45">
      <c r="A225" s="83" t="s">
        <v>209</v>
      </c>
      <c r="B225" s="81" t="s">
        <v>210</v>
      </c>
      <c r="C225" s="212" t="s">
        <v>217</v>
      </c>
      <c r="D225" s="212" t="s">
        <v>218</v>
      </c>
      <c r="E225" s="83" t="s">
        <v>14</v>
      </c>
      <c r="F225" t="s">
        <v>232</v>
      </c>
      <c r="G225" s="83">
        <v>-2.09</v>
      </c>
      <c r="H225">
        <v>500</v>
      </c>
      <c r="I225">
        <v>77.816000000000003</v>
      </c>
      <c r="J225" s="83">
        <f t="shared" si="193"/>
        <v>2.5992435958609601</v>
      </c>
      <c r="K225" s="83">
        <f t="shared" si="194"/>
        <v>433.18169249014989</v>
      </c>
      <c r="L225" s="193">
        <f t="shared" si="195"/>
        <v>255.52955092190584</v>
      </c>
      <c r="M225" s="191">
        <v>2021</v>
      </c>
      <c r="N225" s="210">
        <v>5</v>
      </c>
      <c r="O225" t="s">
        <v>94</v>
      </c>
      <c r="Q225" s="213">
        <v>38</v>
      </c>
      <c r="R225">
        <v>0.88629531800000005</v>
      </c>
      <c r="S225">
        <v>0.13222094293149678</v>
      </c>
      <c r="T225">
        <v>0.236419034456642</v>
      </c>
      <c r="V225" s="193">
        <f t="shared" si="196"/>
        <v>2.2647464459272774E-7</v>
      </c>
      <c r="W225" s="193">
        <f t="shared" si="197"/>
        <v>1.1323732229636387E-6</v>
      </c>
      <c r="X225" s="83">
        <f t="shared" si="198"/>
        <v>71</v>
      </c>
      <c r="Y225" s="195">
        <f t="shared" si="199"/>
        <v>37.815491926952021</v>
      </c>
      <c r="Z225" s="195">
        <f t="shared" si="200"/>
        <v>9.3876869481362704</v>
      </c>
      <c r="AA225" s="193">
        <f t="shared" si="201"/>
        <v>1.2611368897335884E-2</v>
      </c>
      <c r="AB225" s="195">
        <f t="shared" si="202"/>
        <v>21.148889350180362</v>
      </c>
      <c r="AC225" s="195">
        <f t="shared" si="203"/>
        <v>16.785751446421582</v>
      </c>
      <c r="AD225" s="193">
        <f t="shared" si="204"/>
        <v>1.7318233580599467E-2</v>
      </c>
      <c r="AE225" s="259">
        <f t="shared" si="46"/>
        <v>71</v>
      </c>
      <c r="AF225" s="259" cm="1">
        <f t="array" ref="AF225">_xlfn.IFS(N225&lt;=AC225,W225*(3/(X225^3 - (X225-AB225)^3)),N225&gt;AC225,W225*(3/X225^3))</f>
        <v>1.4516094990597775E-11</v>
      </c>
      <c r="AG225" s="280">
        <f t="shared" si="190"/>
        <v>1.7318233580599467E-2</v>
      </c>
      <c r="AH225" s="281">
        <f t="shared" si="191"/>
        <v>0</v>
      </c>
      <c r="AI225" s="282">
        <f t="shared" si="192"/>
        <v>100</v>
      </c>
    </row>
    <row r="226" spans="1:35" x14ac:dyDescent="0.45">
      <c r="A226" s="83" t="s">
        <v>209</v>
      </c>
      <c r="B226" s="81" t="s">
        <v>210</v>
      </c>
      <c r="C226" s="212" t="s">
        <v>219</v>
      </c>
      <c r="D226" s="212" t="s">
        <v>220</v>
      </c>
      <c r="E226" s="83" t="s">
        <v>14</v>
      </c>
      <c r="F226" t="s">
        <v>232</v>
      </c>
      <c r="G226" s="83">
        <v>-2.09</v>
      </c>
      <c r="H226">
        <v>500</v>
      </c>
      <c r="I226">
        <v>105.05160000000001</v>
      </c>
      <c r="J226" s="83">
        <f t="shared" si="193"/>
        <v>2.7295773643559667</v>
      </c>
      <c r="K226" s="83">
        <f t="shared" si="194"/>
        <v>584.79528486170273</v>
      </c>
      <c r="L226" s="193">
        <f t="shared" si="195"/>
        <v>344.96489374457309</v>
      </c>
      <c r="M226" s="191">
        <v>2021</v>
      </c>
      <c r="N226" s="210">
        <v>5</v>
      </c>
      <c r="O226" t="s">
        <v>94</v>
      </c>
      <c r="Q226" s="213">
        <v>24</v>
      </c>
      <c r="R226">
        <v>0.88629531800000005</v>
      </c>
      <c r="S226">
        <v>0.13222094293149678</v>
      </c>
      <c r="T226">
        <v>0.23302099017564701</v>
      </c>
      <c r="V226" s="193">
        <f t="shared" si="196"/>
        <v>3.0574077020018266E-7</v>
      </c>
      <c r="W226" s="193">
        <f t="shared" si="197"/>
        <v>1.5287038510009133E-6</v>
      </c>
      <c r="X226" s="83">
        <f t="shared" si="198"/>
        <v>71</v>
      </c>
      <c r="Y226" s="195">
        <f t="shared" si="199"/>
        <v>37.815491926952021</v>
      </c>
      <c r="Z226" s="195">
        <f t="shared" si="200"/>
        <v>9.3876869481362704</v>
      </c>
      <c r="AA226" s="193">
        <f t="shared" si="201"/>
        <v>1.7025348011403454E-2</v>
      </c>
      <c r="AB226" s="195">
        <f t="shared" si="202"/>
        <v>21.457294453306933</v>
      </c>
      <c r="AC226" s="195">
        <f t="shared" si="203"/>
        <v>16.544490302470937</v>
      </c>
      <c r="AD226" s="193">
        <f t="shared" si="204"/>
        <v>2.3153536845248658E-2</v>
      </c>
      <c r="AE226" s="259">
        <f t="shared" si="46"/>
        <v>71</v>
      </c>
      <c r="AF226" s="259" cm="1">
        <f t="array" ref="AF226">_xlfn.IFS(N226&lt;=AC226,W226*(3/(X226^3 - (X226-AB226)^3)),N226&gt;AC226,W226*(3/X226^3))</f>
        <v>1.9407229879983009E-11</v>
      </c>
      <c r="AG226" s="280">
        <f t="shared" si="190"/>
        <v>2.3153536845248662E-2</v>
      </c>
      <c r="AH226" s="281">
        <f t="shared" si="191"/>
        <v>0</v>
      </c>
      <c r="AI226" s="282">
        <f t="shared" si="192"/>
        <v>100.00000000000001</v>
      </c>
    </row>
    <row r="227" spans="1:35" x14ac:dyDescent="0.45">
      <c r="A227" s="83" t="s">
        <v>209</v>
      </c>
      <c r="B227" s="81" t="s">
        <v>210</v>
      </c>
      <c r="C227" s="212" t="s">
        <v>221</v>
      </c>
      <c r="D227" s="212" t="s">
        <v>222</v>
      </c>
      <c r="E227" s="83" t="s">
        <v>14</v>
      </c>
      <c r="F227" t="s">
        <v>232</v>
      </c>
      <c r="G227" s="83">
        <v>-2.09</v>
      </c>
      <c r="H227">
        <v>500</v>
      </c>
      <c r="I227">
        <v>68.088999999999999</v>
      </c>
      <c r="J227" s="83">
        <f t="shared" si="193"/>
        <v>2.5412516488832733</v>
      </c>
      <c r="K227" s="83">
        <f t="shared" si="194"/>
        <v>379.03398092888108</v>
      </c>
      <c r="L227" s="193">
        <f t="shared" si="195"/>
        <v>223.58835705666755</v>
      </c>
      <c r="M227" s="191">
        <v>2021</v>
      </c>
      <c r="N227" s="210">
        <v>5</v>
      </c>
      <c r="O227" t="s">
        <v>94</v>
      </c>
      <c r="Q227" s="213">
        <v>42</v>
      </c>
      <c r="R227">
        <v>0.88629531800000005</v>
      </c>
      <c r="S227">
        <v>0.13222094293149678</v>
      </c>
      <c r="T227">
        <v>0.23302099017564701</v>
      </c>
      <c r="V227" s="193">
        <f t="shared" si="196"/>
        <v>1.9816531401863671E-7</v>
      </c>
      <c r="W227" s="193">
        <f t="shared" si="197"/>
        <v>9.9082657009318351E-7</v>
      </c>
      <c r="X227" s="83">
        <f t="shared" si="198"/>
        <v>71</v>
      </c>
      <c r="Y227" s="195">
        <f t="shared" si="199"/>
        <v>37.815491926952021</v>
      </c>
      <c r="Z227" s="195">
        <f t="shared" si="200"/>
        <v>9.3876869481362704</v>
      </c>
      <c r="AA227" s="193">
        <f t="shared" si="201"/>
        <v>1.1034947785168893E-2</v>
      </c>
      <c r="AB227" s="195">
        <f t="shared" si="202"/>
        <v>21.457294453306933</v>
      </c>
      <c r="AC227" s="195">
        <f t="shared" si="203"/>
        <v>16.544490302470937</v>
      </c>
      <c r="AD227" s="193">
        <f t="shared" si="204"/>
        <v>1.5006922029327819E-2</v>
      </c>
      <c r="AE227" s="259">
        <f t="shared" si="46"/>
        <v>71</v>
      </c>
      <c r="AF227" s="259" cm="1">
        <f t="array" ref="AF227">_xlfn.IFS(N227&lt;=AC227,W227*(3/(X227^3 - (X227-AB227)^3)),N227&gt;AC227,W227*(3/X227^3))</f>
        <v>1.2578760107396381E-11</v>
      </c>
      <c r="AG227" s="280">
        <f t="shared" si="190"/>
        <v>1.500692202932782E-2</v>
      </c>
      <c r="AH227" s="281">
        <f t="shared" si="191"/>
        <v>0</v>
      </c>
      <c r="AI227" s="282">
        <f t="shared" si="192"/>
        <v>100.00000000000001</v>
      </c>
    </row>
    <row r="228" spans="1:35" x14ac:dyDescent="0.45">
      <c r="A228" s="83" t="s">
        <v>209</v>
      </c>
      <c r="B228" s="81" t="s">
        <v>210</v>
      </c>
      <c r="C228" s="212" t="s">
        <v>223</v>
      </c>
      <c r="D228" s="212" t="s">
        <v>224</v>
      </c>
      <c r="E228" s="83" t="s">
        <v>14</v>
      </c>
      <c r="F228" t="s">
        <v>232</v>
      </c>
      <c r="G228" s="83">
        <v>-2.09</v>
      </c>
      <c r="H228">
        <v>500</v>
      </c>
      <c r="I228">
        <v>27.235599999999998</v>
      </c>
      <c r="J228" s="83">
        <f t="shared" si="193"/>
        <v>2.1433116402112358</v>
      </c>
      <c r="K228" s="83">
        <f t="shared" si="194"/>
        <v>151.61359237155244</v>
      </c>
      <c r="L228" s="193">
        <f t="shared" si="195"/>
        <v>89.435342822667039</v>
      </c>
      <c r="M228" s="191">
        <v>2021</v>
      </c>
      <c r="N228" s="210">
        <v>5</v>
      </c>
      <c r="O228" t="s">
        <v>94</v>
      </c>
      <c r="Q228" s="213">
        <v>9</v>
      </c>
      <c r="R228">
        <v>0.88629531800000005</v>
      </c>
      <c r="S228">
        <v>0.13222094293149678</v>
      </c>
      <c r="T228">
        <v>0.23302099017564701</v>
      </c>
      <c r="V228" s="193">
        <f t="shared" si="196"/>
        <v>7.9266125607454714E-8</v>
      </c>
      <c r="W228" s="193">
        <f t="shared" si="197"/>
        <v>3.9633062803727358E-7</v>
      </c>
      <c r="X228" s="83">
        <f t="shared" si="198"/>
        <v>71</v>
      </c>
      <c r="Y228" s="195">
        <f t="shared" si="199"/>
        <v>37.815491926952021</v>
      </c>
      <c r="Z228" s="195">
        <f t="shared" si="200"/>
        <v>9.3876869481362704</v>
      </c>
      <c r="AA228" s="193">
        <f t="shared" si="201"/>
        <v>4.4139791140675603E-3</v>
      </c>
      <c r="AB228" s="195">
        <f t="shared" si="202"/>
        <v>21.457294453306933</v>
      </c>
      <c r="AC228" s="195">
        <f t="shared" si="203"/>
        <v>16.544490302470937</v>
      </c>
      <c r="AD228" s="193">
        <f t="shared" si="204"/>
        <v>6.0027688117311297E-3</v>
      </c>
      <c r="AE228" s="259">
        <f t="shared" si="46"/>
        <v>71</v>
      </c>
      <c r="AF228" s="259" cm="1">
        <f t="array" ref="AF228">_xlfn.IFS(N228&lt;=AC228,W228*(3/(X228^3 - (X228-AB228)^3)),N228&gt;AC228,W228*(3/X228^3))</f>
        <v>5.0315040429585548E-12</v>
      </c>
      <c r="AG228" s="280">
        <f t="shared" si="190"/>
        <v>6.0027688117311306E-3</v>
      </c>
      <c r="AH228" s="281">
        <f t="shared" si="191"/>
        <v>0</v>
      </c>
      <c r="AI228" s="282">
        <f t="shared" si="192"/>
        <v>100.00000000000001</v>
      </c>
    </row>
    <row r="229" spans="1:35" x14ac:dyDescent="0.45">
      <c r="A229" s="83" t="s">
        <v>209</v>
      </c>
      <c r="B229" s="81" t="s">
        <v>210</v>
      </c>
      <c r="C229" s="212" t="s">
        <v>225</v>
      </c>
      <c r="D229" s="212" t="s">
        <v>226</v>
      </c>
      <c r="E229" s="83" t="s">
        <v>14</v>
      </c>
      <c r="F229" t="s">
        <v>232</v>
      </c>
      <c r="G229" s="83">
        <v>-2.09</v>
      </c>
      <c r="H229">
        <v>500</v>
      </c>
      <c r="I229">
        <v>70.034400000000005</v>
      </c>
      <c r="J229" s="83">
        <f t="shared" si="193"/>
        <v>2.5534861053002853</v>
      </c>
      <c r="K229" s="83">
        <f t="shared" si="194"/>
        <v>389.863523241135</v>
      </c>
      <c r="L229" s="193">
        <f t="shared" si="195"/>
        <v>229.97659582971531</v>
      </c>
      <c r="M229" s="191">
        <v>2021</v>
      </c>
      <c r="N229" s="210">
        <v>5</v>
      </c>
      <c r="O229" t="s">
        <v>94</v>
      </c>
      <c r="Q229" s="213">
        <v>31</v>
      </c>
      <c r="R229">
        <v>0.88629531800000005</v>
      </c>
      <c r="S229">
        <v>0.13222094293149678</v>
      </c>
      <c r="T229">
        <v>0.240066047057577</v>
      </c>
      <c r="V229" s="193">
        <f t="shared" si="196"/>
        <v>2.0382718013345502E-7</v>
      </c>
      <c r="W229" s="193">
        <f t="shared" si="197"/>
        <v>1.0191359006672751E-6</v>
      </c>
      <c r="X229" s="83">
        <f t="shared" si="198"/>
        <v>71</v>
      </c>
      <c r="Y229" s="195">
        <f t="shared" si="199"/>
        <v>37.815491926952021</v>
      </c>
      <c r="Z229" s="195">
        <f t="shared" si="200"/>
        <v>9.3876869481362704</v>
      </c>
      <c r="AA229" s="193">
        <f t="shared" si="201"/>
        <v>1.1350232007602299E-2</v>
      </c>
      <c r="AB229" s="195">
        <f t="shared" si="202"/>
        <v>20.827601659141781</v>
      </c>
      <c r="AC229" s="195">
        <f t="shared" si="203"/>
        <v>17.044689341087967</v>
      </c>
      <c r="AD229" s="193">
        <f t="shared" si="204"/>
        <v>1.5748644701303598E-2</v>
      </c>
      <c r="AE229" s="259">
        <f t="shared" si="46"/>
        <v>71</v>
      </c>
      <c r="AF229" s="259" cm="1">
        <f t="array" ref="AF229">_xlfn.IFS(N229&lt;=AC229,W229*(3/(X229^3 - (X229-AB229)^3)),N229&gt;AC229,W229*(3/X229^3))</f>
        <v>1.3200469978265768E-11</v>
      </c>
      <c r="AG229" s="280">
        <f t="shared" si="190"/>
        <v>1.5748644701303598E-2</v>
      </c>
      <c r="AH229" s="281">
        <f t="shared" si="191"/>
        <v>0</v>
      </c>
      <c r="AI229" s="282">
        <f t="shared" si="192"/>
        <v>100</v>
      </c>
    </row>
    <row r="230" spans="1:35" x14ac:dyDescent="0.45">
      <c r="A230" s="83" t="s">
        <v>209</v>
      </c>
      <c r="B230" s="81" t="s">
        <v>210</v>
      </c>
      <c r="C230" s="212" t="s">
        <v>227</v>
      </c>
      <c r="D230" s="212" t="s">
        <v>228</v>
      </c>
      <c r="E230" s="83" t="s">
        <v>14</v>
      </c>
      <c r="F230" t="s">
        <v>232</v>
      </c>
      <c r="G230" s="83">
        <v>-2.09</v>
      </c>
      <c r="H230">
        <v>500</v>
      </c>
      <c r="I230">
        <v>42.7988</v>
      </c>
      <c r="J230" s="83">
        <f t="shared" si="193"/>
        <v>2.3396062853552042</v>
      </c>
      <c r="K230" s="83">
        <f t="shared" si="194"/>
        <v>238.24993086958258</v>
      </c>
      <c r="L230" s="193">
        <f t="shared" si="195"/>
        <v>140.54125300704831</v>
      </c>
      <c r="M230" s="191">
        <v>2021</v>
      </c>
      <c r="N230" s="210">
        <v>5</v>
      </c>
      <c r="O230" t="s">
        <v>94</v>
      </c>
      <c r="Q230" s="213">
        <v>32</v>
      </c>
      <c r="R230">
        <v>0.88629531800000005</v>
      </c>
      <c r="S230">
        <v>0.13222094293149678</v>
      </c>
      <c r="T230">
        <v>0.225287888165324</v>
      </c>
      <c r="V230" s="193">
        <f t="shared" si="196"/>
        <v>1.2456105452600035E-7</v>
      </c>
      <c r="W230" s="193">
        <f t="shared" si="197"/>
        <v>6.2280527263000178E-7</v>
      </c>
      <c r="X230" s="83">
        <f t="shared" si="198"/>
        <v>71</v>
      </c>
      <c r="Y230" s="195">
        <f t="shared" si="199"/>
        <v>37.815491926952021</v>
      </c>
      <c r="Z230" s="195">
        <f t="shared" si="200"/>
        <v>9.3876869481362704</v>
      </c>
      <c r="AA230" s="193">
        <f t="shared" si="201"/>
        <v>6.9362528935347414E-3</v>
      </c>
      <c r="AB230" s="195">
        <f t="shared" si="202"/>
        <v>22.193825157306406</v>
      </c>
      <c r="AC230" s="195">
        <f t="shared" si="203"/>
        <v>15.995440059738003</v>
      </c>
      <c r="AD230" s="193">
        <f t="shared" si="204"/>
        <v>9.2243514507194761E-3</v>
      </c>
      <c r="AE230" s="259">
        <f t="shared" si="46"/>
        <v>71</v>
      </c>
      <c r="AF230" s="259" cm="1">
        <f t="array" ref="AF230">_xlfn.IFS(N230&lt;=AC230,W230*(3/(X230^3 - (X230-AB230)^3)),N230&gt;AC230,W230*(3/X230^3))</f>
        <v>7.7318256080864878E-12</v>
      </c>
      <c r="AG230" s="280">
        <f t="shared" si="190"/>
        <v>9.2243514507194761E-3</v>
      </c>
      <c r="AH230" s="281">
        <f t="shared" si="191"/>
        <v>0</v>
      </c>
      <c r="AI230" s="282">
        <f t="shared" si="192"/>
        <v>100</v>
      </c>
    </row>
    <row r="231" spans="1:35" x14ac:dyDescent="0.45">
      <c r="A231" s="83" t="s">
        <v>209</v>
      </c>
      <c r="B231" s="81" t="s">
        <v>210</v>
      </c>
      <c r="C231" s="212" t="s">
        <v>229</v>
      </c>
      <c r="D231" s="212" t="s">
        <v>230</v>
      </c>
      <c r="E231" s="83" t="s">
        <v>14</v>
      </c>
      <c r="F231" t="s">
        <v>232</v>
      </c>
      <c r="G231" s="83">
        <v>-2.09</v>
      </c>
      <c r="H231">
        <v>500</v>
      </c>
      <c r="I231">
        <v>42.7988</v>
      </c>
      <c r="J231" s="83">
        <f t="shared" si="193"/>
        <v>2.3396062853552042</v>
      </c>
      <c r="K231" s="83">
        <f t="shared" si="194"/>
        <v>238.24993086958258</v>
      </c>
      <c r="L231" s="193">
        <f t="shared" si="195"/>
        <v>140.54125300704831</v>
      </c>
      <c r="M231" s="191">
        <v>2021</v>
      </c>
      <c r="N231" s="210">
        <v>5</v>
      </c>
      <c r="O231" t="s">
        <v>94</v>
      </c>
      <c r="Q231" s="213">
        <v>12</v>
      </c>
      <c r="R231">
        <v>0.88629531800000005</v>
      </c>
      <c r="S231">
        <v>0.13222094293149678</v>
      </c>
      <c r="T231">
        <v>0.209484796030626</v>
      </c>
      <c r="V231" s="193">
        <f t="shared" si="196"/>
        <v>1.2456105452600035E-7</v>
      </c>
      <c r="W231" s="193">
        <f t="shared" si="197"/>
        <v>6.2280527263000178E-7</v>
      </c>
      <c r="X231" s="83">
        <f t="shared" si="198"/>
        <v>71</v>
      </c>
      <c r="Y231" s="195">
        <f t="shared" si="199"/>
        <v>37.815491926952021</v>
      </c>
      <c r="Z231" s="195">
        <f t="shared" si="200"/>
        <v>9.3876869481362704</v>
      </c>
      <c r="AA231" s="193">
        <f t="shared" si="201"/>
        <v>6.9362528935347414E-3</v>
      </c>
      <c r="AB231" s="195">
        <f t="shared" si="202"/>
        <v>23.86808061845699</v>
      </c>
      <c r="AC231" s="195">
        <f t="shared" si="203"/>
        <v>14.873420518174447</v>
      </c>
      <c r="AD231" s="193">
        <f t="shared" si="204"/>
        <v>8.8032740027915567E-3</v>
      </c>
      <c r="AE231" s="259">
        <f t="shared" si="46"/>
        <v>71</v>
      </c>
      <c r="AF231" s="259" cm="1">
        <f t="array" ref="AF231">_xlfn.IFS(N231&lt;=AC231,W231*(3/(X231^3 - (X231-AB231)^3)),N231&gt;AC231,W231*(3/X231^3))</f>
        <v>7.3788796679550707E-12</v>
      </c>
      <c r="AG231" s="280">
        <f t="shared" si="190"/>
        <v>8.8032740027915567E-3</v>
      </c>
      <c r="AH231" s="281">
        <f t="shared" si="191"/>
        <v>0</v>
      </c>
      <c r="AI231" s="282">
        <f t="shared" si="192"/>
        <v>100</v>
      </c>
    </row>
    <row r="232" spans="1:35" ht="12.85" customHeight="1" x14ac:dyDescent="0.45">
      <c r="A232" s="83" t="s">
        <v>233</v>
      </c>
      <c r="B232" s="44" t="s">
        <v>234</v>
      </c>
      <c r="C232">
        <v>10.6922</v>
      </c>
      <c r="D232">
        <v>92.67</v>
      </c>
      <c r="E232" s="83" t="s">
        <v>8</v>
      </c>
      <c r="F232" s="215" t="s">
        <v>141</v>
      </c>
      <c r="G232" s="83">
        <v>-1.77</v>
      </c>
      <c r="H232">
        <v>500</v>
      </c>
      <c r="I232" s="214">
        <v>11.1325</v>
      </c>
      <c r="J232" s="83">
        <f xml:space="preserve"> LOG(I232, 10) - (G232) * LOG(H232,10)^(G232+1)</f>
        <v>1.8706373872278457</v>
      </c>
      <c r="K232" s="83">
        <f t="shared" ref="K232:K249" si="205" xml:space="preserve"> -1*10^J232*(G232+1)</f>
        <v>57.164724185247046</v>
      </c>
      <c r="L232" s="193">
        <f t="shared" ref="L232:L249" si="206">IF(E232="Fragments",0.000000097*K232*(5000^(4+G232)-1)/(4+G232),0.000106*K232*(5000^(2+G232)-1)/(2+G232))</f>
        <v>0.16049425341921719</v>
      </c>
      <c r="M232" s="191">
        <v>2017</v>
      </c>
      <c r="N232" s="210">
        <v>5</v>
      </c>
      <c r="O232" t="s">
        <v>94</v>
      </c>
      <c r="Q232" s="215">
        <v>120</v>
      </c>
      <c r="R232">
        <v>1.5476535380000001</v>
      </c>
      <c r="S232" s="50">
        <v>0.13341858489683281</v>
      </c>
      <c r="T232">
        <v>5.6521411808957402E-2</v>
      </c>
      <c r="V232" s="193">
        <f t="shared" ref="V232:V249" si="207">L232*R232*0.000000001</f>
        <v>2.4838949913292013E-10</v>
      </c>
      <c r="W232" s="193">
        <f t="shared" ref="W232:W249" si="208">V232*N232</f>
        <v>1.2419474956646007E-9</v>
      </c>
      <c r="X232" s="83">
        <f t="shared" ref="X232:X249" si="209">M232-1950</f>
        <v>67</v>
      </c>
      <c r="Y232" s="195">
        <f t="shared" ref="Y232:Y249" si="210">N232/S232</f>
        <v>37.476038318546834</v>
      </c>
      <c r="Z232" s="195">
        <f t="shared" ref="Z232:Z249" si="211">S232*X232</f>
        <v>8.9390451880877979</v>
      </c>
      <c r="AA232" s="193">
        <f t="shared" ref="AA232:AA249" si="212">IF(N232&lt;Z232,W232/(1-(1-N232/Z232)^3),W232)*10000</f>
        <v>1.3581592878495556E-5</v>
      </c>
      <c r="AB232" s="195">
        <f t="shared" ref="AB232:AB249" si="213">N232/T232</f>
        <v>88.46205075166948</v>
      </c>
      <c r="AC232" s="195">
        <f t="shared" ref="AC232:AC249" si="214">T232*X232</f>
        <v>3.7869345912001457</v>
      </c>
      <c r="AD232" s="193">
        <f t="shared" ref="AD232:AD249" si="215">IF(N232&lt;AC232,W232/(1-(1-N232/AC232)^3),W232)*10000</f>
        <v>1.2419474956646006E-5</v>
      </c>
      <c r="AE232" s="259">
        <f t="shared" si="46"/>
        <v>71</v>
      </c>
      <c r="AF232" s="259" cm="1">
        <f t="array" ref="AF232">_xlfn.IFS(N232&lt;=AC232,W232*(3/(X232^3 - (X232-AB232)^3)),N232&gt;AC232,W232*(3/X232^3))</f>
        <v>1.2387968224129305E-14</v>
      </c>
      <c r="AG232" s="280">
        <f t="shared" si="190"/>
        <v>1.477930031688781E-5</v>
      </c>
      <c r="AH232" s="281">
        <f t="shared" si="191"/>
        <v>-2.3598253602418037E-6</v>
      </c>
      <c r="AI232" s="282">
        <f t="shared" si="192"/>
        <v>119.00100743774999</v>
      </c>
    </row>
    <row r="233" spans="1:35" ht="12.85" customHeight="1" x14ac:dyDescent="0.45">
      <c r="A233" s="83" t="s">
        <v>233</v>
      </c>
      <c r="B233" s="44" t="s">
        <v>234</v>
      </c>
      <c r="C233">
        <v>10.0715</v>
      </c>
      <c r="D233">
        <v>92.736699999999999</v>
      </c>
      <c r="E233" s="83" t="s">
        <v>8</v>
      </c>
      <c r="F233" s="215" t="s">
        <v>141</v>
      </c>
      <c r="G233" s="83">
        <v>-1.77</v>
      </c>
      <c r="H233">
        <v>500</v>
      </c>
      <c r="I233" s="214">
        <v>2.1410999999999998</v>
      </c>
      <c r="J233" s="83">
        <f t="shared" ref="J233:J249" si="216" xml:space="preserve"> LOG(I233, 10) - (G233) * LOG(H233,10)^(G233+1)</f>
        <v>1.1546816349011761</v>
      </c>
      <c r="K233" s="83">
        <f t="shared" si="205"/>
        <v>10.994420925491339</v>
      </c>
      <c r="L233" s="193">
        <f t="shared" si="206"/>
        <v>3.0867661890490498E-2</v>
      </c>
      <c r="M233" s="191">
        <v>2017</v>
      </c>
      <c r="N233" s="210">
        <v>5</v>
      </c>
      <c r="O233" t="s">
        <v>94</v>
      </c>
      <c r="Q233" s="215">
        <v>250</v>
      </c>
      <c r="R233">
        <v>1.5476535380000001</v>
      </c>
      <c r="S233" s="50">
        <v>0.13341858489683281</v>
      </c>
      <c r="T233">
        <v>4.8898754268553203E-2</v>
      </c>
      <c r="V233" s="193">
        <f t="shared" si="207"/>
        <v>4.7772446134605398E-11</v>
      </c>
      <c r="W233" s="193">
        <f t="shared" si="208"/>
        <v>2.3886223067302697E-10</v>
      </c>
      <c r="X233" s="83">
        <f t="shared" si="209"/>
        <v>67</v>
      </c>
      <c r="Y233" s="195">
        <f t="shared" si="210"/>
        <v>37.476038318546834</v>
      </c>
      <c r="Z233" s="195">
        <f t="shared" si="211"/>
        <v>8.9390451880877979</v>
      </c>
      <c r="AA233" s="193">
        <f t="shared" si="212"/>
        <v>2.6121310138914705E-6</v>
      </c>
      <c r="AB233" s="195">
        <f t="shared" si="213"/>
        <v>102.25209363289447</v>
      </c>
      <c r="AC233" s="195">
        <f t="shared" si="214"/>
        <v>3.2762165359930644</v>
      </c>
      <c r="AD233" s="193">
        <f t="shared" si="215"/>
        <v>2.3886223067302696E-6</v>
      </c>
      <c r="AE233" s="259">
        <f t="shared" si="46"/>
        <v>71</v>
      </c>
      <c r="AF233" s="259" cm="1">
        <f t="array" ref="AF233">_xlfn.IFS(N233&lt;=AC233,W233*(3/(X233^3 - (X233-AB233)^3)),N233&gt;AC233,W233*(3/X233^3))</f>
        <v>2.3825626557092492E-15</v>
      </c>
      <c r="AG233" s="280">
        <f t="shared" si="190"/>
        <v>2.8424846088918435E-6</v>
      </c>
      <c r="AH233" s="281">
        <f t="shared" si="191"/>
        <v>-4.5386230216157392E-7</v>
      </c>
      <c r="AI233" s="282">
        <f t="shared" si="192"/>
        <v>119.00100743775</v>
      </c>
    </row>
    <row r="234" spans="1:35" ht="12.85" customHeight="1" x14ac:dyDescent="0.45">
      <c r="A234" s="83" t="s">
        <v>233</v>
      </c>
      <c r="B234" s="44" t="s">
        <v>234</v>
      </c>
      <c r="C234">
        <v>10.1035</v>
      </c>
      <c r="D234">
        <v>92.633799999999994</v>
      </c>
      <c r="E234" s="83" t="s">
        <v>8</v>
      </c>
      <c r="F234" s="215" t="s">
        <v>141</v>
      </c>
      <c r="G234" s="83">
        <v>-1.77</v>
      </c>
      <c r="H234">
        <v>500</v>
      </c>
      <c r="I234" s="214">
        <v>12.8405</v>
      </c>
      <c r="J234" s="83">
        <f t="shared" si="216"/>
        <v>1.9326266186070391</v>
      </c>
      <c r="K234" s="83">
        <f t="shared" si="205"/>
        <v>65.93520241640816</v>
      </c>
      <c r="L234" s="193">
        <f t="shared" si="206"/>
        <v>0.18511802928627494</v>
      </c>
      <c r="M234" s="191">
        <v>2017</v>
      </c>
      <c r="N234" s="210">
        <v>5</v>
      </c>
      <c r="O234" t="s">
        <v>94</v>
      </c>
      <c r="Q234" s="215">
        <v>264</v>
      </c>
      <c r="R234">
        <v>1.5476535380000001</v>
      </c>
      <c r="S234" s="50">
        <v>0.13341858489683281</v>
      </c>
      <c r="T234">
        <v>0.11990382666074199</v>
      </c>
      <c r="V234" s="193">
        <f t="shared" si="207"/>
        <v>2.8649857297249104E-10</v>
      </c>
      <c r="W234" s="193">
        <f t="shared" si="208"/>
        <v>1.4324928648624553E-9</v>
      </c>
      <c r="X234" s="83">
        <f t="shared" si="209"/>
        <v>67</v>
      </c>
      <c r="Y234" s="195">
        <f t="shared" si="210"/>
        <v>37.476038318546834</v>
      </c>
      <c r="Z234" s="195">
        <f t="shared" si="211"/>
        <v>8.9390451880877979</v>
      </c>
      <c r="AA234" s="193">
        <f t="shared" si="212"/>
        <v>1.5665344114648275E-5</v>
      </c>
      <c r="AB234" s="195">
        <f t="shared" si="213"/>
        <v>41.700086971761863</v>
      </c>
      <c r="AC234" s="195">
        <f t="shared" si="214"/>
        <v>8.0335563862697139</v>
      </c>
      <c r="AD234" s="193">
        <f t="shared" si="215"/>
        <v>1.5140124821847823E-5</v>
      </c>
      <c r="AE234" s="259">
        <f t="shared" si="46"/>
        <v>71</v>
      </c>
      <c r="AF234" s="259" cm="1">
        <f t="array" ref="AF234">_xlfn.IFS(N234&lt;=AC234,W234*(3/(X234^3 - (X234-AB234)^3)),N234&gt;AC234,W234*(3/X234^3))</f>
        <v>1.5101716123839525E-14</v>
      </c>
      <c r="AG234" s="280">
        <f t="shared" si="190"/>
        <v>1.8016901065331759E-5</v>
      </c>
      <c r="AH234" s="281">
        <f t="shared" si="191"/>
        <v>-2.8767762434839358E-6</v>
      </c>
      <c r="AI234" s="282">
        <f t="shared" si="192"/>
        <v>119.00100743774998</v>
      </c>
    </row>
    <row r="235" spans="1:35" ht="12.85" customHeight="1" x14ac:dyDescent="0.45">
      <c r="A235" s="83" t="s">
        <v>233</v>
      </c>
      <c r="B235" s="44" t="s">
        <v>234</v>
      </c>
      <c r="C235">
        <v>9.3170000000000002</v>
      </c>
      <c r="D235">
        <v>92.818299999999994</v>
      </c>
      <c r="E235" s="83" t="s">
        <v>8</v>
      </c>
      <c r="F235" s="215" t="s">
        <v>141</v>
      </c>
      <c r="G235" s="83">
        <v>-1.77</v>
      </c>
      <c r="H235">
        <v>500</v>
      </c>
      <c r="I235" s="214">
        <v>1.7141</v>
      </c>
      <c r="J235" s="83">
        <f t="shared" si="216"/>
        <v>1.0580808383404321</v>
      </c>
      <c r="K235" s="83">
        <f t="shared" si="205"/>
        <v>8.8018013677010476</v>
      </c>
      <c r="L235" s="193">
        <f t="shared" si="206"/>
        <v>2.4711717923726024E-2</v>
      </c>
      <c r="M235" s="191">
        <v>2017</v>
      </c>
      <c r="N235" s="210">
        <v>5</v>
      </c>
      <c r="O235" t="s">
        <v>94</v>
      </c>
      <c r="Q235" s="215">
        <v>110</v>
      </c>
      <c r="R235">
        <v>1.5476535380000001</v>
      </c>
      <c r="S235" s="50">
        <v>0.13341858489683281</v>
      </c>
      <c r="T235">
        <v>0.120421847291308</v>
      </c>
      <c r="V235" s="193">
        <f t="shared" si="207"/>
        <v>3.8245177674712599E-11</v>
      </c>
      <c r="W235" s="193">
        <f t="shared" si="208"/>
        <v>1.9122588837356301E-10</v>
      </c>
      <c r="X235" s="83">
        <f t="shared" si="209"/>
        <v>67</v>
      </c>
      <c r="Y235" s="195">
        <f t="shared" si="210"/>
        <v>37.476038318546834</v>
      </c>
      <c r="Z235" s="195">
        <f t="shared" si="211"/>
        <v>8.9390451880877979</v>
      </c>
      <c r="AA235" s="193">
        <f t="shared" si="212"/>
        <v>2.0911932048532865E-6</v>
      </c>
      <c r="AB235" s="195">
        <f t="shared" si="213"/>
        <v>41.520705025431859</v>
      </c>
      <c r="AC235" s="195">
        <f t="shared" si="214"/>
        <v>8.068263768517637</v>
      </c>
      <c r="AD235" s="193">
        <f t="shared" si="215"/>
        <v>2.0235476281794119E-6</v>
      </c>
      <c r="AE235" s="259">
        <f t="shared" si="46"/>
        <v>71</v>
      </c>
      <c r="AF235" s="259" cm="1">
        <f t="array" ref="AF235">_xlfn.IFS(N235&lt;=AC235,W235*(3/(X235^3 - (X235-AB235)^3)),N235&gt;AC235,W235*(3/X235^3))</f>
        <v>2.0184141282465717E-15</v>
      </c>
      <c r="AG235" s="280">
        <f t="shared" si="190"/>
        <v>2.4080420635161957E-6</v>
      </c>
      <c r="AH235" s="281">
        <f t="shared" si="191"/>
        <v>-3.8449443533678381E-7</v>
      </c>
      <c r="AI235" s="282">
        <f t="shared" si="192"/>
        <v>119.00100743775</v>
      </c>
    </row>
    <row r="236" spans="1:35" ht="12.85" customHeight="1" x14ac:dyDescent="0.45">
      <c r="A236" s="83" t="s">
        <v>233</v>
      </c>
      <c r="B236" s="44" t="s">
        <v>234</v>
      </c>
      <c r="C236">
        <v>9.1003000000000007</v>
      </c>
      <c r="D236">
        <v>93.250299999999996</v>
      </c>
      <c r="E236" s="83" t="s">
        <v>8</v>
      </c>
      <c r="F236" s="215" t="s">
        <v>141</v>
      </c>
      <c r="G236" s="83">
        <v>-1.77</v>
      </c>
      <c r="H236">
        <v>500</v>
      </c>
      <c r="I236" s="214">
        <v>2.1410999999999998</v>
      </c>
      <c r="J236" s="83">
        <f t="shared" si="216"/>
        <v>1.1546816349011761</v>
      </c>
      <c r="K236" s="83">
        <f t="shared" si="205"/>
        <v>10.994420925491339</v>
      </c>
      <c r="L236" s="193">
        <f t="shared" si="206"/>
        <v>3.0867661890490498E-2</v>
      </c>
      <c r="M236" s="191">
        <v>2017</v>
      </c>
      <c r="N236" s="210">
        <v>5</v>
      </c>
      <c r="O236" t="s">
        <v>94</v>
      </c>
      <c r="Q236" s="215">
        <v>205</v>
      </c>
      <c r="R236">
        <v>1.5476535380000001</v>
      </c>
      <c r="S236" s="50">
        <v>0.13341858489683281</v>
      </c>
      <c r="T236">
        <v>0.125788041748263</v>
      </c>
      <c r="V236" s="193">
        <f t="shared" si="207"/>
        <v>4.7772446134605398E-11</v>
      </c>
      <c r="W236" s="193">
        <f t="shared" si="208"/>
        <v>2.3886223067302697E-10</v>
      </c>
      <c r="X236" s="83">
        <f t="shared" si="209"/>
        <v>67</v>
      </c>
      <c r="Y236" s="195">
        <f t="shared" si="210"/>
        <v>37.476038318546834</v>
      </c>
      <c r="Z236" s="195">
        <f t="shared" si="211"/>
        <v>8.9390451880877979</v>
      </c>
      <c r="AA236" s="193">
        <f t="shared" si="212"/>
        <v>2.6121310138914705E-6</v>
      </c>
      <c r="AB236" s="195">
        <f t="shared" si="213"/>
        <v>39.749406465889628</v>
      </c>
      <c r="AC236" s="195">
        <f t="shared" si="214"/>
        <v>8.4277987971336206</v>
      </c>
      <c r="AD236" s="193">
        <f t="shared" si="215"/>
        <v>2.5609285234799671E-6</v>
      </c>
      <c r="AE236" s="259">
        <f t="shared" si="46"/>
        <v>71</v>
      </c>
      <c r="AF236" s="259" cm="1">
        <f t="array" ref="AF236">_xlfn.IFS(N236&lt;=AC236,W236*(3/(X236^3 - (X236-AB236)^3)),N236&gt;AC236,W236*(3/X236^3))</f>
        <v>2.5544317520572345E-15</v>
      </c>
      <c r="AG236" s="280">
        <f t="shared" si="190"/>
        <v>3.0475307427018565E-6</v>
      </c>
      <c r="AH236" s="281">
        <f t="shared" si="191"/>
        <v>-4.8660221922188942E-7</v>
      </c>
      <c r="AI236" s="282">
        <f t="shared" si="192"/>
        <v>119.00100743774999</v>
      </c>
    </row>
    <row r="237" spans="1:35" ht="12.85" customHeight="1" x14ac:dyDescent="0.45">
      <c r="A237" s="83" t="s">
        <v>233</v>
      </c>
      <c r="B237" s="44" t="s">
        <v>234</v>
      </c>
      <c r="C237">
        <v>8.0024999999999995</v>
      </c>
      <c r="D237">
        <v>93.273799999999994</v>
      </c>
      <c r="E237" s="83" t="s">
        <v>8</v>
      </c>
      <c r="F237" s="215" t="s">
        <v>141</v>
      </c>
      <c r="G237" s="83">
        <v>-1.77</v>
      </c>
      <c r="H237">
        <v>500</v>
      </c>
      <c r="I237" s="214">
        <v>7.2772999999999994</v>
      </c>
      <c r="J237" s="83">
        <f t="shared" si="216"/>
        <v>1.6860149621056939</v>
      </c>
      <c r="K237" s="83">
        <f t="shared" si="205"/>
        <v>37.36850189205461</v>
      </c>
      <c r="L237" s="193">
        <f t="shared" si="206"/>
        <v>0.10491487360500049</v>
      </c>
      <c r="M237" s="191">
        <v>2017</v>
      </c>
      <c r="N237" s="210">
        <v>5</v>
      </c>
      <c r="O237" t="s">
        <v>94</v>
      </c>
      <c r="Q237" s="215">
        <v>190</v>
      </c>
      <c r="R237">
        <v>1.5476535380000001</v>
      </c>
      <c r="S237" s="50">
        <v>0.13341858489683281</v>
      </c>
      <c r="T237">
        <v>0.124725551075639</v>
      </c>
      <c r="V237" s="193">
        <f t="shared" si="207"/>
        <v>1.6237187532360183E-10</v>
      </c>
      <c r="W237" s="193">
        <f t="shared" si="208"/>
        <v>8.1185937661800915E-10</v>
      </c>
      <c r="X237" s="83">
        <f t="shared" si="209"/>
        <v>67</v>
      </c>
      <c r="Y237" s="195">
        <f t="shared" si="210"/>
        <v>37.476038318546834</v>
      </c>
      <c r="Z237" s="195">
        <f t="shared" si="211"/>
        <v>8.9390451880877979</v>
      </c>
      <c r="AA237" s="193">
        <f t="shared" si="212"/>
        <v>8.8782686597507813E-6</v>
      </c>
      <c r="AB237" s="195">
        <f t="shared" si="213"/>
        <v>40.088016904954642</v>
      </c>
      <c r="AC237" s="195">
        <f t="shared" si="214"/>
        <v>8.3566119220678132</v>
      </c>
      <c r="AD237" s="193">
        <f t="shared" si="215"/>
        <v>8.6811832635012918E-6</v>
      </c>
      <c r="AE237" s="259">
        <f t="shared" si="46"/>
        <v>71</v>
      </c>
      <c r="AF237" s="259" cm="1">
        <f t="array" ref="AF237">_xlfn.IFS(N237&lt;=AC237,W237*(3/(X237^3 - (X237-AB237)^3)),N237&gt;AC237,W237*(3/X237^3))</f>
        <v>8.6591601328966224E-15</v>
      </c>
      <c r="AG237" s="280">
        <f t="shared" si="190"/>
        <v>1.0330695541083876E-5</v>
      </c>
      <c r="AH237" s="281">
        <f t="shared" si="191"/>
        <v>-1.6495122775825846E-6</v>
      </c>
      <c r="AI237" s="282">
        <f t="shared" si="192"/>
        <v>119.00100743774995</v>
      </c>
    </row>
    <row r="238" spans="1:35" ht="12.85" customHeight="1" x14ac:dyDescent="0.45">
      <c r="A238" s="83" t="s">
        <v>233</v>
      </c>
      <c r="B238" s="44" t="s">
        <v>234</v>
      </c>
      <c r="C238">
        <v>7.9988000000000001</v>
      </c>
      <c r="D238">
        <v>94.257199999999997</v>
      </c>
      <c r="E238" s="83" t="s">
        <v>8</v>
      </c>
      <c r="F238" s="215" t="s">
        <v>141</v>
      </c>
      <c r="G238" s="83">
        <v>-1.77</v>
      </c>
      <c r="H238">
        <v>500</v>
      </c>
      <c r="I238" s="214">
        <v>6.8502999999999998</v>
      </c>
      <c r="J238" s="83">
        <f t="shared" si="216"/>
        <v>1.6597542746968099</v>
      </c>
      <c r="K238" s="83">
        <f t="shared" si="205"/>
        <v>35.17588233426433</v>
      </c>
      <c r="L238" s="193">
        <f t="shared" si="206"/>
        <v>9.8758929638236043E-2</v>
      </c>
      <c r="M238" s="191">
        <v>2017</v>
      </c>
      <c r="N238" s="210">
        <v>5</v>
      </c>
      <c r="O238" t="s">
        <v>94</v>
      </c>
      <c r="Q238" s="215">
        <v>140</v>
      </c>
      <c r="R238">
        <v>1.5476535380000001</v>
      </c>
      <c r="S238" s="50">
        <v>0.133418584896833</v>
      </c>
      <c r="T238">
        <v>6.8701320407142399E-2</v>
      </c>
      <c r="V238" s="193">
        <f t="shared" si="207"/>
        <v>1.5284460686370908E-10</v>
      </c>
      <c r="W238" s="193">
        <f t="shared" si="208"/>
        <v>7.642230343185454E-10</v>
      </c>
      <c r="X238" s="83">
        <f t="shared" si="209"/>
        <v>67</v>
      </c>
      <c r="Y238" s="195">
        <f t="shared" si="210"/>
        <v>37.476038318546777</v>
      </c>
      <c r="Z238" s="195">
        <f t="shared" si="211"/>
        <v>8.9390451880878103</v>
      </c>
      <c r="AA238" s="193">
        <f t="shared" si="212"/>
        <v>8.3573308507126049E-6</v>
      </c>
      <c r="AB238" s="195">
        <f t="shared" si="213"/>
        <v>72.778804983203571</v>
      </c>
      <c r="AC238" s="195">
        <f t="shared" si="214"/>
        <v>4.6029884672785411</v>
      </c>
      <c r="AD238" s="193">
        <f t="shared" si="215"/>
        <v>7.6422303431854544E-6</v>
      </c>
      <c r="AE238" s="259">
        <f t="shared" si="46"/>
        <v>71</v>
      </c>
      <c r="AF238" s="259" cm="1">
        <f t="array" ref="AF238">_xlfn.IFS(N238&lt;=AC238,W238*(3/(X238^3 - (X238-AB238)^3)),N238&gt;AC238,W238*(3/X238^3))</f>
        <v>7.622842912710792E-15</v>
      </c>
      <c r="AG238" s="280">
        <f t="shared" si="190"/>
        <v>9.0943310991041069E-6</v>
      </c>
      <c r="AH238" s="281">
        <f t="shared" si="191"/>
        <v>-1.4521007559186525E-6</v>
      </c>
      <c r="AI238" s="282">
        <f t="shared" si="192"/>
        <v>119.00100743774996</v>
      </c>
    </row>
    <row r="239" spans="1:35" ht="12.85" customHeight="1" x14ac:dyDescent="0.45">
      <c r="A239" s="83" t="s">
        <v>233</v>
      </c>
      <c r="B239" s="44" t="s">
        <v>234</v>
      </c>
      <c r="C239">
        <v>8.1176999999999992</v>
      </c>
      <c r="D239">
        <v>93.217799999999997</v>
      </c>
      <c r="E239" s="83" t="s">
        <v>8</v>
      </c>
      <c r="F239" s="215" t="s">
        <v>141</v>
      </c>
      <c r="G239" s="83">
        <v>-1.77</v>
      </c>
      <c r="H239">
        <v>500</v>
      </c>
      <c r="I239" s="214">
        <v>5.1361999999999997</v>
      </c>
      <c r="J239" s="83">
        <f t="shared" si="216"/>
        <v>1.5346866099350016</v>
      </c>
      <c r="K239" s="83">
        <f t="shared" si="205"/>
        <v>26.374080966563273</v>
      </c>
      <c r="L239" s="193">
        <f t="shared" si="206"/>
        <v>7.4047211714509995E-2</v>
      </c>
      <c r="M239" s="191">
        <v>2017</v>
      </c>
      <c r="N239" s="210">
        <v>5</v>
      </c>
      <c r="O239" t="s">
        <v>94</v>
      </c>
      <c r="Q239" s="215">
        <v>76</v>
      </c>
      <c r="R239">
        <v>1.5476535380000001</v>
      </c>
      <c r="S239" s="50">
        <v>0.133418584896833</v>
      </c>
      <c r="T239">
        <v>0.12228673124646799</v>
      </c>
      <c r="V239" s="193">
        <f t="shared" si="207"/>
        <v>1.1459942918899646E-10</v>
      </c>
      <c r="W239" s="193">
        <f t="shared" si="208"/>
        <v>5.7299714594498228E-10</v>
      </c>
      <c r="X239" s="83">
        <f t="shared" si="209"/>
        <v>67</v>
      </c>
      <c r="Y239" s="195">
        <f t="shared" si="210"/>
        <v>37.476038318546777</v>
      </c>
      <c r="Z239" s="195">
        <f t="shared" si="211"/>
        <v>8.9390451880878103</v>
      </c>
      <c r="AA239" s="193">
        <f t="shared" si="212"/>
        <v>6.2661376458593159E-6</v>
      </c>
      <c r="AB239" s="195">
        <f t="shared" si="213"/>
        <v>40.887510435801389</v>
      </c>
      <c r="AC239" s="195">
        <f t="shared" si="214"/>
        <v>8.1932109935133557</v>
      </c>
      <c r="AD239" s="193">
        <f t="shared" si="215"/>
        <v>6.0905297615134022E-6</v>
      </c>
      <c r="AE239" s="259">
        <f t="shared" si="46"/>
        <v>71</v>
      </c>
      <c r="AF239" s="259" cm="1">
        <f t="array" ref="AF239">_xlfn.IFS(N239&lt;=AC239,W239*(3/(X239^3 - (X239-AB239)^3)),N239&gt;AC239,W239*(3/X239^3))</f>
        <v>6.0750788110705792E-15</v>
      </c>
      <c r="AG239" s="280">
        <f t="shared" si="190"/>
        <v>7.2477917744969401E-6</v>
      </c>
      <c r="AH239" s="281">
        <f t="shared" si="191"/>
        <v>-1.157262012983538E-6</v>
      </c>
      <c r="AI239" s="282">
        <f t="shared" si="192"/>
        <v>119.00100743774998</v>
      </c>
    </row>
    <row r="240" spans="1:35" ht="12.85" customHeight="1" x14ac:dyDescent="0.45">
      <c r="A240" s="83" t="s">
        <v>233</v>
      </c>
      <c r="B240" s="44" t="s">
        <v>234</v>
      </c>
      <c r="C240">
        <v>7.2336999999999998</v>
      </c>
      <c r="D240">
        <v>95.643699999999995</v>
      </c>
      <c r="E240" s="83" t="s">
        <v>8</v>
      </c>
      <c r="F240" s="215" t="s">
        <v>141</v>
      </c>
      <c r="G240" s="83">
        <v>-1.77</v>
      </c>
      <c r="H240">
        <v>500</v>
      </c>
      <c r="I240" s="214">
        <v>5.9901999999999997</v>
      </c>
      <c r="J240" s="83">
        <f t="shared" si="216"/>
        <v>1.6014860062223018</v>
      </c>
      <c r="K240" s="83">
        <f t="shared" si="205"/>
        <v>30.759320082143866</v>
      </c>
      <c r="L240" s="193">
        <f t="shared" si="206"/>
        <v>8.6359099648038978E-2</v>
      </c>
      <c r="M240" s="191">
        <v>2017</v>
      </c>
      <c r="N240" s="210">
        <v>5</v>
      </c>
      <c r="O240" t="s">
        <v>94</v>
      </c>
      <c r="Q240" s="215">
        <v>255</v>
      </c>
      <c r="R240">
        <v>1.5476535380000001</v>
      </c>
      <c r="S240" s="50">
        <v>0.133418584896833</v>
      </c>
      <c r="T240">
        <v>7.5039415084400998E-2</v>
      </c>
      <c r="V240" s="193">
        <f t="shared" si="207"/>
        <v>1.3365396610878208E-10</v>
      </c>
      <c r="W240" s="193">
        <f t="shared" si="208"/>
        <v>6.6826983054391042E-10</v>
      </c>
      <c r="X240" s="83">
        <f t="shared" si="209"/>
        <v>67</v>
      </c>
      <c r="Y240" s="195">
        <f t="shared" si="210"/>
        <v>37.476038318546777</v>
      </c>
      <c r="Z240" s="195">
        <f t="shared" si="211"/>
        <v>8.9390451880878103</v>
      </c>
      <c r="AA240" s="193">
        <f t="shared" si="212"/>
        <v>7.3080132639356856E-6</v>
      </c>
      <c r="AB240" s="195">
        <f t="shared" si="213"/>
        <v>66.631649438847873</v>
      </c>
      <c r="AC240" s="195">
        <f t="shared" si="214"/>
        <v>5.0276408106548667</v>
      </c>
      <c r="AD240" s="193">
        <f t="shared" si="215"/>
        <v>6.6826994159211124E-6</v>
      </c>
      <c r="AE240" s="259">
        <f t="shared" si="46"/>
        <v>71</v>
      </c>
      <c r="AF240" s="259" cm="1">
        <f t="array" ref="AF240">_xlfn.IFS(N240&lt;=AC240,W240*(3/(X240^3 - (X240-AB240)^3)),N240&gt;AC240,W240*(3/X240^3))</f>
        <v>6.6657462014155129E-15</v>
      </c>
      <c r="AG240" s="280">
        <f t="shared" si="190"/>
        <v>7.952479628982758E-6</v>
      </c>
      <c r="AH240" s="281">
        <f t="shared" si="191"/>
        <v>-1.2697802130616456E-6</v>
      </c>
      <c r="AI240" s="282">
        <f t="shared" si="192"/>
        <v>119.00100743774999</v>
      </c>
    </row>
    <row r="241" spans="1:35" ht="12.85" customHeight="1" x14ac:dyDescent="0.45">
      <c r="A241" s="83" t="s">
        <v>233</v>
      </c>
      <c r="B241" s="44" t="s">
        <v>234</v>
      </c>
      <c r="C241">
        <v>7.9992000000000001</v>
      </c>
      <c r="D241">
        <v>94.463499999999996</v>
      </c>
      <c r="E241" s="83" t="s">
        <v>8</v>
      </c>
      <c r="F241" s="215" t="s">
        <v>141</v>
      </c>
      <c r="G241" s="83">
        <v>-1.77</v>
      </c>
      <c r="H241">
        <v>500</v>
      </c>
      <c r="I241" s="214">
        <v>14.554599999999999</v>
      </c>
      <c r="J241" s="83">
        <f t="shared" si="216"/>
        <v>1.9870449577696752</v>
      </c>
      <c r="K241" s="83">
        <f t="shared" si="205"/>
        <v>74.737003784109262</v>
      </c>
      <c r="L241" s="193">
        <f t="shared" si="206"/>
        <v>0.20982974721000111</v>
      </c>
      <c r="M241" s="191">
        <v>2017</v>
      </c>
      <c r="N241" s="210">
        <v>5</v>
      </c>
      <c r="O241" t="s">
        <v>94</v>
      </c>
      <c r="Q241" s="215">
        <v>138</v>
      </c>
      <c r="R241">
        <v>1.5476535380000001</v>
      </c>
      <c r="S241" s="50">
        <v>0.133418584896833</v>
      </c>
      <c r="T241">
        <v>0.42296620589037198</v>
      </c>
      <c r="V241" s="193">
        <f t="shared" si="207"/>
        <v>3.2474375064720386E-10</v>
      </c>
      <c r="W241" s="193">
        <f t="shared" si="208"/>
        <v>1.6237187532360193E-9</v>
      </c>
      <c r="X241" s="83">
        <f t="shared" si="209"/>
        <v>67</v>
      </c>
      <c r="Y241" s="195">
        <f t="shared" si="210"/>
        <v>37.476038318546777</v>
      </c>
      <c r="Z241" s="195">
        <f t="shared" si="211"/>
        <v>8.9390451880878103</v>
      </c>
      <c r="AA241" s="193">
        <f t="shared" si="212"/>
        <v>1.7756537319501583E-5</v>
      </c>
      <c r="AB241" s="195">
        <f t="shared" si="213"/>
        <v>11.821275388833175</v>
      </c>
      <c r="AC241" s="195">
        <f t="shared" si="214"/>
        <v>28.338735794654923</v>
      </c>
      <c r="AD241" s="193">
        <f t="shared" si="215"/>
        <v>3.678454264945138E-5</v>
      </c>
      <c r="AE241" s="259">
        <f t="shared" si="46"/>
        <v>71</v>
      </c>
      <c r="AF241" s="259" cm="1">
        <f t="array" ref="AF241">_xlfn.IFS(N241&lt;=AC241,W241*(3/(X241^3 - (X241-AB241)^3)),N241&gt;AC241,W241*(3/X241^3))</f>
        <v>3.6691224634796888E-14</v>
      </c>
      <c r="AG241" s="280">
        <f t="shared" si="190"/>
        <v>4.3773976334215957E-5</v>
      </c>
      <c r="AH241" s="281">
        <f t="shared" si="191"/>
        <v>-6.989433684764577E-6</v>
      </c>
      <c r="AI241" s="282">
        <f t="shared" si="192"/>
        <v>119.00100743774999</v>
      </c>
    </row>
    <row r="242" spans="1:35" ht="12.85" customHeight="1" x14ac:dyDescent="0.45">
      <c r="A242" s="83" t="s">
        <v>233</v>
      </c>
      <c r="B242" s="44" t="s">
        <v>234</v>
      </c>
      <c r="C242">
        <v>6.2080000000000002</v>
      </c>
      <c r="D242">
        <v>93.863500000000002</v>
      </c>
      <c r="E242" s="83" t="s">
        <v>8</v>
      </c>
      <c r="F242" s="215" t="s">
        <v>141</v>
      </c>
      <c r="G242" s="83">
        <v>-1.77</v>
      </c>
      <c r="H242">
        <v>500</v>
      </c>
      <c r="I242" s="214">
        <v>8.5643999999999991</v>
      </c>
      <c r="J242" s="83">
        <f t="shared" si="216"/>
        <v>1.7567416262291387</v>
      </c>
      <c r="K242" s="83">
        <f t="shared" si="205"/>
        <v>43.977683701965383</v>
      </c>
      <c r="L242" s="193">
        <f t="shared" si="206"/>
        <v>0.12347064756196209</v>
      </c>
      <c r="M242" s="191">
        <v>2017</v>
      </c>
      <c r="N242" s="210">
        <v>5</v>
      </c>
      <c r="O242" t="s">
        <v>94</v>
      </c>
      <c r="Q242" s="215">
        <v>218</v>
      </c>
      <c r="R242">
        <v>1.5476535380000001</v>
      </c>
      <c r="S242" s="50">
        <v>0.133418584896833</v>
      </c>
      <c r="T242">
        <v>0.11555891279451599</v>
      </c>
      <c r="V242" s="193">
        <f t="shared" si="207"/>
        <v>1.9108978453842172E-10</v>
      </c>
      <c r="W242" s="193">
        <f t="shared" si="208"/>
        <v>9.5544892269210872E-10</v>
      </c>
      <c r="X242" s="83">
        <f t="shared" si="209"/>
        <v>67</v>
      </c>
      <c r="Y242" s="195">
        <f t="shared" si="210"/>
        <v>37.476038318546777</v>
      </c>
      <c r="Z242" s="195">
        <f t="shared" si="211"/>
        <v>8.9390451880878103</v>
      </c>
      <c r="AA242" s="193">
        <f t="shared" si="212"/>
        <v>1.0448524055565894E-5</v>
      </c>
      <c r="AB242" s="195">
        <f t="shared" si="213"/>
        <v>43.267973703515857</v>
      </c>
      <c r="AC242" s="195">
        <f t="shared" si="214"/>
        <v>7.7424471572325713</v>
      </c>
      <c r="AD242" s="193">
        <f t="shared" si="215"/>
        <v>9.9988439975130759E-6</v>
      </c>
      <c r="AE242" s="259">
        <f t="shared" si="46"/>
        <v>71</v>
      </c>
      <c r="AF242" s="259" cm="1">
        <f t="array" ref="AF242">_xlfn.IFS(N242&lt;=AC242,W242*(3/(X242^3 - (X242-AB242)^3)),N242&gt;AC242,W242*(3/X242^3))</f>
        <v>9.973478118165874E-15</v>
      </c>
      <c r="AG242" s="280">
        <f t="shared" si="190"/>
        <v>1.1898725089169554E-5</v>
      </c>
      <c r="AH242" s="281">
        <f t="shared" si="191"/>
        <v>-1.899881091656478E-6</v>
      </c>
      <c r="AI242" s="282">
        <f t="shared" si="192"/>
        <v>119.00100743775</v>
      </c>
    </row>
    <row r="243" spans="1:35" ht="12.85" customHeight="1" x14ac:dyDescent="0.45">
      <c r="A243" s="83" t="s">
        <v>233</v>
      </c>
      <c r="B243" s="44" t="s">
        <v>234</v>
      </c>
      <c r="C243">
        <v>7.2069999999999999</v>
      </c>
      <c r="D243">
        <v>94.479500000000002</v>
      </c>
      <c r="E243" s="83" t="s">
        <v>8</v>
      </c>
      <c r="F243" s="215" t="s">
        <v>141</v>
      </c>
      <c r="G243" s="83">
        <v>-1.77</v>
      </c>
      <c r="H243">
        <v>500</v>
      </c>
      <c r="I243" s="214">
        <v>15.835599999999999</v>
      </c>
      <c r="J243" s="83">
        <f t="shared" si="216"/>
        <v>2.0236792065636835</v>
      </c>
      <c r="K243" s="83">
        <f t="shared" si="205"/>
        <v>81.314862457480061</v>
      </c>
      <c r="L243" s="193">
        <f t="shared" si="206"/>
        <v>0.22829757911029436</v>
      </c>
      <c r="M243" s="191">
        <v>2017</v>
      </c>
      <c r="N243" s="210">
        <v>5</v>
      </c>
      <c r="O243" t="s">
        <v>94</v>
      </c>
      <c r="Q243" s="215">
        <v>100</v>
      </c>
      <c r="R243">
        <v>1.5476535380000001</v>
      </c>
      <c r="S243" s="50">
        <v>0.133418584896833</v>
      </c>
      <c r="T243">
        <v>5.49146572435796E-2</v>
      </c>
      <c r="V243" s="193">
        <f t="shared" si="207"/>
        <v>3.5332555602688203E-10</v>
      </c>
      <c r="W243" s="193">
        <f t="shared" si="208"/>
        <v>1.7666277801344102E-9</v>
      </c>
      <c r="X243" s="83">
        <f t="shared" si="209"/>
        <v>67</v>
      </c>
      <c r="Y243" s="195">
        <f t="shared" si="210"/>
        <v>37.476038318546777</v>
      </c>
      <c r="Z243" s="195">
        <f t="shared" si="211"/>
        <v>8.9390451880878103</v>
      </c>
      <c r="AA243" s="193">
        <f t="shared" si="212"/>
        <v>1.9319350746616124E-5</v>
      </c>
      <c r="AB243" s="195">
        <f t="shared" si="213"/>
        <v>91.050372541195813</v>
      </c>
      <c r="AC243" s="195">
        <f t="shared" si="214"/>
        <v>3.679282035319833</v>
      </c>
      <c r="AD243" s="193">
        <f t="shared" si="215"/>
        <v>1.7666277801344103E-5</v>
      </c>
      <c r="AE243" s="259">
        <f t="shared" si="46"/>
        <v>71</v>
      </c>
      <c r="AF243" s="259" cm="1">
        <f t="array" ref="AF243">_xlfn.IFS(N243&lt;=AC243,W243*(3/(X243^3 - (X243-AB243)^3)),N243&gt;AC243,W243*(3/X243^3))</f>
        <v>1.7621460553336783E-14</v>
      </c>
      <c r="AG243" s="280">
        <f t="shared" si="190"/>
        <v>2.1023048560351072E-5</v>
      </c>
      <c r="AH243" s="281">
        <f t="shared" si="191"/>
        <v>-3.3567707590069687E-6</v>
      </c>
      <c r="AI243" s="282">
        <f t="shared" si="192"/>
        <v>119.00100743774999</v>
      </c>
    </row>
    <row r="244" spans="1:35" ht="12.85" customHeight="1" x14ac:dyDescent="0.45">
      <c r="A244" s="83" t="s">
        <v>233</v>
      </c>
      <c r="B244" s="44" t="s">
        <v>234</v>
      </c>
      <c r="C244">
        <v>7.0510000000000002</v>
      </c>
      <c r="D244">
        <v>93.638499999999993</v>
      </c>
      <c r="E244" s="83" t="s">
        <v>8</v>
      </c>
      <c r="F244" s="215" t="s">
        <v>141</v>
      </c>
      <c r="G244" s="83">
        <v>-1.77</v>
      </c>
      <c r="H244">
        <v>500</v>
      </c>
      <c r="I244" s="214">
        <v>23.1129</v>
      </c>
      <c r="J244" s="83">
        <f t="shared" si="216"/>
        <v>2.1878991237103453</v>
      </c>
      <c r="K244" s="83">
        <f t="shared" si="205"/>
        <v>118.68336434953474</v>
      </c>
      <c r="L244" s="193">
        <f t="shared" si="206"/>
        <v>0.33321245271529504</v>
      </c>
      <c r="M244" s="191">
        <v>2017</v>
      </c>
      <c r="N244" s="210">
        <v>5</v>
      </c>
      <c r="O244" t="s">
        <v>94</v>
      </c>
      <c r="Q244" s="215">
        <v>209</v>
      </c>
      <c r="R244">
        <v>1.5476535380000001</v>
      </c>
      <c r="S244" s="50">
        <v>0.133418584896833</v>
      </c>
      <c r="T244">
        <v>0.49745025450215302</v>
      </c>
      <c r="V244" s="193">
        <f t="shared" si="207"/>
        <v>5.1569743135048414E-10</v>
      </c>
      <c r="W244" s="193">
        <f t="shared" si="208"/>
        <v>2.5784871567524207E-9</v>
      </c>
      <c r="X244" s="83">
        <f t="shared" si="209"/>
        <v>67</v>
      </c>
      <c r="Y244" s="195">
        <f t="shared" si="210"/>
        <v>37.476038318546777</v>
      </c>
      <c r="Z244" s="195">
        <f t="shared" si="211"/>
        <v>8.9390451880878103</v>
      </c>
      <c r="AA244" s="193">
        <f t="shared" si="212"/>
        <v>2.8197619406366924E-5</v>
      </c>
      <c r="AB244" s="195">
        <f t="shared" si="213"/>
        <v>10.051256290951118</v>
      </c>
      <c r="AC244" s="195">
        <f t="shared" si="214"/>
        <v>33.329167051644255</v>
      </c>
      <c r="AD244" s="193">
        <f t="shared" si="215"/>
        <v>6.6814787545668424E-5</v>
      </c>
      <c r="AE244" s="259">
        <f t="shared" si="46"/>
        <v>71</v>
      </c>
      <c r="AF244" s="259" cm="1">
        <f t="array" ref="AF244">_xlfn.IFS(N244&lt;=AC244,W244*(3/(X244^3 - (X244-AB244)^3)),N244&gt;AC244,W244*(3/X244^3))</f>
        <v>6.6645286367340832E-14</v>
      </c>
      <c r="AG244" s="280">
        <f t="shared" si="190"/>
        <v>7.951027029673774E-5</v>
      </c>
      <c r="AH244" s="281">
        <f t="shared" si="191"/>
        <v>-1.2695482751069317E-5</v>
      </c>
      <c r="AI244" s="282">
        <f t="shared" si="192"/>
        <v>119.00100743774999</v>
      </c>
    </row>
    <row r="245" spans="1:35" ht="12.85" customHeight="1" x14ac:dyDescent="0.45">
      <c r="A245" s="83" t="s">
        <v>233</v>
      </c>
      <c r="B245" s="44" t="s">
        <v>234</v>
      </c>
      <c r="C245">
        <v>7.1356999999999999</v>
      </c>
      <c r="D245">
        <v>93.534300000000002</v>
      </c>
      <c r="E245" s="83" t="s">
        <v>8</v>
      </c>
      <c r="F245" s="215" t="s">
        <v>141</v>
      </c>
      <c r="G245" s="83">
        <v>-1.77</v>
      </c>
      <c r="H245">
        <v>500</v>
      </c>
      <c r="I245" s="214">
        <v>87.754600000000011</v>
      </c>
      <c r="J245" s="83">
        <f t="shared" si="216"/>
        <v>2.7673145744001193</v>
      </c>
      <c r="K245" s="83">
        <f t="shared" si="205"/>
        <v>450.61464226244567</v>
      </c>
      <c r="L245" s="193">
        <f t="shared" si="206"/>
        <v>1.2651344272267706</v>
      </c>
      <c r="M245" s="191">
        <v>2017</v>
      </c>
      <c r="N245" s="210">
        <v>5</v>
      </c>
      <c r="O245" t="s">
        <v>94</v>
      </c>
      <c r="Q245" s="215">
        <v>98</v>
      </c>
      <c r="R245">
        <v>1.5476535380000001</v>
      </c>
      <c r="S245" s="50">
        <v>0.133418584896833</v>
      </c>
      <c r="T245">
        <v>0.33641534249784</v>
      </c>
      <c r="V245" s="193">
        <f t="shared" si="207"/>
        <v>1.9579897723431154E-9</v>
      </c>
      <c r="W245" s="193">
        <f t="shared" si="208"/>
        <v>9.7899488617155771E-9</v>
      </c>
      <c r="X245" s="83">
        <f t="shared" si="209"/>
        <v>67</v>
      </c>
      <c r="Y245" s="195">
        <f t="shared" si="210"/>
        <v>37.476038318546777</v>
      </c>
      <c r="Z245" s="195">
        <f t="shared" si="211"/>
        <v>8.9390451880878103</v>
      </c>
      <c r="AA245" s="193">
        <f t="shared" si="212"/>
        <v>1.0706016172604764E-4</v>
      </c>
      <c r="AB245" s="195">
        <f t="shared" si="213"/>
        <v>14.862580175076596</v>
      </c>
      <c r="AC245" s="195">
        <f t="shared" si="214"/>
        <v>22.539827947355281</v>
      </c>
      <c r="AD245" s="193">
        <f t="shared" si="215"/>
        <v>1.8514237573635515E-4</v>
      </c>
      <c r="AE245" s="259">
        <f t="shared" si="46"/>
        <v>71</v>
      </c>
      <c r="AF245" s="259" cm="1">
        <f t="array" ref="AF245">_xlfn.IFS(N245&lt;=AC245,W245*(3/(X245^3 - (X245-AB245)^3)),N245&gt;AC245,W245*(3/X245^3))</f>
        <v>1.8467269152424519E-13</v>
      </c>
      <c r="AG245" s="280">
        <f t="shared" si="190"/>
        <v>2.2032129232044708E-4</v>
      </c>
      <c r="AH245" s="281">
        <f t="shared" si="191"/>
        <v>-3.5178916584091931E-5</v>
      </c>
      <c r="AI245" s="282">
        <f t="shared" si="192"/>
        <v>119.00100743775002</v>
      </c>
    </row>
    <row r="246" spans="1:35" ht="12.85" customHeight="1" x14ac:dyDescent="0.45">
      <c r="A246" s="83" t="s">
        <v>233</v>
      </c>
      <c r="B246" s="44" t="s">
        <v>234</v>
      </c>
      <c r="C246">
        <v>7.2053000000000003</v>
      </c>
      <c r="D246">
        <v>77.168300000000002</v>
      </c>
      <c r="E246" s="83" t="s">
        <v>8</v>
      </c>
      <c r="F246" s="215" t="s">
        <v>141</v>
      </c>
      <c r="G246" s="83">
        <v>-1.77</v>
      </c>
      <c r="H246">
        <v>500</v>
      </c>
      <c r="I246" s="214">
        <v>97.173000000000002</v>
      </c>
      <c r="J246" s="83">
        <f t="shared" si="216"/>
        <v>2.8115902942364834</v>
      </c>
      <c r="K246" s="83">
        <f t="shared" si="205"/>
        <v>498.97756507999179</v>
      </c>
      <c r="L246" s="193">
        <f t="shared" si="206"/>
        <v>1.400916962722262</v>
      </c>
      <c r="M246" s="191">
        <v>2017</v>
      </c>
      <c r="N246" s="210">
        <v>5</v>
      </c>
      <c r="O246" t="s">
        <v>94</v>
      </c>
      <c r="Q246" s="215">
        <v>204</v>
      </c>
      <c r="R246">
        <v>1.5753479850000001</v>
      </c>
      <c r="S246" s="50">
        <v>0.133418584896833</v>
      </c>
      <c r="T246">
        <v>1.09366311892175E-2</v>
      </c>
      <c r="V246" s="193">
        <f t="shared" si="207"/>
        <v>2.2069317143768355E-9</v>
      </c>
      <c r="W246" s="193">
        <f t="shared" si="208"/>
        <v>1.1034658571884177E-8</v>
      </c>
      <c r="X246" s="83">
        <f t="shared" si="209"/>
        <v>67</v>
      </c>
      <c r="Y246" s="195">
        <f t="shared" si="210"/>
        <v>37.476038318546777</v>
      </c>
      <c r="Z246" s="195">
        <f t="shared" si="211"/>
        <v>8.9390451880878103</v>
      </c>
      <c r="AA246" s="193">
        <f t="shared" si="212"/>
        <v>1.206719614151913E-4</v>
      </c>
      <c r="AB246" s="195">
        <f t="shared" si="213"/>
        <v>457.17917277209955</v>
      </c>
      <c r="AC246" s="195">
        <f t="shared" si="214"/>
        <v>0.7327542896775725</v>
      </c>
      <c r="AD246" s="193">
        <f t="shared" si="215"/>
        <v>1.1034658571884177E-4</v>
      </c>
      <c r="AE246" s="259">
        <f t="shared" si="46"/>
        <v>71</v>
      </c>
      <c r="AF246" s="259" cm="1">
        <f t="array" ref="AF246">_xlfn.IFS(N246&lt;=AC246,W246*(3/(X246^3 - (X246-AB246)^3)),N246&gt;AC246,W246*(3/X246^3))</f>
        <v>1.1006664954017792E-13</v>
      </c>
      <c r="AG246" s="280">
        <f t="shared" si="190"/>
        <v>1.3131354867858207E-4</v>
      </c>
      <c r="AH246" s="281">
        <f t="shared" si="191"/>
        <v>-2.0966962959740297E-5</v>
      </c>
      <c r="AI246" s="282">
        <f t="shared" si="192"/>
        <v>119.00100743774999</v>
      </c>
    </row>
    <row r="247" spans="1:35" ht="12.85" customHeight="1" x14ac:dyDescent="0.45">
      <c r="A247" s="83" t="s">
        <v>233</v>
      </c>
      <c r="B247" s="44" t="s">
        <v>234</v>
      </c>
      <c r="C247">
        <v>8.0068999999999999</v>
      </c>
      <c r="D247">
        <v>76.695499999999996</v>
      </c>
      <c r="E247" s="83" t="s">
        <v>8</v>
      </c>
      <c r="F247" s="215" t="s">
        <v>141</v>
      </c>
      <c r="G247" s="83">
        <v>-1.77</v>
      </c>
      <c r="H247">
        <v>500</v>
      </c>
      <c r="I247" s="214">
        <v>163.52269999999999</v>
      </c>
      <c r="J247" s="83">
        <f t="shared" si="216"/>
        <v>3.0376227327783014</v>
      </c>
      <c r="K247" s="83">
        <f t="shared" si="205"/>
        <v>839.6793212240641</v>
      </c>
      <c r="L247" s="193">
        <f t="shared" si="206"/>
        <v>2.3574627131007961</v>
      </c>
      <c r="M247" s="191">
        <v>2017</v>
      </c>
      <c r="N247" s="210">
        <v>5</v>
      </c>
      <c r="O247" t="s">
        <v>94</v>
      </c>
      <c r="Q247" s="215">
        <v>190</v>
      </c>
      <c r="R247">
        <v>1.5753479850000001</v>
      </c>
      <c r="S247" s="50">
        <v>0.133418584896833</v>
      </c>
      <c r="T247">
        <v>1.72719085983211E-2</v>
      </c>
      <c r="V247" s="193">
        <f t="shared" si="207"/>
        <v>3.7138241347959728E-9</v>
      </c>
      <c r="W247" s="193">
        <f t="shared" si="208"/>
        <v>1.8569120673979865E-8</v>
      </c>
      <c r="X247" s="83">
        <f t="shared" si="209"/>
        <v>67</v>
      </c>
      <c r="Y247" s="195">
        <f t="shared" si="210"/>
        <v>37.476038318546777</v>
      </c>
      <c r="Z247" s="195">
        <f t="shared" si="211"/>
        <v>8.9390451880878103</v>
      </c>
      <c r="AA247" s="193">
        <f t="shared" si="212"/>
        <v>2.0306674636892869E-4</v>
      </c>
      <c r="AB247" s="195">
        <f t="shared" si="213"/>
        <v>289.48740502749189</v>
      </c>
      <c r="AC247" s="195">
        <f t="shared" si="214"/>
        <v>1.1572178760875138</v>
      </c>
      <c r="AD247" s="193">
        <f t="shared" si="215"/>
        <v>1.8569120673979866E-4</v>
      </c>
      <c r="AE247" s="259">
        <f t="shared" si="46"/>
        <v>71</v>
      </c>
      <c r="AF247" s="259" cm="1">
        <f t="array" ref="AF247">_xlfn.IFS(N247&lt;=AC247,W247*(3/(X247^3 - (X247-AB247)^3)),N247&gt;AC247,W247*(3/X247^3))</f>
        <v>1.8522013020863468E-13</v>
      </c>
      <c r="AG247" s="280">
        <f t="shared" si="190"/>
        <v>2.2097440674367547E-4</v>
      </c>
      <c r="AH247" s="281">
        <f t="shared" si="191"/>
        <v>-3.5283200003876817E-5</v>
      </c>
      <c r="AI247" s="282">
        <f t="shared" si="192"/>
        <v>119.00100743774998</v>
      </c>
    </row>
    <row r="248" spans="1:35" ht="12.85" customHeight="1" x14ac:dyDescent="0.45">
      <c r="A248" s="83" t="s">
        <v>233</v>
      </c>
      <c r="B248" s="44" t="s">
        <v>234</v>
      </c>
      <c r="C248">
        <v>9.9603999999999999</v>
      </c>
      <c r="D248">
        <v>75.594800000000006</v>
      </c>
      <c r="E248" s="83" t="s">
        <v>8</v>
      </c>
      <c r="F248" s="215" t="s">
        <v>141</v>
      </c>
      <c r="G248" s="83">
        <v>-1.77</v>
      </c>
      <c r="H248">
        <v>500</v>
      </c>
      <c r="I248" s="214">
        <v>160.52760000000001</v>
      </c>
      <c r="J248" s="83">
        <f t="shared" si="216"/>
        <v>3.0295943961604994</v>
      </c>
      <c r="K248" s="83">
        <f t="shared" si="205"/>
        <v>824.29966118299126</v>
      </c>
      <c r="L248" s="193">
        <f t="shared" si="206"/>
        <v>2.314283163276774</v>
      </c>
      <c r="M248" s="191">
        <v>2017</v>
      </c>
      <c r="N248" s="210">
        <v>5</v>
      </c>
      <c r="O248" t="s">
        <v>94</v>
      </c>
      <c r="Q248" s="215">
        <v>190</v>
      </c>
      <c r="R248">
        <v>0.617552302</v>
      </c>
      <c r="S248" s="50">
        <v>0.133418584896833</v>
      </c>
      <c r="T248">
        <v>3.6443933225831698E-2</v>
      </c>
      <c r="V248" s="193">
        <f t="shared" si="207"/>
        <v>1.4291908949614137E-9</v>
      </c>
      <c r="W248" s="193">
        <f t="shared" si="208"/>
        <v>7.1459544748070683E-9</v>
      </c>
      <c r="X248" s="83">
        <f t="shared" si="209"/>
        <v>67</v>
      </c>
      <c r="Y248" s="195">
        <f t="shared" si="210"/>
        <v>37.476038318546777</v>
      </c>
      <c r="Z248" s="195">
        <f t="shared" si="211"/>
        <v>8.9390451880878103</v>
      </c>
      <c r="AA248" s="193">
        <f t="shared" si="212"/>
        <v>7.8146173444439509E-5</v>
      </c>
      <c r="AB248" s="195">
        <f t="shared" si="213"/>
        <v>137.197046460835</v>
      </c>
      <c r="AC248" s="195">
        <f t="shared" si="214"/>
        <v>2.4417435261307237</v>
      </c>
      <c r="AD248" s="193">
        <f t="shared" si="215"/>
        <v>7.1459544748070689E-5</v>
      </c>
      <c r="AE248" s="259">
        <f t="shared" si="46"/>
        <v>71</v>
      </c>
      <c r="AF248" s="259" cm="1">
        <f t="array" ref="AF248">_xlfn.IFS(N248&lt;=AC248,W248*(3/(X248^3 - (X248-AB248)^3)),N248&gt;AC248,W248*(3/X248^3))</f>
        <v>7.1278260372523228E-14</v>
      </c>
      <c r="AG248" s="280">
        <f t="shared" si="190"/>
        <v>8.5037578160633876E-5</v>
      </c>
      <c r="AH248" s="281">
        <f t="shared" si="191"/>
        <v>-1.3578033412563187E-5</v>
      </c>
      <c r="AI248" s="282">
        <f t="shared" si="192"/>
        <v>119.00100743774998</v>
      </c>
    </row>
    <row r="249" spans="1:35" ht="12.85" customHeight="1" x14ac:dyDescent="0.45">
      <c r="A249" s="83" t="s">
        <v>233</v>
      </c>
      <c r="B249" s="44" t="s">
        <v>234</v>
      </c>
      <c r="C249">
        <v>11.002599999999999</v>
      </c>
      <c r="D249">
        <v>75.115799999999993</v>
      </c>
      <c r="E249" s="83" t="s">
        <v>8</v>
      </c>
      <c r="F249" s="215" t="s">
        <v>141</v>
      </c>
      <c r="G249" s="83">
        <v>-1.77</v>
      </c>
      <c r="H249">
        <v>500</v>
      </c>
      <c r="I249" s="214">
        <v>46.658899999999996</v>
      </c>
      <c r="J249" s="83">
        <f t="shared" si="216"/>
        <v>2.4929791793576443</v>
      </c>
      <c r="K249" s="83">
        <f t="shared" si="205"/>
        <v>239.59067139339948</v>
      </c>
      <c r="L249" s="193">
        <f t="shared" si="206"/>
        <v>0.67266879145402214</v>
      </c>
      <c r="M249" s="191">
        <v>2017</v>
      </c>
      <c r="N249" s="210">
        <v>5</v>
      </c>
      <c r="O249" t="s">
        <v>94</v>
      </c>
      <c r="Q249" s="215">
        <v>216</v>
      </c>
      <c r="R249">
        <v>0.56700719900000007</v>
      </c>
      <c r="S249" s="50">
        <v>0.133418584896833</v>
      </c>
      <c r="T249">
        <v>1.72658791522383E-2</v>
      </c>
      <c r="V249" s="193">
        <f t="shared" si="207"/>
        <v>3.814080472970603E-10</v>
      </c>
      <c r="W249" s="193">
        <f t="shared" si="208"/>
        <v>1.9070402364853016E-9</v>
      </c>
      <c r="X249" s="83">
        <f t="shared" si="209"/>
        <v>67</v>
      </c>
      <c r="Y249" s="195">
        <f t="shared" si="210"/>
        <v>37.476038318546777</v>
      </c>
      <c r="Z249" s="195">
        <f t="shared" si="211"/>
        <v>8.9390451880878103</v>
      </c>
      <c r="AA249" s="193">
        <f t="shared" si="212"/>
        <v>2.0854862371611858E-5</v>
      </c>
      <c r="AB249" s="195">
        <f t="shared" si="213"/>
        <v>289.58849740077176</v>
      </c>
      <c r="AC249" s="195">
        <f t="shared" si="214"/>
        <v>1.156813903199966</v>
      </c>
      <c r="AD249" s="193">
        <f t="shared" si="215"/>
        <v>1.9070402364853016E-5</v>
      </c>
      <c r="AE249" s="259">
        <f t="shared" si="46"/>
        <v>71</v>
      </c>
      <c r="AF249" s="259" cm="1">
        <f t="array" ref="AF249">_xlfn.IFS(N249&lt;=AC249,W249*(3/(X249^3 - (X249-AB249)^3)),N249&gt;AC249,W249*(3/X249^3))</f>
        <v>1.9022023019639733E-14</v>
      </c>
      <c r="AG249" s="280">
        <f t="shared" si="190"/>
        <v>2.2693970936607587E-5</v>
      </c>
      <c r="AH249" s="281">
        <f t="shared" si="191"/>
        <v>-3.6235685717545708E-6</v>
      </c>
      <c r="AI249" s="282">
        <f t="shared" si="192"/>
        <v>119.00100743774998</v>
      </c>
    </row>
    <row r="250" spans="1:35" ht="12.85" customHeight="1" x14ac:dyDescent="0.45">
      <c r="A250" s="83" t="s">
        <v>233</v>
      </c>
      <c r="B250" s="44" t="s">
        <v>234</v>
      </c>
      <c r="C250">
        <v>11.995900000000001</v>
      </c>
      <c r="D250">
        <v>74.422799999999995</v>
      </c>
      <c r="E250" s="83" t="s">
        <v>8</v>
      </c>
      <c r="F250" s="215" t="s">
        <v>141</v>
      </c>
      <c r="G250" s="83">
        <v>-1.77</v>
      </c>
      <c r="H250">
        <v>500</v>
      </c>
      <c r="I250" s="214">
        <v>25.253999999999998</v>
      </c>
      <c r="J250" s="83">
        <f xml:space="preserve"> LOG(I250, 10) - (G250) * LOG(H250,10)^(G250+1)</f>
        <v>2.2263748595562509</v>
      </c>
      <c r="K250" s="83">
        <f xml:space="preserve"> -1*10^J250*(G250+1)</f>
        <v>129.67778527502603</v>
      </c>
      <c r="L250" s="193">
        <f>IF(E250="Fragments",0.000000097*K250*(5000^(4+G250)-1)/(4+G250),0.000106*K250*(5000^(2+G250)-1)/(2+G250))</f>
        <v>0.36408011460578538</v>
      </c>
      <c r="M250" s="191">
        <v>2017</v>
      </c>
      <c r="N250" s="210">
        <v>5</v>
      </c>
      <c r="O250" t="s">
        <v>94</v>
      </c>
      <c r="Q250" s="215">
        <v>213</v>
      </c>
      <c r="R250">
        <v>0.51646209600000004</v>
      </c>
      <c r="S250" s="50">
        <v>0.133418584896833</v>
      </c>
      <c r="T250">
        <v>1.6494577075340199E-2</v>
      </c>
      <c r="V250" s="193">
        <f>L250*R250*0.000000001</f>
        <v>1.8803357910122416E-10</v>
      </c>
      <c r="W250" s="193">
        <f>V250*N250</f>
        <v>9.401678955061207E-10</v>
      </c>
      <c r="X250" s="83">
        <f>M250-1950</f>
        <v>67</v>
      </c>
      <c r="Y250" s="195">
        <f>N250/S250</f>
        <v>37.476038318546777</v>
      </c>
      <c r="Z250" s="195">
        <f>S250*X250</f>
        <v>8.9390451880878103</v>
      </c>
      <c r="AA250" s="193">
        <f>IF(N250&lt;Z250,W250/(1-(1-N250/Z250)^3),W250)*10000</f>
        <v>1.0281414986358222E-5</v>
      </c>
      <c r="AB250" s="195">
        <f>N250/T250</f>
        <v>303.12993034996475</v>
      </c>
      <c r="AC250" s="195">
        <f>T250*X250</f>
        <v>1.1051366640477933</v>
      </c>
      <c r="AD250" s="193">
        <f>IF(N250&lt;AC250,W250/(1-(1-N250/AC250)^3),W250)*10000</f>
        <v>9.4016789550612067E-6</v>
      </c>
      <c r="AE250" s="259">
        <f t="shared" si="46"/>
        <v>71</v>
      </c>
      <c r="AF250" s="259" cm="1">
        <f t="array" ref="AF250">_xlfn.IFS(N250&lt;=AC250,W250*(3/(X250^3 - (X250-AB250)^3)),N250&gt;AC250,W250*(3/X250^3))</f>
        <v>9.3778280124827929E-15</v>
      </c>
      <c r="AG250" s="280">
        <f t="shared" si="190"/>
        <v>1.1188092672585763E-5</v>
      </c>
      <c r="AH250" s="281">
        <f t="shared" si="191"/>
        <v>-1.7864137175245565E-6</v>
      </c>
      <c r="AI250" s="282">
        <f t="shared" si="192"/>
        <v>119.00100743775</v>
      </c>
    </row>
    <row r="251" spans="1:35" ht="14.25" customHeight="1" x14ac:dyDescent="0.45">
      <c r="A251" s="83" t="s">
        <v>233</v>
      </c>
      <c r="B251" s="44" t="s">
        <v>234</v>
      </c>
      <c r="C251">
        <v>12.9984</v>
      </c>
      <c r="D251">
        <v>73.896199999999993</v>
      </c>
      <c r="E251" s="83" t="s">
        <v>8</v>
      </c>
      <c r="F251" s="215" t="s">
        <v>141</v>
      </c>
      <c r="G251" s="83">
        <v>-1.77</v>
      </c>
      <c r="H251">
        <v>500</v>
      </c>
      <c r="I251" s="214">
        <v>29.536200000000001</v>
      </c>
      <c r="J251" s="83">
        <f xml:space="preserve"> LOG(I251, 10) - (G251) * LOG(H251,10)^(G251+1)</f>
        <v>2.2943993035410664</v>
      </c>
      <c r="K251" s="83">
        <f xml:space="preserve"> -1*10^J251*(G251+1)</f>
        <v>151.66662712600882</v>
      </c>
      <c r="L251" s="193">
        <f>IF(E251="Fragments",0.000000097*K251*(5000^(4+G251)-1)/(4+G251),0.000106*K251*(5000^(2+G251)-1)/(2+G251))</f>
        <v>0.42581543838676678</v>
      </c>
      <c r="M251" s="191">
        <v>2017</v>
      </c>
      <c r="N251" s="210">
        <v>5</v>
      </c>
      <c r="O251" t="s">
        <v>94</v>
      </c>
      <c r="Q251" s="215">
        <v>207</v>
      </c>
      <c r="R251">
        <v>0.51646209600000004</v>
      </c>
      <c r="S251" s="50">
        <v>0.133418584896833</v>
      </c>
      <c r="T251">
        <v>1.1964740140878E-2</v>
      </c>
      <c r="V251" s="193">
        <f>L251*R251*0.000000001</f>
        <v>2.1991753381838845E-10</v>
      </c>
      <c r="W251" s="193">
        <f>V251*N251</f>
        <v>1.0995876690919423E-9</v>
      </c>
      <c r="X251" s="83">
        <f>M251-1950</f>
        <v>67</v>
      </c>
      <c r="Y251" s="195">
        <f>N251/S251</f>
        <v>37.476038318546777</v>
      </c>
      <c r="Z251" s="195">
        <f>S251*X251</f>
        <v>8.9390451880878103</v>
      </c>
      <c r="AA251" s="193">
        <f>IF(N251&lt;Z251,W251/(1-(1-N251/Z251)^3),W251)*10000</f>
        <v>1.2024785353610281E-5</v>
      </c>
      <c r="AB251" s="195">
        <f>N251/T251</f>
        <v>417.89457532113926</v>
      </c>
      <c r="AC251" s="195">
        <f>T251*X251</f>
        <v>0.80163758943882601</v>
      </c>
      <c r="AD251" s="193">
        <f>IF(N251&lt;AC251,W251/(1-(1-N251/AC251)^3),W251)*10000</f>
        <v>1.0995876690919424E-5</v>
      </c>
      <c r="AE251" s="259">
        <f t="shared" si="46"/>
        <v>71</v>
      </c>
      <c r="AF251" s="259" cm="1">
        <f t="array" ref="AF251">_xlfn.IFS(N251&lt;=AC251,W251*(3/(X251^3 - (X251-AB251)^3)),N251&gt;AC251,W251*(3/X251^3))</f>
        <v>1.0967981458077712E-14</v>
      </c>
      <c r="AG251" s="280">
        <f t="shared" si="190"/>
        <v>1.3085204038806841E-5</v>
      </c>
      <c r="AH251" s="281">
        <f t="shared" si="191"/>
        <v>-2.0893273478874168E-6</v>
      </c>
      <c r="AI251" s="282">
        <f t="shared" si="192"/>
        <v>119.00100743774998</v>
      </c>
    </row>
    <row r="252" spans="1:35" ht="13.5" customHeight="1" x14ac:dyDescent="0.45">
      <c r="A252" s="83" t="s">
        <v>233</v>
      </c>
      <c r="B252" s="44" t="s">
        <v>234</v>
      </c>
      <c r="C252">
        <v>14.0007</v>
      </c>
      <c r="D252">
        <v>73.330100000000002</v>
      </c>
      <c r="E252" s="83" t="s">
        <v>8</v>
      </c>
      <c r="F252" s="215" t="s">
        <v>141</v>
      </c>
      <c r="G252" s="83">
        <v>-1.77</v>
      </c>
      <c r="H252">
        <v>500</v>
      </c>
      <c r="I252" s="214">
        <v>16.695699999999999</v>
      </c>
      <c r="J252" s="83">
        <f xml:space="preserve"> LOG(I252, 10) - (G252) * LOG(H252,10)^(G252+1)</f>
        <v>2.0466493158454755</v>
      </c>
      <c r="K252" s="83">
        <f xml:space="preserve"> -1*10^J252*(G252+1)</f>
        <v>85.731424709600574</v>
      </c>
      <c r="L252" s="193">
        <f>IF(E252="Fragments",0.000000097*K252*(5000^(4+G252)-1)/(4+G252),0.000106*K252*(5000^(2+G252)-1)/(2+G252))</f>
        <v>0.24069740910049156</v>
      </c>
      <c r="M252" s="191">
        <v>2017</v>
      </c>
      <c r="N252" s="210">
        <v>5</v>
      </c>
      <c r="O252" t="s">
        <v>94</v>
      </c>
      <c r="Q252" s="215">
        <v>214</v>
      </c>
      <c r="R252">
        <v>0.51646209600000004</v>
      </c>
      <c r="S252" s="50">
        <v>0.133418584896833</v>
      </c>
      <c r="T252">
        <v>2.88826140240015E-2</v>
      </c>
      <c r="V252" s="193">
        <f>L252*R252*0.000000001</f>
        <v>1.2431108840580937E-10</v>
      </c>
      <c r="W252" s="193">
        <f>V252*N252</f>
        <v>6.2155544202904688E-10</v>
      </c>
      <c r="X252" s="83">
        <f>M252-1950</f>
        <v>67</v>
      </c>
      <c r="Y252" s="195">
        <f>N252/S252</f>
        <v>37.476038318546777</v>
      </c>
      <c r="Z252" s="195">
        <f>S252*X252</f>
        <v>8.9390451880878103</v>
      </c>
      <c r="AA252" s="193">
        <f>IF(N252&lt;Z252,W252/(1-(1-N252/Z252)^3),W252)*10000</f>
        <v>6.7971576854257175E-6</v>
      </c>
      <c r="AB252" s="195">
        <f>N252/T252</f>
        <v>173.11452473951948</v>
      </c>
      <c r="AC252" s="195">
        <f>T252*X252</f>
        <v>1.9351351396081005</v>
      </c>
      <c r="AD252" s="193">
        <f>IF(N252&lt;AC252,W252/(1-(1-N252/AC252)^3),W252)*10000</f>
        <v>6.2155544202904684E-6</v>
      </c>
      <c r="AE252" s="259">
        <f t="shared" si="46"/>
        <v>71</v>
      </c>
      <c r="AF252" s="259" cm="1">
        <f t="array" ref="AF252">_xlfn.IFS(N252&lt;=AC252,W252*(3/(X252^3 - (X252-AB252)^3)),N252&gt;AC252,W252*(3/X252^3))</f>
        <v>6.1997862971414059E-15</v>
      </c>
      <c r="AG252" s="280">
        <f t="shared" si="190"/>
        <v>7.3965723779872598E-6</v>
      </c>
      <c r="AH252" s="281">
        <f t="shared" si="191"/>
        <v>-1.1810179576967913E-6</v>
      </c>
      <c r="AI252" s="282">
        <f t="shared" si="192"/>
        <v>119.00100743775</v>
      </c>
    </row>
    <row r="253" spans="1:35" x14ac:dyDescent="0.45">
      <c r="A253" s="83" t="s">
        <v>233</v>
      </c>
      <c r="B253" s="44" t="s">
        <v>234</v>
      </c>
      <c r="C253">
        <v>15.000500000000001</v>
      </c>
      <c r="D253">
        <v>73.017300000000006</v>
      </c>
      <c r="E253" s="83" t="s">
        <v>8</v>
      </c>
      <c r="F253" s="215" t="s">
        <v>141</v>
      </c>
      <c r="G253" s="83">
        <v>-1.77</v>
      </c>
      <c r="H253">
        <v>500</v>
      </c>
      <c r="I253" s="214">
        <v>15.798999999999999</v>
      </c>
      <c r="J253" s="83">
        <f xml:space="preserve"> LOG(I253, 10) - (G253) * LOG(H253,10)^(G253+1)</f>
        <v>2.0226742825166042</v>
      </c>
      <c r="K253" s="83">
        <f xml:space="preserve"> -1*10^J253*(G253+1)</f>
        <v>81.126923638240982</v>
      </c>
      <c r="L253" s="193">
        <f>IF(E253="Fragments",0.000000097*K253*(5000^(4+G253)-1)/(4+G253),0.000106*K253*(5000^(2+G253)-1)/(2+G253))</f>
        <v>0.22776992677028618</v>
      </c>
      <c r="M253" s="191">
        <v>2017</v>
      </c>
      <c r="N253" s="210">
        <v>5</v>
      </c>
      <c r="O253" t="s">
        <v>94</v>
      </c>
      <c r="Q253" s="215">
        <v>207</v>
      </c>
      <c r="R253">
        <v>0.51646209600000004</v>
      </c>
      <c r="S253" s="50">
        <v>0.133418584896833</v>
      </c>
      <c r="T253">
        <v>1.7401722599160199E-2</v>
      </c>
      <c r="V253" s="193">
        <f>L253*R253*0.000000001</f>
        <v>1.1763453378554852E-10</v>
      </c>
      <c r="W253" s="193">
        <f>V253*N253</f>
        <v>5.8817266892774257E-10</v>
      </c>
      <c r="X253" s="83">
        <f>M253-1950</f>
        <v>67</v>
      </c>
      <c r="Y253" s="195">
        <f>N253/S253</f>
        <v>37.476038318546777</v>
      </c>
      <c r="Z253" s="195">
        <f>S253*X253</f>
        <v>8.9390451880878103</v>
      </c>
      <c r="AA253" s="193">
        <f>IF(N253&lt;Z253,W253/(1-(1-N253/Z253)^3),W253)*10000</f>
        <v>6.4320929504028529E-6</v>
      </c>
      <c r="AB253" s="195">
        <f>N253/T253</f>
        <v>287.32787639318525</v>
      </c>
      <c r="AC253" s="195">
        <f>T253*X253</f>
        <v>1.1659154141437333</v>
      </c>
      <c r="AD253" s="193">
        <f>IF(N253&lt;AC253,W253/(1-(1-N253/AC253)^3),W253)*10000</f>
        <v>5.8817266892774258E-6</v>
      </c>
      <c r="AE253" s="259">
        <f t="shared" si="46"/>
        <v>71</v>
      </c>
      <c r="AF253" s="259" cm="1">
        <f t="array" ref="AF253">_xlfn.IFS(N253&lt;=AC253,W253*(3/(X253^3 - (X253-AB253)^3)),N253&gt;AC253,W253*(3/X253^3))</f>
        <v>5.8668054474228139E-15</v>
      </c>
      <c r="AG253" s="280">
        <f t="shared" si="190"/>
        <v>6.9993140149751563E-6</v>
      </c>
      <c r="AH253" s="281">
        <f t="shared" si="191"/>
        <v>-1.1175873256977304E-6</v>
      </c>
      <c r="AI253" s="282">
        <f t="shared" si="192"/>
        <v>119.00100743775</v>
      </c>
    </row>
  </sheetData>
  <hyperlinks>
    <hyperlink ref="B3" r:id="rId1" location="ab0015" display="https://www-sciencedirect-com.sid2nomade-1.grenet.fr/science/article/pii/S0048969718338786 - ab0015" xr:uid="{1767746F-6086-4F7F-B0F0-6177F6DE40BD}"/>
    <hyperlink ref="B4:B5" r:id="rId2" location="ab0015" display="https://www-sciencedirect-com.sid2nomade-1.grenet.fr/science/article/pii/S0048969718338786 - ab0015" xr:uid="{678154D3-EFB5-42B3-9D2A-53079F241A97}"/>
    <hyperlink ref="B6" r:id="rId3" display="https://www-sciencedirect-com.sid2nomade-1.grenet.fr/science/article/pii/S004896971934759X" xr:uid="{4606E14C-0A4B-4A77-8DC9-9BF18DAD317E}"/>
    <hyperlink ref="B7:B11" r:id="rId4" display="https://www-sciencedirect-com.sid2nomade-1.grenet.fr/science/article/pii/S004896971934759X" xr:uid="{036DDDAE-F98E-4328-873D-2E769FF1FE35}"/>
    <hyperlink ref="B12" r:id="rId5" location="sec2" display="https://www-sciencedirect-com.sid2nomade-2.grenet.fr/science/article/pii/S0269749118322474?via%3Dihub - sec2" xr:uid="{B58681F4-BF4C-4110-864A-D1F49E8D99A8}"/>
    <hyperlink ref="B13:B16" r:id="rId6" location="sec2" display="https://www-sciencedirect-com.sid2nomade-2.grenet.fr/science/article/pii/S0269749118322474?via%3Dihub - sec2" xr:uid="{F7E22785-DB96-4CA4-8862-424485FB2972}"/>
    <hyperlink ref="B18" r:id="rId7" location="f0005" display="https://www.sciencedirect.com/science/article/abs/pii/S0048969718319995 - f0005" xr:uid="{C40C280C-20E5-4638-8FA6-95C5192E53FA}"/>
    <hyperlink ref="B19:B30" r:id="rId8" location="f0005" display="https://www.sciencedirect.com/science/article/abs/pii/S0048969718319995 - f0005" xr:uid="{5CAC2A02-F584-4849-AC79-A9389258C6AE}"/>
    <hyperlink ref="B31" r:id="rId9" display="https://www-sciencedirect-com.sid2nomade-1.grenet.fr/science/article/pii/S004896971934759X?via%3Dihub" xr:uid="{6551287F-8F6B-47D1-9003-514618CC8555}"/>
    <hyperlink ref="B32:B58" r:id="rId10" display="https://www-sciencedirect-com.sid2nomade-1.grenet.fr/science/article/pii/S004896971934759X?via%3Dihub" xr:uid="{8D03E27B-E0FF-4824-B902-6100F05415FE}"/>
    <hyperlink ref="B59" r:id="rId11" display="https://www.sciencedirect.com/science/article/abs/pii/S0048969719315219?via%3Dihub" xr:uid="{BB52139C-154C-4647-8A42-5252A84DBE29}"/>
    <hyperlink ref="B60:B74" r:id="rId12" display="https://www.sciencedirect.com/science/article/abs/pii/S0048969719315219?via%3Dihub" xr:uid="{EC27D5DB-27F1-4CF6-BA93-6EE753A14A3E}"/>
    <hyperlink ref="B75" r:id="rId13" display="https://www.sciencedirect.com/science/article/abs/pii/S0048969719308769?via%3Dihub" xr:uid="{062D33F6-E51D-4AF6-8026-68FECCE1D7E4}"/>
    <hyperlink ref="B76:B86" r:id="rId14" display="https://www.sciencedirect.com/science/article/abs/pii/S0048969719308769?via%3Dihub" xr:uid="{3EFDDFC2-CA4A-4C54-819D-F7DFADAA8383}"/>
    <hyperlink ref="B87" r:id="rId15" location="abs0020" display="https://www-sciencedirect-com.sid2nomade-1.grenet.fr/science/article/pii/S0269749118339757 - abs0020" xr:uid="{D1730291-4315-4AF3-BFFA-0A27F54EA598}"/>
    <hyperlink ref="B88" r:id="rId16" location="abs0020" display="https://www-sciencedirect-com.sid2nomade-1.grenet.fr/science/article/pii/S0269749118339757 - abs0020" xr:uid="{B7D6708A-81D6-4F2C-81FE-46C89F990D0C}"/>
    <hyperlink ref="B90" r:id="rId17" location="ab010" display="https://www-sciencedirect-com.sid2nomade-1.grenet.fr/science/article/pii/S0048969719352969 - ab010" xr:uid="{024CC2A7-6C61-47E7-9362-520C43FBD50A}"/>
    <hyperlink ref="B91:B114" r:id="rId18" location="ab010" display="https://www-sciencedirect-com.sid2nomade-1.grenet.fr/science/article/pii/S0048969719352969 - ab010" xr:uid="{99A87165-2C9D-44ED-90ED-2910322EEC29}"/>
    <hyperlink ref="B115:B120" r:id="rId19" display="https://www.researchgate.net/publication/335365727_Microplastics_in_the_sediment_of_intertidal_areas_of_Lamongan_Indonesia" xr:uid="{620B4F58-7A44-4BC5-9703-E335C1B16ECA}"/>
    <hyperlink ref="B115" r:id="rId20" location="ab010" display="https://www-sciencedirect-com.sid2nomade-1.grenet.fr/science/article/pii/S0048969719352969 - ab010" xr:uid="{3289D35A-276C-4DDB-AC66-F85E7962B8C8}"/>
    <hyperlink ref="B116:B139" r:id="rId21" location="ab010" display="https://www-sciencedirect-com.sid2nomade-1.grenet.fr/science/article/pii/S0048969719352969 - ab010" xr:uid="{572DC4A4-949C-407E-B082-3A810A7A6B19}"/>
    <hyperlink ref="B145" r:id="rId22" display="https://www.researchgate.net/publication/335365727_Microplastics_in_the_sediment_of_intertidal_areas_of_Lamongan_Indonesia" xr:uid="{7F74CD06-6B33-4BAF-903A-9384C03342F0}"/>
    <hyperlink ref="B140" r:id="rId23" display="https://www.researchgate.net/publication/335365727_Microplastics_in_the_sediment_of_intertidal_areas_of_Lamongan_Indonesia" xr:uid="{3F812583-A115-4F24-90CA-C7666188A3FE}"/>
    <hyperlink ref="B146" r:id="rId24" location="s0010" display="https://www-sciencedirect-com.sid2nomade-2.grenet.fr/science/article/pii/S0025326X19307027 - s0010" xr:uid="{06C096E8-171B-4EF5-B43D-F00DDA420041}"/>
    <hyperlink ref="B147:B151" r:id="rId25" location="s0010" display="https://www-sciencedirect-com.sid2nomade-2.grenet.fr/science/article/pii/S0025326X19307027 - s0010" xr:uid="{8ADC56CC-04F2-453C-A48E-768C3508ECE8}"/>
    <hyperlink ref="B152" r:id="rId26" display="https://pmc-ncbi-nlm-nih-gov.sid2nomade-2.grenet.fr/articles/PMC6210488/" xr:uid="{E2E51E13-AB40-4790-B4F0-F39A48E11D5F}"/>
    <hyperlink ref="B153:B159" r:id="rId27" display="https://pmc-ncbi-nlm-nih-gov.sid2nomade-2.grenet.fr/articles/PMC6210488/" xr:uid="{225DA874-B87D-4C3A-BCA8-AB3F83F6BB4F}"/>
    <hyperlink ref="B160" r:id="rId28" location="Sec1" display="https://link-springer-com.sid2nomade-1.grenet.fr/article/10.1007/s00244-017-0414-9 - Sec1" xr:uid="{20F99E4B-FDF2-4EBD-9F08-16F1513CDA03}"/>
    <hyperlink ref="B161" r:id="rId29" location="Sec1" display="https://link-springer-com.sid2nomade-1.grenet.fr/article/10.1007/s00244-017-0414-9 - Sec1" xr:uid="{C89C08CB-A652-4E83-808E-CEECCF2B03D7}"/>
    <hyperlink ref="B162" r:id="rId30" display="https://www.sciencedirect.com/science/article/abs/pii/S0025326X16308761?via%3Dihub" xr:uid="{C86E2BD6-1F05-46FC-9CF8-DBC74CAC77A2}"/>
    <hyperlink ref="B163:B171" r:id="rId31" display="https://www.sciencedirect.com/science/article/abs/pii/S0025326X16308761?via%3Dihub" xr:uid="{FE644B55-EF7B-4212-AEFB-81D962E3AEA1}"/>
    <hyperlink ref="B172" r:id="rId32" location="ab0010" display="https://www-sciencedirect-com.sid2nomade-2.grenet.fr/science/article/pii/S0025326X17305192 - ab0010" xr:uid="{D49C5CBF-2AD3-47B2-9E73-9B06AAA1B2FE}"/>
    <hyperlink ref="B173:B193" r:id="rId33" location="ab0010" display="https://www-sciencedirect-com.sid2nomade-2.grenet.fr/science/article/pii/S0025326X17305192 - ab0010" xr:uid="{EFFD9818-2185-43C8-A555-14C6A86EFDB1}"/>
    <hyperlink ref="B194" r:id="rId34" location="abs0015" display="https://www-sciencedirect-com.sid2nomade-1.grenet.fr/science/article/pii/S0272771419311758 - abs0015" xr:uid="{AB2EDCDD-D84C-4166-AD0C-FAC9DC8B81AF}"/>
    <hyperlink ref="B195:B202" r:id="rId35" location="abs0015" display="https://www-sciencedirect-com.sid2nomade-1.grenet.fr/science/article/pii/S0272771419311758 - abs0015" xr:uid="{72F8615E-C35C-4151-AFEE-019864C29F3D}"/>
    <hyperlink ref="B203" r:id="rId36" location="abs0015" display="https://www-sciencedirect-com.sid2nomade-1.grenet.fr/science/article/pii/S0272771419311758 - abs0015" xr:uid="{20750564-9B9C-4706-BE4B-09938259BFC8}"/>
    <hyperlink ref="B204" r:id="rId37" location="abs0015" display="https://www-sciencedirect-com.sid2nomade-1.grenet.fr/science/article/pii/S0272771419311758 - abs0015" xr:uid="{15A7CD24-6599-4D1B-A5A1-E838E4DCC6B1}"/>
    <hyperlink ref="B205" r:id="rId38" location="abs0015" display="https://www-sciencedirect-com.sid2nomade-1.grenet.fr/science/article/pii/S0272771419311758 - abs0015" xr:uid="{E8B2B663-7302-4A24-BEE2-4E6B704F21C0}"/>
    <hyperlink ref="B206" r:id="rId39" location="abs0015" display="https://www-sciencedirect-com.sid2nomade-1.grenet.fr/science/article/pii/S0272771419311758 - abs0015" xr:uid="{9FB5995F-BCB5-4E86-814A-0B7743A3A8CE}"/>
    <hyperlink ref="B207" r:id="rId40" location="abs0015" display="https://www-sciencedirect-com.sid2nomade-1.grenet.fr/science/article/pii/S0272771419311758 - abs0015" xr:uid="{8CD34668-5EEC-4880-B78E-B7E3C123BFD5}"/>
    <hyperlink ref="B208" r:id="rId41" location="abs0015" display="https://www-sciencedirect-com.sid2nomade-1.grenet.fr/science/article/pii/S0272771419311758 - abs0015" xr:uid="{BBA81AF8-D885-449F-BB30-3263405A71EC}"/>
    <hyperlink ref="B209" r:id="rId42" location="abs0015" display="https://www-sciencedirect-com.sid2nomade-1.grenet.fr/science/article/pii/S0272771419311758 - abs0015" xr:uid="{7D6352C6-3960-467B-8DED-45CC7752A1D8}"/>
    <hyperlink ref="B210" r:id="rId43" location="abs0015" display="https://www-sciencedirect-com.sid2nomade-1.grenet.fr/science/article/pii/S0272771419311758 - abs0015" xr:uid="{EA723BCC-BAC1-4043-ACA4-1F724F21123F}"/>
    <hyperlink ref="B211" r:id="rId44" location="abs0015" display="https://www-sciencedirect-com.sid2nomade-1.grenet.fr/science/article/pii/S0272771419311758 - abs0015" xr:uid="{3626E773-9184-48A4-9280-4E005CA1CFA9}"/>
    <hyperlink ref="B212" r:id="rId45" location="Tab1" display="https://link-springer-com.sid2nomade-1.grenet.fr/article/10.1007/s11368-022-03166-3 - Tab1" xr:uid="{CB6593DD-4CC2-4694-A75E-8A61848E9186}"/>
    <hyperlink ref="B213:B221" r:id="rId46" location="Tab1" display="https://link-springer-com.sid2nomade-1.grenet.fr/article/10.1007/s11368-022-03166-3 - Tab1" xr:uid="{D5AFF4BE-2657-4728-91CF-E59A739C5010}"/>
    <hyperlink ref="B222" r:id="rId47" location="Tab1" display="https://link-springer-com.sid2nomade-1.grenet.fr/article/10.1007/s11368-022-03166-3 - Tab1" xr:uid="{AC1D1EF3-56F8-40AE-BA22-C1164219B36C}"/>
    <hyperlink ref="B223:B231" r:id="rId48" location="Tab1" display="https://link-springer-com.sid2nomade-1.grenet.fr/article/10.1007/s11368-022-03166-3 - Tab1" xr:uid="{7C58D72B-1344-4764-9A85-10E82F196D98}"/>
    <hyperlink ref="B232" r:id="rId49" location="s0010" display="https://www-sciencedirect-com.sid2nomade-2.grenet.fr/science/article/pii/S0025326X21003453 - s0010" xr:uid="{E4834F22-EB37-4CD0-A571-E25A2D19F853}"/>
    <hyperlink ref="B233:B253" r:id="rId50" location="s0010" display="https://www-sciencedirect-com.sid2nomade-2.grenet.fr/science/article/pii/S0025326X21003453 - s0010" xr:uid="{EAF77035-1F38-4AE8-9CA6-2E7EC920F6F4}"/>
  </hyperlinks>
  <pageMargins left="0.7" right="0.7" top="0.75" bottom="0.75" header="0.3" footer="0.3"/>
  <legacy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C1F5-5C9C-4330-975F-8137C08039EA}">
  <dimension ref="A1:AL332"/>
  <sheetViews>
    <sheetView topLeftCell="F1" workbookViewId="0">
      <selection activeCell="M1" sqref="M1:AL1048576"/>
    </sheetView>
  </sheetViews>
  <sheetFormatPr baseColWidth="10" defaultColWidth="12.6640625" defaultRowHeight="16.25" customHeight="1" x14ac:dyDescent="0.45"/>
  <cols>
    <col min="1" max="8" width="12.6640625" style="14"/>
    <col min="9" max="11" width="12.6640625" style="46"/>
    <col min="12" max="12" width="12.6640625" style="259"/>
    <col min="15" max="15" width="12.59765625" customWidth="1"/>
  </cols>
  <sheetData>
    <row r="1" spans="1:38" s="254" customFormat="1" ht="16.25" customHeight="1" thickBot="1" x14ac:dyDescent="0.5">
      <c r="A1" s="249" t="s">
        <v>101</v>
      </c>
      <c r="B1" s="249" t="s">
        <v>235</v>
      </c>
      <c r="C1" s="249" t="s">
        <v>102</v>
      </c>
      <c r="D1" s="249" t="s">
        <v>1</v>
      </c>
      <c r="E1" s="249" t="s">
        <v>2</v>
      </c>
      <c r="F1" s="250" t="s">
        <v>3</v>
      </c>
      <c r="G1" s="250" t="s">
        <v>4</v>
      </c>
      <c r="H1" s="251" t="s">
        <v>92</v>
      </c>
      <c r="I1" s="252" t="s">
        <v>6</v>
      </c>
      <c r="J1" s="253" t="s">
        <v>236</v>
      </c>
      <c r="K1" s="253" t="s">
        <v>132</v>
      </c>
      <c r="L1" s="256" t="s">
        <v>261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6.25" customHeight="1" x14ac:dyDescent="0.45">
      <c r="A2" s="216" t="s">
        <v>103</v>
      </c>
      <c r="B2" s="137" t="s">
        <v>7</v>
      </c>
      <c r="C2" s="243" t="s">
        <v>123</v>
      </c>
      <c r="D2" s="244">
        <v>33</v>
      </c>
      <c r="E2" s="245">
        <v>122.21</v>
      </c>
      <c r="F2" s="216" t="s">
        <v>8</v>
      </c>
      <c r="G2" s="246">
        <v>0.91</v>
      </c>
      <c r="H2" s="137">
        <v>2017</v>
      </c>
      <c r="I2" s="247">
        <v>28.4</v>
      </c>
      <c r="J2" s="248">
        <v>2.8525947380090531E-3</v>
      </c>
      <c r="K2" s="248">
        <v>1.4956877751919825E-3</v>
      </c>
      <c r="L2" s="259">
        <v>1.7798835206017279E-3</v>
      </c>
    </row>
    <row r="3" spans="1:38" ht="16.25" customHeight="1" x14ac:dyDescent="0.45">
      <c r="A3" s="1" t="s">
        <v>103</v>
      </c>
      <c r="B3" s="14" t="s">
        <v>106</v>
      </c>
      <c r="C3" s="217" t="s">
        <v>123</v>
      </c>
      <c r="D3" s="182">
        <v>34</v>
      </c>
      <c r="E3" s="183">
        <v>121.24</v>
      </c>
      <c r="F3" s="1" t="s">
        <v>8</v>
      </c>
      <c r="G3" s="39">
        <v>0.96</v>
      </c>
      <c r="H3" s="14">
        <v>2017</v>
      </c>
      <c r="I3" s="240">
        <v>111</v>
      </c>
      <c r="J3" s="46">
        <v>2.9491236147911565E-3</v>
      </c>
      <c r="K3" s="46">
        <v>1.320626130780027E-2</v>
      </c>
      <c r="L3" s="259">
        <v>1.5715584001144096E-2</v>
      </c>
    </row>
    <row r="4" spans="1:38" ht="16.25" customHeight="1" x14ac:dyDescent="0.45">
      <c r="A4" s="1" t="s">
        <v>103</v>
      </c>
      <c r="B4" s="14" t="s">
        <v>107</v>
      </c>
      <c r="C4" s="217" t="s">
        <v>123</v>
      </c>
      <c r="D4" s="182">
        <v>36</v>
      </c>
      <c r="E4" s="183">
        <v>121</v>
      </c>
      <c r="F4" s="1" t="s">
        <v>8</v>
      </c>
      <c r="G4" s="39">
        <v>0.96</v>
      </c>
      <c r="H4" s="14">
        <v>2017</v>
      </c>
      <c r="I4" s="240">
        <v>180</v>
      </c>
      <c r="J4" s="46">
        <v>3.1787957698934024E-3</v>
      </c>
      <c r="K4" s="46">
        <v>6.920967952712056E-3</v>
      </c>
      <c r="L4" s="259">
        <v>8.2360215881711642E-3</v>
      </c>
    </row>
    <row r="5" spans="1:38" ht="16.25" customHeight="1" x14ac:dyDescent="0.45">
      <c r="A5" s="1" t="s">
        <v>103</v>
      </c>
      <c r="B5" s="14" t="s">
        <v>108</v>
      </c>
      <c r="C5" s="217" t="s">
        <v>123</v>
      </c>
      <c r="D5" s="182">
        <v>33</v>
      </c>
      <c r="E5" s="183">
        <v>123</v>
      </c>
      <c r="F5" s="1" t="s">
        <v>8</v>
      </c>
      <c r="G5" s="39">
        <v>0.81</v>
      </c>
      <c r="H5" s="14">
        <v>2017</v>
      </c>
      <c r="I5" s="240">
        <v>74.8</v>
      </c>
      <c r="J5" s="46">
        <v>2.4098933375945797E-3</v>
      </c>
      <c r="K5" s="46">
        <v>4.6767806397714625E-3</v>
      </c>
      <c r="L5" s="259">
        <v>5.5654160769816885E-3</v>
      </c>
    </row>
    <row r="6" spans="1:38" ht="16.25" customHeight="1" x14ac:dyDescent="0.45">
      <c r="A6" s="1" t="s">
        <v>103</v>
      </c>
      <c r="B6" s="14" t="s">
        <v>109</v>
      </c>
      <c r="C6" s="217" t="s">
        <v>123</v>
      </c>
      <c r="D6" s="182">
        <v>35</v>
      </c>
      <c r="E6" s="183">
        <v>121.39</v>
      </c>
      <c r="F6" s="1" t="s">
        <v>8</v>
      </c>
      <c r="G6" s="39">
        <v>0.91</v>
      </c>
      <c r="H6" s="14">
        <v>2017</v>
      </c>
      <c r="I6" s="240">
        <v>81.900000000000006</v>
      </c>
      <c r="J6" s="46">
        <v>4.4602998237247742E-3</v>
      </c>
      <c r="K6" s="46">
        <v>2.2113069427308007E-3</v>
      </c>
      <c r="L6" s="259">
        <v>2.6314775393905627E-3</v>
      </c>
    </row>
    <row r="7" spans="1:38" ht="16.25" customHeight="1" x14ac:dyDescent="0.45">
      <c r="A7" s="1" t="s">
        <v>103</v>
      </c>
      <c r="B7" s="14" t="s">
        <v>110</v>
      </c>
      <c r="C7" s="217" t="s">
        <v>123</v>
      </c>
      <c r="D7" s="182">
        <v>36</v>
      </c>
      <c r="E7" s="183">
        <v>121.4</v>
      </c>
      <c r="F7" s="1" t="s">
        <v>8</v>
      </c>
      <c r="G7" s="39">
        <v>0.86</v>
      </c>
      <c r="H7" s="14">
        <v>2017</v>
      </c>
      <c r="I7" s="240">
        <v>108</v>
      </c>
      <c r="J7" s="46">
        <v>6.0247333439864478E-3</v>
      </c>
      <c r="K7" s="46">
        <v>2.9484764056608168E-3</v>
      </c>
      <c r="L7" s="259">
        <v>3.5087166268007327E-3</v>
      </c>
    </row>
    <row r="8" spans="1:38" ht="16.25" customHeight="1" x14ac:dyDescent="0.45">
      <c r="A8" s="1" t="s">
        <v>103</v>
      </c>
      <c r="B8" s="14" t="s">
        <v>111</v>
      </c>
      <c r="C8" s="217" t="s">
        <v>123</v>
      </c>
      <c r="D8" s="182">
        <v>35</v>
      </c>
      <c r="E8" s="183">
        <v>123</v>
      </c>
      <c r="F8" s="1" t="s">
        <v>8</v>
      </c>
      <c r="G8" s="39">
        <v>0.84</v>
      </c>
      <c r="H8" s="14">
        <v>2017</v>
      </c>
      <c r="I8" s="240">
        <v>114</v>
      </c>
      <c r="K8" s="46">
        <v>3.0602983928645065E-3</v>
      </c>
      <c r="L8" s="259">
        <v>3.6417859181100349E-3</v>
      </c>
    </row>
    <row r="9" spans="1:38" ht="16.25" customHeight="1" x14ac:dyDescent="0.45">
      <c r="A9" s="1" t="s">
        <v>103</v>
      </c>
      <c r="B9" s="14" t="s">
        <v>112</v>
      </c>
      <c r="C9" s="217" t="s">
        <v>123</v>
      </c>
      <c r="D9" s="182">
        <v>34</v>
      </c>
      <c r="E9" s="183">
        <v>124</v>
      </c>
      <c r="F9" s="1" t="s">
        <v>8</v>
      </c>
      <c r="G9" s="39">
        <v>0.85</v>
      </c>
      <c r="H9" s="14">
        <v>2017</v>
      </c>
      <c r="I9" s="240">
        <v>90.9</v>
      </c>
      <c r="K9" s="46">
        <v>4.8651383013826694E-3</v>
      </c>
      <c r="L9" s="259">
        <v>5.7895635918852155E-3</v>
      </c>
    </row>
    <row r="10" spans="1:38" ht="16.25" customHeight="1" x14ac:dyDescent="0.45">
      <c r="A10" s="1" t="s">
        <v>103</v>
      </c>
      <c r="B10" s="14" t="s">
        <v>113</v>
      </c>
      <c r="C10" s="217" t="s">
        <v>123</v>
      </c>
      <c r="D10" s="182">
        <v>36</v>
      </c>
      <c r="E10" s="183">
        <v>122</v>
      </c>
      <c r="F10" s="1" t="s">
        <v>8</v>
      </c>
      <c r="G10" s="39">
        <v>0.74</v>
      </c>
      <c r="H10" s="14">
        <v>2017</v>
      </c>
      <c r="I10" s="240">
        <v>83.2</v>
      </c>
      <c r="K10" s="46">
        <v>2.227243790340908E-3</v>
      </c>
      <c r="L10" s="259">
        <v>2.6504425486004084E-3</v>
      </c>
    </row>
    <row r="11" spans="1:38" ht="16.25" customHeight="1" x14ac:dyDescent="0.45">
      <c r="A11" s="1" t="s">
        <v>103</v>
      </c>
      <c r="B11" s="14" t="s">
        <v>114</v>
      </c>
      <c r="C11" s="217" t="s">
        <v>123</v>
      </c>
      <c r="D11" s="182">
        <v>35</v>
      </c>
      <c r="E11" s="183">
        <v>124</v>
      </c>
      <c r="F11" s="1" t="s">
        <v>8</v>
      </c>
      <c r="G11" s="39">
        <v>0.67</v>
      </c>
      <c r="H11" s="14">
        <v>2017</v>
      </c>
      <c r="I11" s="240">
        <v>77.400000000000006</v>
      </c>
      <c r="K11" s="46">
        <v>2.0765858126276528E-3</v>
      </c>
      <c r="L11" s="259">
        <v>2.471158037336294E-3</v>
      </c>
    </row>
    <row r="12" spans="1:38" ht="16.25" customHeight="1" x14ac:dyDescent="0.45">
      <c r="A12" s="1" t="s">
        <v>103</v>
      </c>
      <c r="B12" s="14" t="s">
        <v>115</v>
      </c>
      <c r="C12" s="217" t="s">
        <v>123</v>
      </c>
      <c r="D12" s="182">
        <v>36</v>
      </c>
      <c r="E12" s="183">
        <v>123</v>
      </c>
      <c r="F12" s="1" t="s">
        <v>8</v>
      </c>
      <c r="G12" s="39">
        <v>0.82</v>
      </c>
      <c r="H12" s="14">
        <v>2017</v>
      </c>
      <c r="I12" s="240">
        <v>94.9</v>
      </c>
      <c r="K12" s="46">
        <v>2.5255821431145742E-3</v>
      </c>
      <c r="L12" s="259">
        <v>3.0054681939742606E-3</v>
      </c>
    </row>
    <row r="13" spans="1:38" ht="16.25" customHeight="1" x14ac:dyDescent="0.45">
      <c r="A13" s="1" t="s">
        <v>103</v>
      </c>
      <c r="B13" s="14" t="s">
        <v>116</v>
      </c>
      <c r="C13" s="217" t="s">
        <v>123</v>
      </c>
      <c r="D13" s="182">
        <v>35</v>
      </c>
      <c r="E13" s="183">
        <v>124</v>
      </c>
      <c r="F13" s="1" t="s">
        <v>8</v>
      </c>
      <c r="G13" s="39">
        <v>0.67</v>
      </c>
      <c r="H13" s="14">
        <v>2017</v>
      </c>
      <c r="I13" s="240">
        <v>135</v>
      </c>
      <c r="K13" s="46">
        <v>3.6219519987691611E-3</v>
      </c>
      <c r="L13" s="259">
        <v>4.3101593674470234E-3</v>
      </c>
    </row>
    <row r="14" spans="1:38" ht="16.25" customHeight="1" x14ac:dyDescent="0.45">
      <c r="A14" s="1" t="s">
        <v>103</v>
      </c>
      <c r="B14" s="14" t="s">
        <v>117</v>
      </c>
      <c r="C14" s="217" t="s">
        <v>123</v>
      </c>
      <c r="D14" s="182">
        <v>34</v>
      </c>
      <c r="E14" s="183">
        <v>123.44</v>
      </c>
      <c r="F14" s="1" t="s">
        <v>8</v>
      </c>
      <c r="G14" s="39">
        <v>0.87990000000000002</v>
      </c>
      <c r="H14" s="14">
        <v>2017</v>
      </c>
      <c r="I14" s="240">
        <v>86.3</v>
      </c>
      <c r="K14" s="46">
        <v>2.3244336956260232E-3</v>
      </c>
      <c r="L14" s="259">
        <v>2.7660995150174902E-3</v>
      </c>
    </row>
    <row r="15" spans="1:38" ht="16.25" customHeight="1" x14ac:dyDescent="0.45">
      <c r="A15" s="1" t="s">
        <v>103</v>
      </c>
      <c r="B15" s="14" t="s">
        <v>118</v>
      </c>
      <c r="C15" s="217" t="s">
        <v>123</v>
      </c>
      <c r="D15" s="182">
        <v>32.299999999999997</v>
      </c>
      <c r="E15" s="183">
        <v>122.12</v>
      </c>
      <c r="F15" s="1" t="s">
        <v>8</v>
      </c>
      <c r="G15" s="39">
        <v>0.87970000000000004</v>
      </c>
      <c r="H15" s="14">
        <v>2017</v>
      </c>
      <c r="I15" s="240">
        <v>38</v>
      </c>
      <c r="K15" s="46">
        <v>1.048098093655557E-2</v>
      </c>
      <c r="L15" s="259">
        <v>1.2472472903859676E-2</v>
      </c>
    </row>
    <row r="16" spans="1:38" ht="16.25" customHeight="1" x14ac:dyDescent="0.45">
      <c r="A16" s="220" t="s">
        <v>239</v>
      </c>
      <c r="B16" s="1" t="s">
        <v>9</v>
      </c>
      <c r="C16" s="217" t="s">
        <v>238</v>
      </c>
      <c r="D16" s="184">
        <v>66</v>
      </c>
      <c r="E16" s="184">
        <v>-168</v>
      </c>
      <c r="F16" s="28" t="s">
        <v>8</v>
      </c>
      <c r="G16" s="2" t="s">
        <v>10</v>
      </c>
      <c r="H16" s="14">
        <v>2017</v>
      </c>
      <c r="I16" s="241">
        <v>1.31</v>
      </c>
      <c r="K16" s="46">
        <v>5.33937652533E-5</v>
      </c>
      <c r="L16" s="259">
        <v>6.3539118560374303E-5</v>
      </c>
    </row>
    <row r="17" spans="1:12" ht="16.25" customHeight="1" x14ac:dyDescent="0.45">
      <c r="A17" s="1" t="s">
        <v>241</v>
      </c>
      <c r="B17" s="14" t="s">
        <v>11</v>
      </c>
      <c r="C17" s="217" t="s">
        <v>240</v>
      </c>
      <c r="D17" s="185">
        <v>31.82</v>
      </c>
      <c r="E17" s="185">
        <v>-116.72</v>
      </c>
      <c r="F17" s="28" t="s">
        <v>8</v>
      </c>
      <c r="G17" s="5" t="s">
        <v>12</v>
      </c>
      <c r="H17" s="14">
        <v>2016</v>
      </c>
      <c r="I17" s="241">
        <v>27.7</v>
      </c>
      <c r="K17" s="46">
        <v>8.7313016476065072E-4</v>
      </c>
      <c r="L17" s="259">
        <v>1.0869816985267595E-3</v>
      </c>
    </row>
    <row r="18" spans="1:12" ht="16.25" customHeight="1" x14ac:dyDescent="0.45">
      <c r="A18" s="1" t="s">
        <v>241</v>
      </c>
      <c r="B18" s="14" t="s">
        <v>13</v>
      </c>
      <c r="C18" s="217" t="s">
        <v>240</v>
      </c>
      <c r="D18" s="185">
        <v>31.82</v>
      </c>
      <c r="E18" s="185">
        <v>-116.72</v>
      </c>
      <c r="F18" s="28" t="s">
        <v>14</v>
      </c>
      <c r="G18" s="5" t="s">
        <v>15</v>
      </c>
      <c r="H18" s="14">
        <v>2016</v>
      </c>
      <c r="I18" s="241">
        <v>495</v>
      </c>
      <c r="K18" s="46">
        <v>1.5602867565217409E-2</v>
      </c>
      <c r="L18" s="259">
        <v>1.9424402193889755E-2</v>
      </c>
    </row>
    <row r="19" spans="1:12" ht="16.25" customHeight="1" x14ac:dyDescent="0.45">
      <c r="A19" s="15" t="s">
        <v>124</v>
      </c>
      <c r="B19" s="14" t="s">
        <v>16</v>
      </c>
      <c r="C19" s="217" t="s">
        <v>125</v>
      </c>
      <c r="D19" s="185">
        <v>30.45</v>
      </c>
      <c r="E19" s="185">
        <v>122.45</v>
      </c>
      <c r="F19" s="28" t="s">
        <v>8</v>
      </c>
      <c r="G19" s="8" t="s">
        <v>17</v>
      </c>
      <c r="H19" s="14">
        <v>2018</v>
      </c>
      <c r="I19" s="241">
        <v>3.56</v>
      </c>
      <c r="K19" s="46">
        <v>5.4160385685147084E-4</v>
      </c>
      <c r="L19" s="259">
        <v>6.1649570657428888E-4</v>
      </c>
    </row>
    <row r="20" spans="1:12" ht="16.25" customHeight="1" x14ac:dyDescent="0.45">
      <c r="A20" s="15" t="s">
        <v>242</v>
      </c>
      <c r="B20" s="14" t="s">
        <v>18</v>
      </c>
      <c r="C20" s="217" t="s">
        <v>243</v>
      </c>
      <c r="D20" s="186">
        <v>18.407564000000001</v>
      </c>
      <c r="E20" s="187">
        <v>109.98518</v>
      </c>
      <c r="F20" s="28" t="s">
        <v>8</v>
      </c>
      <c r="G20" s="8" t="s">
        <v>19</v>
      </c>
      <c r="H20" s="14">
        <v>2018</v>
      </c>
      <c r="I20" s="68">
        <v>2.12</v>
      </c>
      <c r="K20" s="46">
        <v>4.1825345582810296E-4</v>
      </c>
      <c r="L20" s="259">
        <v>4.7608866982015876E-4</v>
      </c>
    </row>
    <row r="21" spans="1:12" ht="16.25" customHeight="1" x14ac:dyDescent="0.45">
      <c r="A21" s="15" t="s">
        <v>242</v>
      </c>
      <c r="B21" s="14" t="s">
        <v>20</v>
      </c>
      <c r="C21" s="217" t="s">
        <v>243</v>
      </c>
      <c r="D21" s="186">
        <v>18.407564000000001</v>
      </c>
      <c r="E21" s="187">
        <v>109.98518</v>
      </c>
      <c r="F21" s="28" t="s">
        <v>8</v>
      </c>
      <c r="G21" s="8" t="s">
        <v>21</v>
      </c>
      <c r="H21" s="14">
        <v>2018</v>
      </c>
      <c r="I21" s="68">
        <v>9.6999999999999993</v>
      </c>
      <c r="K21" s="46">
        <v>2.2942882898314781E-3</v>
      </c>
      <c r="L21" s="259">
        <v>2.611537680967186E-3</v>
      </c>
    </row>
    <row r="22" spans="1:12" ht="16.25" customHeight="1" x14ac:dyDescent="0.45">
      <c r="A22" s="15" t="s">
        <v>242</v>
      </c>
      <c r="B22" s="14" t="s">
        <v>22</v>
      </c>
      <c r="C22" s="217" t="s">
        <v>243</v>
      </c>
      <c r="D22" s="186">
        <v>18.415724000000001</v>
      </c>
      <c r="E22" s="188">
        <v>110.05434099999999</v>
      </c>
      <c r="F22" s="28" t="s">
        <v>8</v>
      </c>
      <c r="G22" s="8" t="s">
        <v>23</v>
      </c>
      <c r="H22" s="14">
        <v>2018</v>
      </c>
      <c r="I22" s="241">
        <v>98.2</v>
      </c>
      <c r="K22" s="46">
        <v>1.071070840442136E-2</v>
      </c>
      <c r="L22" s="259">
        <v>1.2191762784115016E-2</v>
      </c>
    </row>
    <row r="23" spans="1:12" ht="16.25" customHeight="1" x14ac:dyDescent="0.45">
      <c r="A23" s="15" t="s">
        <v>242</v>
      </c>
      <c r="B23" s="14" t="s">
        <v>24</v>
      </c>
      <c r="C23" s="217" t="s">
        <v>243</v>
      </c>
      <c r="D23" s="186">
        <v>18.415724000000001</v>
      </c>
      <c r="E23" s="188">
        <v>110.05434099999999</v>
      </c>
      <c r="F23" s="28" t="s">
        <v>14</v>
      </c>
      <c r="G23" s="8" t="s">
        <v>25</v>
      </c>
      <c r="H23" s="14">
        <v>2018</v>
      </c>
      <c r="I23" s="241">
        <v>2060</v>
      </c>
      <c r="K23" s="46">
        <v>0.26936831253337101</v>
      </c>
      <c r="L23" s="259">
        <v>0.30661599998451594</v>
      </c>
    </row>
    <row r="24" spans="1:12" ht="16.25" customHeight="1" x14ac:dyDescent="0.45">
      <c r="A24" s="15" t="s">
        <v>244</v>
      </c>
      <c r="B24" s="14" t="s">
        <v>26</v>
      </c>
      <c r="C24" s="217" t="s">
        <v>245</v>
      </c>
      <c r="D24" s="185">
        <v>-22.84</v>
      </c>
      <c r="E24" s="185">
        <v>-43.16</v>
      </c>
      <c r="F24" s="28" t="s">
        <v>8</v>
      </c>
      <c r="G24" s="8" t="s">
        <v>27</v>
      </c>
      <c r="H24" s="14">
        <v>2017</v>
      </c>
      <c r="I24" s="241">
        <v>6470</v>
      </c>
      <c r="K24" s="46">
        <v>1.9409120712501557</v>
      </c>
      <c r="L24" s="259">
        <v>2.309704918268586</v>
      </c>
    </row>
    <row r="25" spans="1:12" ht="16.25" customHeight="1" x14ac:dyDescent="0.45">
      <c r="A25" s="15" t="s">
        <v>246</v>
      </c>
      <c r="B25" s="15" t="s">
        <v>28</v>
      </c>
      <c r="C25" s="217" t="s">
        <v>247</v>
      </c>
      <c r="D25" s="185">
        <v>60.435399179999997</v>
      </c>
      <c r="E25" s="185">
        <v>5.2579669759999996</v>
      </c>
      <c r="F25" s="28" t="s">
        <v>14</v>
      </c>
      <c r="G25" s="8" t="s">
        <v>29</v>
      </c>
      <c r="H25" s="14">
        <v>2015</v>
      </c>
      <c r="I25" s="241">
        <v>512000</v>
      </c>
      <c r="K25" s="46">
        <v>34.98315143335298</v>
      </c>
      <c r="L25" s="259">
        <v>45.592552435731641</v>
      </c>
    </row>
    <row r="26" spans="1:12" ht="16.25" customHeight="1" x14ac:dyDescent="0.45">
      <c r="A26" s="15" t="s">
        <v>246</v>
      </c>
      <c r="B26" s="15" t="s">
        <v>30</v>
      </c>
      <c r="C26" s="217" t="s">
        <v>247</v>
      </c>
      <c r="D26" s="185">
        <v>60.39709654</v>
      </c>
      <c r="E26" s="185">
        <v>5.2166773859999997</v>
      </c>
      <c r="F26" s="28" t="s">
        <v>14</v>
      </c>
      <c r="G26" s="8" t="s">
        <v>29</v>
      </c>
      <c r="H26" s="14">
        <v>2015</v>
      </c>
      <c r="I26" s="241">
        <v>62400</v>
      </c>
      <c r="K26" s="46">
        <v>4.2635715809398942</v>
      </c>
      <c r="L26" s="259">
        <v>5.5565923281047942</v>
      </c>
    </row>
    <row r="27" spans="1:12" ht="16.25" customHeight="1" x14ac:dyDescent="0.45">
      <c r="A27" s="15" t="s">
        <v>246</v>
      </c>
      <c r="B27" s="15" t="s">
        <v>31</v>
      </c>
      <c r="C27" s="217" t="s">
        <v>247</v>
      </c>
      <c r="D27" s="185">
        <v>60.479749660000003</v>
      </c>
      <c r="E27" s="185">
        <v>5.2385479210000003</v>
      </c>
      <c r="F27" s="28" t="s">
        <v>14</v>
      </c>
      <c r="G27" s="8" t="s">
        <v>29</v>
      </c>
      <c r="H27" s="14">
        <v>2015</v>
      </c>
      <c r="I27" s="241">
        <v>39000</v>
      </c>
      <c r="K27" s="46">
        <v>2.6647322380874345</v>
      </c>
      <c r="L27" s="259">
        <v>3.4728702050654969</v>
      </c>
    </row>
    <row r="28" spans="1:12" ht="16.25" customHeight="1" x14ac:dyDescent="0.45">
      <c r="A28" s="1" t="s">
        <v>248</v>
      </c>
      <c r="B28" s="14" t="s">
        <v>32</v>
      </c>
      <c r="C28" s="217" t="s">
        <v>249</v>
      </c>
      <c r="D28" s="184">
        <v>53.5</v>
      </c>
      <c r="E28" s="184">
        <v>4.5</v>
      </c>
      <c r="F28" s="28" t="s">
        <v>14</v>
      </c>
      <c r="G28" s="8" t="s">
        <v>29</v>
      </c>
      <c r="H28" s="14">
        <v>2014</v>
      </c>
      <c r="I28" s="242">
        <v>9.59</v>
      </c>
      <c r="J28" s="46">
        <v>2.3428846397737808E-2</v>
      </c>
      <c r="K28" s="46">
        <v>7.2030385913703077E-4</v>
      </c>
      <c r="L28" s="259">
        <v>9.8344678698575523E-4</v>
      </c>
    </row>
    <row r="29" spans="1:12" ht="16.25" customHeight="1" x14ac:dyDescent="0.45">
      <c r="A29" s="15" t="s">
        <v>250</v>
      </c>
      <c r="B29" s="14" t="s">
        <v>33</v>
      </c>
      <c r="C29" s="217" t="s">
        <v>251</v>
      </c>
      <c r="D29" s="185">
        <v>-32.620109999999997</v>
      </c>
      <c r="E29" s="185">
        <v>152.40007700000001</v>
      </c>
      <c r="F29" s="28" t="s">
        <v>14</v>
      </c>
      <c r="G29" s="8" t="s">
        <v>34</v>
      </c>
      <c r="H29" s="14">
        <v>2017</v>
      </c>
      <c r="I29" s="241">
        <v>64300</v>
      </c>
      <c r="K29" s="46">
        <v>3.4640971358349995</v>
      </c>
      <c r="L29" s="259">
        <v>4.1223104902658925</v>
      </c>
    </row>
    <row r="30" spans="1:12" ht="16.25" customHeight="1" x14ac:dyDescent="0.45">
      <c r="A30" s="15" t="s">
        <v>252</v>
      </c>
      <c r="B30" s="14" t="s">
        <v>35</v>
      </c>
      <c r="C30" s="217" t="s">
        <v>253</v>
      </c>
      <c r="D30" s="185">
        <v>-34.97</v>
      </c>
      <c r="E30" s="185">
        <v>150.79</v>
      </c>
      <c r="F30" s="28" t="s">
        <v>8</v>
      </c>
      <c r="G30" s="8" t="s">
        <v>12</v>
      </c>
      <c r="H30" s="14">
        <v>2015</v>
      </c>
      <c r="I30" s="241">
        <v>78.8</v>
      </c>
      <c r="K30" s="46">
        <v>5.9433778542039998E-3</v>
      </c>
      <c r="L30" s="259">
        <v>7.7458363629531457E-3</v>
      </c>
    </row>
    <row r="31" spans="1:12" ht="16.25" customHeight="1" x14ac:dyDescent="0.45">
      <c r="A31" s="15" t="s">
        <v>252</v>
      </c>
      <c r="B31" s="14" t="s">
        <v>37</v>
      </c>
      <c r="C31" s="217" t="s">
        <v>253</v>
      </c>
      <c r="D31" s="185">
        <v>-34.97</v>
      </c>
      <c r="E31" s="185">
        <v>150.79</v>
      </c>
      <c r="F31" s="28" t="s">
        <v>14</v>
      </c>
      <c r="G31" s="8" t="s">
        <v>15</v>
      </c>
      <c r="H31" s="14">
        <v>2015</v>
      </c>
      <c r="I31" s="241">
        <v>36700</v>
      </c>
      <c r="K31" s="46">
        <v>2.7680452696610001</v>
      </c>
      <c r="L31" s="259">
        <v>3.6075151588880772</v>
      </c>
    </row>
    <row r="32" spans="1:12" ht="16.25" customHeight="1" x14ac:dyDescent="0.45">
      <c r="A32" s="15" t="s">
        <v>252</v>
      </c>
      <c r="B32" s="14" t="s">
        <v>38</v>
      </c>
      <c r="C32" s="217" t="s">
        <v>253</v>
      </c>
      <c r="D32" s="184">
        <v>-35.24</v>
      </c>
      <c r="E32" s="184">
        <v>138.41</v>
      </c>
      <c r="F32" s="28" t="s">
        <v>8</v>
      </c>
      <c r="G32" s="8" t="s">
        <v>12</v>
      </c>
      <c r="H32" s="14">
        <v>2015</v>
      </c>
      <c r="I32" s="241">
        <v>129</v>
      </c>
      <c r="K32" s="46">
        <v>7.4310966657900003E-3</v>
      </c>
      <c r="L32" s="259">
        <v>9.6847382385054706E-3</v>
      </c>
    </row>
    <row r="33" spans="1:12" ht="16.25" customHeight="1" x14ac:dyDescent="0.45">
      <c r="A33" s="15" t="s">
        <v>252</v>
      </c>
      <c r="B33" s="14" t="s">
        <v>39</v>
      </c>
      <c r="C33" s="217" t="s">
        <v>253</v>
      </c>
      <c r="D33" s="184">
        <v>-35.24</v>
      </c>
      <c r="E33" s="184">
        <v>138.41</v>
      </c>
      <c r="F33" s="28" t="s">
        <v>14</v>
      </c>
      <c r="G33" s="8" t="s">
        <v>15</v>
      </c>
      <c r="H33" s="14">
        <v>2015</v>
      </c>
      <c r="I33" s="68">
        <v>214000</v>
      </c>
      <c r="K33" s="46">
        <v>12.32755570914</v>
      </c>
      <c r="L33" s="259">
        <v>16.066154907288144</v>
      </c>
    </row>
    <row r="34" spans="1:12" ht="16.25" customHeight="1" x14ac:dyDescent="0.45">
      <c r="A34" s="15" t="s">
        <v>252</v>
      </c>
      <c r="B34" s="14" t="s">
        <v>40</v>
      </c>
      <c r="C34" s="217" t="s">
        <v>253</v>
      </c>
      <c r="D34" s="184">
        <v>-42.74</v>
      </c>
      <c r="E34" s="184">
        <v>147.61000000000001</v>
      </c>
      <c r="F34" s="28" t="s">
        <v>8</v>
      </c>
      <c r="G34" s="8" t="s">
        <v>12</v>
      </c>
      <c r="H34" s="14">
        <v>2015</v>
      </c>
      <c r="I34" s="241">
        <v>106</v>
      </c>
      <c r="K34" s="46">
        <v>7.9948991439799996E-3</v>
      </c>
      <c r="L34" s="259">
        <v>1.0419526071992811E-2</v>
      </c>
    </row>
    <row r="35" spans="1:12" ht="16.25" customHeight="1" x14ac:dyDescent="0.45">
      <c r="A35" s="15" t="s">
        <v>252</v>
      </c>
      <c r="B35" s="14" t="s">
        <v>41</v>
      </c>
      <c r="C35" s="217" t="s">
        <v>253</v>
      </c>
      <c r="D35" s="184">
        <v>-42.74</v>
      </c>
      <c r="E35" s="184">
        <v>147.61000000000001</v>
      </c>
      <c r="F35" s="28" t="s">
        <v>14</v>
      </c>
      <c r="G35" s="8" t="s">
        <v>15</v>
      </c>
      <c r="H35" s="14">
        <v>2015</v>
      </c>
      <c r="I35" s="241">
        <v>61200</v>
      </c>
      <c r="K35" s="46">
        <v>4.615922901996</v>
      </c>
      <c r="L35" s="259">
        <v>6.0158018453392472</v>
      </c>
    </row>
    <row r="36" spans="1:12" ht="16.25" customHeight="1" x14ac:dyDescent="0.45">
      <c r="A36" s="15" t="s">
        <v>252</v>
      </c>
      <c r="B36" s="14" t="s">
        <v>42</v>
      </c>
      <c r="C36" s="217" t="s">
        <v>253</v>
      </c>
      <c r="D36" s="184">
        <v>-38.08</v>
      </c>
      <c r="E36" s="184">
        <v>144.80000000000001</v>
      </c>
      <c r="F36" s="28" t="s">
        <v>8</v>
      </c>
      <c r="G36" s="8" t="s">
        <v>12</v>
      </c>
      <c r="H36" s="14">
        <v>2015</v>
      </c>
      <c r="I36" s="241">
        <v>99.5</v>
      </c>
      <c r="K36" s="46">
        <v>1.0704570519760847E-2</v>
      </c>
      <c r="L36" s="259">
        <v>1.3950964184972688E-2</v>
      </c>
    </row>
    <row r="37" spans="1:12" ht="16.25" customHeight="1" x14ac:dyDescent="0.45">
      <c r="A37" s="15" t="s">
        <v>252</v>
      </c>
      <c r="B37" s="14" t="s">
        <v>43</v>
      </c>
      <c r="C37" s="217" t="s">
        <v>253</v>
      </c>
      <c r="D37" s="184">
        <v>-38.08</v>
      </c>
      <c r="E37" s="184">
        <v>144.80000000000001</v>
      </c>
      <c r="F37" s="28" t="s">
        <v>14</v>
      </c>
      <c r="G37" s="8" t="s">
        <v>15</v>
      </c>
      <c r="H37" s="14">
        <v>2015</v>
      </c>
      <c r="I37" s="241">
        <v>100000</v>
      </c>
      <c r="K37" s="46">
        <v>10.758362331417938</v>
      </c>
      <c r="L37" s="259">
        <v>14.021069532635867</v>
      </c>
    </row>
    <row r="38" spans="1:12" ht="16.25" customHeight="1" x14ac:dyDescent="0.45">
      <c r="A38" s="221" t="s">
        <v>255</v>
      </c>
      <c r="B38" s="14" t="s">
        <v>44</v>
      </c>
      <c r="C38" s="217" t="s">
        <v>254</v>
      </c>
      <c r="D38" s="185">
        <v>1.2667619999999999</v>
      </c>
      <c r="E38" s="185">
        <v>103.800499</v>
      </c>
      <c r="F38" s="28" t="s">
        <v>8</v>
      </c>
      <c r="G38" s="8" t="s">
        <v>45</v>
      </c>
      <c r="H38" s="14">
        <v>2012</v>
      </c>
      <c r="I38" s="241">
        <v>0.57699999999999996</v>
      </c>
      <c r="K38" s="46">
        <v>2.5124892083100528E-4</v>
      </c>
      <c r="L38" s="259">
        <v>3.773150972757953E-4</v>
      </c>
    </row>
    <row r="39" spans="1:12" ht="16.25" customHeight="1" x14ac:dyDescent="0.45">
      <c r="A39" s="15" t="s">
        <v>256</v>
      </c>
      <c r="B39" s="11" t="s">
        <v>46</v>
      </c>
      <c r="C39" s="217" t="s">
        <v>151</v>
      </c>
      <c r="D39" s="184">
        <v>37.115560000000002</v>
      </c>
      <c r="E39" s="184">
        <v>122.48</v>
      </c>
      <c r="F39" s="28" t="s">
        <v>8</v>
      </c>
      <c r="G39" s="12">
        <v>0.96</v>
      </c>
      <c r="H39" s="14">
        <v>2017</v>
      </c>
      <c r="I39" s="240">
        <v>118</v>
      </c>
      <c r="K39" s="46">
        <v>9.3347052813099012E-3</v>
      </c>
      <c r="L39" s="259">
        <v>1.1108393326103635E-2</v>
      </c>
    </row>
    <row r="40" spans="1:12" ht="16.25" customHeight="1" x14ac:dyDescent="0.45">
      <c r="A40" s="15" t="s">
        <v>256</v>
      </c>
      <c r="B40" s="11" t="s">
        <v>47</v>
      </c>
      <c r="C40" s="217" t="s">
        <v>151</v>
      </c>
      <c r="D40" s="184">
        <v>37.115560000000002</v>
      </c>
      <c r="E40" s="184">
        <v>122.50917</v>
      </c>
      <c r="F40" s="28" t="s">
        <v>8</v>
      </c>
      <c r="G40" s="12">
        <v>0.95</v>
      </c>
      <c r="H40" s="14">
        <v>2017</v>
      </c>
      <c r="I40" s="240">
        <v>77.599999999999994</v>
      </c>
      <c r="K40" s="46">
        <v>5.9392715392828452E-3</v>
      </c>
      <c r="L40" s="259">
        <v>7.0677929662101438E-3</v>
      </c>
    </row>
    <row r="41" spans="1:12" ht="16.25" customHeight="1" x14ac:dyDescent="0.45">
      <c r="A41" s="15" t="s">
        <v>256</v>
      </c>
      <c r="B41" s="11" t="s">
        <v>48</v>
      </c>
      <c r="C41" s="217" t="s">
        <v>151</v>
      </c>
      <c r="D41" s="184">
        <v>37.115560000000002</v>
      </c>
      <c r="E41" s="184">
        <v>122.57056</v>
      </c>
      <c r="F41" s="28" t="s">
        <v>8</v>
      </c>
      <c r="G41" s="12">
        <v>0.81</v>
      </c>
      <c r="H41" s="14">
        <v>2017</v>
      </c>
      <c r="I41" s="240">
        <v>89.5</v>
      </c>
      <c r="K41" s="46">
        <v>6.850061891312046E-3</v>
      </c>
      <c r="L41" s="259">
        <v>8.1516426607707235E-3</v>
      </c>
    </row>
    <row r="42" spans="1:12" ht="16.25" customHeight="1" x14ac:dyDescent="0.45">
      <c r="A42" s="15" t="s">
        <v>256</v>
      </c>
      <c r="B42" s="11" t="s">
        <v>49</v>
      </c>
      <c r="C42" s="217" t="s">
        <v>151</v>
      </c>
      <c r="D42" s="184">
        <v>37.115560000000002</v>
      </c>
      <c r="E42" s="184">
        <v>122.59721999999999</v>
      </c>
      <c r="F42" s="28" t="s">
        <v>8</v>
      </c>
      <c r="G42" s="12">
        <v>0.9</v>
      </c>
      <c r="H42" s="14">
        <v>2017</v>
      </c>
      <c r="I42" s="240">
        <v>121</v>
      </c>
      <c r="K42" s="46">
        <v>1.0307011578504952E-2</v>
      </c>
      <c r="L42" s="259">
        <v>1.2265447615146431E-2</v>
      </c>
    </row>
    <row r="43" spans="1:12" ht="16.25" customHeight="1" x14ac:dyDescent="0.45">
      <c r="A43" s="15" t="s">
        <v>256</v>
      </c>
      <c r="B43" s="11" t="s">
        <v>50</v>
      </c>
      <c r="C43" s="217" t="s">
        <v>151</v>
      </c>
      <c r="D43" s="184">
        <v>37.115560000000002</v>
      </c>
      <c r="E43" s="184">
        <v>122.66889</v>
      </c>
      <c r="F43" s="28" t="s">
        <v>8</v>
      </c>
      <c r="G43" s="12">
        <v>0.83</v>
      </c>
      <c r="H43" s="14">
        <v>2017</v>
      </c>
      <c r="I43" s="240">
        <v>78.599999999999994</v>
      </c>
      <c r="K43" s="46">
        <v>4.5051066685418382E-3</v>
      </c>
      <c r="L43" s="259">
        <v>5.3611223217100443E-3</v>
      </c>
    </row>
    <row r="44" spans="1:12" ht="16.25" customHeight="1" x14ac:dyDescent="0.45">
      <c r="A44" s="15" t="s">
        <v>256</v>
      </c>
      <c r="B44" s="11" t="s">
        <v>51</v>
      </c>
      <c r="C44" s="217" t="s">
        <v>151</v>
      </c>
      <c r="D44" s="184">
        <v>37.069389999999999</v>
      </c>
      <c r="E44" s="184">
        <v>122.48</v>
      </c>
      <c r="F44" s="28" t="s">
        <v>8</v>
      </c>
      <c r="G44" s="12">
        <v>0.69</v>
      </c>
      <c r="H44" s="14">
        <v>2017</v>
      </c>
      <c r="I44" s="240">
        <v>87.4</v>
      </c>
      <c r="K44" s="46">
        <v>6.9082809841638018E-3</v>
      </c>
      <c r="L44" s="259">
        <v>8.2209239677854314E-3</v>
      </c>
    </row>
    <row r="45" spans="1:12" ht="16.25" customHeight="1" x14ac:dyDescent="0.45">
      <c r="A45" s="15" t="s">
        <v>256</v>
      </c>
      <c r="B45" s="11" t="s">
        <v>52</v>
      </c>
      <c r="C45" s="217" t="s">
        <v>151</v>
      </c>
      <c r="D45" s="184">
        <v>37.069389999999999</v>
      </c>
      <c r="E45" s="184">
        <v>122.50833</v>
      </c>
      <c r="F45" s="28" t="s">
        <v>8</v>
      </c>
      <c r="G45" s="12">
        <v>0.97</v>
      </c>
      <c r="H45" s="14">
        <v>2017</v>
      </c>
      <c r="I45" s="240">
        <v>70</v>
      </c>
      <c r="K45" s="46">
        <v>5.8651076903133807E-3</v>
      </c>
      <c r="L45" s="259">
        <v>6.9795372387818719E-3</v>
      </c>
    </row>
    <row r="46" spans="1:12" ht="16.25" customHeight="1" x14ac:dyDescent="0.45">
      <c r="A46" s="15" t="s">
        <v>256</v>
      </c>
      <c r="B46" s="11" t="s">
        <v>53</v>
      </c>
      <c r="C46" s="217" t="s">
        <v>151</v>
      </c>
      <c r="D46" s="184">
        <v>37.069389999999999</v>
      </c>
      <c r="E46" s="184">
        <v>122.57111</v>
      </c>
      <c r="F46" s="28" t="s">
        <v>8</v>
      </c>
      <c r="G46" s="12">
        <v>0.95</v>
      </c>
      <c r="H46" s="14">
        <v>2017</v>
      </c>
      <c r="I46" s="240">
        <v>95.4</v>
      </c>
      <c r="K46" s="46">
        <v>7.9933039093699511E-3</v>
      </c>
      <c r="L46" s="259">
        <v>9.5121121797112958E-3</v>
      </c>
    </row>
    <row r="47" spans="1:12" ht="16.25" customHeight="1" x14ac:dyDescent="0.45">
      <c r="A47" s="15" t="s">
        <v>256</v>
      </c>
      <c r="B47" s="11" t="s">
        <v>54</v>
      </c>
      <c r="C47" s="217" t="s">
        <v>151</v>
      </c>
      <c r="D47" s="184">
        <v>37.069389999999999</v>
      </c>
      <c r="E47" s="184">
        <v>122.59889</v>
      </c>
      <c r="F47" s="28" t="s">
        <v>8</v>
      </c>
      <c r="G47" s="12">
        <v>0.86</v>
      </c>
      <c r="H47" s="14">
        <v>2017</v>
      </c>
      <c r="I47" s="240">
        <v>87.8</v>
      </c>
      <c r="K47" s="46">
        <v>5.1104576342244227E-3</v>
      </c>
      <c r="L47" s="259">
        <v>6.081496069406468E-3</v>
      </c>
    </row>
    <row r="48" spans="1:12" ht="16.25" customHeight="1" x14ac:dyDescent="0.45">
      <c r="A48" s="15" t="s">
        <v>256</v>
      </c>
      <c r="B48" s="11" t="s">
        <v>55</v>
      </c>
      <c r="C48" s="217" t="s">
        <v>151</v>
      </c>
      <c r="D48" s="184">
        <v>37.069389999999999</v>
      </c>
      <c r="E48" s="184">
        <v>122.66889</v>
      </c>
      <c r="F48" s="28" t="s">
        <v>8</v>
      </c>
      <c r="G48" s="12">
        <v>0.91</v>
      </c>
      <c r="H48" s="14">
        <v>2017</v>
      </c>
      <c r="I48" s="240">
        <v>41.3</v>
      </c>
      <c r="K48" s="46">
        <v>1.8031622782211964E-3</v>
      </c>
      <c r="L48" s="259">
        <v>2.1457812768207077E-3</v>
      </c>
    </row>
    <row r="49" spans="1:12" ht="16.25" customHeight="1" x14ac:dyDescent="0.45">
      <c r="A49" s="15" t="s">
        <v>256</v>
      </c>
      <c r="B49" s="11" t="s">
        <v>56</v>
      </c>
      <c r="C49" s="217" t="s">
        <v>151</v>
      </c>
      <c r="D49" s="184">
        <v>37.040559999999999</v>
      </c>
      <c r="E49" s="184">
        <v>122.48</v>
      </c>
      <c r="F49" s="28" t="s">
        <v>8</v>
      </c>
      <c r="G49" s="12">
        <v>0.84</v>
      </c>
      <c r="H49" s="14">
        <v>2017</v>
      </c>
      <c r="I49" s="240">
        <v>68.400000000000006</v>
      </c>
      <c r="K49" s="46">
        <v>5.4064807702151486E-3</v>
      </c>
      <c r="L49" s="259">
        <v>6.4337665834842501E-3</v>
      </c>
    </row>
    <row r="50" spans="1:12" ht="16.25" customHeight="1" x14ac:dyDescent="0.45">
      <c r="A50" s="15" t="s">
        <v>256</v>
      </c>
      <c r="B50" s="11" t="s">
        <v>57</v>
      </c>
      <c r="C50" s="217" t="s">
        <v>151</v>
      </c>
      <c r="D50" s="184">
        <v>37.040559999999999</v>
      </c>
      <c r="E50" s="184">
        <v>122.50722</v>
      </c>
      <c r="F50" s="28" t="s">
        <v>8</v>
      </c>
      <c r="G50" s="12">
        <v>0.94</v>
      </c>
      <c r="H50" s="14">
        <v>2017</v>
      </c>
      <c r="I50" s="240">
        <v>87.5</v>
      </c>
      <c r="K50" s="46">
        <v>7.3313846128917259E-3</v>
      </c>
      <c r="L50" s="259">
        <v>8.7244215484773412E-3</v>
      </c>
    </row>
    <row r="51" spans="1:12" ht="16.25" customHeight="1" x14ac:dyDescent="0.45">
      <c r="A51" s="15" t="s">
        <v>256</v>
      </c>
      <c r="B51" s="11" t="s">
        <v>58</v>
      </c>
      <c r="C51" s="217" t="s">
        <v>151</v>
      </c>
      <c r="D51" s="184">
        <v>37.115560000000002</v>
      </c>
      <c r="E51" s="184">
        <v>122.48</v>
      </c>
      <c r="F51" s="28" t="s">
        <v>8</v>
      </c>
      <c r="G51" s="12">
        <v>0.96</v>
      </c>
      <c r="H51" s="14">
        <v>2017</v>
      </c>
      <c r="I51" s="240">
        <v>83</v>
      </c>
      <c r="K51" s="46">
        <v>6.5659367656671335E-3</v>
      </c>
      <c r="L51" s="259">
        <v>7.8135308988695057E-3</v>
      </c>
    </row>
    <row r="52" spans="1:12" ht="16.25" customHeight="1" x14ac:dyDescent="0.45">
      <c r="A52" s="15" t="s">
        <v>256</v>
      </c>
      <c r="B52" s="11" t="s">
        <v>59</v>
      </c>
      <c r="C52" s="217" t="s">
        <v>151</v>
      </c>
      <c r="D52" s="184">
        <v>37.115560000000002</v>
      </c>
      <c r="E52" s="184">
        <v>122.50917</v>
      </c>
      <c r="F52" s="28" t="s">
        <v>8</v>
      </c>
      <c r="G52" s="12">
        <v>0.95</v>
      </c>
      <c r="H52" s="14">
        <v>2017</v>
      </c>
      <c r="I52" s="240">
        <v>91.5</v>
      </c>
      <c r="K52" s="46">
        <v>7.0031359000564493E-3</v>
      </c>
      <c r="L52" s="259">
        <v>8.3338022733019119E-3</v>
      </c>
    </row>
    <row r="53" spans="1:12" ht="16.25" customHeight="1" x14ac:dyDescent="0.45">
      <c r="A53" s="15" t="s">
        <v>256</v>
      </c>
      <c r="B53" s="11" t="s">
        <v>60</v>
      </c>
      <c r="C53" s="217" t="s">
        <v>151</v>
      </c>
      <c r="D53" s="184">
        <v>37.115560000000002</v>
      </c>
      <c r="E53" s="184">
        <v>122.57056</v>
      </c>
      <c r="F53" s="28" t="s">
        <v>8</v>
      </c>
      <c r="G53" s="12">
        <v>0.81</v>
      </c>
      <c r="H53" s="14">
        <v>2017</v>
      </c>
      <c r="I53" s="240">
        <v>124</v>
      </c>
      <c r="K53" s="46">
        <v>9.4905885421530025E-3</v>
      </c>
      <c r="L53" s="259">
        <v>1.1293895976933737E-2</v>
      </c>
    </row>
    <row r="54" spans="1:12" ht="16.25" customHeight="1" x14ac:dyDescent="0.45">
      <c r="A54" s="15" t="s">
        <v>256</v>
      </c>
      <c r="B54" s="11" t="s">
        <v>61</v>
      </c>
      <c r="C54" s="217" t="s">
        <v>151</v>
      </c>
      <c r="D54" s="184">
        <v>37.115560000000002</v>
      </c>
      <c r="E54" s="184">
        <v>122.59721999999999</v>
      </c>
      <c r="F54" s="28" t="s">
        <v>8</v>
      </c>
      <c r="G54" s="12">
        <v>0.9</v>
      </c>
      <c r="H54" s="14">
        <v>2017</v>
      </c>
      <c r="I54" s="240">
        <v>78</v>
      </c>
      <c r="K54" s="46">
        <v>6.6441892820114567E-3</v>
      </c>
      <c r="L54" s="259">
        <v>7.9066521816646418E-3</v>
      </c>
    </row>
    <row r="55" spans="1:12" ht="16.25" customHeight="1" x14ac:dyDescent="0.45">
      <c r="A55" s="15" t="s">
        <v>256</v>
      </c>
      <c r="B55" s="11" t="s">
        <v>62</v>
      </c>
      <c r="C55" s="217" t="s">
        <v>151</v>
      </c>
      <c r="D55" s="184">
        <v>37.115560000000002</v>
      </c>
      <c r="E55" s="184">
        <v>122.66889</v>
      </c>
      <c r="F55" s="28" t="s">
        <v>8</v>
      </c>
      <c r="G55" s="12">
        <v>0.83</v>
      </c>
      <c r="H55" s="14">
        <v>2017</v>
      </c>
      <c r="I55" s="240">
        <v>118</v>
      </c>
      <c r="K55" s="46">
        <v>6.7633916906862206E-3</v>
      </c>
      <c r="L55" s="259">
        <v>8.0485042488776751E-3</v>
      </c>
    </row>
    <row r="56" spans="1:12" ht="16.25" customHeight="1" x14ac:dyDescent="0.45">
      <c r="A56" s="15" t="s">
        <v>256</v>
      </c>
      <c r="B56" s="11" t="s">
        <v>63</v>
      </c>
      <c r="C56" s="217" t="s">
        <v>151</v>
      </c>
      <c r="D56" s="184">
        <v>37.069389999999999</v>
      </c>
      <c r="E56" s="184">
        <v>122.48</v>
      </c>
      <c r="F56" s="28" t="s">
        <v>8</v>
      </c>
      <c r="G56" s="12">
        <v>0.69</v>
      </c>
      <c r="H56" s="14">
        <v>2017</v>
      </c>
      <c r="I56" s="240">
        <v>101</v>
      </c>
      <c r="K56" s="46">
        <v>7.9832537688849427E-3</v>
      </c>
      <c r="L56" s="259">
        <v>9.5001524112852224E-3</v>
      </c>
    </row>
    <row r="57" spans="1:12" ht="16.25" customHeight="1" x14ac:dyDescent="0.45">
      <c r="A57" s="15" t="s">
        <v>256</v>
      </c>
      <c r="B57" s="11" t="s">
        <v>64</v>
      </c>
      <c r="C57" s="217" t="s">
        <v>151</v>
      </c>
      <c r="D57" s="184">
        <v>37.069389999999999</v>
      </c>
      <c r="E57" s="184">
        <v>122.50833</v>
      </c>
      <c r="F57" s="28" t="s">
        <v>8</v>
      </c>
      <c r="G57" s="12">
        <v>0.97</v>
      </c>
      <c r="H57" s="14">
        <v>2017</v>
      </c>
      <c r="I57" s="240">
        <v>85.7</v>
      </c>
      <c r="K57" s="46">
        <v>7.1805675579979548E-3</v>
      </c>
      <c r="L57" s="259">
        <v>8.5449477337658092E-3</v>
      </c>
    </row>
    <row r="58" spans="1:12" ht="16.25" customHeight="1" x14ac:dyDescent="0.45">
      <c r="A58" s="15" t="s">
        <v>256</v>
      </c>
      <c r="B58" s="11" t="s">
        <v>65</v>
      </c>
      <c r="C58" s="217" t="s">
        <v>151</v>
      </c>
      <c r="D58" s="184">
        <v>37.069389999999999</v>
      </c>
      <c r="E58" s="184">
        <v>122.57111</v>
      </c>
      <c r="F58" s="28" t="s">
        <v>8</v>
      </c>
      <c r="G58" s="12">
        <v>0.95</v>
      </c>
      <c r="H58" s="14">
        <v>2017</v>
      </c>
      <c r="I58" s="240">
        <v>88.6</v>
      </c>
      <c r="K58" s="46">
        <v>7.4235505908823649E-3</v>
      </c>
      <c r="L58" s="259">
        <v>8.8340999908010573E-3</v>
      </c>
    </row>
    <row r="59" spans="1:12" ht="16.25" customHeight="1" x14ac:dyDescent="0.45">
      <c r="A59" s="15" t="s">
        <v>256</v>
      </c>
      <c r="B59" s="11" t="s">
        <v>66</v>
      </c>
      <c r="C59" s="217" t="s">
        <v>151</v>
      </c>
      <c r="D59" s="184">
        <v>37.069389999999999</v>
      </c>
      <c r="E59" s="184">
        <v>122.59889</v>
      </c>
      <c r="F59" s="28" t="s">
        <v>8</v>
      </c>
      <c r="G59" s="12">
        <v>0.86</v>
      </c>
      <c r="H59" s="14">
        <v>2017</v>
      </c>
      <c r="I59" s="240">
        <v>95.5</v>
      </c>
      <c r="K59" s="46">
        <v>5.5586412764058362E-3</v>
      </c>
      <c r="L59" s="259">
        <v>6.6148391187735491E-3</v>
      </c>
    </row>
    <row r="60" spans="1:12" ht="16.25" customHeight="1" x14ac:dyDescent="0.45">
      <c r="A60" s="15" t="s">
        <v>256</v>
      </c>
      <c r="B60" s="11" t="s">
        <v>67</v>
      </c>
      <c r="C60" s="217" t="s">
        <v>151</v>
      </c>
      <c r="D60" s="184">
        <v>37.069389999999999</v>
      </c>
      <c r="E60" s="184">
        <v>122.66889</v>
      </c>
      <c r="F60" s="28" t="s">
        <v>8</v>
      </c>
      <c r="G60" s="12">
        <v>0.91</v>
      </c>
      <c r="H60" s="14">
        <v>2017</v>
      </c>
      <c r="I60" s="240">
        <v>72.400000000000006</v>
      </c>
      <c r="K60" s="46">
        <v>3.1609914998357051E-3</v>
      </c>
      <c r="L60" s="259">
        <v>3.7616117298261325E-3</v>
      </c>
    </row>
    <row r="61" spans="1:12" ht="16.25" customHeight="1" x14ac:dyDescent="0.45">
      <c r="A61" s="15" t="s">
        <v>256</v>
      </c>
      <c r="B61" s="11" t="s">
        <v>68</v>
      </c>
      <c r="C61" s="217" t="s">
        <v>151</v>
      </c>
      <c r="D61" s="184">
        <v>37.040559999999999</v>
      </c>
      <c r="E61" s="184">
        <v>122.48</v>
      </c>
      <c r="F61" s="28" t="s">
        <v>8</v>
      </c>
      <c r="G61" s="12">
        <v>0.84</v>
      </c>
      <c r="H61" s="14">
        <v>2017</v>
      </c>
      <c r="I61" s="240">
        <v>134</v>
      </c>
      <c r="K61" s="46">
        <v>1.0591643614164181E-2</v>
      </c>
      <c r="L61" s="259">
        <v>1.2604162605071485E-2</v>
      </c>
    </row>
    <row r="62" spans="1:12" ht="16.25" customHeight="1" x14ac:dyDescent="0.45">
      <c r="A62" s="15" t="s">
        <v>256</v>
      </c>
      <c r="B62" s="11" t="s">
        <v>69</v>
      </c>
      <c r="C62" s="217" t="s">
        <v>151</v>
      </c>
      <c r="D62" s="184">
        <v>37.040559999999999</v>
      </c>
      <c r="E62" s="184">
        <v>122.50722</v>
      </c>
      <c r="F62" s="28" t="s">
        <v>8</v>
      </c>
      <c r="G62" s="12">
        <v>0.94</v>
      </c>
      <c r="H62" s="14">
        <v>2017</v>
      </c>
      <c r="I62" s="240">
        <v>181</v>
      </c>
      <c r="K62" s="46">
        <v>1.5165492742096028E-2</v>
      </c>
      <c r="L62" s="259">
        <v>1.8047089145993126E-2</v>
      </c>
    </row>
    <row r="63" spans="1:12" ht="16.25" customHeight="1" x14ac:dyDescent="0.45">
      <c r="A63" s="15" t="s">
        <v>257</v>
      </c>
      <c r="B63" s="11" t="s">
        <v>70</v>
      </c>
      <c r="C63" s="217" t="s">
        <v>258</v>
      </c>
      <c r="D63" s="189">
        <v>54.994788999999997</v>
      </c>
      <c r="E63" s="189">
        <v>-0.158077</v>
      </c>
      <c r="F63" s="28" t="s">
        <v>14</v>
      </c>
      <c r="G63" s="5" t="s">
        <v>71</v>
      </c>
      <c r="H63" s="14">
        <v>2017</v>
      </c>
      <c r="I63" s="240">
        <v>3530000</v>
      </c>
      <c r="K63" s="46">
        <v>208.19765802583021</v>
      </c>
      <c r="L63" s="259">
        <v>247.75731051253948</v>
      </c>
    </row>
    <row r="64" spans="1:12" ht="16.25" customHeight="1" x14ac:dyDescent="0.45">
      <c r="A64" s="15" t="s">
        <v>257</v>
      </c>
      <c r="B64" s="11" t="s">
        <v>72</v>
      </c>
      <c r="C64" s="217" t="s">
        <v>258</v>
      </c>
      <c r="D64" s="189">
        <v>54.889626</v>
      </c>
      <c r="E64" s="189">
        <v>1.641046</v>
      </c>
      <c r="F64" s="28" t="s">
        <v>14</v>
      </c>
      <c r="G64" s="5" t="s">
        <v>71</v>
      </c>
      <c r="H64" s="14">
        <v>2017</v>
      </c>
      <c r="I64" s="240">
        <v>469000</v>
      </c>
      <c r="K64" s="46">
        <v>29.943006028409794</v>
      </c>
      <c r="L64" s="259">
        <v>35.632478830953865</v>
      </c>
    </row>
    <row r="65" spans="1:12" ht="16.25" customHeight="1" x14ac:dyDescent="0.45">
      <c r="A65" s="15" t="s">
        <v>257</v>
      </c>
      <c r="B65" s="11" t="s">
        <v>73</v>
      </c>
      <c r="C65" s="217" t="s">
        <v>258</v>
      </c>
      <c r="D65" s="189">
        <v>54.816217999999999</v>
      </c>
      <c r="E65" s="189">
        <v>-0.44948300000000002</v>
      </c>
      <c r="F65" s="28" t="s">
        <v>14</v>
      </c>
      <c r="G65" s="5" t="s">
        <v>71</v>
      </c>
      <c r="H65" s="14">
        <v>2017</v>
      </c>
      <c r="I65" s="240">
        <v>848000</v>
      </c>
      <c r="K65" s="46">
        <v>46.910119865686148</v>
      </c>
      <c r="L65" s="259">
        <v>55.823515230422608</v>
      </c>
    </row>
    <row r="66" spans="1:12" ht="16.25" customHeight="1" x14ac:dyDescent="0.45">
      <c r="A66" s="15" t="s">
        <v>257</v>
      </c>
      <c r="B66" s="11" t="s">
        <v>74</v>
      </c>
      <c r="C66" s="217" t="s">
        <v>258</v>
      </c>
      <c r="D66" s="189">
        <v>53.958889999999997</v>
      </c>
      <c r="E66" s="189">
        <v>2.028877</v>
      </c>
      <c r="F66" s="28" t="s">
        <v>14</v>
      </c>
      <c r="G66" s="5" t="s">
        <v>71</v>
      </c>
      <c r="H66" s="14">
        <v>2017</v>
      </c>
      <c r="I66" s="240">
        <v>2940000</v>
      </c>
      <c r="K66" s="46">
        <v>201.93608202324361</v>
      </c>
      <c r="L66" s="259">
        <v>240.305971987981</v>
      </c>
    </row>
    <row r="67" spans="1:12" ht="16.25" customHeight="1" x14ac:dyDescent="0.45">
      <c r="A67" s="15" t="s">
        <v>257</v>
      </c>
      <c r="B67" s="11" t="s">
        <v>75</v>
      </c>
      <c r="C67" s="217" t="s">
        <v>258</v>
      </c>
      <c r="D67" s="189">
        <v>53.399977999999997</v>
      </c>
      <c r="E67" s="189">
        <v>0.66007499999999997</v>
      </c>
      <c r="F67" s="28" t="s">
        <v>14</v>
      </c>
      <c r="G67" s="5" t="s">
        <v>71</v>
      </c>
      <c r="H67" s="14">
        <v>2017</v>
      </c>
      <c r="I67" s="240">
        <v>1790000</v>
      </c>
      <c r="K67" s="46">
        <v>66.470067890982079</v>
      </c>
      <c r="L67" s="259">
        <v>79.100050434825036</v>
      </c>
    </row>
    <row r="68" spans="1:12" ht="16.25" customHeight="1" x14ac:dyDescent="0.45">
      <c r="A68" s="15" t="s">
        <v>257</v>
      </c>
      <c r="B68" s="11" t="s">
        <v>76</v>
      </c>
      <c r="C68" s="217" t="s">
        <v>258</v>
      </c>
      <c r="D68" s="189">
        <v>52.955331000000001</v>
      </c>
      <c r="E68" s="189">
        <v>0.32043899999999997</v>
      </c>
      <c r="F68" s="28" t="s">
        <v>14</v>
      </c>
      <c r="G68" s="5" t="s">
        <v>71</v>
      </c>
      <c r="H68" s="14">
        <v>2017</v>
      </c>
      <c r="I68" s="240">
        <v>875000</v>
      </c>
      <c r="K68" s="46">
        <v>34.789633095407389</v>
      </c>
      <c r="L68" s="259">
        <v>41.400013867431689</v>
      </c>
    </row>
    <row r="69" spans="1:12" ht="16.25" customHeight="1" x14ac:dyDescent="0.45">
      <c r="A69" s="15" t="s">
        <v>257</v>
      </c>
      <c r="B69" s="11" t="s">
        <v>77</v>
      </c>
      <c r="C69" s="217" t="s">
        <v>258</v>
      </c>
      <c r="D69" s="189">
        <v>51.491733000000004</v>
      </c>
      <c r="E69" s="189">
        <v>0.99296499999999999</v>
      </c>
      <c r="F69" s="28" t="s">
        <v>14</v>
      </c>
      <c r="G69" s="5" t="s">
        <v>71</v>
      </c>
      <c r="H69" s="14">
        <v>2017</v>
      </c>
      <c r="I69" s="240">
        <v>771000</v>
      </c>
      <c r="K69" s="46">
        <v>30.667144360243906</v>
      </c>
      <c r="L69" s="259">
        <v>36.494210741079378</v>
      </c>
    </row>
    <row r="70" spans="1:12" ht="16.25" customHeight="1" x14ac:dyDescent="0.45">
      <c r="A70" s="15" t="s">
        <v>257</v>
      </c>
      <c r="B70" s="11" t="s">
        <v>78</v>
      </c>
      <c r="C70" s="217" t="s">
        <v>258</v>
      </c>
      <c r="D70" s="189">
        <v>51.892575999999998</v>
      </c>
      <c r="E70" s="189">
        <v>2.2282410000000001</v>
      </c>
      <c r="F70" s="28" t="s">
        <v>14</v>
      </c>
      <c r="G70" s="5" t="s">
        <v>71</v>
      </c>
      <c r="H70" s="14">
        <v>2017</v>
      </c>
      <c r="I70" s="240">
        <v>974000</v>
      </c>
      <c r="K70" s="46">
        <v>37.302903160348599</v>
      </c>
      <c r="L70" s="259">
        <v>44.390830564343119</v>
      </c>
    </row>
    <row r="71" spans="1:12" ht="16.25" customHeight="1" x14ac:dyDescent="0.45">
      <c r="A71" s="15" t="s">
        <v>257</v>
      </c>
      <c r="B71" s="11" t="s">
        <v>79</v>
      </c>
      <c r="C71" s="217" t="s">
        <v>258</v>
      </c>
      <c r="D71" s="189">
        <v>51.009577</v>
      </c>
      <c r="E71" s="189">
        <v>1.0728599999999999</v>
      </c>
      <c r="F71" s="28" t="s">
        <v>14</v>
      </c>
      <c r="G71" s="5" t="s">
        <v>71</v>
      </c>
      <c r="H71" s="14">
        <v>2017</v>
      </c>
      <c r="I71" s="240">
        <v>1270000</v>
      </c>
      <c r="K71" s="46">
        <v>44.651802101650105</v>
      </c>
      <c r="L71" s="259">
        <v>53.13609434007406</v>
      </c>
    </row>
    <row r="72" spans="1:12" ht="16.25" customHeight="1" x14ac:dyDescent="0.45">
      <c r="A72" s="15" t="s">
        <v>257</v>
      </c>
      <c r="B72" s="11" t="s">
        <v>80</v>
      </c>
      <c r="C72" s="217" t="s">
        <v>258</v>
      </c>
      <c r="D72" s="189">
        <v>50.432443999999997</v>
      </c>
      <c r="E72" s="189">
        <v>-3.171627</v>
      </c>
      <c r="F72" s="28" t="s">
        <v>14</v>
      </c>
      <c r="G72" s="5" t="s">
        <v>71</v>
      </c>
      <c r="H72" s="14">
        <v>2017</v>
      </c>
      <c r="I72" s="240">
        <v>1310000</v>
      </c>
      <c r="K72" s="46">
        <v>37.962436008742237</v>
      </c>
      <c r="L72" s="259">
        <v>45.175681298314423</v>
      </c>
    </row>
    <row r="73" spans="1:12" ht="16.25" customHeight="1" x14ac:dyDescent="0.45">
      <c r="A73" s="15" t="s">
        <v>257</v>
      </c>
      <c r="B73" s="11" t="s">
        <v>81</v>
      </c>
      <c r="C73" s="217" t="s">
        <v>258</v>
      </c>
      <c r="D73" s="189">
        <v>51.205460000000002</v>
      </c>
      <c r="E73" s="189">
        <v>-6.1164719999999999</v>
      </c>
      <c r="F73" s="28" t="s">
        <v>14</v>
      </c>
      <c r="G73" s="5" t="s">
        <v>71</v>
      </c>
      <c r="H73" s="14">
        <v>2017</v>
      </c>
      <c r="I73" s="240">
        <v>492000</v>
      </c>
      <c r="K73" s="46">
        <v>16.006063341170222</v>
      </c>
      <c r="L73" s="259">
        <v>19.04737662711695</v>
      </c>
    </row>
    <row r="74" spans="1:12" ht="16.25" customHeight="1" x14ac:dyDescent="0.45">
      <c r="A74" s="15" t="s">
        <v>257</v>
      </c>
      <c r="B74" s="11" t="s">
        <v>82</v>
      </c>
      <c r="C74" s="217" t="s">
        <v>258</v>
      </c>
      <c r="D74" s="189">
        <v>52.330061999999998</v>
      </c>
      <c r="E74" s="189">
        <v>-4.2037570000000004</v>
      </c>
      <c r="F74" s="28" t="s">
        <v>14</v>
      </c>
      <c r="G74" s="5" t="s">
        <v>71</v>
      </c>
      <c r="H74" s="14">
        <v>2017</v>
      </c>
      <c r="I74" s="240">
        <v>2190000</v>
      </c>
      <c r="K74" s="46">
        <v>64.810510384696244</v>
      </c>
      <c r="L74" s="259">
        <v>77.125160283336101</v>
      </c>
    </row>
    <row r="75" spans="1:12" ht="16.25" customHeight="1" x14ac:dyDescent="0.45">
      <c r="A75" s="15" t="s">
        <v>257</v>
      </c>
      <c r="B75" s="11" t="s">
        <v>83</v>
      </c>
      <c r="C75" s="217" t="s">
        <v>258</v>
      </c>
      <c r="D75" s="189">
        <v>53.500956000000002</v>
      </c>
      <c r="E75" s="189">
        <v>-3.6520920000000001</v>
      </c>
      <c r="F75" s="28" t="s">
        <v>14</v>
      </c>
      <c r="G75" s="5" t="s">
        <v>71</v>
      </c>
      <c r="H75" s="14">
        <v>2017</v>
      </c>
      <c r="I75" s="240">
        <v>201000</v>
      </c>
      <c r="K75" s="46">
        <v>6.1761768138385573</v>
      </c>
      <c r="L75" s="259">
        <v>7.3497126296046122</v>
      </c>
    </row>
    <row r="76" spans="1:12" ht="16.25" customHeight="1" x14ac:dyDescent="0.45">
      <c r="A76" s="15" t="s">
        <v>257</v>
      </c>
      <c r="B76" s="11" t="s">
        <v>84</v>
      </c>
      <c r="C76" s="217" t="s">
        <v>258</v>
      </c>
      <c r="D76" s="189">
        <v>53.998680999999998</v>
      </c>
      <c r="E76" s="189">
        <v>-3.8233769999999998</v>
      </c>
      <c r="F76" s="28" t="s">
        <v>14</v>
      </c>
      <c r="G76" s="5" t="s">
        <v>71</v>
      </c>
      <c r="H76" s="14">
        <v>2017</v>
      </c>
      <c r="I76" s="240">
        <v>771000</v>
      </c>
      <c r="K76" s="46">
        <v>26.269356273248285</v>
      </c>
      <c r="L76" s="259">
        <v>31.260798612577229</v>
      </c>
    </row>
    <row r="77" spans="1:12" ht="16.25" customHeight="1" x14ac:dyDescent="0.45">
      <c r="A77" s="15" t="s">
        <v>259</v>
      </c>
      <c r="B77" s="11" t="s">
        <v>85</v>
      </c>
      <c r="C77" s="217" t="s">
        <v>260</v>
      </c>
      <c r="D77" s="189">
        <v>72.359964000000005</v>
      </c>
      <c r="E77" s="189">
        <v>-168.66666699999999</v>
      </c>
      <c r="F77" s="28" t="s">
        <v>14</v>
      </c>
      <c r="G77" s="12">
        <v>1</v>
      </c>
      <c r="H77" s="14">
        <v>2017</v>
      </c>
      <c r="I77" s="240">
        <v>63400</v>
      </c>
      <c r="K77" s="46">
        <v>1.4555911602225837</v>
      </c>
      <c r="L77" s="259">
        <v>1.7321681448397088</v>
      </c>
    </row>
    <row r="78" spans="1:12" ht="16.25" customHeight="1" x14ac:dyDescent="0.45">
      <c r="A78" s="15" t="s">
        <v>259</v>
      </c>
      <c r="B78" s="11" t="s">
        <v>86</v>
      </c>
      <c r="C78" s="217" t="s">
        <v>260</v>
      </c>
      <c r="D78" s="189">
        <v>73.579972999999995</v>
      </c>
      <c r="E78" s="189">
        <v>-168.281677</v>
      </c>
      <c r="F78" s="28" t="s">
        <v>14</v>
      </c>
      <c r="G78" s="12">
        <v>1</v>
      </c>
      <c r="H78" s="14">
        <v>2017</v>
      </c>
      <c r="I78" s="240">
        <v>42500</v>
      </c>
      <c r="K78" s="46">
        <v>0.2651348211893651</v>
      </c>
      <c r="L78" s="259">
        <v>0.3155131082836215</v>
      </c>
    </row>
    <row r="79" spans="1:12" ht="16.25" customHeight="1" x14ac:dyDescent="0.45">
      <c r="A79" s="15" t="s">
        <v>259</v>
      </c>
      <c r="B79" s="11" t="s">
        <v>87</v>
      </c>
      <c r="C79" s="217" t="s">
        <v>260</v>
      </c>
      <c r="D79" s="189">
        <v>75.768315000000001</v>
      </c>
      <c r="E79" s="189">
        <v>-177.158333</v>
      </c>
      <c r="F79" s="28" t="s">
        <v>14</v>
      </c>
      <c r="G79" s="12">
        <v>0.96</v>
      </c>
      <c r="H79" s="14">
        <v>2017</v>
      </c>
      <c r="I79" s="240">
        <v>56700</v>
      </c>
      <c r="K79" s="46">
        <v>0.62029800000000002</v>
      </c>
      <c r="L79" s="259">
        <v>0.73816086911621459</v>
      </c>
    </row>
    <row r="80" spans="1:12" ht="16.25" customHeight="1" x14ac:dyDescent="0.45">
      <c r="A80" s="15" t="s">
        <v>259</v>
      </c>
      <c r="B80" s="11" t="s">
        <v>88</v>
      </c>
      <c r="C80" s="217" t="s">
        <v>260</v>
      </c>
      <c r="D80" s="189">
        <v>74.997570999999994</v>
      </c>
      <c r="E80" s="189">
        <v>-173.59857600000001</v>
      </c>
      <c r="F80" s="28" t="s">
        <v>14</v>
      </c>
      <c r="G80" s="12">
        <v>1</v>
      </c>
      <c r="H80" s="14">
        <v>2017</v>
      </c>
      <c r="I80" s="240">
        <v>17800</v>
      </c>
      <c r="K80" s="46">
        <v>0.13848400000000002</v>
      </c>
      <c r="L80" s="259">
        <v>0.16479735514009369</v>
      </c>
    </row>
    <row r="81" spans="1:12" ht="16.25" customHeight="1" x14ac:dyDescent="0.45">
      <c r="A81" s="15" t="s">
        <v>259</v>
      </c>
      <c r="B81" s="11" t="s">
        <v>89</v>
      </c>
      <c r="C81" s="217" t="s">
        <v>260</v>
      </c>
      <c r="D81" s="189">
        <v>73.999979999999994</v>
      </c>
      <c r="E81" s="189">
        <v>-169.99999800000001</v>
      </c>
      <c r="F81" s="28" t="s">
        <v>14</v>
      </c>
      <c r="G81" s="12">
        <v>1</v>
      </c>
      <c r="H81" s="14">
        <v>2017</v>
      </c>
      <c r="I81" s="240">
        <v>18600</v>
      </c>
      <c r="K81" s="46">
        <v>0.24892047076763568</v>
      </c>
      <c r="L81" s="259">
        <v>0.29621786793227639</v>
      </c>
    </row>
    <row r="82" spans="1:12" ht="16.25" customHeight="1" x14ac:dyDescent="0.45">
      <c r="A82" s="15" t="s">
        <v>259</v>
      </c>
      <c r="B82" s="11" t="s">
        <v>90</v>
      </c>
      <c r="C82" s="217" t="s">
        <v>260</v>
      </c>
      <c r="D82" s="189">
        <v>75.157961</v>
      </c>
      <c r="E82" s="189">
        <v>-179.99328499999999</v>
      </c>
      <c r="F82" s="28" t="s">
        <v>14</v>
      </c>
      <c r="G82" s="12">
        <v>1</v>
      </c>
      <c r="H82" s="14">
        <v>2017</v>
      </c>
      <c r="I82" s="240">
        <v>73400</v>
      </c>
      <c r="K82" s="46">
        <v>0.70610800000000007</v>
      </c>
      <c r="L82" s="259">
        <v>0.84027563359854773</v>
      </c>
    </row>
    <row r="83" spans="1:12" ht="16.25" customHeight="1" x14ac:dyDescent="0.45">
      <c r="A83" s="1" t="s">
        <v>137</v>
      </c>
      <c r="B83" s="1" t="s">
        <v>133</v>
      </c>
      <c r="C83" s="217" t="s">
        <v>138</v>
      </c>
      <c r="D83" s="184">
        <v>29.51</v>
      </c>
      <c r="E83" s="184">
        <v>121.504</v>
      </c>
      <c r="F83" s="28" t="s">
        <v>8</v>
      </c>
      <c r="G83" s="14" t="s">
        <v>136</v>
      </c>
      <c r="H83" s="14">
        <v>2017</v>
      </c>
      <c r="I83" s="241">
        <v>702</v>
      </c>
      <c r="K83" s="46">
        <v>6.4007812583909723E-2</v>
      </c>
      <c r="L83" s="259">
        <v>7.6169941813719486E-2</v>
      </c>
    </row>
    <row r="84" spans="1:12" ht="16.25" customHeight="1" x14ac:dyDescent="0.45">
      <c r="A84" s="1" t="s">
        <v>103</v>
      </c>
      <c r="B84" s="11" t="s">
        <v>237</v>
      </c>
      <c r="C84" s="217" t="s">
        <v>123</v>
      </c>
      <c r="D84" s="189">
        <v>35.299999999999997</v>
      </c>
      <c r="E84" s="189">
        <v>122.19</v>
      </c>
      <c r="F84" s="14" t="s">
        <v>8</v>
      </c>
      <c r="G84" s="218">
        <v>0.83997142857142848</v>
      </c>
      <c r="H84" s="14">
        <v>2017</v>
      </c>
      <c r="I84" s="46">
        <v>226.7489753256161</v>
      </c>
      <c r="J84" s="46">
        <v>2.7680354361145694E-2</v>
      </c>
      <c r="K84" s="46">
        <v>2.7680354361145694E-2</v>
      </c>
      <c r="L84" s="259">
        <v>3.2939900552102538E-2</v>
      </c>
    </row>
    <row r="85" spans="1:12" ht="16.25" customHeight="1" x14ac:dyDescent="0.45">
      <c r="A85" s="1" t="s">
        <v>103</v>
      </c>
      <c r="B85" s="14" t="s">
        <v>105</v>
      </c>
      <c r="C85" s="217" t="s">
        <v>123</v>
      </c>
      <c r="D85" s="189">
        <v>35</v>
      </c>
      <c r="E85" s="189">
        <v>121.19</v>
      </c>
      <c r="F85" s="14" t="s">
        <v>8</v>
      </c>
      <c r="G85" s="218">
        <v>0.83997142857142848</v>
      </c>
      <c r="H85" s="14">
        <v>2017</v>
      </c>
      <c r="I85" s="46">
        <v>247.3897890879006</v>
      </c>
      <c r="J85" s="46">
        <v>3.0200079261432391E-2</v>
      </c>
      <c r="K85" s="46">
        <v>3.0200079261432391E-2</v>
      </c>
      <c r="L85" s="259">
        <v>3.5938398568103554E-2</v>
      </c>
    </row>
    <row r="86" spans="1:12" ht="16.25" customHeight="1" x14ac:dyDescent="0.45">
      <c r="A86" s="1" t="s">
        <v>103</v>
      </c>
      <c r="B86" s="14" t="s">
        <v>104</v>
      </c>
      <c r="C86" s="217" t="s">
        <v>123</v>
      </c>
      <c r="D86" s="189">
        <v>36</v>
      </c>
      <c r="E86" s="189">
        <v>124</v>
      </c>
      <c r="F86" s="14" t="s">
        <v>8</v>
      </c>
      <c r="G86" s="218">
        <v>0.83997142857142848</v>
      </c>
      <c r="H86" s="14">
        <v>2017</v>
      </c>
      <c r="I86" s="46">
        <v>375.1630078151876</v>
      </c>
      <c r="J86" s="46">
        <v>4.5797979834771504E-2</v>
      </c>
      <c r="K86" s="46">
        <v>4.5797979834771504E-2</v>
      </c>
      <c r="L86" s="259">
        <v>5.4500057389515674E-2</v>
      </c>
    </row>
    <row r="87" spans="1:12" ht="16.25" customHeight="1" x14ac:dyDescent="0.45">
      <c r="A87" s="14" t="s">
        <v>124</v>
      </c>
      <c r="C87" s="217" t="s">
        <v>125</v>
      </c>
      <c r="D87" s="189">
        <v>30.803000000000001</v>
      </c>
      <c r="E87" s="189">
        <v>122.655</v>
      </c>
      <c r="F87" s="14" t="s">
        <v>8</v>
      </c>
      <c r="G87" s="14" t="s">
        <v>17</v>
      </c>
      <c r="H87" s="189">
        <v>2018</v>
      </c>
      <c r="I87" s="46">
        <v>17.070178542568065</v>
      </c>
      <c r="J87" s="46">
        <v>5.6901590077495666E-4</v>
      </c>
      <c r="K87" s="46">
        <v>1.722862137747039E-3</v>
      </c>
      <c r="L87" s="259">
        <v>1.9610959144844686E-3</v>
      </c>
    </row>
    <row r="88" spans="1:12" ht="16.25" customHeight="1" x14ac:dyDescent="0.45">
      <c r="A88" s="14" t="s">
        <v>124</v>
      </c>
      <c r="C88" s="217" t="s">
        <v>125</v>
      </c>
      <c r="D88" s="189">
        <v>30.731999999999999</v>
      </c>
      <c r="E88" s="189">
        <v>122.818</v>
      </c>
      <c r="F88" s="14" t="s">
        <v>8</v>
      </c>
      <c r="G88" s="14" t="s">
        <v>17</v>
      </c>
      <c r="H88" s="189">
        <v>2018</v>
      </c>
      <c r="I88" s="46">
        <v>15.932166639730193</v>
      </c>
      <c r="J88" s="46">
        <v>5.3027548007526944E-4</v>
      </c>
      <c r="K88" s="46">
        <v>1.6768558575907852E-3</v>
      </c>
      <c r="L88" s="259">
        <v>1.9087279820316498E-3</v>
      </c>
    </row>
    <row r="89" spans="1:12" ht="16.25" customHeight="1" x14ac:dyDescent="0.45">
      <c r="A89" s="14" t="s">
        <v>124</v>
      </c>
      <c r="C89" s="217" t="s">
        <v>125</v>
      </c>
      <c r="D89" s="189">
        <v>30.696999999999999</v>
      </c>
      <c r="E89" s="189">
        <v>122.79600000000001</v>
      </c>
      <c r="F89" s="14" t="s">
        <v>8</v>
      </c>
      <c r="G89" s="14" t="s">
        <v>17</v>
      </c>
      <c r="H89" s="189">
        <v>2018</v>
      </c>
      <c r="I89" s="46">
        <v>13.656142834054451</v>
      </c>
      <c r="J89" s="46">
        <v>4.5431430250645461E-4</v>
      </c>
      <c r="K89" s="46">
        <v>1.4373050207921016E-3</v>
      </c>
      <c r="L89" s="259">
        <v>1.6360525560271282E-3</v>
      </c>
    </row>
    <row r="90" spans="1:12" ht="16.25" customHeight="1" x14ac:dyDescent="0.45">
      <c r="A90" s="14" t="s">
        <v>124</v>
      </c>
      <c r="C90" s="217" t="s">
        <v>125</v>
      </c>
      <c r="D90" s="189">
        <v>30.774999999999999</v>
      </c>
      <c r="E90" s="189">
        <v>122.64100000000001</v>
      </c>
      <c r="F90" s="14" t="s">
        <v>8</v>
      </c>
      <c r="G90" s="14" t="s">
        <v>17</v>
      </c>
      <c r="H90" s="189">
        <v>2018</v>
      </c>
      <c r="I90" s="46">
        <v>6.8280714170272256</v>
      </c>
      <c r="J90" s="46">
        <v>2.2703780239031747E-4</v>
      </c>
      <c r="K90" s="46">
        <v>6.8914485509881569E-4</v>
      </c>
      <c r="L90" s="259">
        <v>7.8443836579378755E-4</v>
      </c>
    </row>
    <row r="91" spans="1:12" ht="16.25" customHeight="1" x14ac:dyDescent="0.45">
      <c r="A91" s="14" t="s">
        <v>124</v>
      </c>
      <c r="C91" s="217" t="s">
        <v>125</v>
      </c>
      <c r="D91" s="189">
        <v>30.771000000000001</v>
      </c>
      <c r="E91" s="189">
        <v>122.733</v>
      </c>
      <c r="F91" s="14" t="s">
        <v>8</v>
      </c>
      <c r="G91" s="14" t="s">
        <v>17</v>
      </c>
      <c r="H91" s="189">
        <v>2018</v>
      </c>
      <c r="I91" s="46">
        <v>18.208190445405936</v>
      </c>
      <c r="J91" s="46">
        <v>6.0369290890459966E-4</v>
      </c>
      <c r="K91" s="46">
        <v>1.8755342714133953E-3</v>
      </c>
      <c r="L91" s="259">
        <v>2.1348792318079566E-3</v>
      </c>
    </row>
    <row r="92" spans="1:12" ht="16.25" customHeight="1" x14ac:dyDescent="0.45">
      <c r="A92" s="14" t="s">
        <v>124</v>
      </c>
      <c r="C92" s="217" t="s">
        <v>125</v>
      </c>
      <c r="D92" s="189">
        <v>30.762</v>
      </c>
      <c r="E92" s="189">
        <v>122.65900000000001</v>
      </c>
      <c r="F92" s="14" t="s">
        <v>8</v>
      </c>
      <c r="G92" s="14" t="s">
        <v>17</v>
      </c>
      <c r="H92" s="189">
        <v>2018</v>
      </c>
      <c r="I92" s="46">
        <v>18.208190445405936</v>
      </c>
      <c r="J92" s="46">
        <v>6.0235270804862809E-4</v>
      </c>
      <c r="K92" s="46">
        <v>1.837719613596842E-3</v>
      </c>
      <c r="L92" s="259">
        <v>2.0918356421167671E-3</v>
      </c>
    </row>
    <row r="93" spans="1:12" ht="16.25" customHeight="1" x14ac:dyDescent="0.45">
      <c r="A93" s="14" t="s">
        <v>137</v>
      </c>
      <c r="C93" s="217" t="s">
        <v>138</v>
      </c>
      <c r="D93" s="189">
        <v>29.5</v>
      </c>
      <c r="E93" s="189">
        <v>121.51</v>
      </c>
      <c r="F93" s="14" t="s">
        <v>8</v>
      </c>
      <c r="G93" s="14" t="s">
        <v>139</v>
      </c>
      <c r="H93" s="14">
        <v>2017</v>
      </c>
      <c r="I93" s="46">
        <v>28.253202334126609</v>
      </c>
      <c r="J93" s="46">
        <v>9.4293438423142389E-4</v>
      </c>
      <c r="K93" s="46">
        <v>2.576104957119739E-3</v>
      </c>
      <c r="L93" s="259">
        <v>3.0655908516263072E-3</v>
      </c>
    </row>
    <row r="94" spans="1:12" ht="16.25" customHeight="1" x14ac:dyDescent="0.45">
      <c r="A94" s="14" t="s">
        <v>137</v>
      </c>
      <c r="C94" s="217" t="s">
        <v>138</v>
      </c>
      <c r="D94" s="189">
        <v>29.51</v>
      </c>
      <c r="E94" s="189">
        <v>121.5</v>
      </c>
      <c r="F94" s="14" t="s">
        <v>8</v>
      </c>
      <c r="G94" s="14" t="s">
        <v>10</v>
      </c>
      <c r="H94" s="14">
        <v>2017</v>
      </c>
      <c r="I94" s="46">
        <v>53.660758389995863</v>
      </c>
      <c r="J94" s="46">
        <v>1.7908969599791074E-3</v>
      </c>
      <c r="K94" s="46">
        <v>4.8927461056087135E-3</v>
      </c>
      <c r="L94" s="259">
        <v>5.8224171570456489E-3</v>
      </c>
    </row>
    <row r="95" spans="1:12" ht="16.25" customHeight="1" x14ac:dyDescent="0.45">
      <c r="A95" s="14" t="s">
        <v>137</v>
      </c>
      <c r="C95" s="217" t="s">
        <v>138</v>
      </c>
      <c r="D95" s="189">
        <v>29.51</v>
      </c>
      <c r="E95" s="189">
        <v>121.51</v>
      </c>
      <c r="F95" s="14" t="s">
        <v>8</v>
      </c>
      <c r="G95" s="14" t="s">
        <v>140</v>
      </c>
      <c r="H95" s="14">
        <v>2017</v>
      </c>
      <c r="I95" s="46">
        <v>67.075947987494757</v>
      </c>
      <c r="J95" s="46">
        <v>2.2386211999738817E-3</v>
      </c>
      <c r="K95" s="46">
        <v>6.1159326320108839E-3</v>
      </c>
      <c r="L95" s="259">
        <v>7.278021446307052E-3</v>
      </c>
    </row>
    <row r="96" spans="1:12" ht="16.25" customHeight="1" x14ac:dyDescent="0.45">
      <c r="A96" s="14" t="s">
        <v>137</v>
      </c>
      <c r="C96" s="217" t="s">
        <v>138</v>
      </c>
      <c r="D96" s="189">
        <v>29.52</v>
      </c>
      <c r="E96" s="189">
        <v>121.5</v>
      </c>
      <c r="F96" s="14" t="s">
        <v>8</v>
      </c>
      <c r="G96" s="14" t="s">
        <v>141</v>
      </c>
      <c r="H96" s="14">
        <v>2017</v>
      </c>
      <c r="I96" s="46">
        <v>64.298055192053127</v>
      </c>
      <c r="J96" s="46">
        <v>2.1459106250254711E-3</v>
      </c>
      <c r="K96" s="46">
        <v>5.8626465331094307E-3</v>
      </c>
      <c r="L96" s="259">
        <v>6.9766084369145467E-3</v>
      </c>
    </row>
    <row r="97" spans="1:12" ht="16.25" customHeight="1" x14ac:dyDescent="0.45">
      <c r="A97" s="14" t="s">
        <v>137</v>
      </c>
      <c r="C97" s="217" t="s">
        <v>138</v>
      </c>
      <c r="D97" s="189">
        <v>29.53</v>
      </c>
      <c r="E97" s="189">
        <v>121.5</v>
      </c>
      <c r="F97" s="14" t="s">
        <v>8</v>
      </c>
      <c r="G97" s="14" t="s">
        <v>10</v>
      </c>
      <c r="H97" s="14">
        <v>2017</v>
      </c>
      <c r="I97" s="46">
        <v>376.77711793783635</v>
      </c>
      <c r="J97" s="46">
        <v>1.2574719689954286E-2</v>
      </c>
      <c r="K97" s="46">
        <v>3.4354243804659089E-2</v>
      </c>
      <c r="L97" s="259">
        <v>4.088189622516513E-2</v>
      </c>
    </row>
    <row r="98" spans="1:12" ht="16.25" customHeight="1" x14ac:dyDescent="0.45">
      <c r="A98" s="14" t="s">
        <v>142</v>
      </c>
      <c r="C98" s="217" t="s">
        <v>145</v>
      </c>
      <c r="D98" s="189">
        <v>37.862000000000002</v>
      </c>
      <c r="E98" s="189">
        <v>119.444</v>
      </c>
      <c r="F98" s="14" t="s">
        <v>8</v>
      </c>
      <c r="G98" s="14" t="s">
        <v>146</v>
      </c>
      <c r="H98" s="14">
        <v>2016</v>
      </c>
      <c r="I98" s="46">
        <v>4.2206925963290152</v>
      </c>
      <c r="J98" s="46">
        <v>1.3964089192339057E-4</v>
      </c>
      <c r="K98" s="46">
        <v>1.3072975639297499E-3</v>
      </c>
      <c r="L98" s="259">
        <v>1.6274876116664609E-3</v>
      </c>
    </row>
    <row r="99" spans="1:12" ht="16.25" customHeight="1" x14ac:dyDescent="0.45">
      <c r="A99" s="14" t="s">
        <v>142</v>
      </c>
      <c r="C99" s="217" t="s">
        <v>145</v>
      </c>
      <c r="D99" s="189">
        <v>38.095999999999997</v>
      </c>
      <c r="E99" s="189">
        <v>120.04300000000001</v>
      </c>
      <c r="F99" s="14" t="s">
        <v>8</v>
      </c>
      <c r="G99" s="14" t="s">
        <v>146</v>
      </c>
      <c r="H99" s="14">
        <v>2016</v>
      </c>
      <c r="I99" s="46">
        <v>6.1799143514024557</v>
      </c>
      <c r="J99" s="46">
        <v>2.0446140825100016E-4</v>
      </c>
      <c r="K99" s="46">
        <v>1.1010297023499017E-3</v>
      </c>
      <c r="L99" s="259">
        <v>1.3706995638122106E-3</v>
      </c>
    </row>
    <row r="100" spans="1:12" ht="16.25" customHeight="1" x14ac:dyDescent="0.45">
      <c r="A100" s="14" t="s">
        <v>142</v>
      </c>
      <c r="C100" s="217" t="s">
        <v>145</v>
      </c>
      <c r="D100" s="189">
        <v>33.716884</v>
      </c>
      <c r="E100" s="189">
        <v>123.390299</v>
      </c>
      <c r="F100" s="14" t="s">
        <v>8</v>
      </c>
      <c r="G100" s="14" t="s">
        <v>146</v>
      </c>
      <c r="H100" s="14">
        <v>2016</v>
      </c>
      <c r="I100" s="46">
        <v>2.3694169434634729</v>
      </c>
      <c r="J100" s="46">
        <v>7.8128469080928703E-5</v>
      </c>
      <c r="K100" s="46">
        <v>1.3574468078116216E-4</v>
      </c>
      <c r="L100" s="259">
        <v>1.6899196664672394E-4</v>
      </c>
    </row>
    <row r="101" spans="1:12" ht="16.25" customHeight="1" x14ac:dyDescent="0.45">
      <c r="A101" s="14" t="s">
        <v>142</v>
      </c>
      <c r="C101" s="217" t="s">
        <v>145</v>
      </c>
      <c r="D101" s="189">
        <v>38.585999999999999</v>
      </c>
      <c r="E101" s="189">
        <v>118.854</v>
      </c>
      <c r="F101" s="14" t="s">
        <v>8</v>
      </c>
      <c r="G101" s="14" t="s">
        <v>146</v>
      </c>
      <c r="H101" s="14">
        <v>2016</v>
      </c>
      <c r="I101" s="46">
        <v>5.2893590081872555</v>
      </c>
      <c r="J101" s="46">
        <v>1.7440979430366783E-4</v>
      </c>
      <c r="K101" s="46">
        <v>1.1649199071993158E-3</v>
      </c>
      <c r="L101" s="259">
        <v>1.4502380864624708E-3</v>
      </c>
    </row>
    <row r="102" spans="1:12" ht="16.25" customHeight="1" x14ac:dyDescent="0.45">
      <c r="A102" s="14" t="s">
        <v>142</v>
      </c>
      <c r="C102" s="217" t="s">
        <v>145</v>
      </c>
      <c r="D102" s="189">
        <v>39.396999999999998</v>
      </c>
      <c r="E102" s="189">
        <v>120.20399999999999</v>
      </c>
      <c r="F102" s="14" t="s">
        <v>8</v>
      </c>
      <c r="G102" s="14" t="s">
        <v>146</v>
      </c>
      <c r="H102" s="14">
        <v>2016</v>
      </c>
      <c r="I102" s="46">
        <v>3.3679183888865802</v>
      </c>
      <c r="J102" s="46">
        <v>1.106874910805516E-4</v>
      </c>
      <c r="K102" s="46">
        <v>6.7000285601208028E-4</v>
      </c>
      <c r="L102" s="259">
        <v>8.3410340386697501E-4</v>
      </c>
    </row>
    <row r="103" spans="1:12" ht="16.25" customHeight="1" x14ac:dyDescent="0.45">
      <c r="A103" s="14" t="s">
        <v>142</v>
      </c>
      <c r="C103" s="217" t="s">
        <v>145</v>
      </c>
      <c r="D103" s="189">
        <v>35.270245000000003</v>
      </c>
      <c r="E103" s="189">
        <v>122.83520300000001</v>
      </c>
      <c r="F103" s="14" t="s">
        <v>8</v>
      </c>
      <c r="G103" s="14" t="s">
        <v>146</v>
      </c>
      <c r="H103" s="14">
        <v>2016</v>
      </c>
      <c r="I103" s="46">
        <v>1.5382319564626197</v>
      </c>
      <c r="J103" s="46">
        <v>5.0311781666118144E-5</v>
      </c>
      <c r="K103" s="46">
        <v>5.1953934834083782E-5</v>
      </c>
      <c r="L103" s="259">
        <v>6.467875994936195E-5</v>
      </c>
    </row>
    <row r="104" spans="1:12" ht="16.25" customHeight="1" x14ac:dyDescent="0.45">
      <c r="A104" s="14" t="s">
        <v>142</v>
      </c>
      <c r="C104" s="217" t="s">
        <v>145</v>
      </c>
      <c r="D104" s="189">
        <v>38.585999999999999</v>
      </c>
      <c r="E104" s="189">
        <v>121.928</v>
      </c>
      <c r="F104" s="14" t="s">
        <v>8</v>
      </c>
      <c r="G104" s="14" t="s">
        <v>146</v>
      </c>
      <c r="H104" s="14">
        <v>2016</v>
      </c>
      <c r="I104" s="46">
        <v>2.4287872996778201</v>
      </c>
      <c r="J104" s="46">
        <v>7.9439655262291797E-5</v>
      </c>
      <c r="K104" s="46">
        <v>1.147581703611276E-4</v>
      </c>
      <c r="L104" s="259">
        <v>1.4286533208156477E-4</v>
      </c>
    </row>
    <row r="105" spans="1:12" ht="16.25" customHeight="1" x14ac:dyDescent="0.45">
      <c r="A105" s="14" t="s">
        <v>142</v>
      </c>
      <c r="C105" s="217" t="s">
        <v>145</v>
      </c>
      <c r="D105" s="189">
        <v>37.106000000000002</v>
      </c>
      <c r="E105" s="189">
        <v>123.639</v>
      </c>
      <c r="F105" s="14" t="s">
        <v>8</v>
      </c>
      <c r="G105" s="14" t="s">
        <v>146</v>
      </c>
      <c r="H105" s="14">
        <v>2016</v>
      </c>
      <c r="I105" s="46">
        <v>2.9253393698341745</v>
      </c>
      <c r="J105" s="46">
        <v>9.5530729471023573E-5</v>
      </c>
      <c r="K105" s="46">
        <v>9.7834382246225976E-5</v>
      </c>
      <c r="L105" s="259">
        <v>1.2179648267846852E-4</v>
      </c>
    </row>
    <row r="106" spans="1:12" ht="16.25" customHeight="1" x14ac:dyDescent="0.45">
      <c r="A106" s="14" t="s">
        <v>142</v>
      </c>
      <c r="C106" s="217" t="s">
        <v>145</v>
      </c>
      <c r="D106" s="189">
        <v>36.189942000000002</v>
      </c>
      <c r="E106" s="189">
        <v>122.87322899999999</v>
      </c>
      <c r="F106" s="14" t="s">
        <v>8</v>
      </c>
      <c r="G106" s="14" t="s">
        <v>146</v>
      </c>
      <c r="H106" s="14">
        <v>2016</v>
      </c>
      <c r="I106" s="46">
        <v>1.8620702630863293</v>
      </c>
      <c r="J106" s="46">
        <v>6.0789367055728779E-5</v>
      </c>
      <c r="K106" s="46">
        <v>6.2731389888778441E-5</v>
      </c>
      <c r="L106" s="259">
        <v>7.8095884765292677E-5</v>
      </c>
    </row>
    <row r="107" spans="1:12" ht="16.25" customHeight="1" x14ac:dyDescent="0.45">
      <c r="A107" s="14" t="s">
        <v>142</v>
      </c>
      <c r="C107" s="217" t="s">
        <v>145</v>
      </c>
      <c r="D107" s="189">
        <v>38.088000000000001</v>
      </c>
      <c r="E107" s="189">
        <v>121.282</v>
      </c>
      <c r="F107" s="14" t="s">
        <v>8</v>
      </c>
      <c r="G107" s="14" t="s">
        <v>146</v>
      </c>
      <c r="H107" s="14">
        <v>2016</v>
      </c>
      <c r="I107" s="46">
        <v>5.9532275367658576</v>
      </c>
      <c r="J107" s="46">
        <v>1.9410914833617199E-4</v>
      </c>
      <c r="K107" s="46">
        <v>2.7946765630228003E-4</v>
      </c>
      <c r="L107" s="259">
        <v>3.4791631304367842E-4</v>
      </c>
    </row>
    <row r="108" spans="1:12" ht="16.25" customHeight="1" x14ac:dyDescent="0.45">
      <c r="A108" s="14" t="s">
        <v>142</v>
      </c>
      <c r="C108" s="217" t="s">
        <v>145</v>
      </c>
      <c r="D108" s="189">
        <v>33.864114999999998</v>
      </c>
      <c r="E108" s="189">
        <v>123.066439</v>
      </c>
      <c r="F108" s="14" t="s">
        <v>8</v>
      </c>
      <c r="G108" s="14" t="s">
        <v>146</v>
      </c>
      <c r="H108" s="14">
        <v>2016</v>
      </c>
      <c r="I108" s="46">
        <v>1.7973026017615865</v>
      </c>
      <c r="J108" s="46">
        <v>5.8512566526557076E-5</v>
      </c>
      <c r="K108" s="46">
        <v>6.1046614635938375E-5</v>
      </c>
      <c r="L108" s="259">
        <v>7.5998465686351582E-5</v>
      </c>
    </row>
    <row r="109" spans="1:12" ht="16.25" customHeight="1" x14ac:dyDescent="0.45">
      <c r="A109" s="14" t="s">
        <v>142</v>
      </c>
      <c r="C109" s="217" t="s">
        <v>145</v>
      </c>
      <c r="D109" s="189">
        <v>35.972209999999997</v>
      </c>
      <c r="E109" s="189">
        <v>122.846682</v>
      </c>
      <c r="F109" s="14" t="s">
        <v>8</v>
      </c>
      <c r="G109" s="14" t="s">
        <v>146</v>
      </c>
      <c r="H109" s="14">
        <v>2016</v>
      </c>
      <c r="I109" s="46">
        <v>2.4665684354505872</v>
      </c>
      <c r="J109" s="46">
        <v>8.030102973764746E-5</v>
      </c>
      <c r="K109" s="46">
        <v>8.3146748724988631E-5</v>
      </c>
      <c r="L109" s="259">
        <v>1.0351147836112298E-4</v>
      </c>
    </row>
    <row r="110" spans="1:12" ht="16.25" customHeight="1" x14ac:dyDescent="0.45">
      <c r="A110" s="14" t="s">
        <v>142</v>
      </c>
      <c r="C110" s="217" t="s">
        <v>145</v>
      </c>
      <c r="D110" s="189">
        <v>38.348999999999997</v>
      </c>
      <c r="E110" s="189">
        <v>123.17100000000001</v>
      </c>
      <c r="F110" s="14" t="s">
        <v>8</v>
      </c>
      <c r="G110" s="14" t="s">
        <v>146</v>
      </c>
      <c r="H110" s="14">
        <v>2016</v>
      </c>
      <c r="I110" s="46">
        <v>2.7688175216327169</v>
      </c>
      <c r="J110" s="46">
        <v>9.0004550064791284E-5</v>
      </c>
      <c r="K110" s="46">
        <v>9.219340278443172E-5</v>
      </c>
      <c r="L110" s="259">
        <v>1.1477388549398512E-4</v>
      </c>
    </row>
    <row r="111" spans="1:12" ht="16.25" customHeight="1" x14ac:dyDescent="0.45">
      <c r="A111" s="14" t="s">
        <v>147</v>
      </c>
      <c r="C111" s="217" t="s">
        <v>125</v>
      </c>
      <c r="D111" s="189">
        <v>37.457147999999997</v>
      </c>
      <c r="E111" s="188">
        <v>121.775639</v>
      </c>
      <c r="F111" s="14" t="s">
        <v>8</v>
      </c>
      <c r="G111" s="218">
        <v>0.87887000000000004</v>
      </c>
      <c r="H111" s="14">
        <v>2017</v>
      </c>
      <c r="I111" s="46">
        <v>14.759653658812001</v>
      </c>
      <c r="J111" s="46">
        <v>4.9172062136066254E-4</v>
      </c>
      <c r="K111" s="46">
        <v>1.3470739781993191E-3</v>
      </c>
      <c r="L111" s="259">
        <v>1.6030316049889656E-3</v>
      </c>
    </row>
    <row r="112" spans="1:12" ht="16.25" customHeight="1" x14ac:dyDescent="0.45">
      <c r="A112" s="14" t="s">
        <v>147</v>
      </c>
      <c r="C112" s="217" t="s">
        <v>125</v>
      </c>
      <c r="D112" s="189">
        <v>37.461025999999997</v>
      </c>
      <c r="E112" s="188">
        <v>121.687877</v>
      </c>
      <c r="F112" s="14" t="s">
        <v>8</v>
      </c>
      <c r="G112" s="218">
        <v>0.91544999999999999</v>
      </c>
      <c r="H112" s="14">
        <v>2017</v>
      </c>
      <c r="I112" s="46">
        <v>27.103502722805754</v>
      </c>
      <c r="J112" s="46">
        <v>9.0295826094480118E-4</v>
      </c>
      <c r="K112" s="46">
        <v>2.4963241288693543E-3</v>
      </c>
      <c r="L112" s="259">
        <v>2.9706508622661673E-3</v>
      </c>
    </row>
    <row r="113" spans="1:12" ht="16.25" customHeight="1" x14ac:dyDescent="0.45">
      <c r="A113" s="14" t="s">
        <v>147</v>
      </c>
      <c r="C113" s="217" t="s">
        <v>125</v>
      </c>
      <c r="D113" s="189">
        <v>37.445559000000003</v>
      </c>
      <c r="E113" s="188">
        <v>121.58030599999999</v>
      </c>
      <c r="F113" s="14" t="s">
        <v>8</v>
      </c>
      <c r="G113" s="218">
        <v>0.92564999999999997</v>
      </c>
      <c r="H113" s="14">
        <v>2017</v>
      </c>
      <c r="I113" s="46">
        <v>23.361461439940221</v>
      </c>
      <c r="J113" s="46">
        <v>7.7801655976843091E-4</v>
      </c>
      <c r="K113" s="46">
        <v>2.1875351157307505E-3</v>
      </c>
      <c r="L113" s="259">
        <v>2.6031888257741433E-3</v>
      </c>
    </row>
    <row r="114" spans="1:12" ht="16.25" customHeight="1" x14ac:dyDescent="0.45">
      <c r="A114" s="14" t="s">
        <v>147</v>
      </c>
      <c r="C114" s="217" t="s">
        <v>125</v>
      </c>
      <c r="D114" s="189">
        <v>36.451923200000003</v>
      </c>
      <c r="E114" s="188">
        <v>121.58028</v>
      </c>
      <c r="F114" s="14" t="s">
        <v>8</v>
      </c>
      <c r="G114" s="218">
        <v>0.74512999999999996</v>
      </c>
      <c r="H114" s="14">
        <v>2017</v>
      </c>
      <c r="I114" s="46">
        <v>6.9436906073875972</v>
      </c>
      <c r="J114" s="46">
        <v>2.3108578883422479E-4</v>
      </c>
      <c r="K114" s="46">
        <v>3.1541616260839008E-4</v>
      </c>
      <c r="L114" s="259">
        <v>3.7534841112547585E-4</v>
      </c>
    </row>
    <row r="115" spans="1:12" ht="16.25" customHeight="1" x14ac:dyDescent="0.45">
      <c r="A115" s="14" t="s">
        <v>147</v>
      </c>
      <c r="C115" s="217" t="s">
        <v>125</v>
      </c>
      <c r="D115" s="182">
        <v>37.575792999999997</v>
      </c>
      <c r="E115" s="183">
        <v>121.430736</v>
      </c>
      <c r="F115" s="14" t="s">
        <v>8</v>
      </c>
      <c r="G115" s="218">
        <v>0.93127000000000004</v>
      </c>
      <c r="H115" s="14">
        <v>2017</v>
      </c>
      <c r="I115" s="46">
        <v>9.2545958646640756</v>
      </c>
      <c r="J115" s="46">
        <v>3.0799263772676272E-4</v>
      </c>
      <c r="K115" s="46">
        <v>9.3389465211469536E-4</v>
      </c>
      <c r="L115" s="259">
        <v>1.1113440444237583E-3</v>
      </c>
    </row>
    <row r="116" spans="1:12" ht="16.25" customHeight="1" x14ac:dyDescent="0.45">
      <c r="A116" s="14" t="s">
        <v>147</v>
      </c>
      <c r="C116" s="217" t="s">
        <v>125</v>
      </c>
      <c r="D116" s="189">
        <v>37.464278999999998</v>
      </c>
      <c r="E116" s="188">
        <v>121.862875</v>
      </c>
      <c r="F116" s="14" t="s">
        <v>8</v>
      </c>
      <c r="G116" s="218">
        <v>0.96272999999999997</v>
      </c>
      <c r="H116" s="14">
        <v>2017</v>
      </c>
      <c r="I116" s="46">
        <v>18.424744064797956</v>
      </c>
      <c r="J116" s="46">
        <v>6.1231653091252251E-4</v>
      </c>
      <c r="K116" s="46">
        <v>1.6669147394027673E-3</v>
      </c>
      <c r="L116" s="259">
        <v>1.9836453330176391E-3</v>
      </c>
    </row>
    <row r="117" spans="1:12" ht="16.25" customHeight="1" x14ac:dyDescent="0.45">
      <c r="A117" s="14" t="s">
        <v>147</v>
      </c>
      <c r="C117" s="217" t="s">
        <v>125</v>
      </c>
      <c r="D117" s="189">
        <v>37.484386000000001</v>
      </c>
      <c r="E117" s="188">
        <v>121.960354</v>
      </c>
      <c r="F117" s="14" t="s">
        <v>8</v>
      </c>
      <c r="G117" s="218">
        <v>0.89510000000000001</v>
      </c>
      <c r="H117" s="14">
        <v>2017</v>
      </c>
      <c r="I117" s="46">
        <v>11.817852425637737</v>
      </c>
      <c r="J117" s="46">
        <v>3.9206612915291232E-4</v>
      </c>
      <c r="K117" s="46">
        <v>1.0607486074483148E-3</v>
      </c>
      <c r="L117" s="259">
        <v>1.2623015292453977E-3</v>
      </c>
    </row>
    <row r="118" spans="1:12" ht="16.25" customHeight="1" x14ac:dyDescent="0.45">
      <c r="A118" s="14" t="s">
        <v>147</v>
      </c>
      <c r="C118" s="217" t="s">
        <v>125</v>
      </c>
      <c r="D118" s="182">
        <v>37.565966000000003</v>
      </c>
      <c r="E118" s="183">
        <v>121.393845</v>
      </c>
      <c r="F118" s="14" t="s">
        <v>8</v>
      </c>
      <c r="G118" s="218">
        <v>0.52588999999999997</v>
      </c>
      <c r="H118" s="14">
        <v>2017</v>
      </c>
      <c r="I118" s="46">
        <v>25.076119402651361</v>
      </c>
      <c r="J118" s="46">
        <v>8.3512053388228166E-4</v>
      </c>
      <c r="K118" s="46">
        <v>1.876257282726988E-3</v>
      </c>
      <c r="L118" s="259">
        <v>2.2327650685692673E-3</v>
      </c>
    </row>
    <row r="119" spans="1:12" ht="16.25" customHeight="1" x14ac:dyDescent="0.45">
      <c r="A119" s="14" t="s">
        <v>147</v>
      </c>
      <c r="C119" s="217" t="s">
        <v>125</v>
      </c>
      <c r="D119" s="189">
        <v>37.472619999999999</v>
      </c>
      <c r="E119" s="188">
        <v>121.53774199999999</v>
      </c>
      <c r="F119" s="14" t="s">
        <v>8</v>
      </c>
      <c r="G119" s="218">
        <v>0.89517999999999998</v>
      </c>
      <c r="H119" s="14">
        <v>2017</v>
      </c>
      <c r="I119" s="46">
        <v>7.2429933716917771</v>
      </c>
      <c r="J119" s="46">
        <v>2.4104657471888234E-4</v>
      </c>
      <c r="K119" s="46">
        <v>6.7822393664517975E-4</v>
      </c>
      <c r="L119" s="259">
        <v>8.0709331729173124E-4</v>
      </c>
    </row>
    <row r="120" spans="1:12" ht="16.25" customHeight="1" x14ac:dyDescent="0.45">
      <c r="A120" s="14" t="s">
        <v>147</v>
      </c>
      <c r="C120" s="217" t="s">
        <v>125</v>
      </c>
      <c r="D120" s="182">
        <v>37.474303999999997</v>
      </c>
      <c r="E120" s="183">
        <v>121.48737199999999</v>
      </c>
      <c r="F120" s="14" t="s">
        <v>8</v>
      </c>
      <c r="G120" s="218">
        <v>0.94430000000000003</v>
      </c>
      <c r="H120" s="14">
        <v>2017</v>
      </c>
      <c r="I120" s="46">
        <v>5.9061933611759372</v>
      </c>
      <c r="J120" s="46">
        <v>1.964200269945248E-4</v>
      </c>
      <c r="K120" s="46">
        <v>8.4430617199904778E-4</v>
      </c>
      <c r="L120" s="259">
        <v>1.0047328505379701E-3</v>
      </c>
    </row>
    <row r="121" spans="1:12" ht="16.25" customHeight="1" x14ac:dyDescent="0.45">
      <c r="A121" s="14" t="s">
        <v>147</v>
      </c>
      <c r="C121" s="217" t="s">
        <v>125</v>
      </c>
      <c r="D121" s="182">
        <v>37.504139000000002</v>
      </c>
      <c r="E121" s="183">
        <v>121.51571800000001</v>
      </c>
      <c r="F121" s="14" t="s">
        <v>8</v>
      </c>
      <c r="G121" s="218">
        <v>0.94430000000000003</v>
      </c>
      <c r="H121" s="14">
        <v>2017</v>
      </c>
      <c r="I121" s="46">
        <v>5.5339039025561485</v>
      </c>
      <c r="J121" s="46">
        <v>1.8403893801891488E-4</v>
      </c>
      <c r="K121" s="46">
        <v>5.3566071473206518E-4</v>
      </c>
      <c r="L121" s="259">
        <v>6.3744164697940981E-4</v>
      </c>
    </row>
    <row r="122" spans="1:12" ht="16.25" customHeight="1" x14ac:dyDescent="0.45">
      <c r="A122" s="14" t="s">
        <v>147</v>
      </c>
      <c r="C122" s="217" t="s">
        <v>125</v>
      </c>
      <c r="D122" s="189">
        <v>37.486080000000001</v>
      </c>
      <c r="E122" s="188">
        <v>121.625411</v>
      </c>
      <c r="F122" s="14" t="s">
        <v>8</v>
      </c>
      <c r="G122" s="218">
        <v>0.94286000000000003</v>
      </c>
      <c r="H122" s="14">
        <v>2017</v>
      </c>
      <c r="I122" s="46">
        <v>14.13497528238433</v>
      </c>
      <c r="J122" s="46">
        <v>4.6975301252515583E-4</v>
      </c>
      <c r="K122" s="46">
        <v>1.3130356117394663E-3</v>
      </c>
      <c r="L122" s="259">
        <v>1.562525605986389E-3</v>
      </c>
    </row>
    <row r="123" spans="1:12" ht="16.25" customHeight="1" x14ac:dyDescent="0.45">
      <c r="A123" s="14" t="s">
        <v>147</v>
      </c>
      <c r="C123" s="217" t="s">
        <v>125</v>
      </c>
      <c r="D123" s="189">
        <v>37.513882000000002</v>
      </c>
      <c r="E123" s="188">
        <v>121.778015</v>
      </c>
      <c r="F123" s="14" t="s">
        <v>8</v>
      </c>
      <c r="G123" s="218">
        <v>0.91678999999999999</v>
      </c>
      <c r="H123" s="14">
        <v>2017</v>
      </c>
      <c r="I123" s="46">
        <v>7.5034613014133322</v>
      </c>
      <c r="J123" s="46">
        <v>2.4936538481942571E-4</v>
      </c>
      <c r="K123" s="46">
        <v>6.4485085079725392E-4</v>
      </c>
      <c r="L123" s="259">
        <v>7.6737900891963413E-4</v>
      </c>
    </row>
    <row r="124" spans="1:12" ht="16.25" customHeight="1" x14ac:dyDescent="0.45">
      <c r="A124" s="14" t="s">
        <v>147</v>
      </c>
      <c r="C124" s="217" t="s">
        <v>125</v>
      </c>
      <c r="D124" s="189">
        <v>37.530493999999997</v>
      </c>
      <c r="E124" s="188">
        <v>121.70903</v>
      </c>
      <c r="F124" s="14" t="s">
        <v>8</v>
      </c>
      <c r="G124" s="218">
        <v>0.91678999999999999</v>
      </c>
      <c r="H124" s="14">
        <v>2017</v>
      </c>
      <c r="I124" s="46">
        <v>13.532382691886042</v>
      </c>
      <c r="J124" s="46">
        <v>4.4972682365274351E-4</v>
      </c>
      <c r="K124" s="46">
        <v>1.2258517854357677E-3</v>
      </c>
      <c r="L124" s="259">
        <v>1.4587759743622088E-3</v>
      </c>
    </row>
    <row r="125" spans="1:12" ht="16.25" customHeight="1" x14ac:dyDescent="0.45">
      <c r="A125" s="14" t="s">
        <v>147</v>
      </c>
      <c r="C125" s="217" t="s">
        <v>125</v>
      </c>
      <c r="D125" s="189">
        <v>37.544573999999997</v>
      </c>
      <c r="E125" s="188">
        <v>121.631653</v>
      </c>
      <c r="F125" s="14" t="s">
        <v>8</v>
      </c>
      <c r="G125" s="218">
        <v>0.90242</v>
      </c>
      <c r="H125" s="14">
        <v>2017</v>
      </c>
      <c r="I125" s="46">
        <v>6.4793537467451268</v>
      </c>
      <c r="J125" s="46">
        <v>2.1533082873819215E-4</v>
      </c>
      <c r="K125" s="46">
        <v>6.1240779190644182E-4</v>
      </c>
      <c r="L125" s="259">
        <v>7.2877144199594486E-4</v>
      </c>
    </row>
    <row r="126" spans="1:12" ht="16.25" customHeight="1" x14ac:dyDescent="0.45">
      <c r="A126" s="14" t="s">
        <v>147</v>
      </c>
      <c r="C126" s="217" t="s">
        <v>125</v>
      </c>
      <c r="D126" s="189">
        <v>37.562748999999997</v>
      </c>
      <c r="E126" s="188">
        <v>121.55318699999999</v>
      </c>
      <c r="F126" s="14" t="s">
        <v>8</v>
      </c>
      <c r="G126" s="218">
        <v>0.95103000000000004</v>
      </c>
      <c r="H126" s="14">
        <v>2017</v>
      </c>
      <c r="I126" s="46">
        <v>3.3216302842181835</v>
      </c>
      <c r="J126" s="46">
        <v>1.1038900325852408E-4</v>
      </c>
      <c r="K126" s="46">
        <v>3.2152109676102775E-4</v>
      </c>
      <c r="L126" s="259">
        <v>3.8261334427052611E-4</v>
      </c>
    </row>
    <row r="127" spans="1:12" ht="16.25" customHeight="1" x14ac:dyDescent="0.45">
      <c r="A127" s="14" t="s">
        <v>147</v>
      </c>
      <c r="C127" s="217" t="s">
        <v>125</v>
      </c>
      <c r="D127" s="182">
        <v>37.603489000000003</v>
      </c>
      <c r="E127" s="183">
        <v>121.46861199999999</v>
      </c>
      <c r="F127" s="14" t="s">
        <v>8</v>
      </c>
      <c r="G127" s="218">
        <v>0.91576999999999997</v>
      </c>
      <c r="H127" s="14">
        <v>2017</v>
      </c>
      <c r="I127" s="46">
        <v>5.5096992968792842</v>
      </c>
      <c r="J127" s="46">
        <v>1.8310593341060245E-4</v>
      </c>
      <c r="K127" s="46">
        <v>5.8742408083631162E-4</v>
      </c>
      <c r="L127" s="259">
        <v>6.9904057412715386E-4</v>
      </c>
    </row>
    <row r="128" spans="1:12" ht="16.25" customHeight="1" x14ac:dyDescent="0.45">
      <c r="A128" s="14" t="s">
        <v>147</v>
      </c>
      <c r="C128" s="217" t="s">
        <v>125</v>
      </c>
      <c r="D128" s="189">
        <v>37.512934000000001</v>
      </c>
      <c r="E128" s="188">
        <v>121.880461</v>
      </c>
      <c r="F128" s="14" t="s">
        <v>8</v>
      </c>
      <c r="G128" s="218">
        <v>0.91010999999999997</v>
      </c>
      <c r="H128" s="14">
        <v>2017</v>
      </c>
      <c r="I128" s="46">
        <v>19.309091325436743</v>
      </c>
      <c r="J128" s="46">
        <v>6.4148279139043557E-4</v>
      </c>
      <c r="K128" s="46">
        <v>1.565571203753284E-3</v>
      </c>
      <c r="L128" s="259">
        <v>1.8630455046217162E-3</v>
      </c>
    </row>
    <row r="129" spans="1:12" ht="16.25" customHeight="1" x14ac:dyDescent="0.45">
      <c r="A129" s="14" t="s">
        <v>147</v>
      </c>
      <c r="C129" s="217" t="s">
        <v>125</v>
      </c>
      <c r="D129" s="182">
        <v>37.514389999999999</v>
      </c>
      <c r="E129" s="183">
        <v>121.518027</v>
      </c>
      <c r="F129" s="14" t="s">
        <v>8</v>
      </c>
      <c r="G129" s="218">
        <v>0.96753</v>
      </c>
      <c r="H129" s="14">
        <v>2017</v>
      </c>
      <c r="I129" s="46">
        <v>5.1906257606215238</v>
      </c>
      <c r="J129" s="46">
        <v>1.723221443351592E-4</v>
      </c>
      <c r="K129" s="46">
        <v>5.0243270461507335E-4</v>
      </c>
      <c r="L129" s="259">
        <v>5.9789998018867192E-4</v>
      </c>
    </row>
    <row r="130" spans="1:12" ht="16.25" customHeight="1" x14ac:dyDescent="0.45">
      <c r="A130" s="14" t="s">
        <v>147</v>
      </c>
      <c r="C130" s="217" t="s">
        <v>125</v>
      </c>
      <c r="D130" s="182">
        <v>37.572401999999997</v>
      </c>
      <c r="E130" s="183">
        <v>121.547618</v>
      </c>
      <c r="F130" s="14" t="s">
        <v>8</v>
      </c>
      <c r="G130" s="218">
        <v>0.94499</v>
      </c>
      <c r="H130" s="14">
        <v>2017</v>
      </c>
      <c r="I130" s="46">
        <v>17.58399818229541</v>
      </c>
      <c r="J130" s="46">
        <v>5.8376627645678346E-4</v>
      </c>
      <c r="K130" s="46">
        <v>1.7020637148803697E-3</v>
      </c>
      <c r="L130" s="259">
        <v>2.0254729679400328E-3</v>
      </c>
    </row>
    <row r="131" spans="1:12" ht="16.25" customHeight="1" x14ac:dyDescent="0.45">
      <c r="A131" s="14" t="s">
        <v>147</v>
      </c>
      <c r="C131" s="217" t="s">
        <v>125</v>
      </c>
      <c r="D131" s="182">
        <v>37.504578000000002</v>
      </c>
      <c r="E131" s="183">
        <v>121.95050500000001</v>
      </c>
      <c r="F131" s="14" t="s">
        <v>8</v>
      </c>
      <c r="G131" s="218">
        <v>0.80206</v>
      </c>
      <c r="H131" s="14">
        <v>2017</v>
      </c>
      <c r="I131" s="46">
        <v>7.0310464477518826</v>
      </c>
      <c r="J131" s="46">
        <v>2.330994841863437E-4</v>
      </c>
      <c r="K131" s="46">
        <v>5.3016260416079207E-4</v>
      </c>
      <c r="L131" s="259">
        <v>6.3089884000955298E-4</v>
      </c>
    </row>
    <row r="132" spans="1:12" ht="16.25" customHeight="1" x14ac:dyDescent="0.45">
      <c r="A132" s="14" t="s">
        <v>147</v>
      </c>
      <c r="C132" s="217" t="s">
        <v>125</v>
      </c>
      <c r="D132" s="182">
        <v>37.610947000000003</v>
      </c>
      <c r="E132" s="183">
        <v>121.710663</v>
      </c>
      <c r="F132" s="14" t="s">
        <v>8</v>
      </c>
      <c r="G132" s="218">
        <v>0.93503999999999998</v>
      </c>
      <c r="H132" s="14">
        <v>2017</v>
      </c>
      <c r="I132" s="46">
        <v>14.939016570883982</v>
      </c>
      <c r="J132" s="46">
        <v>4.9510133123602804E-4</v>
      </c>
      <c r="K132" s="46">
        <v>1.3959450052959807E-3</v>
      </c>
      <c r="L132" s="259">
        <v>1.6611886195791684E-3</v>
      </c>
    </row>
    <row r="133" spans="1:12" ht="16.25" customHeight="1" x14ac:dyDescent="0.45">
      <c r="A133" s="14" t="s">
        <v>147</v>
      </c>
      <c r="C133" s="217" t="s">
        <v>125</v>
      </c>
      <c r="D133" s="182">
        <v>37.612537000000003</v>
      </c>
      <c r="E133" s="183">
        <v>121.784526</v>
      </c>
      <c r="F133" s="14" t="s">
        <v>8</v>
      </c>
      <c r="G133" s="218">
        <v>0.87546000000000002</v>
      </c>
      <c r="H133" s="14">
        <v>2017</v>
      </c>
      <c r="I133" s="46">
        <v>3.6475154986568801</v>
      </c>
      <c r="J133" s="46">
        <v>1.2088411379158183E-4</v>
      </c>
      <c r="K133" s="46">
        <v>3.3221645655750765E-4</v>
      </c>
      <c r="L133" s="259">
        <v>3.9534093017742905E-4</v>
      </c>
    </row>
    <row r="134" spans="1:12" ht="16.25" customHeight="1" x14ac:dyDescent="0.45">
      <c r="A134" s="14" t="s">
        <v>147</v>
      </c>
      <c r="C134" s="217" t="s">
        <v>125</v>
      </c>
      <c r="D134" s="182">
        <v>37.615000000000002</v>
      </c>
      <c r="E134" s="183">
        <v>121.63577600000001</v>
      </c>
      <c r="F134" s="14" t="s">
        <v>8</v>
      </c>
      <c r="G134" s="218">
        <v>0.99966999999999995</v>
      </c>
      <c r="H134" s="14">
        <v>2017</v>
      </c>
      <c r="I134" s="46">
        <v>4.8606148609224693</v>
      </c>
      <c r="J134" s="46">
        <v>1.6108803928623907E-4</v>
      </c>
      <c r="K134" s="46">
        <v>4.6346129552577483E-4</v>
      </c>
      <c r="L134" s="259">
        <v>5.5152361075971965E-4</v>
      </c>
    </row>
    <row r="135" spans="1:12" ht="16.25" customHeight="1" x14ac:dyDescent="0.45">
      <c r="A135" s="14" t="s">
        <v>147</v>
      </c>
      <c r="C135" s="217" t="s">
        <v>125</v>
      </c>
      <c r="D135" s="182">
        <v>37.603555</v>
      </c>
      <c r="E135" s="183">
        <v>121.829649</v>
      </c>
      <c r="F135" s="14" t="s">
        <v>8</v>
      </c>
      <c r="G135" s="218">
        <v>0.86360999999999999</v>
      </c>
      <c r="H135" s="14">
        <v>2017</v>
      </c>
      <c r="I135" s="46">
        <v>9.7735918885813895</v>
      </c>
      <c r="J135" s="46">
        <v>3.2368953713478646E-4</v>
      </c>
      <c r="K135" s="46">
        <v>8.9018074529342709E-4</v>
      </c>
      <c r="L135" s="259">
        <v>1.0593240549160493E-3</v>
      </c>
    </row>
    <row r="136" spans="1:12" ht="16.25" customHeight="1" x14ac:dyDescent="0.45">
      <c r="A136" s="14" t="s">
        <v>147</v>
      </c>
      <c r="C136" s="217" t="s">
        <v>125</v>
      </c>
      <c r="D136" s="182">
        <v>37.600991999999998</v>
      </c>
      <c r="E136" s="183">
        <v>121.91377</v>
      </c>
      <c r="F136" s="14" t="s">
        <v>8</v>
      </c>
      <c r="G136" s="218">
        <v>0.90317999999999998</v>
      </c>
      <c r="H136" s="14">
        <v>2017</v>
      </c>
      <c r="I136" s="46">
        <v>4.7539725276715705</v>
      </c>
      <c r="J136" s="46">
        <v>1.5739204052987279E-4</v>
      </c>
      <c r="K136" s="46">
        <v>4.2316643627804022E-4</v>
      </c>
      <c r="L136" s="259">
        <v>5.0357232230929209E-4</v>
      </c>
    </row>
    <row r="137" spans="1:12" ht="16.25" customHeight="1" x14ac:dyDescent="0.45">
      <c r="A137" s="14" t="s">
        <v>147</v>
      </c>
      <c r="C137" s="217" t="s">
        <v>125</v>
      </c>
      <c r="D137" s="182">
        <v>37.577157999999997</v>
      </c>
      <c r="E137" s="183">
        <v>122.10325</v>
      </c>
      <c r="F137" s="14" t="s">
        <v>8</v>
      </c>
      <c r="G137" s="218">
        <v>0.95935999999999999</v>
      </c>
      <c r="H137" s="14">
        <v>2017</v>
      </c>
      <c r="I137" s="46">
        <v>8.6240750964802615</v>
      </c>
      <c r="J137" s="46">
        <v>2.854240501303705E-4</v>
      </c>
      <c r="K137" s="46">
        <v>7.6357444492685376E-4</v>
      </c>
      <c r="L137" s="259">
        <v>9.0866128200016352E-4</v>
      </c>
    </row>
    <row r="138" spans="1:12" ht="16.25" customHeight="1" x14ac:dyDescent="0.45">
      <c r="A138" s="14" t="s">
        <v>147</v>
      </c>
      <c r="C138" s="217" t="s">
        <v>125</v>
      </c>
      <c r="D138" s="182">
        <v>37.606701999999999</v>
      </c>
      <c r="E138" s="183">
        <v>122.079786</v>
      </c>
      <c r="F138" s="14" t="s">
        <v>8</v>
      </c>
      <c r="G138" s="218">
        <v>0.94159999999999999</v>
      </c>
      <c r="H138" s="14">
        <v>2017</v>
      </c>
      <c r="I138" s="46">
        <v>5.4791446952232699</v>
      </c>
      <c r="J138" s="46">
        <v>1.8133882795144326E-4</v>
      </c>
      <c r="K138" s="46">
        <v>4.1099800030750178E-4</v>
      </c>
      <c r="L138" s="259">
        <v>4.8909176091493402E-4</v>
      </c>
    </row>
    <row r="139" spans="1:12" ht="16.25" customHeight="1" x14ac:dyDescent="0.45">
      <c r="A139" s="14" t="s">
        <v>148</v>
      </c>
      <c r="C139" s="217" t="s">
        <v>149</v>
      </c>
      <c r="D139" s="189">
        <v>36.0304833</v>
      </c>
      <c r="E139" s="189">
        <v>120.250166666666</v>
      </c>
      <c r="F139" s="14" t="s">
        <v>8</v>
      </c>
      <c r="G139" s="14" t="s">
        <v>146</v>
      </c>
      <c r="H139" s="14">
        <v>2017</v>
      </c>
      <c r="I139" s="46">
        <v>0.41356149725140406</v>
      </c>
      <c r="J139" s="46">
        <v>5.04854709194461E-5</v>
      </c>
      <c r="K139" s="46">
        <v>6.0615444708223861E-5</v>
      </c>
      <c r="L139" s="259">
        <v>7.2132989865658699E-5</v>
      </c>
    </row>
    <row r="140" spans="1:12" ht="16.25" customHeight="1" x14ac:dyDescent="0.45">
      <c r="A140" s="14" t="s">
        <v>148</v>
      </c>
      <c r="C140" s="217" t="s">
        <v>149</v>
      </c>
      <c r="D140" s="189">
        <v>36.0936667</v>
      </c>
      <c r="E140" s="189">
        <v>120.25433333333299</v>
      </c>
      <c r="F140" s="14" t="s">
        <v>8</v>
      </c>
      <c r="G140" s="14" t="s">
        <v>146</v>
      </c>
      <c r="H140" s="14">
        <v>2017</v>
      </c>
      <c r="I140" s="46">
        <v>0.62034224587710618</v>
      </c>
      <c r="J140" s="46">
        <v>7.5728206379169157E-5</v>
      </c>
      <c r="K140" s="46">
        <v>9.021363249247735E-5</v>
      </c>
      <c r="L140" s="259">
        <v>1.073551315122374E-4</v>
      </c>
    </row>
    <row r="141" spans="1:12" ht="16.25" customHeight="1" x14ac:dyDescent="0.45">
      <c r="A141" s="14" t="s">
        <v>148</v>
      </c>
      <c r="C141" s="217" t="s">
        <v>149</v>
      </c>
      <c r="D141" s="189">
        <v>36.123166699999999</v>
      </c>
      <c r="E141" s="189">
        <v>120.18233333333301</v>
      </c>
      <c r="F141" s="14" t="s">
        <v>8</v>
      </c>
      <c r="G141" s="14" t="s">
        <v>146</v>
      </c>
      <c r="H141" s="14">
        <v>2017</v>
      </c>
      <c r="I141" s="46">
        <v>0.24124420672998559</v>
      </c>
      <c r="J141" s="46">
        <v>2.944985803634354E-5</v>
      </c>
      <c r="K141" s="46">
        <v>3.5160036371483796E-5</v>
      </c>
      <c r="L141" s="259">
        <v>4.1840797497545032E-5</v>
      </c>
    </row>
    <row r="142" spans="1:12" ht="16.25" customHeight="1" x14ac:dyDescent="0.45">
      <c r="A142" s="14" t="s">
        <v>148</v>
      </c>
      <c r="C142" s="217" t="s">
        <v>149</v>
      </c>
      <c r="D142" s="189">
        <v>36.1232167</v>
      </c>
      <c r="E142" s="189">
        <v>120.22133333333301</v>
      </c>
      <c r="F142" s="14" t="s">
        <v>8</v>
      </c>
      <c r="G142" s="14" t="s">
        <v>146</v>
      </c>
      <c r="H142" s="14">
        <v>2017</v>
      </c>
      <c r="I142" s="46">
        <v>0.58587878777282199</v>
      </c>
      <c r="J142" s="46">
        <v>7.1521083802548582E-5</v>
      </c>
      <c r="K142" s="46">
        <v>8.5388659759317765E-5</v>
      </c>
      <c r="L142" s="259">
        <v>1.0161336535118074E-4</v>
      </c>
    </row>
    <row r="143" spans="1:12" ht="16.25" customHeight="1" x14ac:dyDescent="0.45">
      <c r="A143" s="14" t="s">
        <v>148</v>
      </c>
      <c r="C143" s="217" t="s">
        <v>149</v>
      </c>
      <c r="D143" s="189">
        <v>36.1232167</v>
      </c>
      <c r="E143" s="189">
        <v>120.2715</v>
      </c>
      <c r="F143" s="14" t="s">
        <v>8</v>
      </c>
      <c r="G143" s="14" t="s">
        <v>146</v>
      </c>
      <c r="H143" s="14">
        <v>2017</v>
      </c>
      <c r="I143" s="46">
        <v>0.62034224587710618</v>
      </c>
      <c r="J143" s="46">
        <v>7.5728206379169157E-5</v>
      </c>
      <c r="K143" s="46">
        <v>9.021363249247735E-5</v>
      </c>
      <c r="L143" s="259">
        <v>1.073551315122374E-4</v>
      </c>
    </row>
    <row r="144" spans="1:12" ht="16.25" customHeight="1" x14ac:dyDescent="0.45">
      <c r="A144" s="14" t="s">
        <v>148</v>
      </c>
      <c r="C144" s="217" t="s">
        <v>149</v>
      </c>
      <c r="D144" s="189">
        <v>36.157649999999997</v>
      </c>
      <c r="E144" s="189">
        <v>120.25083333333301</v>
      </c>
      <c r="F144" s="14" t="s">
        <v>8</v>
      </c>
      <c r="G144" s="14" t="s">
        <v>146</v>
      </c>
      <c r="H144" s="14">
        <v>2017</v>
      </c>
      <c r="I144" s="46">
        <v>0.27570766483426928</v>
      </c>
      <c r="J144" s="46">
        <v>3.3656980612964051E-5</v>
      </c>
      <c r="K144" s="46">
        <v>4.0094947774434353E-5</v>
      </c>
      <c r="L144" s="259">
        <v>4.7713391783216589E-5</v>
      </c>
    </row>
    <row r="145" spans="1:12" ht="16.25" customHeight="1" x14ac:dyDescent="0.45">
      <c r="A145" s="14" t="s">
        <v>148</v>
      </c>
      <c r="C145" s="217" t="s">
        <v>149</v>
      </c>
      <c r="D145" s="189">
        <v>36.158549999999998</v>
      </c>
      <c r="E145" s="189">
        <v>120.29216666666601</v>
      </c>
      <c r="F145" s="14" t="s">
        <v>8</v>
      </c>
      <c r="G145" s="14" t="s">
        <v>146</v>
      </c>
      <c r="H145" s="14">
        <v>2017</v>
      </c>
      <c r="I145" s="46">
        <v>0.41356149725140406</v>
      </c>
      <c r="J145" s="46">
        <v>5.04854709194461E-5</v>
      </c>
      <c r="K145" s="46">
        <v>6.0142421661651553E-5</v>
      </c>
      <c r="L145" s="259">
        <v>7.1570087674824927E-5</v>
      </c>
    </row>
    <row r="146" spans="1:12" ht="16.25" customHeight="1" x14ac:dyDescent="0.45">
      <c r="A146" s="14" t="s">
        <v>148</v>
      </c>
      <c r="C146" s="217" t="s">
        <v>149</v>
      </c>
      <c r="D146" s="189">
        <v>36.0883167</v>
      </c>
      <c r="E146" s="189">
        <v>120.299833333333</v>
      </c>
      <c r="F146" s="14" t="s">
        <v>8</v>
      </c>
      <c r="G146" s="14" t="s">
        <v>146</v>
      </c>
      <c r="H146" s="14">
        <v>2017</v>
      </c>
      <c r="I146" s="46">
        <v>0.86158645260709232</v>
      </c>
      <c r="J146" s="46">
        <v>1.0517806441551276E-4</v>
      </c>
      <c r="K146" s="46">
        <v>1.2529671179510745E-4</v>
      </c>
      <c r="L146" s="259">
        <v>1.4910434932255198E-4</v>
      </c>
    </row>
    <row r="147" spans="1:12" ht="16.25" customHeight="1" x14ac:dyDescent="0.45">
      <c r="A147" s="14" t="s">
        <v>148</v>
      </c>
      <c r="C147" s="217" t="s">
        <v>149</v>
      </c>
      <c r="D147" s="189">
        <v>36.123249999999999</v>
      </c>
      <c r="E147" s="189">
        <v>120.321166666666</v>
      </c>
      <c r="F147" s="14" t="s">
        <v>8</v>
      </c>
      <c r="G147" s="14" t="s">
        <v>146</v>
      </c>
      <c r="H147" s="14">
        <v>2017</v>
      </c>
      <c r="I147" s="46">
        <v>0.79265953639852449</v>
      </c>
      <c r="J147" s="46">
        <v>9.6763819262271665E-5</v>
      </c>
      <c r="K147" s="46">
        <v>1.1527297485149879E-4</v>
      </c>
      <c r="L147" s="259">
        <v>1.3717600137674773E-4</v>
      </c>
    </row>
    <row r="148" spans="1:12" ht="16.25" customHeight="1" x14ac:dyDescent="0.45">
      <c r="A148" s="14" t="s">
        <v>148</v>
      </c>
      <c r="C148" s="217" t="s">
        <v>149</v>
      </c>
      <c r="D148" s="189">
        <v>36.158016699999997</v>
      </c>
      <c r="E148" s="189">
        <v>120.335333333333</v>
      </c>
      <c r="F148" s="14" t="s">
        <v>8</v>
      </c>
      <c r="G148" s="14" t="s">
        <v>146</v>
      </c>
      <c r="H148" s="14">
        <v>2017</v>
      </c>
      <c r="I148" s="46">
        <v>0.62034224587710618</v>
      </c>
      <c r="J148" s="46">
        <v>7.5728206379169157E-5</v>
      </c>
      <c r="K148" s="46">
        <v>9.0727171645850515E-5</v>
      </c>
      <c r="L148" s="259">
        <v>1.079662482783388E-4</v>
      </c>
    </row>
    <row r="149" spans="1:12" ht="16.25" customHeight="1" x14ac:dyDescent="0.45">
      <c r="A149" s="14" t="s">
        <v>148</v>
      </c>
      <c r="C149" s="217" t="s">
        <v>149</v>
      </c>
      <c r="D149" s="189">
        <v>36.159799999999997</v>
      </c>
      <c r="E149" s="189">
        <v>120.219833333333</v>
      </c>
      <c r="F149" s="14" t="s">
        <v>8</v>
      </c>
      <c r="G149" s="14" t="s">
        <v>146</v>
      </c>
      <c r="H149" s="14">
        <v>2017</v>
      </c>
      <c r="I149" s="46">
        <v>0.24124420672998559</v>
      </c>
      <c r="J149" s="46">
        <v>2.944985803634354E-5</v>
      </c>
      <c r="K149" s="46">
        <v>3.5160036371483796E-5</v>
      </c>
      <c r="L149" s="259">
        <v>4.1840797497545032E-5</v>
      </c>
    </row>
    <row r="150" spans="1:12" ht="16.25" customHeight="1" x14ac:dyDescent="0.45">
      <c r="A150" s="14" t="s">
        <v>148</v>
      </c>
      <c r="C150" s="217" t="s">
        <v>149</v>
      </c>
      <c r="D150" s="189">
        <v>36.182283300000002</v>
      </c>
      <c r="E150" s="189">
        <v>120.322666666666</v>
      </c>
      <c r="F150" s="14" t="s">
        <v>8</v>
      </c>
      <c r="G150" s="14" t="s">
        <v>146</v>
      </c>
      <c r="H150" s="14">
        <v>2017</v>
      </c>
      <c r="I150" s="46">
        <v>0.62034224587710618</v>
      </c>
      <c r="J150" s="46">
        <v>7.5728206379169157E-5</v>
      </c>
      <c r="K150" s="46">
        <v>8.9845274901389593E-5</v>
      </c>
      <c r="L150" s="259">
        <v>1.0691678226786956E-4</v>
      </c>
    </row>
    <row r="151" spans="1:12" ht="16.25" customHeight="1" x14ac:dyDescent="0.45">
      <c r="A151" s="14" t="s">
        <v>148</v>
      </c>
      <c r="C151" s="217" t="s">
        <v>149</v>
      </c>
      <c r="D151" s="189">
        <v>36.103898999999998</v>
      </c>
      <c r="E151" s="189">
        <v>120.11225399999999</v>
      </c>
      <c r="F151" s="14" t="s">
        <v>8</v>
      </c>
      <c r="G151" s="14" t="s">
        <v>146</v>
      </c>
      <c r="H151" s="14">
        <v>2017</v>
      </c>
      <c r="I151" s="46">
        <v>1.4819286984841975</v>
      </c>
      <c r="J151" s="46">
        <v>1.8090627079468178E-4</v>
      </c>
      <c r="K151" s="46">
        <v>2.6038875638489326E-4</v>
      </c>
      <c r="L151" s="259">
        <v>3.0986524335265155E-4</v>
      </c>
    </row>
    <row r="152" spans="1:12" ht="16.25" customHeight="1" x14ac:dyDescent="0.45">
      <c r="A152" s="14" t="s">
        <v>148</v>
      </c>
      <c r="C152" s="217" t="s">
        <v>149</v>
      </c>
      <c r="D152" s="189">
        <v>36.179698999999999</v>
      </c>
      <c r="E152" s="189">
        <v>120.13865300000001</v>
      </c>
      <c r="F152" s="14" t="s">
        <v>8</v>
      </c>
      <c r="G152" s="14" t="s">
        <v>146</v>
      </c>
      <c r="H152" s="14">
        <v>2017</v>
      </c>
      <c r="I152" s="46">
        <v>0.75819607829424041</v>
      </c>
      <c r="J152" s="46">
        <v>9.2556696685651131E-5</v>
      </c>
      <c r="K152" s="46">
        <v>1.2924781375725012E-4</v>
      </c>
      <c r="L152" s="259">
        <v>1.5380620046239447E-4</v>
      </c>
    </row>
    <row r="153" spans="1:12" ht="16.25" customHeight="1" x14ac:dyDescent="0.45">
      <c r="A153" s="14" t="s">
        <v>148</v>
      </c>
      <c r="C153" s="217" t="s">
        <v>149</v>
      </c>
      <c r="D153" s="189">
        <v>36.255127999999999</v>
      </c>
      <c r="E153" s="189">
        <v>120.325998</v>
      </c>
      <c r="F153" s="14" t="s">
        <v>8</v>
      </c>
      <c r="G153" s="14" t="s">
        <v>146</v>
      </c>
      <c r="H153" s="14">
        <v>2017</v>
      </c>
      <c r="I153" s="46">
        <v>0.68926916208567324</v>
      </c>
      <c r="J153" s="46">
        <v>8.4142451532410144E-5</v>
      </c>
      <c r="K153" s="46">
        <v>1.2042100596450828E-4</v>
      </c>
      <c r="L153" s="259">
        <v>1.4330221026443785E-4</v>
      </c>
    </row>
    <row r="154" spans="1:12" ht="16.25" customHeight="1" x14ac:dyDescent="0.45">
      <c r="A154" s="14" t="s">
        <v>148</v>
      </c>
      <c r="C154" s="217" t="s">
        <v>149</v>
      </c>
      <c r="D154" s="189">
        <v>36.255898999999999</v>
      </c>
      <c r="E154" s="189">
        <v>120.320267</v>
      </c>
      <c r="F154" s="14" t="s">
        <v>8</v>
      </c>
      <c r="G154" s="14" t="s">
        <v>146</v>
      </c>
      <c r="H154" s="14">
        <v>2017</v>
      </c>
      <c r="I154" s="46">
        <v>0.44802495535568765</v>
      </c>
      <c r="J154" s="46">
        <v>5.4692593496066593E-5</v>
      </c>
      <c r="K154" s="46">
        <v>7.8273653876930385E-5</v>
      </c>
      <c r="L154" s="259">
        <v>9.3146436671884598E-5</v>
      </c>
    </row>
    <row r="155" spans="1:12" ht="16.25" customHeight="1" x14ac:dyDescent="0.45">
      <c r="A155" s="14" t="s">
        <v>150</v>
      </c>
      <c r="C155" s="217" t="s">
        <v>151</v>
      </c>
      <c r="D155" s="184">
        <v>37.115560000000002</v>
      </c>
      <c r="E155" s="184">
        <v>122.48</v>
      </c>
      <c r="F155" s="14" t="s">
        <v>8</v>
      </c>
      <c r="G155" s="219">
        <v>0.96</v>
      </c>
      <c r="H155" s="14">
        <v>2017</v>
      </c>
      <c r="I155" s="46">
        <v>116.23157308425252</v>
      </c>
      <c r="J155" s="46">
        <v>3.868863171186154E-3</v>
      </c>
      <c r="K155" s="46">
        <v>9.1948091451231305E-3</v>
      </c>
      <c r="L155" s="259">
        <v>1.0941915514674893E-2</v>
      </c>
    </row>
    <row r="156" spans="1:12" ht="16.25" customHeight="1" x14ac:dyDescent="0.45">
      <c r="A156" s="14" t="s">
        <v>150</v>
      </c>
      <c r="C156" s="217" t="s">
        <v>151</v>
      </c>
      <c r="D156" s="184">
        <v>37.115560000000002</v>
      </c>
      <c r="E156" s="184">
        <v>122.50917</v>
      </c>
      <c r="F156" s="14" t="s">
        <v>8</v>
      </c>
      <c r="G156" s="219">
        <v>0.95</v>
      </c>
      <c r="H156" s="14">
        <v>2017</v>
      </c>
      <c r="I156" s="46">
        <v>107.31149368578636</v>
      </c>
      <c r="J156" s="46">
        <v>3.5719510176892176E-3</v>
      </c>
      <c r="K156" s="46">
        <v>8.2133002614165184E-3</v>
      </c>
      <c r="L156" s="259">
        <v>9.7739100549730073E-3</v>
      </c>
    </row>
    <row r="157" spans="1:12" ht="16.25" customHeight="1" x14ac:dyDescent="0.45">
      <c r="A157" s="14" t="s">
        <v>150</v>
      </c>
      <c r="C157" s="217" t="s">
        <v>151</v>
      </c>
      <c r="D157" s="184">
        <v>37.115560000000002</v>
      </c>
      <c r="E157" s="184">
        <v>122.57056</v>
      </c>
      <c r="F157" s="14" t="s">
        <v>8</v>
      </c>
      <c r="G157" s="219">
        <v>0.81</v>
      </c>
      <c r="H157" s="14">
        <v>2017</v>
      </c>
      <c r="I157" s="46">
        <v>101.57609401815508</v>
      </c>
      <c r="J157" s="46">
        <v>3.3810435391330466E-3</v>
      </c>
      <c r="K157" s="46">
        <v>7.7743299519786998E-3</v>
      </c>
      <c r="L157" s="259">
        <v>9.2515309643893939E-3</v>
      </c>
    </row>
    <row r="158" spans="1:12" ht="16.25" customHeight="1" x14ac:dyDescent="0.45">
      <c r="A158" s="14" t="s">
        <v>150</v>
      </c>
      <c r="C158" s="217" t="s">
        <v>151</v>
      </c>
      <c r="D158" s="184">
        <v>37.115560000000002</v>
      </c>
      <c r="E158" s="184">
        <v>122.59721999999999</v>
      </c>
      <c r="F158" s="14" t="s">
        <v>8</v>
      </c>
      <c r="G158" s="219">
        <v>0.9</v>
      </c>
      <c r="H158" s="14">
        <v>2017</v>
      </c>
      <c r="I158" s="46">
        <v>84.501965636141193</v>
      </c>
      <c r="J158" s="46">
        <v>2.8127171823229664E-3</v>
      </c>
      <c r="K158" s="46">
        <v>7.1980391588275603E-3</v>
      </c>
      <c r="L158" s="259">
        <v>8.5657391147685412E-3</v>
      </c>
    </row>
    <row r="159" spans="1:12" ht="16.25" customHeight="1" x14ac:dyDescent="0.45">
      <c r="A159" s="14" t="s">
        <v>150</v>
      </c>
      <c r="C159" s="217" t="s">
        <v>151</v>
      </c>
      <c r="D159" s="184">
        <v>37.115560000000002</v>
      </c>
      <c r="E159" s="184">
        <v>122.66889</v>
      </c>
      <c r="F159" s="14" t="s">
        <v>8</v>
      </c>
      <c r="G159" s="219">
        <v>0.83</v>
      </c>
      <c r="H159" s="14">
        <v>2017</v>
      </c>
      <c r="I159" s="46">
        <v>115.48594411711908</v>
      </c>
      <c r="J159" s="46">
        <v>3.8440442999125024E-3</v>
      </c>
      <c r="K159" s="46">
        <v>6.6192938545150543E-3</v>
      </c>
      <c r="L159" s="259">
        <v>7.8770263721379893E-3</v>
      </c>
    </row>
    <row r="160" spans="1:12" ht="16.25" customHeight="1" x14ac:dyDescent="0.45">
      <c r="A160" s="14" t="s">
        <v>150</v>
      </c>
      <c r="C160" s="217" t="s">
        <v>151</v>
      </c>
      <c r="D160" s="184">
        <v>37.069389999999999</v>
      </c>
      <c r="E160" s="184">
        <v>122.48</v>
      </c>
      <c r="F160" s="14" t="s">
        <v>8</v>
      </c>
      <c r="G160" s="219">
        <v>0.69</v>
      </c>
      <c r="H160" s="14">
        <v>2017</v>
      </c>
      <c r="I160" s="46">
        <v>121.41766798659764</v>
      </c>
      <c r="J160" s="46">
        <v>4.0414865904305564E-3</v>
      </c>
      <c r="K160" s="46">
        <v>9.5971094610220412E-3</v>
      </c>
      <c r="L160" s="259">
        <v>1.1420656943519845E-2</v>
      </c>
    </row>
    <row r="161" spans="1:12" ht="16.25" customHeight="1" x14ac:dyDescent="0.45">
      <c r="A161" s="14" t="s">
        <v>150</v>
      </c>
      <c r="C161" s="217" t="s">
        <v>151</v>
      </c>
      <c r="D161" s="184">
        <v>37.069389999999999</v>
      </c>
      <c r="E161" s="184">
        <v>122.50833</v>
      </c>
      <c r="F161" s="14" t="s">
        <v>8</v>
      </c>
      <c r="G161" s="219">
        <v>0.97</v>
      </c>
      <c r="H161" s="14">
        <v>2017</v>
      </c>
      <c r="I161" s="46">
        <v>80.243403140068366</v>
      </c>
      <c r="J161" s="46">
        <v>2.6709674394083801E-3</v>
      </c>
      <c r="K161" s="46">
        <v>6.7233742979104566E-3</v>
      </c>
      <c r="L161" s="259">
        <v>8.0008831483241935E-3</v>
      </c>
    </row>
    <row r="162" spans="1:12" ht="16.25" customHeight="1" x14ac:dyDescent="0.45">
      <c r="A162" s="14" t="s">
        <v>150</v>
      </c>
      <c r="C162" s="217" t="s">
        <v>151</v>
      </c>
      <c r="D162" s="184">
        <v>37.069389999999999</v>
      </c>
      <c r="E162" s="184">
        <v>122.57111</v>
      </c>
      <c r="F162" s="14" t="s">
        <v>8</v>
      </c>
      <c r="G162" s="219">
        <v>0.95</v>
      </c>
      <c r="H162" s="14">
        <v>2017</v>
      </c>
      <c r="I162" s="46">
        <v>111.75294004985007</v>
      </c>
      <c r="J162" s="46">
        <v>3.7197882000378469E-3</v>
      </c>
      <c r="K162" s="46">
        <v>9.3634718300215133E-3</v>
      </c>
      <c r="L162" s="259">
        <v>1.1142625808875525E-2</v>
      </c>
    </row>
    <row r="163" spans="1:12" ht="16.25" customHeight="1" x14ac:dyDescent="0.45">
      <c r="A163" s="14" t="s">
        <v>150</v>
      </c>
      <c r="C163" s="217" t="s">
        <v>151</v>
      </c>
      <c r="D163" s="184">
        <v>37.069389999999999</v>
      </c>
      <c r="E163" s="184">
        <v>122.59889</v>
      </c>
      <c r="F163" s="14" t="s">
        <v>8</v>
      </c>
      <c r="G163" s="219">
        <v>0.86</v>
      </c>
      <c r="H163" s="14">
        <v>2017</v>
      </c>
      <c r="I163" s="46">
        <v>149.65845526613322</v>
      </c>
      <c r="J163" s="46">
        <v>4.9815043406153427E-3</v>
      </c>
      <c r="K163" s="46">
        <v>8.7109703330415129E-3</v>
      </c>
      <c r="L163" s="259">
        <v>1.0366142453922927E-2</v>
      </c>
    </row>
    <row r="164" spans="1:12" ht="16.25" customHeight="1" x14ac:dyDescent="0.45">
      <c r="A164" s="14" t="s">
        <v>150</v>
      </c>
      <c r="C164" s="217" t="s">
        <v>151</v>
      </c>
      <c r="D164" s="184">
        <v>37.069389999999999</v>
      </c>
      <c r="E164" s="184">
        <v>122.66889</v>
      </c>
      <c r="F164" s="14" t="s">
        <v>8</v>
      </c>
      <c r="G164" s="219">
        <v>0.91</v>
      </c>
      <c r="H164" s="14">
        <v>2017</v>
      </c>
      <c r="I164" s="46">
        <v>83.264275887242633</v>
      </c>
      <c r="J164" s="46">
        <v>2.7715196646450695E-3</v>
      </c>
      <c r="K164" s="46">
        <v>3.6353269104910089E-3</v>
      </c>
      <c r="L164" s="259">
        <v>4.3260756471399332E-3</v>
      </c>
    </row>
    <row r="165" spans="1:12" ht="16.25" customHeight="1" x14ac:dyDescent="0.45">
      <c r="A165" s="14" t="s">
        <v>150</v>
      </c>
      <c r="C165" s="217" t="s">
        <v>151</v>
      </c>
      <c r="D165" s="184">
        <v>37.040559999999999</v>
      </c>
      <c r="E165" s="184">
        <v>122.48</v>
      </c>
      <c r="F165" s="14" t="s">
        <v>8</v>
      </c>
      <c r="G165" s="219">
        <v>0.84</v>
      </c>
      <c r="H165" s="14">
        <v>2017</v>
      </c>
      <c r="I165" s="46">
        <v>60.371525354445851</v>
      </c>
      <c r="J165" s="46">
        <v>2.0095157007196307E-3</v>
      </c>
      <c r="K165" s="46">
        <v>4.7718931417743823E-3</v>
      </c>
      <c r="L165" s="259">
        <v>5.6786009125644127E-3</v>
      </c>
    </row>
    <row r="166" spans="1:12" ht="16.25" customHeight="1" x14ac:dyDescent="0.45">
      <c r="A166" s="14" t="s">
        <v>150</v>
      </c>
      <c r="C166" s="217" t="s">
        <v>151</v>
      </c>
      <c r="D166" s="184">
        <v>37.040559999999999</v>
      </c>
      <c r="E166" s="184">
        <v>122.50722</v>
      </c>
      <c r="F166" s="14" t="s">
        <v>8</v>
      </c>
      <c r="G166" s="219">
        <v>0.94</v>
      </c>
      <c r="H166" s="14">
        <v>2017</v>
      </c>
      <c r="I166" s="46">
        <v>159.51850468287941</v>
      </c>
      <c r="J166" s="46">
        <v>5.3097041665513918E-3</v>
      </c>
      <c r="K166" s="46">
        <v>1.3365617265183529E-2</v>
      </c>
      <c r="L166" s="259">
        <v>1.5905219195842247E-2</v>
      </c>
    </row>
    <row r="167" spans="1:12" ht="16.25" customHeight="1" x14ac:dyDescent="0.45">
      <c r="A167" s="14" t="s">
        <v>185</v>
      </c>
      <c r="C167" s="217" t="s">
        <v>184</v>
      </c>
      <c r="D167" s="189">
        <v>35.138997000000003</v>
      </c>
      <c r="E167" s="188">
        <v>119.91445</v>
      </c>
      <c r="F167" s="14" t="s">
        <v>8</v>
      </c>
      <c r="G167" s="14" t="s">
        <v>186</v>
      </c>
      <c r="H167" s="14">
        <v>2018</v>
      </c>
      <c r="I167" s="46">
        <v>2.836063650044403</v>
      </c>
      <c r="J167" s="46">
        <v>1.7310606742822353E-4</v>
      </c>
      <c r="K167" s="46">
        <v>5.8017770065311785E-4</v>
      </c>
      <c r="L167" s="259">
        <v>6.6040346090238294E-4</v>
      </c>
    </row>
    <row r="168" spans="1:12" ht="16.25" customHeight="1" x14ac:dyDescent="0.45">
      <c r="A168" s="14" t="s">
        <v>185</v>
      </c>
      <c r="C168" s="217" t="s">
        <v>184</v>
      </c>
      <c r="D168" s="189">
        <v>39.178718000000003</v>
      </c>
      <c r="E168" s="188">
        <v>118.988893</v>
      </c>
      <c r="F168" s="14" t="s">
        <v>8</v>
      </c>
      <c r="G168" s="14" t="s">
        <v>186</v>
      </c>
      <c r="H168" s="14">
        <v>2018</v>
      </c>
      <c r="I168" s="46">
        <v>1.6317078534502025</v>
      </c>
      <c r="J168" s="46">
        <v>9.9595271671032619E-5</v>
      </c>
      <c r="K168" s="46">
        <v>3.5577816882807783E-4</v>
      </c>
      <c r="L168" s="259">
        <v>4.049744306668094E-4</v>
      </c>
    </row>
    <row r="169" spans="1:12" ht="16.25" customHeight="1" x14ac:dyDescent="0.45">
      <c r="A169" s="1" t="s">
        <v>187</v>
      </c>
      <c r="C169" s="222" t="s">
        <v>188</v>
      </c>
      <c r="D169" s="223">
        <v>-6</v>
      </c>
      <c r="E169" s="224">
        <v>106.22</v>
      </c>
      <c r="F169" s="1" t="s">
        <v>14</v>
      </c>
      <c r="G169" s="1" t="s">
        <v>189</v>
      </c>
      <c r="H169" s="1">
        <v>2016</v>
      </c>
      <c r="I169" s="46">
        <v>234.19295163550998</v>
      </c>
      <c r="J169" s="46">
        <v>1.6194052580653866E-2</v>
      </c>
      <c r="K169" s="46">
        <v>2.1341705185466107E-2</v>
      </c>
      <c r="L169" s="259">
        <v>2.6568825460651129E-2</v>
      </c>
    </row>
    <row r="170" spans="1:12" ht="16.25" customHeight="1" x14ac:dyDescent="0.45">
      <c r="A170" s="1" t="s">
        <v>187</v>
      </c>
      <c r="C170" s="222" t="s">
        <v>188</v>
      </c>
      <c r="D170" s="223">
        <v>-6</v>
      </c>
      <c r="E170" s="224">
        <v>106.13</v>
      </c>
      <c r="F170" s="1" t="s">
        <v>14</v>
      </c>
      <c r="G170" s="1" t="s">
        <v>189</v>
      </c>
      <c r="H170" s="1">
        <v>2016</v>
      </c>
      <c r="I170" s="46">
        <v>421.29275538779268</v>
      </c>
      <c r="J170" s="46">
        <v>2.9131692414111041E-2</v>
      </c>
      <c r="K170" s="46">
        <v>3.7531502377247679E-2</v>
      </c>
      <c r="L170" s="259">
        <v>4.6723911106043549E-2</v>
      </c>
    </row>
    <row r="171" spans="1:12" ht="16.25" customHeight="1" x14ac:dyDescent="0.45">
      <c r="A171" s="1" t="s">
        <v>187</v>
      </c>
      <c r="C171" s="222" t="s">
        <v>188</v>
      </c>
      <c r="D171" s="223">
        <v>-6</v>
      </c>
      <c r="E171" s="224">
        <v>106.19</v>
      </c>
      <c r="F171" s="1" t="s">
        <v>14</v>
      </c>
      <c r="G171" s="1" t="s">
        <v>189</v>
      </c>
      <c r="H171" s="1">
        <v>2016</v>
      </c>
      <c r="I171" s="46">
        <v>525.66135339926939</v>
      </c>
      <c r="J171" s="46">
        <v>3.6348607151141528E-2</v>
      </c>
      <c r="K171" s="46">
        <v>4.790284913911682E-2</v>
      </c>
      <c r="L171" s="259">
        <v>5.9635461495917995E-2</v>
      </c>
    </row>
    <row r="172" spans="1:12" ht="16.25" customHeight="1" x14ac:dyDescent="0.45">
      <c r="A172" s="1" t="s">
        <v>187</v>
      </c>
      <c r="C172" s="222" t="s">
        <v>188</v>
      </c>
      <c r="D172" s="223">
        <v>-6</v>
      </c>
      <c r="E172" s="224">
        <v>106.16</v>
      </c>
      <c r="F172" s="1" t="s">
        <v>14</v>
      </c>
      <c r="G172" s="1" t="s">
        <v>189</v>
      </c>
      <c r="H172" s="1">
        <v>2016</v>
      </c>
      <c r="I172" s="46">
        <v>546.02595788931387</v>
      </c>
      <c r="J172" s="46">
        <v>3.7756785636415789E-2</v>
      </c>
      <c r="K172" s="46">
        <v>4.8643548398305876E-2</v>
      </c>
      <c r="L172" s="259">
        <v>6.0557576629887207E-2</v>
      </c>
    </row>
    <row r="173" spans="1:12" ht="16.25" customHeight="1" x14ac:dyDescent="0.45">
      <c r="A173" s="1" t="s">
        <v>187</v>
      </c>
      <c r="C173" s="222" t="s">
        <v>188</v>
      </c>
      <c r="D173" s="223">
        <v>-5.97</v>
      </c>
      <c r="E173" s="224">
        <v>106.22</v>
      </c>
      <c r="F173" s="1" t="s">
        <v>14</v>
      </c>
      <c r="G173" s="1" t="s">
        <v>189</v>
      </c>
      <c r="H173" s="1">
        <v>2016</v>
      </c>
      <c r="I173" s="46">
        <v>374.19960750456545</v>
      </c>
      <c r="J173" s="46">
        <v>2.5875279666914365E-2</v>
      </c>
      <c r="K173" s="46">
        <v>3.4100333285473065E-2</v>
      </c>
      <c r="L173" s="259">
        <v>4.2452362420823071E-2</v>
      </c>
    </row>
    <row r="174" spans="1:12" ht="16.25" customHeight="1" x14ac:dyDescent="0.45">
      <c r="A174" s="1" t="s">
        <v>187</v>
      </c>
      <c r="C174" s="222" t="s">
        <v>188</v>
      </c>
      <c r="D174" s="223">
        <v>-5.97</v>
      </c>
      <c r="E174" s="224">
        <v>106.19</v>
      </c>
      <c r="F174" s="1" t="s">
        <v>14</v>
      </c>
      <c r="G174" s="1" t="s">
        <v>189</v>
      </c>
      <c r="H174" s="1">
        <v>2016</v>
      </c>
      <c r="I174" s="46">
        <v>210.00998380358263</v>
      </c>
      <c r="J174" s="46">
        <v>1.4521840629390714E-2</v>
      </c>
      <c r="K174" s="46">
        <v>1.9137942150010395E-2</v>
      </c>
      <c r="L174" s="259">
        <v>2.3825305440257846E-2</v>
      </c>
    </row>
    <row r="175" spans="1:12" ht="16.25" customHeight="1" x14ac:dyDescent="0.45">
      <c r="A175" s="1" t="s">
        <v>187</v>
      </c>
      <c r="C175" s="222" t="s">
        <v>188</v>
      </c>
      <c r="D175" s="223">
        <v>-5.97</v>
      </c>
      <c r="E175" s="224">
        <v>106.13</v>
      </c>
      <c r="F175" s="1" t="s">
        <v>14</v>
      </c>
      <c r="G175" s="1" t="s">
        <v>189</v>
      </c>
      <c r="H175" s="1">
        <v>2016</v>
      </c>
      <c r="I175" s="46">
        <v>385.65469753021461</v>
      </c>
      <c r="J175" s="46">
        <v>2.6667380064881081E-2</v>
      </c>
      <c r="K175" s="46">
        <v>3.4356632085516731E-2</v>
      </c>
      <c r="L175" s="259">
        <v>4.2771435242088165E-2</v>
      </c>
    </row>
    <row r="176" spans="1:12" ht="16.25" customHeight="1" x14ac:dyDescent="0.45">
      <c r="A176" s="1" t="s">
        <v>187</v>
      </c>
      <c r="C176" s="222" t="s">
        <v>188</v>
      </c>
      <c r="D176" s="223">
        <v>-5.97</v>
      </c>
      <c r="E176" s="224">
        <v>106.16</v>
      </c>
      <c r="F176" s="1" t="s">
        <v>14</v>
      </c>
      <c r="G176" s="1" t="s">
        <v>189</v>
      </c>
      <c r="H176" s="1">
        <v>2016</v>
      </c>
      <c r="I176" s="46">
        <v>389.4730608720987</v>
      </c>
      <c r="J176" s="46">
        <v>2.6931413530870051E-2</v>
      </c>
      <c r="K176" s="46">
        <v>3.4696796759630819E-2</v>
      </c>
      <c r="L176" s="259">
        <v>4.3194914798940602E-2</v>
      </c>
    </row>
    <row r="177" spans="1:12" ht="16.25" customHeight="1" x14ac:dyDescent="0.45">
      <c r="A177" s="1" t="s">
        <v>187</v>
      </c>
      <c r="C177" s="222" t="s">
        <v>188</v>
      </c>
      <c r="D177" s="223">
        <v>-5.96</v>
      </c>
      <c r="E177" s="224">
        <v>106.27</v>
      </c>
      <c r="F177" s="1" t="s">
        <v>14</v>
      </c>
      <c r="G177" s="1" t="s">
        <v>189</v>
      </c>
      <c r="H177" s="1">
        <v>2016</v>
      </c>
      <c r="I177" s="46">
        <v>269.83100949308778</v>
      </c>
      <c r="J177" s="46">
        <v>1.8658364929883813E-2</v>
      </c>
      <c r="K177" s="46">
        <v>2.4569864389807929E-2</v>
      </c>
      <c r="L177" s="259">
        <v>3.0587642031960603E-2</v>
      </c>
    </row>
    <row r="178" spans="1:12" ht="16.25" customHeight="1" x14ac:dyDescent="0.45">
      <c r="A178" s="1" t="s">
        <v>187</v>
      </c>
      <c r="C178" s="222" t="s">
        <v>188</v>
      </c>
      <c r="D178" s="223">
        <v>-5.95</v>
      </c>
      <c r="E178" s="224">
        <v>106.16</v>
      </c>
      <c r="F178" s="1" t="s">
        <v>14</v>
      </c>
      <c r="G178" s="1" t="s">
        <v>189</v>
      </c>
      <c r="H178" s="1">
        <v>2016</v>
      </c>
      <c r="I178" s="46">
        <v>246.92082944178767</v>
      </c>
      <c r="J178" s="46">
        <v>1.707416413395027E-2</v>
      </c>
      <c r="K178" s="46">
        <v>2.1997315592707092E-2</v>
      </c>
      <c r="L178" s="259">
        <v>2.7385011343119166E-2</v>
      </c>
    </row>
    <row r="179" spans="1:12" ht="16.25" customHeight="1" x14ac:dyDescent="0.45">
      <c r="A179" s="1" t="s">
        <v>187</v>
      </c>
      <c r="C179" s="222" t="s">
        <v>188</v>
      </c>
      <c r="D179" s="223">
        <v>-5.95</v>
      </c>
      <c r="E179" s="224">
        <v>106.37</v>
      </c>
      <c r="F179" s="1" t="s">
        <v>14</v>
      </c>
      <c r="G179" s="1" t="s">
        <v>189</v>
      </c>
      <c r="H179" s="1">
        <v>2016</v>
      </c>
      <c r="I179" s="46">
        <v>548.57153345056975</v>
      </c>
      <c r="J179" s="46">
        <v>3.7932807947075098E-2</v>
      </c>
      <c r="K179" s="46">
        <v>5.0065060045335362E-2</v>
      </c>
      <c r="L179" s="259">
        <v>6.2327252225721504E-2</v>
      </c>
    </row>
    <row r="180" spans="1:12" ht="16.25" customHeight="1" x14ac:dyDescent="0.45">
      <c r="A180" s="1" t="s">
        <v>187</v>
      </c>
      <c r="C180" s="222" t="s">
        <v>188</v>
      </c>
      <c r="D180" s="223">
        <v>-5.94</v>
      </c>
      <c r="E180" s="224">
        <v>106.29</v>
      </c>
      <c r="F180" s="1" t="s">
        <v>14</v>
      </c>
      <c r="G180" s="1" t="s">
        <v>189</v>
      </c>
      <c r="H180" s="1">
        <v>2016</v>
      </c>
      <c r="I180" s="46">
        <v>333.47039852447631</v>
      </c>
      <c r="J180" s="46">
        <v>2.3058922696365839E-2</v>
      </c>
      <c r="K180" s="46">
        <v>3.0364643727026779E-2</v>
      </c>
      <c r="L180" s="259">
        <v>3.7801708548932438E-2</v>
      </c>
    </row>
    <row r="181" spans="1:12" ht="16.25" customHeight="1" x14ac:dyDescent="0.45">
      <c r="A181" s="1" t="s">
        <v>187</v>
      </c>
      <c r="C181" s="222" t="s">
        <v>188</v>
      </c>
      <c r="D181" s="223">
        <v>-5.94</v>
      </c>
      <c r="E181" s="224">
        <v>106.25</v>
      </c>
      <c r="F181" s="1" t="s">
        <v>14</v>
      </c>
      <c r="G181" s="1" t="s">
        <v>189</v>
      </c>
      <c r="H181" s="1">
        <v>2016</v>
      </c>
      <c r="I181" s="46">
        <v>510.38790003173642</v>
      </c>
      <c r="J181" s="46">
        <v>3.5292473287185863E-2</v>
      </c>
      <c r="K181" s="46">
        <v>4.6474130284495159E-2</v>
      </c>
      <c r="L181" s="259">
        <v>5.7856813466114126E-2</v>
      </c>
    </row>
    <row r="182" spans="1:12" ht="16.25" customHeight="1" x14ac:dyDescent="0.45">
      <c r="A182" s="1" t="s">
        <v>187</v>
      </c>
      <c r="C182" s="222" t="s">
        <v>188</v>
      </c>
      <c r="D182" s="223">
        <v>-5.94</v>
      </c>
      <c r="E182" s="224">
        <v>106.22</v>
      </c>
      <c r="F182" s="1" t="s">
        <v>14</v>
      </c>
      <c r="G182" s="1" t="s">
        <v>189</v>
      </c>
      <c r="H182" s="1">
        <v>2016</v>
      </c>
      <c r="I182" s="46">
        <v>341.1071252082433</v>
      </c>
      <c r="J182" s="46">
        <v>2.3586989628343706E-2</v>
      </c>
      <c r="K182" s="46">
        <v>3.1084657552744154E-2</v>
      </c>
      <c r="L182" s="259">
        <v>3.8698071866600625E-2</v>
      </c>
    </row>
    <row r="183" spans="1:12" ht="16.25" customHeight="1" x14ac:dyDescent="0.45">
      <c r="A183" s="1" t="s">
        <v>187</v>
      </c>
      <c r="C183" s="222" t="s">
        <v>188</v>
      </c>
      <c r="D183" s="225">
        <v>-5.94</v>
      </c>
      <c r="E183" s="224">
        <v>106.19</v>
      </c>
      <c r="F183" s="1" t="s">
        <v>14</v>
      </c>
      <c r="G183" s="1" t="s">
        <v>189</v>
      </c>
      <c r="H183" s="1">
        <v>2016</v>
      </c>
      <c r="I183" s="46">
        <v>463.29475214850953</v>
      </c>
      <c r="J183" s="46">
        <v>3.2036060539989211E-2</v>
      </c>
      <c r="K183" s="46">
        <v>4.221946025820475E-2</v>
      </c>
      <c r="L183" s="259">
        <v>5.2560067759114287E-2</v>
      </c>
    </row>
    <row r="184" spans="1:12" ht="16.25" customHeight="1" x14ac:dyDescent="0.45">
      <c r="A184" s="1" t="s">
        <v>187</v>
      </c>
      <c r="C184" s="222" t="s">
        <v>188</v>
      </c>
      <c r="D184" s="223">
        <v>-5.94</v>
      </c>
      <c r="E184" s="224">
        <v>106.13</v>
      </c>
      <c r="F184" s="1" t="s">
        <v>14</v>
      </c>
      <c r="G184" s="1" t="s">
        <v>189</v>
      </c>
      <c r="H184" s="1">
        <v>2016</v>
      </c>
      <c r="I184" s="46">
        <v>292.74118954438779</v>
      </c>
      <c r="J184" s="46">
        <v>2.0242565725817351E-2</v>
      </c>
      <c r="K184" s="46">
        <v>2.6079291682075446E-2</v>
      </c>
      <c r="L184" s="259">
        <v>3.2466766025347496E-2</v>
      </c>
    </row>
    <row r="185" spans="1:12" ht="16.25" customHeight="1" x14ac:dyDescent="0.45">
      <c r="A185" s="1" t="s">
        <v>187</v>
      </c>
      <c r="C185" s="222" t="s">
        <v>188</v>
      </c>
      <c r="D185" s="223">
        <v>-5.93</v>
      </c>
      <c r="E185" s="224">
        <v>106.39</v>
      </c>
      <c r="F185" s="1" t="s">
        <v>14</v>
      </c>
      <c r="G185" s="1" t="s">
        <v>189</v>
      </c>
      <c r="H185" s="1">
        <v>2016</v>
      </c>
      <c r="I185" s="46">
        <v>259.64870724806576</v>
      </c>
      <c r="J185" s="46">
        <v>1.7954275687246699E-2</v>
      </c>
      <c r="K185" s="46">
        <v>2.3696687353244605E-2</v>
      </c>
      <c r="L185" s="259">
        <v>2.9500601981548028E-2</v>
      </c>
    </row>
    <row r="186" spans="1:12" ht="16.25" customHeight="1" x14ac:dyDescent="0.45">
      <c r="A186" s="1" t="s">
        <v>187</v>
      </c>
      <c r="C186" s="222" t="s">
        <v>188</v>
      </c>
      <c r="D186" s="223">
        <v>-5.93</v>
      </c>
      <c r="E186" s="224">
        <v>106.35</v>
      </c>
      <c r="F186" s="1" t="s">
        <v>14</v>
      </c>
      <c r="G186" s="1" t="s">
        <v>189</v>
      </c>
      <c r="H186" s="1">
        <v>2016</v>
      </c>
      <c r="I186" s="46">
        <v>491.29608332232033</v>
      </c>
      <c r="J186" s="46">
        <v>3.3972305957241287E-2</v>
      </c>
      <c r="K186" s="46">
        <v>4.4837849599766728E-2</v>
      </c>
      <c r="L186" s="259">
        <v>5.5819766494497706E-2</v>
      </c>
    </row>
    <row r="187" spans="1:12" ht="16.25" customHeight="1" x14ac:dyDescent="0.45">
      <c r="A187" s="1" t="s">
        <v>187</v>
      </c>
      <c r="C187" s="222" t="s">
        <v>188</v>
      </c>
      <c r="D187" s="223">
        <v>-5.92</v>
      </c>
      <c r="E187" s="224">
        <v>106.24</v>
      </c>
      <c r="F187" s="1" t="s">
        <v>14</v>
      </c>
      <c r="G187" s="1" t="s">
        <v>189</v>
      </c>
      <c r="H187" s="1">
        <v>2016</v>
      </c>
      <c r="I187" s="46">
        <v>356.38057857577621</v>
      </c>
      <c r="J187" s="46">
        <v>2.4643123492299367E-2</v>
      </c>
      <c r="K187" s="46">
        <v>3.2476507890926695E-2</v>
      </c>
      <c r="L187" s="259">
        <v>4.0430821353164781E-2</v>
      </c>
    </row>
    <row r="188" spans="1:12" ht="16.25" customHeight="1" x14ac:dyDescent="0.45">
      <c r="A188" s="1" t="s">
        <v>187</v>
      </c>
      <c r="C188" s="222" t="s">
        <v>188</v>
      </c>
      <c r="D188" s="223">
        <v>-5.92</v>
      </c>
      <c r="E188" s="224">
        <v>106.27</v>
      </c>
      <c r="F188" s="1" t="s">
        <v>14</v>
      </c>
      <c r="G188" s="1" t="s">
        <v>189</v>
      </c>
      <c r="H188" s="1">
        <v>2016</v>
      </c>
      <c r="I188" s="46">
        <v>146.37059477219375</v>
      </c>
      <c r="J188" s="46">
        <v>1.0121282862908665E-2</v>
      </c>
      <c r="K188" s="46">
        <v>1.3327992475603352E-2</v>
      </c>
      <c r="L188" s="259">
        <v>1.6592352989035226E-2</v>
      </c>
    </row>
    <row r="189" spans="1:12" ht="16.25" customHeight="1" x14ac:dyDescent="0.45">
      <c r="A189" s="1" t="s">
        <v>187</v>
      </c>
      <c r="C189" s="222" t="s">
        <v>188</v>
      </c>
      <c r="D189" s="223">
        <v>-5.92</v>
      </c>
      <c r="E189" s="224">
        <v>106.3</v>
      </c>
      <c r="F189" s="1" t="s">
        <v>14</v>
      </c>
      <c r="G189" s="1" t="s">
        <v>189</v>
      </c>
      <c r="H189" s="1">
        <v>2016</v>
      </c>
      <c r="I189" s="46">
        <v>231.64737607425457</v>
      </c>
      <c r="J189" s="46">
        <v>1.6018030269994592E-2</v>
      </c>
      <c r="K189" s="46">
        <v>2.1092996787476621E-2</v>
      </c>
      <c r="L189" s="259">
        <v>2.6259202121777497E-2</v>
      </c>
    </row>
    <row r="190" spans="1:12" ht="16.25" customHeight="1" x14ac:dyDescent="0.45">
      <c r="A190" s="1" t="s">
        <v>187</v>
      </c>
      <c r="C190" s="222" t="s">
        <v>188</v>
      </c>
      <c r="D190" s="223">
        <v>-5.91</v>
      </c>
      <c r="E190" s="224">
        <v>106.13</v>
      </c>
      <c r="F190" s="1" t="s">
        <v>14</v>
      </c>
      <c r="G190" s="1" t="s">
        <v>189</v>
      </c>
      <c r="H190" s="1">
        <v>2016</v>
      </c>
      <c r="I190" s="46">
        <v>318.19694515694306</v>
      </c>
      <c r="J190" s="46">
        <v>2.2002788832410154E-2</v>
      </c>
      <c r="K190" s="46">
        <v>2.9119420542898962E-2</v>
      </c>
      <c r="L190" s="259">
        <v>3.6251498893652478E-2</v>
      </c>
    </row>
    <row r="191" spans="1:12" ht="16.25" customHeight="1" x14ac:dyDescent="0.45">
      <c r="A191" s="1" t="s">
        <v>187</v>
      </c>
      <c r="C191" s="222" t="s">
        <v>188</v>
      </c>
      <c r="D191" s="223">
        <v>-5.91</v>
      </c>
      <c r="E191" s="224">
        <v>106.19</v>
      </c>
      <c r="F191" s="1" t="s">
        <v>14</v>
      </c>
      <c r="G191" s="1" t="s">
        <v>189</v>
      </c>
      <c r="H191" s="1">
        <v>2016</v>
      </c>
      <c r="I191" s="46">
        <v>128.55156584340494</v>
      </c>
      <c r="J191" s="46">
        <v>8.889126688293697E-3</v>
      </c>
      <c r="K191" s="46">
        <v>1.1731494842856361E-2</v>
      </c>
      <c r="L191" s="259">
        <v>1.4604832939246332E-2</v>
      </c>
    </row>
    <row r="192" spans="1:12" ht="16.25" customHeight="1" x14ac:dyDescent="0.45">
      <c r="A192" s="1" t="s">
        <v>187</v>
      </c>
      <c r="C192" s="222" t="s">
        <v>188</v>
      </c>
      <c r="D192" s="223">
        <v>-5.91</v>
      </c>
      <c r="E192" s="224">
        <v>106.22</v>
      </c>
      <c r="F192" s="1" t="s">
        <v>14</v>
      </c>
      <c r="G192" s="1" t="s">
        <v>189</v>
      </c>
      <c r="H192" s="1">
        <v>2016</v>
      </c>
      <c r="I192" s="46">
        <v>171.82635038474919</v>
      </c>
      <c r="J192" s="46">
        <v>1.1881505969501478E-2</v>
      </c>
      <c r="K192" s="46">
        <v>1.5680710928570388E-2</v>
      </c>
      <c r="L192" s="259">
        <v>1.9521311354438169E-2</v>
      </c>
    </row>
    <row r="193" spans="1:12" ht="16.25" customHeight="1" x14ac:dyDescent="0.45">
      <c r="A193" s="1" t="s">
        <v>187</v>
      </c>
      <c r="C193" s="222" t="s">
        <v>188</v>
      </c>
      <c r="D193" s="223">
        <v>-5.91</v>
      </c>
      <c r="E193" s="224">
        <v>106.16</v>
      </c>
      <c r="F193" s="1" t="s">
        <v>14</v>
      </c>
      <c r="G193" s="1" t="s">
        <v>189</v>
      </c>
      <c r="H193" s="1">
        <v>2016</v>
      </c>
      <c r="I193" s="46">
        <v>305.4690673506654</v>
      </c>
      <c r="J193" s="46">
        <v>2.1122677279113749E-2</v>
      </c>
      <c r="K193" s="46">
        <v>2.7954643721183007E-2</v>
      </c>
      <c r="L193" s="259">
        <v>3.4801438937906375E-2</v>
      </c>
    </row>
    <row r="194" spans="1:12" ht="16.25" customHeight="1" x14ac:dyDescent="0.45">
      <c r="A194" s="1" t="s">
        <v>187</v>
      </c>
      <c r="C194" s="222" t="s">
        <v>188</v>
      </c>
      <c r="D194" s="223">
        <v>-6</v>
      </c>
      <c r="E194" s="224">
        <v>106.22</v>
      </c>
      <c r="F194" s="1" t="s">
        <v>8</v>
      </c>
      <c r="G194" s="1" t="s">
        <v>192</v>
      </c>
      <c r="H194" s="1">
        <v>2016</v>
      </c>
      <c r="I194" s="46">
        <v>0.98785744757154503</v>
      </c>
      <c r="J194" s="46">
        <v>6.8308697321779161E-5</v>
      </c>
      <c r="K194" s="46">
        <v>9.0022190096272165E-5</v>
      </c>
      <c r="L194" s="259">
        <v>1.1207088821947737E-4</v>
      </c>
    </row>
    <row r="195" spans="1:12" ht="16.25" customHeight="1" x14ac:dyDescent="0.45">
      <c r="A195" s="1" t="s">
        <v>187</v>
      </c>
      <c r="C195" s="222" t="s">
        <v>188</v>
      </c>
      <c r="D195" s="223">
        <v>-6</v>
      </c>
      <c r="E195" s="224">
        <v>106.13</v>
      </c>
      <c r="F195" s="1" t="s">
        <v>8</v>
      </c>
      <c r="G195" s="1" t="s">
        <v>192</v>
      </c>
      <c r="H195" s="1">
        <v>2016</v>
      </c>
      <c r="I195" s="46">
        <v>1.7770696475335952</v>
      </c>
      <c r="J195" s="46">
        <v>1.2288140659515712E-4</v>
      </c>
      <c r="K195" s="46">
        <v>1.5831293761400962E-4</v>
      </c>
      <c r="L195" s="259">
        <v>1.9708775709703026E-4</v>
      </c>
    </row>
    <row r="196" spans="1:12" ht="16.25" customHeight="1" x14ac:dyDescent="0.45">
      <c r="A196" s="1" t="s">
        <v>187</v>
      </c>
      <c r="C196" s="222" t="s">
        <v>188</v>
      </c>
      <c r="D196" s="223">
        <v>-6</v>
      </c>
      <c r="E196" s="224">
        <v>106.19</v>
      </c>
      <c r="F196" s="1" t="s">
        <v>8</v>
      </c>
      <c r="G196" s="1" t="s">
        <v>192</v>
      </c>
      <c r="H196" s="1">
        <v>2016</v>
      </c>
      <c r="I196" s="46">
        <v>2.2173104665600438</v>
      </c>
      <c r="J196" s="46">
        <v>1.5332332605377604E-4</v>
      </c>
      <c r="K196" s="46">
        <v>2.0206067668348046E-4</v>
      </c>
      <c r="L196" s="259">
        <v>2.5155041757958779E-4</v>
      </c>
    </row>
    <row r="197" spans="1:12" ht="16.25" customHeight="1" x14ac:dyDescent="0.45">
      <c r="A197" s="1" t="s">
        <v>187</v>
      </c>
      <c r="C197" s="222" t="s">
        <v>188</v>
      </c>
      <c r="D197" s="223">
        <v>-6</v>
      </c>
      <c r="E197" s="224">
        <v>106.16</v>
      </c>
      <c r="F197" s="1" t="s">
        <v>8</v>
      </c>
      <c r="G197" s="1" t="s">
        <v>192</v>
      </c>
      <c r="H197" s="1">
        <v>2016</v>
      </c>
      <c r="I197" s="46">
        <v>2.3032111141749625</v>
      </c>
      <c r="J197" s="46">
        <v>1.5926321277740912E-4</v>
      </c>
      <c r="K197" s="46">
        <v>2.0518504603145058E-4</v>
      </c>
      <c r="L197" s="259">
        <v>2.5544002354871897E-4</v>
      </c>
    </row>
    <row r="198" spans="1:12" ht="16.25" customHeight="1" x14ac:dyDescent="0.45">
      <c r="A198" s="1" t="s">
        <v>187</v>
      </c>
      <c r="C198" s="222" t="s">
        <v>188</v>
      </c>
      <c r="D198" s="223">
        <v>-5.97</v>
      </c>
      <c r="E198" s="224">
        <v>106.22</v>
      </c>
      <c r="F198" s="1" t="s">
        <v>8</v>
      </c>
      <c r="G198" s="1" t="s">
        <v>192</v>
      </c>
      <c r="H198" s="1">
        <v>2016</v>
      </c>
      <c r="I198" s="46">
        <v>1.5784243999240981</v>
      </c>
      <c r="J198" s="46">
        <v>1.0914541854675578E-4</v>
      </c>
      <c r="K198" s="46">
        <v>1.4383980374078263E-4</v>
      </c>
      <c r="L198" s="259">
        <v>1.7906978878546917E-4</v>
      </c>
    </row>
    <row r="199" spans="1:12" ht="16.25" customHeight="1" x14ac:dyDescent="0.45">
      <c r="A199" s="1" t="s">
        <v>187</v>
      </c>
      <c r="C199" s="222" t="s">
        <v>188</v>
      </c>
      <c r="D199" s="223">
        <v>-5.97</v>
      </c>
      <c r="E199" s="224">
        <v>106.19</v>
      </c>
      <c r="F199" s="1" t="s">
        <v>8</v>
      </c>
      <c r="G199" s="1" t="s">
        <v>192</v>
      </c>
      <c r="H199" s="1">
        <v>2016</v>
      </c>
      <c r="I199" s="46">
        <v>0.88585042852883045</v>
      </c>
      <c r="J199" s="46">
        <v>6.1255081837464955E-5</v>
      </c>
      <c r="K199" s="46">
        <v>8.0726420466765733E-5</v>
      </c>
      <c r="L199" s="259">
        <v>1.0049835084898777E-4</v>
      </c>
    </row>
    <row r="200" spans="1:12" ht="16.25" customHeight="1" x14ac:dyDescent="0.45">
      <c r="A200" s="1" t="s">
        <v>187</v>
      </c>
      <c r="C200" s="222" t="s">
        <v>188</v>
      </c>
      <c r="D200" s="223">
        <v>-5.97</v>
      </c>
      <c r="E200" s="224">
        <v>106.13</v>
      </c>
      <c r="F200" s="1" t="s">
        <v>8</v>
      </c>
      <c r="G200" s="1" t="s">
        <v>192</v>
      </c>
      <c r="H200" s="1">
        <v>2016</v>
      </c>
      <c r="I200" s="46">
        <v>1.6267435142074902</v>
      </c>
      <c r="J200" s="46">
        <v>1.124866048287994E-4</v>
      </c>
      <c r="K200" s="46">
        <v>1.4492090663759791E-4</v>
      </c>
      <c r="L200" s="259">
        <v>1.8041568096797628E-4</v>
      </c>
    </row>
    <row r="201" spans="1:12" ht="16.25" customHeight="1" x14ac:dyDescent="0.45">
      <c r="A201" s="1" t="s">
        <v>187</v>
      </c>
      <c r="C201" s="222" t="s">
        <v>188</v>
      </c>
      <c r="D201" s="223">
        <v>-5.97</v>
      </c>
      <c r="E201" s="224">
        <v>106.16</v>
      </c>
      <c r="F201" s="1" t="s">
        <v>8</v>
      </c>
      <c r="G201" s="1" t="s">
        <v>192</v>
      </c>
      <c r="H201" s="1">
        <v>2016</v>
      </c>
      <c r="I201" s="46">
        <v>1.6428498856352876</v>
      </c>
      <c r="J201" s="46">
        <v>1.1360033358948063E-4</v>
      </c>
      <c r="K201" s="46">
        <v>1.4635576709935637E-4</v>
      </c>
      <c r="L201" s="259">
        <v>1.8220197483894644E-4</v>
      </c>
    </row>
    <row r="202" spans="1:12" ht="16.25" customHeight="1" x14ac:dyDescent="0.45">
      <c r="A202" s="1" t="s">
        <v>187</v>
      </c>
      <c r="C202" s="222" t="s">
        <v>188</v>
      </c>
      <c r="D202" s="223">
        <v>-5.96</v>
      </c>
      <c r="E202" s="224">
        <v>106.27</v>
      </c>
      <c r="F202" s="1" t="s">
        <v>8</v>
      </c>
      <c r="G202" s="1" t="s">
        <v>192</v>
      </c>
      <c r="H202" s="1">
        <v>2016</v>
      </c>
      <c r="I202" s="46">
        <v>1.1381835808976499</v>
      </c>
      <c r="J202" s="46">
        <v>7.8703499088136889E-5</v>
      </c>
      <c r="K202" s="46">
        <v>1.0363900089132501E-4</v>
      </c>
      <c r="L202" s="259">
        <v>1.2902279839724733E-4</v>
      </c>
    </row>
    <row r="203" spans="1:12" ht="16.25" customHeight="1" x14ac:dyDescent="0.45">
      <c r="A203" s="1" t="s">
        <v>187</v>
      </c>
      <c r="C203" s="222" t="s">
        <v>188</v>
      </c>
      <c r="D203" s="223">
        <v>-5.95</v>
      </c>
      <c r="E203" s="224">
        <v>106.16</v>
      </c>
      <c r="F203" s="1" t="s">
        <v>8</v>
      </c>
      <c r="G203" s="1" t="s">
        <v>192</v>
      </c>
      <c r="H203" s="1">
        <v>2016</v>
      </c>
      <c r="I203" s="46">
        <v>1.041545352330868</v>
      </c>
      <c r="J203" s="46">
        <v>7.2021126524049762E-5</v>
      </c>
      <c r="K203" s="46">
        <v>9.2787643193709506E-5</v>
      </c>
      <c r="L203" s="259">
        <v>1.1551367032273065E-4</v>
      </c>
    </row>
    <row r="204" spans="1:12" ht="16.25" customHeight="1" x14ac:dyDescent="0.45">
      <c r="A204" s="1" t="s">
        <v>187</v>
      </c>
      <c r="C204" s="222" t="s">
        <v>188</v>
      </c>
      <c r="D204" s="223">
        <v>-5.95</v>
      </c>
      <c r="E204" s="224">
        <v>106.37</v>
      </c>
      <c r="F204" s="1" t="s">
        <v>8</v>
      </c>
      <c r="G204" s="1" t="s">
        <v>192</v>
      </c>
      <c r="H204" s="1">
        <v>2016</v>
      </c>
      <c r="I204" s="46">
        <v>2.313948695126824</v>
      </c>
      <c r="J204" s="46">
        <v>1.6000569861786303E-4</v>
      </c>
      <c r="K204" s="46">
        <v>2.1118117382915307E-4</v>
      </c>
      <c r="L204" s="259">
        <v>2.6290475382741336E-4</v>
      </c>
    </row>
    <row r="205" spans="1:12" ht="16.25" customHeight="1" x14ac:dyDescent="0.45">
      <c r="A205" s="1" t="s">
        <v>187</v>
      </c>
      <c r="C205" s="222" t="s">
        <v>188</v>
      </c>
      <c r="D205" s="223">
        <v>-5.94</v>
      </c>
      <c r="E205" s="224">
        <v>106.29</v>
      </c>
      <c r="F205" s="1" t="s">
        <v>8</v>
      </c>
      <c r="G205" s="1" t="s">
        <v>192</v>
      </c>
      <c r="H205" s="1">
        <v>2016</v>
      </c>
      <c r="I205" s="46">
        <v>1.4066231046942643</v>
      </c>
      <c r="J205" s="46">
        <v>9.7265645099489829E-5</v>
      </c>
      <c r="K205" s="46">
        <v>1.2808216147890152E-4</v>
      </c>
      <c r="L205" s="259">
        <v>1.5945270367961683E-4</v>
      </c>
    </row>
    <row r="206" spans="1:12" ht="16.25" customHeight="1" x14ac:dyDescent="0.45">
      <c r="A206" s="1" t="s">
        <v>187</v>
      </c>
      <c r="C206" s="222" t="s">
        <v>188</v>
      </c>
      <c r="D206" s="223">
        <v>-5.94</v>
      </c>
      <c r="E206" s="224">
        <v>106.25</v>
      </c>
      <c r="F206" s="1" t="s">
        <v>8</v>
      </c>
      <c r="G206" s="1" t="s">
        <v>192</v>
      </c>
      <c r="H206" s="1">
        <v>2016</v>
      </c>
      <c r="I206" s="46">
        <v>2.1528849808488575</v>
      </c>
      <c r="J206" s="46">
        <v>1.4886841101105139E-4</v>
      </c>
      <c r="K206" s="46">
        <v>1.9603414791236477E-4</v>
      </c>
      <c r="L206" s="259">
        <v>2.440478403646047E-4</v>
      </c>
    </row>
    <row r="207" spans="1:12" ht="16.25" customHeight="1" x14ac:dyDescent="0.45">
      <c r="A207" s="1" t="s">
        <v>187</v>
      </c>
      <c r="C207" s="222" t="s">
        <v>188</v>
      </c>
      <c r="D207" s="223">
        <v>-5.94</v>
      </c>
      <c r="E207" s="224">
        <v>106.22</v>
      </c>
      <c r="F207" s="1" t="s">
        <v>8</v>
      </c>
      <c r="G207" s="1" t="s">
        <v>192</v>
      </c>
      <c r="H207" s="1">
        <v>2016</v>
      </c>
      <c r="I207" s="46">
        <v>1.4388358475498593</v>
      </c>
      <c r="J207" s="46">
        <v>9.9493102620852264E-5</v>
      </c>
      <c r="K207" s="46">
        <v>1.3111927687935296E-4</v>
      </c>
      <c r="L207" s="259">
        <v>1.6323368501532573E-4</v>
      </c>
    </row>
    <row r="208" spans="1:12" ht="16.25" customHeight="1" x14ac:dyDescent="0.45">
      <c r="A208" s="1" t="s">
        <v>187</v>
      </c>
      <c r="C208" s="222" t="s">
        <v>188</v>
      </c>
      <c r="D208" s="225">
        <v>-5.94</v>
      </c>
      <c r="E208" s="224">
        <v>106.19</v>
      </c>
      <c r="F208" s="1" t="s">
        <v>8</v>
      </c>
      <c r="G208" s="1" t="s">
        <v>192</v>
      </c>
      <c r="H208" s="1">
        <v>2016</v>
      </c>
      <c r="I208" s="46">
        <v>1.9542397332393595</v>
      </c>
      <c r="J208" s="46">
        <v>1.3513242296265E-4</v>
      </c>
      <c r="K208" s="46">
        <v>1.7808737606001655E-4</v>
      </c>
      <c r="L208" s="259">
        <v>2.2170545278200944E-4</v>
      </c>
    </row>
    <row r="209" spans="1:12" ht="16.25" customHeight="1" x14ac:dyDescent="0.45">
      <c r="A209" s="1" t="s">
        <v>187</v>
      </c>
      <c r="C209" s="222" t="s">
        <v>188</v>
      </c>
      <c r="D209" s="223">
        <v>-5.94</v>
      </c>
      <c r="E209" s="224">
        <v>106.13</v>
      </c>
      <c r="F209" s="1" t="s">
        <v>8</v>
      </c>
      <c r="G209" s="1" t="s">
        <v>192</v>
      </c>
      <c r="H209" s="1">
        <v>2016</v>
      </c>
      <c r="I209" s="46">
        <v>1.2348218094644301</v>
      </c>
      <c r="J209" s="46">
        <v>8.538587165222388E-5</v>
      </c>
      <c r="K209" s="46">
        <v>1.1000596873481017E-4</v>
      </c>
      <c r="L209" s="259">
        <v>1.3694919677437127E-4</v>
      </c>
    </row>
    <row r="210" spans="1:12" ht="16.25" customHeight="1" x14ac:dyDescent="0.45">
      <c r="A210" s="1" t="s">
        <v>187</v>
      </c>
      <c r="C210" s="222" t="s">
        <v>188</v>
      </c>
      <c r="D210" s="223">
        <v>-5.93</v>
      </c>
      <c r="E210" s="224">
        <v>106.39</v>
      </c>
      <c r="F210" s="1" t="s">
        <v>8</v>
      </c>
      <c r="G210" s="1" t="s">
        <v>192</v>
      </c>
      <c r="H210" s="1">
        <v>2016</v>
      </c>
      <c r="I210" s="46">
        <v>1.0952332570901913</v>
      </c>
      <c r="J210" s="46">
        <v>7.5733555726320377E-5</v>
      </c>
      <c r="K210" s="46">
        <v>9.9955822415654893E-5</v>
      </c>
      <c r="L210" s="259">
        <v>1.2443751689278972E-4</v>
      </c>
    </row>
    <row r="211" spans="1:12" ht="16.25" customHeight="1" x14ac:dyDescent="0.45">
      <c r="A211" s="1" t="s">
        <v>187</v>
      </c>
      <c r="C211" s="222" t="s">
        <v>188</v>
      </c>
      <c r="D211" s="223">
        <v>-5.93</v>
      </c>
      <c r="E211" s="224">
        <v>106.35</v>
      </c>
      <c r="F211" s="1" t="s">
        <v>8</v>
      </c>
      <c r="G211" s="1" t="s">
        <v>192</v>
      </c>
      <c r="H211" s="1">
        <v>2016</v>
      </c>
      <c r="I211" s="46">
        <v>2.0723531237098696</v>
      </c>
      <c r="J211" s="46">
        <v>1.4329976720764526E-4</v>
      </c>
      <c r="K211" s="46">
        <v>1.8913209535511153E-4</v>
      </c>
      <c r="L211" s="259">
        <v>2.3545530157165087E-4</v>
      </c>
    </row>
    <row r="212" spans="1:12" ht="16.25" customHeight="1" x14ac:dyDescent="0.45">
      <c r="A212" s="1" t="s">
        <v>187</v>
      </c>
      <c r="C212" s="222" t="s">
        <v>188</v>
      </c>
      <c r="D212" s="223">
        <v>-5.92</v>
      </c>
      <c r="E212" s="224">
        <v>106.24</v>
      </c>
      <c r="F212" s="1" t="s">
        <v>8</v>
      </c>
      <c r="G212" s="1" t="s">
        <v>192</v>
      </c>
      <c r="H212" s="1">
        <v>2016</v>
      </c>
      <c r="I212" s="46">
        <v>1.5032613332610472</v>
      </c>
      <c r="J212" s="46">
        <v>1.0394801766357701E-4</v>
      </c>
      <c r="K212" s="46">
        <v>1.3699028927693593E-4</v>
      </c>
      <c r="L212" s="259">
        <v>1.7054265598616123E-4</v>
      </c>
    </row>
    <row r="213" spans="1:12" ht="16.25" customHeight="1" x14ac:dyDescent="0.45">
      <c r="A213" s="1" t="s">
        <v>187</v>
      </c>
      <c r="C213" s="222" t="s">
        <v>188</v>
      </c>
      <c r="D213" s="223">
        <v>-5.92</v>
      </c>
      <c r="E213" s="224">
        <v>106.27</v>
      </c>
      <c r="F213" s="1" t="s">
        <v>8</v>
      </c>
      <c r="G213" s="1" t="s">
        <v>192</v>
      </c>
      <c r="H213" s="1">
        <v>2016</v>
      </c>
      <c r="I213" s="46">
        <v>0.61741090473221549</v>
      </c>
      <c r="J213" s="46">
        <v>4.2692935826111974E-5</v>
      </c>
      <c r="K213" s="46">
        <v>5.6219269351426273E-5</v>
      </c>
      <c r="L213" s="259">
        <v>6.9988782149450169E-5</v>
      </c>
    </row>
    <row r="214" spans="1:12" ht="16.25" customHeight="1" x14ac:dyDescent="0.45">
      <c r="A214" s="1" t="s">
        <v>187</v>
      </c>
      <c r="C214" s="222" t="s">
        <v>188</v>
      </c>
      <c r="D214" s="223">
        <v>-5.92</v>
      </c>
      <c r="E214" s="224">
        <v>106.3</v>
      </c>
      <c r="F214" s="1" t="s">
        <v>8</v>
      </c>
      <c r="G214" s="1" t="s">
        <v>192</v>
      </c>
      <c r="H214" s="1">
        <v>2016</v>
      </c>
      <c r="I214" s="46">
        <v>0.97711986661967964</v>
      </c>
      <c r="J214" s="46">
        <v>6.7566211481325002E-5</v>
      </c>
      <c r="K214" s="46">
        <v>8.8973104538778923E-5</v>
      </c>
      <c r="L214" s="259">
        <v>1.1076485522782545E-4</v>
      </c>
    </row>
    <row r="215" spans="1:12" ht="16.25" customHeight="1" x14ac:dyDescent="0.45">
      <c r="A215" s="1" t="s">
        <v>187</v>
      </c>
      <c r="C215" s="222" t="s">
        <v>188</v>
      </c>
      <c r="D215" s="223">
        <v>-5.91</v>
      </c>
      <c r="E215" s="224">
        <v>106.13</v>
      </c>
      <c r="F215" s="1" t="s">
        <v>8</v>
      </c>
      <c r="G215" s="1" t="s">
        <v>192</v>
      </c>
      <c r="H215" s="1">
        <v>2016</v>
      </c>
      <c r="I215" s="46">
        <v>1.3421976189830775</v>
      </c>
      <c r="J215" s="46">
        <v>9.2810730056765178E-5</v>
      </c>
      <c r="K215" s="46">
        <v>1.2282964218769806E-4</v>
      </c>
      <c r="L215" s="259">
        <v>1.5291371033002615E-4</v>
      </c>
    </row>
    <row r="216" spans="1:12" ht="16.25" customHeight="1" x14ac:dyDescent="0.45">
      <c r="A216" s="1" t="s">
        <v>187</v>
      </c>
      <c r="C216" s="222" t="s">
        <v>188</v>
      </c>
      <c r="D216" s="223">
        <v>-5.91</v>
      </c>
      <c r="E216" s="224">
        <v>106.19</v>
      </c>
      <c r="F216" s="1" t="s">
        <v>8</v>
      </c>
      <c r="G216" s="1" t="s">
        <v>192</v>
      </c>
      <c r="H216" s="1">
        <v>2016</v>
      </c>
      <c r="I216" s="46">
        <v>0.54224783806916321</v>
      </c>
      <c r="J216" s="46">
        <v>3.7495534942933123E-5</v>
      </c>
      <c r="K216" s="46">
        <v>4.9485027071607283E-5</v>
      </c>
      <c r="L216" s="259">
        <v>6.1605154590763114E-5</v>
      </c>
    </row>
    <row r="217" spans="1:12" ht="16.25" customHeight="1" x14ac:dyDescent="0.45">
      <c r="A217" s="1" t="s">
        <v>187</v>
      </c>
      <c r="C217" s="222" t="s">
        <v>188</v>
      </c>
      <c r="D217" s="223">
        <v>-5.91</v>
      </c>
      <c r="E217" s="224">
        <v>106.22</v>
      </c>
      <c r="F217" s="1" t="s">
        <v>8</v>
      </c>
      <c r="G217" s="1" t="s">
        <v>192</v>
      </c>
      <c r="H217" s="1">
        <v>2016</v>
      </c>
      <c r="I217" s="46">
        <v>0.72478671425086183</v>
      </c>
      <c r="J217" s="46">
        <v>5.0117794230653197E-5</v>
      </c>
      <c r="K217" s="46">
        <v>6.6143353016504802E-5</v>
      </c>
      <c r="L217" s="259">
        <v>8.234352346290122E-5</v>
      </c>
    </row>
    <row r="218" spans="1:12" ht="16.25" customHeight="1" x14ac:dyDescent="0.45">
      <c r="A218" s="1" t="s">
        <v>187</v>
      </c>
      <c r="C218" s="222" t="s">
        <v>188</v>
      </c>
      <c r="D218" s="223">
        <v>-5.91</v>
      </c>
      <c r="E218" s="224">
        <v>106.16</v>
      </c>
      <c r="F218" s="1" t="s">
        <v>8</v>
      </c>
      <c r="G218" s="1" t="s">
        <v>192</v>
      </c>
      <c r="H218" s="1">
        <v>2016</v>
      </c>
      <c r="I218" s="46">
        <v>1.2885097142237536</v>
      </c>
      <c r="J218" s="46">
        <v>8.9098300854494495E-5</v>
      </c>
      <c r="K218" s="46">
        <v>1.1791645650019005E-4</v>
      </c>
      <c r="L218" s="259">
        <v>1.46797161916825E-4</v>
      </c>
    </row>
    <row r="219" spans="1:12" ht="16.25" customHeight="1" x14ac:dyDescent="0.45">
      <c r="A219" s="1" t="s">
        <v>191</v>
      </c>
      <c r="C219" s="222" t="s">
        <v>190</v>
      </c>
      <c r="D219" s="225">
        <v>-6.8847240000000003</v>
      </c>
      <c r="E219" s="225">
        <v>112.193853</v>
      </c>
      <c r="F219" s="1" t="s">
        <v>8</v>
      </c>
      <c r="G219" s="1" t="s">
        <v>12</v>
      </c>
      <c r="H219" s="1">
        <v>2018</v>
      </c>
      <c r="I219" s="46">
        <v>5.3046119949039126</v>
      </c>
      <c r="J219" s="46">
        <v>7.0233398617354785E-4</v>
      </c>
      <c r="K219" s="46">
        <v>6.9263169923554401E-4</v>
      </c>
      <c r="L219" s="259">
        <v>7.8840736345248792E-4</v>
      </c>
    </row>
    <row r="220" spans="1:12" ht="16.25" customHeight="1" x14ac:dyDescent="0.45">
      <c r="A220" s="1" t="s">
        <v>191</v>
      </c>
      <c r="C220" s="222" t="s">
        <v>190</v>
      </c>
      <c r="D220" s="225">
        <v>-6.8657529999999998</v>
      </c>
      <c r="E220" s="225">
        <v>112.289153</v>
      </c>
      <c r="F220" s="1" t="s">
        <v>8</v>
      </c>
      <c r="G220" s="1" t="s">
        <v>12</v>
      </c>
      <c r="H220" s="1">
        <v>2018</v>
      </c>
      <c r="I220" s="46">
        <v>4.762236588297136</v>
      </c>
      <c r="J220" s="46">
        <v>3.2930072918799653E-4</v>
      </c>
      <c r="K220" s="46">
        <v>5.4021789680213988E-4</v>
      </c>
      <c r="L220" s="259">
        <v>6.149180988650985E-4</v>
      </c>
    </row>
    <row r="221" spans="1:12" ht="16.25" customHeight="1" x14ac:dyDescent="0.45">
      <c r="A221" s="1" t="s">
        <v>191</v>
      </c>
      <c r="C221" s="222" t="s">
        <v>190</v>
      </c>
      <c r="D221" s="225">
        <v>-6.86768</v>
      </c>
      <c r="E221" s="225">
        <v>112.342806</v>
      </c>
      <c r="F221" s="1" t="s">
        <v>8</v>
      </c>
      <c r="G221" s="1" t="s">
        <v>12</v>
      </c>
      <c r="H221" s="1">
        <v>2018</v>
      </c>
      <c r="I221" s="46">
        <v>3.6351460307856871</v>
      </c>
      <c r="J221" s="46">
        <v>2.5136429416049177E-4</v>
      </c>
      <c r="K221" s="46">
        <v>4.1236316317117059E-4</v>
      </c>
      <c r="L221" s="259">
        <v>4.6938387980153672E-4</v>
      </c>
    </row>
    <row r="222" spans="1:12" ht="16.25" customHeight="1" x14ac:dyDescent="0.45">
      <c r="A222" s="1" t="s">
        <v>191</v>
      </c>
      <c r="C222" s="222" t="s">
        <v>190</v>
      </c>
      <c r="D222" s="225">
        <v>-6.8847240000000003</v>
      </c>
      <c r="E222" s="225">
        <v>112.193853</v>
      </c>
      <c r="F222" s="1" t="s">
        <v>14</v>
      </c>
      <c r="G222" s="1" t="s">
        <v>15</v>
      </c>
      <c r="H222" s="1">
        <v>2018</v>
      </c>
      <c r="I222" s="46">
        <v>66.80735445136645</v>
      </c>
      <c r="J222" s="46">
        <v>8.845336021298807E-3</v>
      </c>
      <c r="K222" s="46">
        <v>8.7231434607347568E-3</v>
      </c>
      <c r="L222" s="259">
        <v>9.9293615127437306E-3</v>
      </c>
    </row>
    <row r="223" spans="1:12" ht="16.25" customHeight="1" x14ac:dyDescent="0.45">
      <c r="A223" s="1" t="s">
        <v>191</v>
      </c>
      <c r="C223" s="222" t="s">
        <v>190</v>
      </c>
      <c r="D223" s="225">
        <v>-6.8657529999999998</v>
      </c>
      <c r="E223" s="225">
        <v>112.289153</v>
      </c>
      <c r="F223" s="1" t="s">
        <v>14</v>
      </c>
      <c r="G223" s="1" t="s">
        <v>15</v>
      </c>
      <c r="H223" s="1">
        <v>2018</v>
      </c>
      <c r="I223" s="46">
        <v>108.99538970179684</v>
      </c>
      <c r="J223" s="46">
        <v>7.5368496800713933E-3</v>
      </c>
      <c r="K223" s="46">
        <v>1.236420305755722E-2</v>
      </c>
      <c r="L223" s="259">
        <v>1.4073899223149553E-2</v>
      </c>
    </row>
    <row r="224" spans="1:12" ht="16.25" customHeight="1" x14ac:dyDescent="0.45">
      <c r="A224" s="1" t="s">
        <v>191</v>
      </c>
      <c r="C224" s="222" t="s">
        <v>190</v>
      </c>
      <c r="D224" s="225">
        <v>-6.86768</v>
      </c>
      <c r="E224" s="225">
        <v>112.342806</v>
      </c>
      <c r="F224" s="1" t="s">
        <v>14</v>
      </c>
      <c r="G224" s="1" t="s">
        <v>15</v>
      </c>
      <c r="H224" s="1">
        <v>2018</v>
      </c>
      <c r="I224" s="46">
        <v>182.66070787423783</v>
      </c>
      <c r="J224" s="46">
        <v>1.2630683751579526E-2</v>
      </c>
      <c r="K224" s="46">
        <v>2.0720638634103491E-2</v>
      </c>
      <c r="L224" s="259">
        <v>2.3585845251662088E-2</v>
      </c>
    </row>
    <row r="225" spans="1:12" ht="16.25" customHeight="1" x14ac:dyDescent="0.45">
      <c r="A225" s="1" t="s">
        <v>196</v>
      </c>
      <c r="C225" s="222" t="s">
        <v>195</v>
      </c>
      <c r="D225" s="223">
        <v>-22.965350999999998</v>
      </c>
      <c r="E225" s="224">
        <v>-43.132494000000001</v>
      </c>
      <c r="F225" s="1" t="s">
        <v>8</v>
      </c>
      <c r="G225" s="1" t="s">
        <v>193</v>
      </c>
      <c r="H225" s="1">
        <v>2017</v>
      </c>
      <c r="I225" s="46">
        <v>5.3204833838106076</v>
      </c>
      <c r="J225" s="46">
        <v>7.3097231199713492E-4</v>
      </c>
      <c r="K225" s="46">
        <v>1.3907617069096971E-3</v>
      </c>
      <c r="L225" s="259">
        <v>1.655020442280988E-3</v>
      </c>
    </row>
    <row r="226" spans="1:12" ht="16.25" customHeight="1" x14ac:dyDescent="0.45">
      <c r="A226" s="1" t="s">
        <v>196</v>
      </c>
      <c r="C226" s="222" t="s">
        <v>195</v>
      </c>
      <c r="D226" s="226">
        <v>-23.024595999999999</v>
      </c>
      <c r="E226" s="226">
        <v>-43.132145000000001</v>
      </c>
      <c r="F226" s="1" t="s">
        <v>8</v>
      </c>
      <c r="G226" s="1" t="s">
        <v>193</v>
      </c>
      <c r="H226" s="1">
        <v>2017</v>
      </c>
      <c r="I226" s="46">
        <v>5.3204833838106076</v>
      </c>
      <c r="J226" s="46">
        <v>7.3097231199713492E-4</v>
      </c>
      <c r="K226" s="46">
        <v>1.1664617984795097E-3</v>
      </c>
      <c r="L226" s="259">
        <v>1.3881012915671136E-3</v>
      </c>
    </row>
    <row r="227" spans="1:12" ht="16.25" customHeight="1" x14ac:dyDescent="0.45">
      <c r="A227" s="1" t="s">
        <v>196</v>
      </c>
      <c r="C227" s="222" t="s">
        <v>195</v>
      </c>
      <c r="D227" s="223">
        <v>-23.050357999999999</v>
      </c>
      <c r="E227" s="224">
        <v>-43.114297999999998</v>
      </c>
      <c r="F227" s="1" t="s">
        <v>8</v>
      </c>
      <c r="G227" s="1" t="s">
        <v>193</v>
      </c>
      <c r="H227" s="1">
        <v>2017</v>
      </c>
      <c r="I227" s="46">
        <v>192.42414904781725</v>
      </c>
      <c r="J227" s="46">
        <v>2.6436831950563081E-2</v>
      </c>
      <c r="K227" s="46">
        <v>4.2187035045008987E-2</v>
      </c>
      <c r="L227" s="259">
        <v>5.0202996711677342E-2</v>
      </c>
    </row>
    <row r="228" spans="1:12" ht="16.25" customHeight="1" x14ac:dyDescent="0.45">
      <c r="A228" s="1" t="s">
        <v>196</v>
      </c>
      <c r="C228" s="222" t="s">
        <v>195</v>
      </c>
      <c r="D228" s="223">
        <v>-22.965350999999998</v>
      </c>
      <c r="E228" s="224">
        <v>-43.132494000000001</v>
      </c>
      <c r="F228" s="1" t="s">
        <v>14</v>
      </c>
      <c r="G228" s="1" t="s">
        <v>194</v>
      </c>
      <c r="H228" s="1">
        <v>2017</v>
      </c>
      <c r="I228" s="46">
        <v>617.63791499148397</v>
      </c>
      <c r="J228" s="46">
        <v>8.4856239955975798E-2</v>
      </c>
      <c r="K228" s="46">
        <v>0.16144908252499487</v>
      </c>
      <c r="L228" s="259">
        <v>0.19212603470374828</v>
      </c>
    </row>
    <row r="229" spans="1:12" ht="16.25" customHeight="1" x14ac:dyDescent="0.45">
      <c r="A229" s="1" t="s">
        <v>196</v>
      </c>
      <c r="C229" s="222" t="s">
        <v>195</v>
      </c>
      <c r="D229" s="226">
        <v>-23.024595999999999</v>
      </c>
      <c r="E229" s="226">
        <v>-43.132145000000001</v>
      </c>
      <c r="F229" s="1" t="s">
        <v>14</v>
      </c>
      <c r="G229" s="1" t="s">
        <v>194</v>
      </c>
      <c r="H229" s="1">
        <v>2017</v>
      </c>
      <c r="I229" s="46">
        <v>617.63791499148397</v>
      </c>
      <c r="J229" s="46">
        <v>8.4856239955975798E-2</v>
      </c>
      <c r="K229" s="46">
        <v>0.13541082288168024</v>
      </c>
      <c r="L229" s="259">
        <v>0.16114024340894675</v>
      </c>
    </row>
    <row r="230" spans="1:12" ht="16.25" customHeight="1" x14ac:dyDescent="0.45">
      <c r="A230" s="1" t="s">
        <v>196</v>
      </c>
      <c r="C230" s="222" t="s">
        <v>195</v>
      </c>
      <c r="D230" s="223">
        <v>-23.050357999999999</v>
      </c>
      <c r="E230" s="224">
        <v>-43.114297999999998</v>
      </c>
      <c r="F230" s="1" t="s">
        <v>14</v>
      </c>
      <c r="G230" s="1" t="s">
        <v>194</v>
      </c>
      <c r="H230" s="1">
        <v>2017</v>
      </c>
      <c r="I230" s="46">
        <v>22337.904592192019</v>
      </c>
      <c r="J230" s="46">
        <v>3.0689673450744603</v>
      </c>
      <c r="K230" s="46">
        <v>4.8973580942207722</v>
      </c>
      <c r="L230" s="259">
        <v>5.8279054699569128</v>
      </c>
    </row>
    <row r="231" spans="1:12" ht="16.25" customHeight="1" x14ac:dyDescent="0.45">
      <c r="A231" s="1" t="s">
        <v>199</v>
      </c>
      <c r="C231" s="222" t="s">
        <v>198</v>
      </c>
      <c r="D231" s="223">
        <v>22.32</v>
      </c>
      <c r="E231" s="223">
        <v>114.35</v>
      </c>
      <c r="F231" s="1" t="s">
        <v>8</v>
      </c>
      <c r="G231" s="1" t="s">
        <v>193</v>
      </c>
      <c r="H231" s="223">
        <v>2015</v>
      </c>
      <c r="I231" s="46">
        <v>1.5636166033734831</v>
      </c>
      <c r="J231" s="46">
        <v>4.7823783193575578E-5</v>
      </c>
      <c r="K231" s="46">
        <v>4.5318062087987813E-4</v>
      </c>
      <c r="L231" s="259">
        <v>5.9061749367223621E-4</v>
      </c>
    </row>
    <row r="232" spans="1:12" ht="16.25" customHeight="1" x14ac:dyDescent="0.45">
      <c r="A232" s="1" t="s">
        <v>199</v>
      </c>
      <c r="C232" s="222" t="s">
        <v>198</v>
      </c>
      <c r="D232" s="223">
        <v>22.36</v>
      </c>
      <c r="E232" s="223">
        <v>114.29</v>
      </c>
      <c r="F232" s="1" t="s">
        <v>8</v>
      </c>
      <c r="G232" s="1" t="s">
        <v>193</v>
      </c>
      <c r="H232" s="223">
        <v>2017</v>
      </c>
      <c r="I232" s="46">
        <v>1.7566070657545945</v>
      </c>
      <c r="J232" s="46">
        <v>5.4517577236386247E-5</v>
      </c>
      <c r="K232" s="46">
        <v>5.2467166698700121E-4</v>
      </c>
      <c r="L232" s="259">
        <v>6.2436456945496569E-4</v>
      </c>
    </row>
    <row r="233" spans="1:12" ht="16.25" customHeight="1" x14ac:dyDescent="0.45">
      <c r="A233" s="1" t="s">
        <v>199</v>
      </c>
      <c r="C233" s="222" t="s">
        <v>198</v>
      </c>
      <c r="D233" s="223">
        <v>22.5</v>
      </c>
      <c r="E233" s="223">
        <v>114.36</v>
      </c>
      <c r="F233" s="1" t="s">
        <v>8</v>
      </c>
      <c r="G233" s="1" t="s">
        <v>193</v>
      </c>
      <c r="H233" s="223">
        <v>2017</v>
      </c>
      <c r="I233" s="46">
        <v>1.352508669013738</v>
      </c>
      <c r="J233" s="46">
        <v>4.197608973761215E-5</v>
      </c>
      <c r="K233" s="46">
        <v>4.0392248844907174E-4</v>
      </c>
      <c r="L233" s="259">
        <v>4.8067183052202475E-4</v>
      </c>
    </row>
    <row r="234" spans="1:12" ht="16.25" customHeight="1" x14ac:dyDescent="0.45">
      <c r="A234" s="1" t="s">
        <v>199</v>
      </c>
      <c r="C234" s="222" t="s">
        <v>198</v>
      </c>
      <c r="D234" s="223">
        <v>22.52</v>
      </c>
      <c r="E234" s="223">
        <v>114.31</v>
      </c>
      <c r="F234" s="1" t="s">
        <v>8</v>
      </c>
      <c r="G234" s="1" t="s">
        <v>193</v>
      </c>
      <c r="H234" s="223">
        <v>2017</v>
      </c>
      <c r="I234" s="46">
        <v>1.4572749200206268</v>
      </c>
      <c r="J234" s="46">
        <v>4.5227586496553586E-5</v>
      </c>
      <c r="K234" s="46">
        <v>4.3538039172352631E-4</v>
      </c>
      <c r="L234" s="259">
        <v>5.1810705233741551E-4</v>
      </c>
    </row>
    <row r="235" spans="1:12" ht="16.25" customHeight="1" x14ac:dyDescent="0.45">
      <c r="A235" s="1" t="s">
        <v>199</v>
      </c>
      <c r="C235" s="222" t="s">
        <v>198</v>
      </c>
      <c r="D235" s="223">
        <v>22.32</v>
      </c>
      <c r="E235" s="223">
        <v>114.35</v>
      </c>
      <c r="F235" s="1" t="s">
        <v>14</v>
      </c>
      <c r="G235" s="1" t="s">
        <v>197</v>
      </c>
      <c r="H235" s="223">
        <v>2015</v>
      </c>
      <c r="I235" s="46">
        <v>46.651490852039863</v>
      </c>
      <c r="J235" s="46">
        <v>1.426852835504282E-3</v>
      </c>
      <c r="K235" s="46">
        <v>1.3520930606445819E-2</v>
      </c>
      <c r="L235" s="259">
        <v>1.762144667923031E-2</v>
      </c>
    </row>
    <row r="236" spans="1:12" ht="16.25" customHeight="1" x14ac:dyDescent="0.45">
      <c r="A236" s="1" t="s">
        <v>199</v>
      </c>
      <c r="C236" s="222" t="s">
        <v>198</v>
      </c>
      <c r="D236" s="223">
        <v>22.36</v>
      </c>
      <c r="E236" s="223">
        <v>114.29</v>
      </c>
      <c r="F236" s="1" t="s">
        <v>14</v>
      </c>
      <c r="G236" s="1" t="s">
        <v>197</v>
      </c>
      <c r="H236" s="223">
        <v>2017</v>
      </c>
      <c r="I236" s="46">
        <v>52.409483425717312</v>
      </c>
      <c r="J236" s="46">
        <v>1.6265664167491266E-3</v>
      </c>
      <c r="K236" s="46">
        <v>1.5653911208131432E-2</v>
      </c>
      <c r="L236" s="259">
        <v>1.8628312041087194E-2</v>
      </c>
    </row>
    <row r="237" spans="1:12" ht="16.25" customHeight="1" x14ac:dyDescent="0.45">
      <c r="A237" s="1" t="s">
        <v>199</v>
      </c>
      <c r="C237" s="222" t="s">
        <v>198</v>
      </c>
      <c r="D237" s="223">
        <v>22.5</v>
      </c>
      <c r="E237" s="223">
        <v>114.36</v>
      </c>
      <c r="F237" s="1" t="s">
        <v>14</v>
      </c>
      <c r="G237" s="1" t="s">
        <v>197</v>
      </c>
      <c r="H237" s="223">
        <v>2017</v>
      </c>
      <c r="I237" s="46">
        <v>40.352952036751859</v>
      </c>
      <c r="J237" s="46">
        <v>1.2523832006987674E-3</v>
      </c>
      <c r="K237" s="46">
        <v>1.2051283053761548E-2</v>
      </c>
      <c r="L237" s="259">
        <v>1.4341148243151084E-2</v>
      </c>
    </row>
    <row r="238" spans="1:12" ht="16.25" customHeight="1" x14ac:dyDescent="0.45">
      <c r="A238" s="1" t="s">
        <v>199</v>
      </c>
      <c r="C238" s="222" t="s">
        <v>198</v>
      </c>
      <c r="D238" s="223">
        <v>22.52</v>
      </c>
      <c r="E238" s="223">
        <v>114.31</v>
      </c>
      <c r="F238" s="1" t="s">
        <v>14</v>
      </c>
      <c r="G238" s="1" t="s">
        <v>197</v>
      </c>
      <c r="H238" s="223">
        <v>2017</v>
      </c>
      <c r="I238" s="46">
        <v>43.478719433891015</v>
      </c>
      <c r="J238" s="46">
        <v>1.34939366411923E-3</v>
      </c>
      <c r="K238" s="46">
        <v>1.2989849505196193E-2</v>
      </c>
      <c r="L238" s="259">
        <v>1.5458051775830964E-2</v>
      </c>
    </row>
    <row r="239" spans="1:12" ht="16.25" customHeight="1" x14ac:dyDescent="0.45">
      <c r="A239" s="1" t="s">
        <v>202</v>
      </c>
      <c r="C239" s="222" t="s">
        <v>201</v>
      </c>
      <c r="D239" s="227">
        <v>13.41777778</v>
      </c>
      <c r="E239" s="228">
        <v>100.58277778</v>
      </c>
      <c r="F239" s="1" t="s">
        <v>14</v>
      </c>
      <c r="G239" s="1" t="s">
        <v>15</v>
      </c>
      <c r="H239" s="223">
        <v>2004</v>
      </c>
      <c r="I239" s="46">
        <v>1591.2016948335861</v>
      </c>
      <c r="J239" s="46">
        <v>0.22018150899310512</v>
      </c>
      <c r="K239" s="46">
        <v>0.25982606689127785</v>
      </c>
      <c r="L239" s="259">
        <v>0.59057694093331892</v>
      </c>
    </row>
    <row r="240" spans="1:12" ht="16.25" customHeight="1" x14ac:dyDescent="0.45">
      <c r="A240" s="1" t="s">
        <v>202</v>
      </c>
      <c r="C240" s="222" t="s">
        <v>201</v>
      </c>
      <c r="D240" s="227">
        <v>13.37388889</v>
      </c>
      <c r="E240" s="228">
        <v>100.58333333</v>
      </c>
      <c r="F240" s="1" t="s">
        <v>14</v>
      </c>
      <c r="G240" s="1" t="s">
        <v>15</v>
      </c>
      <c r="H240" s="223">
        <v>2004</v>
      </c>
      <c r="I240" s="46">
        <v>1579.6433290115488</v>
      </c>
      <c r="J240" s="46">
        <v>0.26229855308621708</v>
      </c>
      <c r="K240" s="46">
        <v>0.28651098654244583</v>
      </c>
      <c r="L240" s="259">
        <v>0.6512309715515503</v>
      </c>
    </row>
    <row r="241" spans="1:12" ht="16.25" customHeight="1" x14ac:dyDescent="0.45">
      <c r="A241" s="1" t="s">
        <v>204</v>
      </c>
      <c r="C241" s="222" t="s">
        <v>203</v>
      </c>
      <c r="D241" s="229">
        <v>54.627960999999999</v>
      </c>
      <c r="E241" s="230">
        <v>19.863931000000001</v>
      </c>
      <c r="F241" s="1" t="s">
        <v>8</v>
      </c>
      <c r="G241" s="231">
        <v>0.93179999999999996</v>
      </c>
      <c r="H241" s="223">
        <v>2015</v>
      </c>
      <c r="I241" s="46">
        <v>0.86940244629603824</v>
      </c>
      <c r="J241" s="46">
        <v>4.7316999573758751E-5</v>
      </c>
      <c r="K241" s="46">
        <v>5.1583970583160396E-5</v>
      </c>
      <c r="L241" s="259">
        <v>6.7227930797959107E-5</v>
      </c>
    </row>
    <row r="242" spans="1:12" ht="16.25" customHeight="1" x14ac:dyDescent="0.45">
      <c r="A242" s="1" t="s">
        <v>204</v>
      </c>
      <c r="C242" s="222" t="s">
        <v>203</v>
      </c>
      <c r="D242" s="229">
        <v>54.62753</v>
      </c>
      <c r="E242" s="230">
        <v>19.857343</v>
      </c>
      <c r="F242" s="1" t="s">
        <v>8</v>
      </c>
      <c r="G242" s="231">
        <v>0.52969999999999995</v>
      </c>
      <c r="H242" s="223">
        <v>2015</v>
      </c>
      <c r="I242" s="46">
        <v>0.41253816088743334</v>
      </c>
      <c r="J242" s="46">
        <v>2.2452280950016064E-5</v>
      </c>
      <c r="K242" s="46">
        <v>2.4476991577732833E-5</v>
      </c>
      <c r="L242" s="259">
        <v>3.1900171261093987E-5</v>
      </c>
    </row>
    <row r="243" spans="1:12" ht="16.25" customHeight="1" x14ac:dyDescent="0.45">
      <c r="A243" s="1" t="s">
        <v>204</v>
      </c>
      <c r="C243" s="222" t="s">
        <v>203</v>
      </c>
      <c r="D243" s="229">
        <v>54.638492999999997</v>
      </c>
      <c r="E243" s="230">
        <v>19.815564999999999</v>
      </c>
      <c r="F243" s="1" t="s">
        <v>8</v>
      </c>
      <c r="G243" s="231">
        <v>0.90780000000000005</v>
      </c>
      <c r="H243" s="223">
        <v>2015</v>
      </c>
      <c r="I243" s="46">
        <v>0.60725687915728299</v>
      </c>
      <c r="J243" s="46">
        <v>3.3049796000301597E-5</v>
      </c>
      <c r="K243" s="46">
        <v>3.602007340889431E-5</v>
      </c>
      <c r="L243" s="259">
        <v>4.694394353700781E-5</v>
      </c>
    </row>
    <row r="244" spans="1:12" ht="16.25" customHeight="1" x14ac:dyDescent="0.45">
      <c r="A244" s="1" t="s">
        <v>204</v>
      </c>
      <c r="C244" s="222" t="s">
        <v>203</v>
      </c>
      <c r="D244" s="229">
        <v>54.625312000000001</v>
      </c>
      <c r="E244" s="230">
        <v>19.787800000000001</v>
      </c>
      <c r="F244" s="1" t="s">
        <v>8</v>
      </c>
      <c r="G244" s="231">
        <v>1</v>
      </c>
      <c r="H244" s="223">
        <v>2015</v>
      </c>
      <c r="I244" s="46">
        <v>0.23133110702719831</v>
      </c>
      <c r="J244" s="46">
        <v>1.2590134683007231E-5</v>
      </c>
      <c r="K244" s="46">
        <v>1.3721645226059742E-5</v>
      </c>
      <c r="L244" s="259">
        <v>1.7883032369610445E-5</v>
      </c>
    </row>
    <row r="245" spans="1:12" ht="16.25" customHeight="1" x14ac:dyDescent="0.45">
      <c r="A245" s="1" t="s">
        <v>204</v>
      </c>
      <c r="C245" s="222" t="s">
        <v>203</v>
      </c>
      <c r="D245" s="229">
        <v>54.645592999999998</v>
      </c>
      <c r="E245" s="230">
        <v>19.742885999999999</v>
      </c>
      <c r="F245" s="1" t="s">
        <v>8</v>
      </c>
      <c r="G245" s="231">
        <v>1</v>
      </c>
      <c r="H245" s="223">
        <v>2015</v>
      </c>
      <c r="I245" s="46">
        <v>0.57640000834276905</v>
      </c>
      <c r="J245" s="46">
        <v>3.1370418918493007E-5</v>
      </c>
      <c r="K245" s="46">
        <v>3.5544155653640703E-5</v>
      </c>
      <c r="L245" s="259">
        <v>4.6323693378789975E-5</v>
      </c>
    </row>
    <row r="246" spans="1:12" ht="16.25" customHeight="1" x14ac:dyDescent="0.45">
      <c r="A246" s="1" t="s">
        <v>204</v>
      </c>
      <c r="C246" s="222" t="s">
        <v>203</v>
      </c>
      <c r="D246" s="229">
        <v>54.665294000000003</v>
      </c>
      <c r="E246" s="230">
        <v>19.647252000000002</v>
      </c>
      <c r="F246" s="1" t="s">
        <v>8</v>
      </c>
      <c r="G246" s="231">
        <v>0.155</v>
      </c>
      <c r="H246" s="223">
        <v>2015</v>
      </c>
      <c r="I246" s="46">
        <v>7.7110369009066149E-2</v>
      </c>
      <c r="J246" s="46">
        <v>4.1967115610024131E-6</v>
      </c>
      <c r="K246" s="46">
        <v>4.7773284564427736E-6</v>
      </c>
      <c r="L246" s="259">
        <v>6.2261571421898577E-6</v>
      </c>
    </row>
    <row r="247" spans="1:12" ht="16.25" customHeight="1" x14ac:dyDescent="0.45">
      <c r="A247" s="1" t="s">
        <v>204</v>
      </c>
      <c r="C247" s="222" t="s">
        <v>203</v>
      </c>
      <c r="D247" s="229">
        <v>54.723191</v>
      </c>
      <c r="E247" s="230">
        <v>19.449437</v>
      </c>
      <c r="F247" s="1" t="s">
        <v>8</v>
      </c>
      <c r="G247" s="231">
        <v>0.29849999999999999</v>
      </c>
      <c r="H247" s="223">
        <v>2015</v>
      </c>
      <c r="I247" s="46">
        <v>0.26988629153173133</v>
      </c>
      <c r="J247" s="46">
        <v>1.4688490463508434E-5</v>
      </c>
      <c r="K247" s="46">
        <v>1.5029677596530295E-5</v>
      </c>
      <c r="L247" s="259">
        <v>1.9587753985441069E-5</v>
      </c>
    </row>
    <row r="248" spans="1:12" ht="16.25" customHeight="1" x14ac:dyDescent="0.45">
      <c r="A248" s="1" t="s">
        <v>204</v>
      </c>
      <c r="C248" s="222" t="s">
        <v>203</v>
      </c>
      <c r="D248" s="229">
        <v>54.627960999999999</v>
      </c>
      <c r="E248" s="230">
        <v>19.863931000000001</v>
      </c>
      <c r="F248" s="1" t="s">
        <v>14</v>
      </c>
      <c r="G248" s="231">
        <v>6.8200000000000038E-2</v>
      </c>
      <c r="H248" s="223">
        <v>2015</v>
      </c>
      <c r="I248" s="46">
        <v>15.600668358618991</v>
      </c>
      <c r="J248" s="46">
        <v>8.4906227400212712E-4</v>
      </c>
      <c r="K248" s="46">
        <v>9.2562934589974848E-4</v>
      </c>
      <c r="L248" s="259">
        <v>1.2063465628414198E-3</v>
      </c>
    </row>
    <row r="249" spans="1:12" ht="16.25" customHeight="1" x14ac:dyDescent="0.45">
      <c r="A249" s="1" t="s">
        <v>204</v>
      </c>
      <c r="C249" s="222" t="s">
        <v>203</v>
      </c>
      <c r="D249" s="229">
        <v>54.62753</v>
      </c>
      <c r="E249" s="230">
        <v>19.857343</v>
      </c>
      <c r="F249" s="1" t="s">
        <v>14</v>
      </c>
      <c r="G249" s="231">
        <v>0.47030000000000005</v>
      </c>
      <c r="H249" s="223">
        <v>2015</v>
      </c>
      <c r="I249" s="46">
        <v>89.822029943563962</v>
      </c>
      <c r="J249" s="46">
        <v>4.888540365466796E-3</v>
      </c>
      <c r="K249" s="46">
        <v>5.329381082453101E-3</v>
      </c>
      <c r="L249" s="259">
        <v>6.945631725450604E-3</v>
      </c>
    </row>
    <row r="250" spans="1:12" ht="16.25" customHeight="1" x14ac:dyDescent="0.45">
      <c r="A250" s="1" t="s">
        <v>204</v>
      </c>
      <c r="C250" s="222" t="s">
        <v>203</v>
      </c>
      <c r="D250" s="229">
        <v>54.638492999999997</v>
      </c>
      <c r="E250" s="230">
        <v>19.815564999999999</v>
      </c>
      <c r="F250" s="1" t="s">
        <v>14</v>
      </c>
      <c r="G250" s="231">
        <v>9.2199999999999949E-2</v>
      </c>
      <c r="H250" s="223">
        <v>2015</v>
      </c>
      <c r="I250" s="46">
        <v>15.600668358618991</v>
      </c>
      <c r="J250" s="46">
        <v>8.4906227400212712E-4</v>
      </c>
      <c r="K250" s="46">
        <v>9.2536987030117433E-4</v>
      </c>
      <c r="L250" s="259">
        <v>1.2060083956280875E-3</v>
      </c>
    </row>
    <row r="251" spans="1:12" ht="16.25" customHeight="1" x14ac:dyDescent="0.45">
      <c r="A251" s="1" t="s">
        <v>206</v>
      </c>
      <c r="C251" s="222" t="s">
        <v>205</v>
      </c>
      <c r="D251" s="232">
        <v>-74.688917000000004</v>
      </c>
      <c r="E251" s="233">
        <v>164.1183</v>
      </c>
      <c r="F251" s="1" t="s">
        <v>8</v>
      </c>
      <c r="G251" s="231">
        <v>0.16182572614107885</v>
      </c>
      <c r="H251" s="223">
        <v>2015</v>
      </c>
      <c r="I251" s="46">
        <v>1.6723994192273759E-3</v>
      </c>
      <c r="J251" s="46">
        <v>2.5088760109544311E-7</v>
      </c>
      <c r="K251" s="46">
        <v>2.5088760109544311E-7</v>
      </c>
      <c r="L251" s="259">
        <v>3.2697471896466511E-7</v>
      </c>
    </row>
    <row r="252" spans="1:12" ht="16.25" customHeight="1" x14ac:dyDescent="0.45">
      <c r="A252" s="1" t="s">
        <v>206</v>
      </c>
      <c r="C252" s="222" t="s">
        <v>205</v>
      </c>
      <c r="D252" s="232">
        <v>-74.697182999999995</v>
      </c>
      <c r="E252" s="232">
        <v>164.12553299999999</v>
      </c>
      <c r="F252" s="1" t="s">
        <v>8</v>
      </c>
      <c r="G252" s="231">
        <v>0.19780487804878047</v>
      </c>
      <c r="H252" s="223">
        <v>2015</v>
      </c>
      <c r="I252" s="46">
        <v>2.0866398907590802E-3</v>
      </c>
      <c r="J252" s="46">
        <v>3.1303052998216065E-7</v>
      </c>
      <c r="K252" s="46">
        <v>3.1303052998216065E-7</v>
      </c>
      <c r="L252" s="259">
        <v>4.0796384166206686E-7</v>
      </c>
    </row>
    <row r="253" spans="1:12" ht="16.25" customHeight="1" x14ac:dyDescent="0.45">
      <c r="A253" s="1" t="s">
        <v>206</v>
      </c>
      <c r="C253" s="222" t="s">
        <v>205</v>
      </c>
      <c r="D253" s="234">
        <v>-74.698633000000001</v>
      </c>
      <c r="E253" s="232">
        <v>164.13159999999999</v>
      </c>
      <c r="F253" s="1" t="s">
        <v>8</v>
      </c>
      <c r="G253" s="231">
        <v>0.55884947944238572</v>
      </c>
      <c r="H253" s="223">
        <v>2015</v>
      </c>
      <c r="I253" s="46">
        <v>2.7161481849708206E-3</v>
      </c>
      <c r="J253" s="46">
        <v>4.0746719624065045E-7</v>
      </c>
      <c r="K253" s="46">
        <v>4.0746719624065045E-7</v>
      </c>
      <c r="L253" s="259">
        <v>5.3104047946722789E-7</v>
      </c>
    </row>
    <row r="254" spans="1:12" ht="16.25" customHeight="1" x14ac:dyDescent="0.45">
      <c r="A254" s="1" t="s">
        <v>206</v>
      </c>
      <c r="C254" s="222" t="s">
        <v>205</v>
      </c>
      <c r="D254" s="234">
        <v>-74.699533000000002</v>
      </c>
      <c r="E254" s="233">
        <v>164.13679999999999</v>
      </c>
      <c r="F254" s="1" t="s">
        <v>8</v>
      </c>
      <c r="G254" s="231">
        <v>0.8965606413240238</v>
      </c>
      <c r="H254" s="223">
        <v>2015</v>
      </c>
      <c r="I254" s="46">
        <v>2.9734404033134937E-3</v>
      </c>
      <c r="J254" s="46">
        <v>4.4606528871687249E-7</v>
      </c>
      <c r="K254" s="46">
        <v>4.4606528871687249E-7</v>
      </c>
      <c r="L254" s="259">
        <v>5.8134428238486854E-7</v>
      </c>
    </row>
    <row r="255" spans="1:12" ht="16.25" customHeight="1" x14ac:dyDescent="0.45">
      <c r="A255" s="1" t="s">
        <v>206</v>
      </c>
      <c r="C255" s="222" t="s">
        <v>205</v>
      </c>
      <c r="D255" s="234">
        <v>-74.717282999999995</v>
      </c>
      <c r="E255" s="232">
        <v>164.11513299999999</v>
      </c>
      <c r="F255" s="1" t="s">
        <v>8</v>
      </c>
      <c r="G255" s="231">
        <v>0.31490842794397944</v>
      </c>
      <c r="H255" s="223">
        <v>2015</v>
      </c>
      <c r="I255" s="46">
        <v>3.2590347656738607E-3</v>
      </c>
      <c r="J255" s="46">
        <v>4.8890917136547895E-7</v>
      </c>
      <c r="K255" s="46">
        <v>4.8890917136547895E-7</v>
      </c>
      <c r="L255" s="259">
        <v>6.3718150362344986E-7</v>
      </c>
    </row>
    <row r="256" spans="1:12" ht="16.25" customHeight="1" x14ac:dyDescent="0.45">
      <c r="A256" s="1" t="s">
        <v>206</v>
      </c>
      <c r="C256" s="222" t="s">
        <v>205</v>
      </c>
      <c r="D256" s="234">
        <v>-74.717967000000002</v>
      </c>
      <c r="E256" s="232">
        <v>164.12928299999999</v>
      </c>
      <c r="F256" s="1" t="s">
        <v>8</v>
      </c>
      <c r="G256" s="231">
        <v>0.75075075075075071</v>
      </c>
      <c r="H256" s="223">
        <v>2015</v>
      </c>
      <c r="I256" s="46">
        <v>4.2882036390445524E-4</v>
      </c>
      <c r="J256" s="46">
        <v>6.4330154127036688E-8</v>
      </c>
      <c r="K256" s="46">
        <v>6.4330154127036688E-8</v>
      </c>
      <c r="L256" s="259">
        <v>8.3839671529401282E-8</v>
      </c>
    </row>
    <row r="257" spans="1:12" ht="16.25" customHeight="1" x14ac:dyDescent="0.45">
      <c r="A257" s="1" t="s">
        <v>206</v>
      </c>
      <c r="C257" s="222" t="s">
        <v>205</v>
      </c>
      <c r="D257" s="234">
        <v>-74.718350000000001</v>
      </c>
      <c r="E257" s="232">
        <v>164.139983</v>
      </c>
      <c r="F257" s="1" t="s">
        <v>8</v>
      </c>
      <c r="G257" s="231">
        <v>0.60526315789473684</v>
      </c>
      <c r="H257" s="223">
        <v>2015</v>
      </c>
      <c r="I257" s="46">
        <v>1.9725736739604951E-3</v>
      </c>
      <c r="J257" s="46">
        <v>2.959187089843689E-7</v>
      </c>
      <c r="K257" s="46">
        <v>2.959187089843689E-7</v>
      </c>
      <c r="L257" s="259">
        <v>3.8566248903524616E-7</v>
      </c>
    </row>
    <row r="258" spans="1:12" ht="16.25" customHeight="1" x14ac:dyDescent="0.45">
      <c r="A258" s="1" t="s">
        <v>206</v>
      </c>
      <c r="C258" s="222" t="s">
        <v>205</v>
      </c>
      <c r="D258" s="234">
        <v>-74.748750000000001</v>
      </c>
      <c r="E258" s="232">
        <v>164.08738299999999</v>
      </c>
      <c r="F258" s="1" t="s">
        <v>8</v>
      </c>
      <c r="G258" s="231">
        <v>0.7289719626168224</v>
      </c>
      <c r="H258" s="223">
        <v>2015</v>
      </c>
      <c r="I258" s="46">
        <v>3.3447988384547509E-3</v>
      </c>
      <c r="J258" s="46">
        <v>5.0177520219088612E-7</v>
      </c>
      <c r="K258" s="46">
        <v>5.0177520219088612E-7</v>
      </c>
      <c r="L258" s="259">
        <v>6.5394943792933001E-7</v>
      </c>
    </row>
    <row r="259" spans="1:12" ht="16.25" customHeight="1" x14ac:dyDescent="0.45">
      <c r="A259" s="1" t="s">
        <v>206</v>
      </c>
      <c r="C259" s="222" t="s">
        <v>205</v>
      </c>
      <c r="D259" s="234">
        <v>-74.773167000000001</v>
      </c>
      <c r="E259" s="232">
        <v>163.966283</v>
      </c>
      <c r="F259" s="1" t="s">
        <v>8</v>
      </c>
      <c r="G259" s="231">
        <v>0.85836909871244638</v>
      </c>
      <c r="H259" s="223">
        <v>2015</v>
      </c>
      <c r="I259" s="46">
        <v>1.7152814556178225E-4</v>
      </c>
      <c r="J259" s="46">
        <v>2.5732061650814696E-8</v>
      </c>
      <c r="K259" s="46">
        <v>2.5732061650814696E-8</v>
      </c>
      <c r="L259" s="259">
        <v>3.3535868611760534E-8</v>
      </c>
    </row>
    <row r="260" spans="1:12" ht="16.25" customHeight="1" x14ac:dyDescent="0.45">
      <c r="A260" s="1" t="s">
        <v>206</v>
      </c>
      <c r="C260" s="222" t="s">
        <v>205</v>
      </c>
      <c r="D260" s="234">
        <v>-74.774450000000002</v>
      </c>
      <c r="E260" s="232">
        <v>164.00443300000001</v>
      </c>
      <c r="F260" s="1" t="s">
        <v>8</v>
      </c>
      <c r="G260" s="231">
        <v>0.86565158978952084</v>
      </c>
      <c r="H260" s="223">
        <v>2015</v>
      </c>
      <c r="I260" s="46">
        <v>1.657819526854624E-3</v>
      </c>
      <c r="J260" s="46">
        <v>2.4870037585512379E-7</v>
      </c>
      <c r="K260" s="46">
        <v>2.4870037585512379E-7</v>
      </c>
      <c r="L260" s="259">
        <v>3.2412417013266532E-7</v>
      </c>
    </row>
    <row r="261" spans="1:12" ht="16.25" customHeight="1" x14ac:dyDescent="0.45">
      <c r="A261" s="1" t="s">
        <v>206</v>
      </c>
      <c r="C261" s="222" t="s">
        <v>205</v>
      </c>
      <c r="D261" s="234">
        <v>-74.776949999999999</v>
      </c>
      <c r="E261" s="233">
        <v>164.04663300000001</v>
      </c>
      <c r="F261" s="1" t="s">
        <v>8</v>
      </c>
      <c r="G261" s="231">
        <v>0.85236958745311975</v>
      </c>
      <c r="H261" s="223">
        <v>2015</v>
      </c>
      <c r="I261" s="46">
        <v>2.1441018195222767E-3</v>
      </c>
      <c r="J261" s="46">
        <v>3.2165077063518345E-7</v>
      </c>
      <c r="K261" s="46">
        <v>3.2165077063518345E-7</v>
      </c>
      <c r="L261" s="259">
        <v>4.1919835764700645E-7</v>
      </c>
    </row>
    <row r="262" spans="1:12" ht="16.25" customHeight="1" x14ac:dyDescent="0.45">
      <c r="A262" s="1" t="s">
        <v>206</v>
      </c>
      <c r="C262" s="222" t="s">
        <v>205</v>
      </c>
      <c r="D262" s="232">
        <v>-74.688917000000004</v>
      </c>
      <c r="E262" s="233">
        <v>164.1183</v>
      </c>
      <c r="F262" s="1" t="s">
        <v>14</v>
      </c>
      <c r="G262" s="231">
        <v>0.37759336099585061</v>
      </c>
      <c r="H262" s="223">
        <v>2015</v>
      </c>
      <c r="I262" s="46">
        <v>0.91614338366454906</v>
      </c>
      <c r="J262" s="46">
        <v>1.3743667520121943E-4</v>
      </c>
      <c r="K262" s="46">
        <v>1.3743667520121943E-4</v>
      </c>
      <c r="L262" s="259">
        <v>1.7911733402983576E-4</v>
      </c>
    </row>
    <row r="263" spans="1:12" ht="16.25" customHeight="1" x14ac:dyDescent="0.45">
      <c r="A263" s="1" t="s">
        <v>206</v>
      </c>
      <c r="C263" s="222" t="s">
        <v>205</v>
      </c>
      <c r="D263" s="232">
        <v>-74.697182999999995</v>
      </c>
      <c r="E263" s="232">
        <v>164.12553299999999</v>
      </c>
      <c r="F263" s="1" t="s">
        <v>14</v>
      </c>
      <c r="G263" s="231">
        <v>0.13008130081300814</v>
      </c>
      <c r="H263" s="223">
        <v>2015</v>
      </c>
      <c r="I263" s="46">
        <v>0.32216031073918205</v>
      </c>
      <c r="J263" s="46">
        <v>4.8329380290538695E-5</v>
      </c>
      <c r="K263" s="46">
        <v>4.8329380290538695E-5</v>
      </c>
      <c r="L263" s="259">
        <v>6.2986315263238946E-5</v>
      </c>
    </row>
    <row r="264" spans="1:12" ht="16.25" customHeight="1" x14ac:dyDescent="0.45">
      <c r="A264" s="1" t="s">
        <v>206</v>
      </c>
      <c r="C264" s="222" t="s">
        <v>205</v>
      </c>
      <c r="D264" s="234">
        <v>-74.698633000000001</v>
      </c>
      <c r="E264" s="232">
        <v>164.13159999999999</v>
      </c>
      <c r="F264" s="1" t="s">
        <v>14</v>
      </c>
      <c r="G264" s="231">
        <v>0.36474325039703548</v>
      </c>
      <c r="H264" s="223">
        <v>2015</v>
      </c>
      <c r="I264" s="46">
        <v>0.41619085143618095</v>
      </c>
      <c r="J264" s="46">
        <v>6.2435518162839697E-5</v>
      </c>
      <c r="K264" s="46">
        <v>6.2435518162839697E-5</v>
      </c>
      <c r="L264" s="259">
        <v>8.1370446030696835E-5</v>
      </c>
    </row>
    <row r="265" spans="1:12" ht="16.25" customHeight="1" x14ac:dyDescent="0.45">
      <c r="A265" s="1" t="s">
        <v>206</v>
      </c>
      <c r="C265" s="222" t="s">
        <v>205</v>
      </c>
      <c r="D265" s="234">
        <v>-74.699533000000002</v>
      </c>
      <c r="E265" s="233">
        <v>164.13679999999999</v>
      </c>
      <c r="F265" s="1" t="s">
        <v>14</v>
      </c>
      <c r="G265" s="231">
        <v>7.7579519006982151E-2</v>
      </c>
      <c r="H265" s="223">
        <v>2015</v>
      </c>
      <c r="I265" s="46">
        <v>6.0405058263596705E-2</v>
      </c>
      <c r="J265" s="46">
        <v>9.0617588044760167E-6</v>
      </c>
      <c r="K265" s="46">
        <v>9.0617588044760167E-6</v>
      </c>
      <c r="L265" s="259">
        <v>1.1809934111857318E-5</v>
      </c>
    </row>
    <row r="266" spans="1:12" ht="16.25" customHeight="1" x14ac:dyDescent="0.45">
      <c r="A266" s="1" t="s">
        <v>206</v>
      </c>
      <c r="C266" s="222" t="s">
        <v>205</v>
      </c>
      <c r="D266" s="234">
        <v>-74.717282999999995</v>
      </c>
      <c r="E266" s="232">
        <v>164.11513299999999</v>
      </c>
      <c r="F266" s="1" t="s">
        <v>14</v>
      </c>
      <c r="G266" s="231">
        <v>0.24587718571310185</v>
      </c>
      <c r="H266" s="223">
        <v>2015</v>
      </c>
      <c r="I266" s="46">
        <v>0.59740602622697081</v>
      </c>
      <c r="J266" s="46">
        <v>8.962079457626771E-5</v>
      </c>
      <c r="K266" s="46">
        <v>8.962079457626771E-5</v>
      </c>
      <c r="L266" s="259">
        <v>1.1680024836626875E-4</v>
      </c>
    </row>
    <row r="267" spans="1:12" ht="16.25" customHeight="1" x14ac:dyDescent="0.45">
      <c r="A267" s="1" t="s">
        <v>206</v>
      </c>
      <c r="C267" s="222" t="s">
        <v>205</v>
      </c>
      <c r="D267" s="234">
        <v>-74.717967000000002</v>
      </c>
      <c r="E267" s="232">
        <v>164.12928299999999</v>
      </c>
      <c r="F267" s="1" t="s">
        <v>14</v>
      </c>
      <c r="G267" s="231">
        <v>4.954954954954955E-2</v>
      </c>
      <c r="H267" s="223">
        <v>2015</v>
      </c>
      <c r="I267" s="46">
        <v>6.6445564089956362E-3</v>
      </c>
      <c r="J267" s="46">
        <v>9.9679346849236157E-7</v>
      </c>
      <c r="K267" s="46">
        <v>9.9679346849236157E-7</v>
      </c>
      <c r="L267" s="259">
        <v>1.2990927523043046E-6</v>
      </c>
    </row>
    <row r="268" spans="1:12" ht="16.25" customHeight="1" x14ac:dyDescent="0.45">
      <c r="A268" s="1" t="s">
        <v>206</v>
      </c>
      <c r="C268" s="222" t="s">
        <v>205</v>
      </c>
      <c r="D268" s="234">
        <v>-74.718350000000001</v>
      </c>
      <c r="E268" s="232">
        <v>164.139983</v>
      </c>
      <c r="F268" s="1" t="s">
        <v>14</v>
      </c>
      <c r="G268" s="231">
        <v>4.3947368421052631E-2</v>
      </c>
      <c r="H268" s="223">
        <v>2015</v>
      </c>
      <c r="I268" s="46">
        <v>3.3625482433402132E-2</v>
      </c>
      <c r="J268" s="46">
        <v>5.0443790678249778E-6</v>
      </c>
      <c r="K268" s="46">
        <v>5.0443790678249778E-6</v>
      </c>
      <c r="L268" s="259">
        <v>6.5741966556005666E-6</v>
      </c>
    </row>
    <row r="269" spans="1:12" ht="16.25" customHeight="1" x14ac:dyDescent="0.45">
      <c r="A269" s="1" t="s">
        <v>206</v>
      </c>
      <c r="C269" s="222" t="s">
        <v>205</v>
      </c>
      <c r="D269" s="234">
        <v>-74.748750000000001</v>
      </c>
      <c r="E269" s="232">
        <v>164.08738299999999</v>
      </c>
      <c r="F269" s="1" t="s">
        <v>14</v>
      </c>
      <c r="G269" s="231">
        <v>0.26168224299065418</v>
      </c>
      <c r="H269" s="223">
        <v>2015</v>
      </c>
      <c r="I269" s="46">
        <v>0.28189027189678428</v>
      </c>
      <c r="J269" s="46">
        <v>4.2288207754221357E-5</v>
      </c>
      <c r="K269" s="46">
        <v>4.2288207754221357E-5</v>
      </c>
      <c r="L269" s="259">
        <v>5.5113025855334067E-5</v>
      </c>
    </row>
    <row r="270" spans="1:12" ht="16.25" customHeight="1" x14ac:dyDescent="0.45">
      <c r="A270" s="1" t="s">
        <v>206</v>
      </c>
      <c r="C270" s="222" t="s">
        <v>205</v>
      </c>
      <c r="D270" s="234">
        <v>-74.773167000000001</v>
      </c>
      <c r="E270" s="232">
        <v>163.966283</v>
      </c>
      <c r="F270" s="1" t="s">
        <v>14</v>
      </c>
      <c r="G270" s="231">
        <v>0.14163090128755365</v>
      </c>
      <c r="H270" s="223">
        <v>2015</v>
      </c>
      <c r="I270" s="46">
        <v>6.6445564089956362E-3</v>
      </c>
      <c r="J270" s="46">
        <v>9.9679346849236157E-7</v>
      </c>
      <c r="K270" s="46">
        <v>9.9679346849236157E-7</v>
      </c>
      <c r="L270" s="259">
        <v>1.2990927523043046E-6</v>
      </c>
    </row>
    <row r="271" spans="1:12" ht="16.25" customHeight="1" x14ac:dyDescent="0.45">
      <c r="A271" s="1" t="s">
        <v>206</v>
      </c>
      <c r="C271" s="222" t="s">
        <v>205</v>
      </c>
      <c r="D271" s="234">
        <v>-74.774450000000002</v>
      </c>
      <c r="E271" s="232">
        <v>164.00443300000001</v>
      </c>
      <c r="F271" s="1" t="s">
        <v>14</v>
      </c>
      <c r="G271" s="231">
        <v>0.10434393193013884</v>
      </c>
      <c r="H271" s="223">
        <v>2015</v>
      </c>
      <c r="I271" s="46">
        <v>4.6914595251393396E-2</v>
      </c>
      <c r="J271" s="46">
        <v>7.0379660048097001E-6</v>
      </c>
      <c r="K271" s="46">
        <v>7.0379660048097001E-6</v>
      </c>
      <c r="L271" s="259">
        <v>9.1723821602091766E-6</v>
      </c>
    </row>
    <row r="272" spans="1:12" ht="16.25" customHeight="1" x14ac:dyDescent="0.45">
      <c r="A272" s="1" t="s">
        <v>206</v>
      </c>
      <c r="C272" s="222" t="s">
        <v>205</v>
      </c>
      <c r="D272" s="234">
        <v>-74.776949999999999</v>
      </c>
      <c r="E272" s="233">
        <v>164.04663300000001</v>
      </c>
      <c r="F272" s="1" t="s">
        <v>14</v>
      </c>
      <c r="G272" s="231">
        <v>7.9440845550630759E-2</v>
      </c>
      <c r="H272" s="223">
        <v>2015</v>
      </c>
      <c r="I272" s="46">
        <v>4.6914595251393396E-2</v>
      </c>
      <c r="J272" s="46">
        <v>7.0379660048097001E-6</v>
      </c>
      <c r="K272" s="46">
        <v>7.0379660048097001E-6</v>
      </c>
      <c r="L272" s="259">
        <v>9.1723821602091766E-6</v>
      </c>
    </row>
    <row r="273" spans="1:12" ht="16.25" customHeight="1" x14ac:dyDescent="0.45">
      <c r="A273" s="1" t="s">
        <v>207</v>
      </c>
      <c r="C273" s="217" t="s">
        <v>208</v>
      </c>
      <c r="D273" s="235">
        <v>42.166609000000001</v>
      </c>
      <c r="E273" s="235">
        <v>11.725922000000001</v>
      </c>
      <c r="F273" s="1" t="s">
        <v>14</v>
      </c>
      <c r="H273" s="223">
        <v>2017</v>
      </c>
      <c r="I273" s="46">
        <v>767.03783335549895</v>
      </c>
      <c r="J273" s="46">
        <v>2.8130659623361472E-2</v>
      </c>
      <c r="K273" s="46">
        <v>2.6667265570191969E-2</v>
      </c>
      <c r="L273" s="259">
        <v>3.1734314684628694E-2</v>
      </c>
    </row>
    <row r="274" spans="1:12" ht="16.25" customHeight="1" x14ac:dyDescent="0.45">
      <c r="A274" s="1" t="s">
        <v>207</v>
      </c>
      <c r="C274" s="217" t="s">
        <v>208</v>
      </c>
      <c r="D274" s="236">
        <v>42.161991999999998</v>
      </c>
      <c r="E274" s="236">
        <v>11.716246999999999</v>
      </c>
      <c r="F274" s="1" t="s">
        <v>14</v>
      </c>
      <c r="H274" s="223">
        <v>2017</v>
      </c>
      <c r="I274" s="46">
        <v>486.35521925695554</v>
      </c>
      <c r="J274" s="46">
        <v>1.7836790486737038E-2</v>
      </c>
      <c r="K274" s="46">
        <v>1.6908897096557008E-2</v>
      </c>
      <c r="L274" s="259">
        <v>2.01217578915153E-2</v>
      </c>
    </row>
    <row r="275" spans="1:12" ht="16.25" customHeight="1" x14ac:dyDescent="0.45">
      <c r="A275" s="1" t="s">
        <v>207</v>
      </c>
      <c r="C275" s="217" t="s">
        <v>208</v>
      </c>
      <c r="D275" s="235">
        <v>42.157035999999998</v>
      </c>
      <c r="E275" s="235">
        <v>11.699755</v>
      </c>
      <c r="F275" s="1" t="s">
        <v>14</v>
      </c>
      <c r="H275" s="223">
        <v>2017</v>
      </c>
      <c r="I275" s="46">
        <v>406.50585490133597</v>
      </c>
      <c r="J275" s="46">
        <v>1.4908362197869769E-2</v>
      </c>
      <c r="K275" s="46">
        <v>1.4132809513540191E-2</v>
      </c>
      <c r="L275" s="259">
        <v>1.6818185700371E-2</v>
      </c>
    </row>
    <row r="276" spans="1:12" ht="16.25" customHeight="1" x14ac:dyDescent="0.45">
      <c r="A276" s="1" t="s">
        <v>207</v>
      </c>
      <c r="C276" s="217" t="s">
        <v>208</v>
      </c>
      <c r="D276" s="236">
        <v>42.077109999999998</v>
      </c>
      <c r="E276" s="236">
        <v>11.801812</v>
      </c>
      <c r="F276" s="1" t="s">
        <v>14</v>
      </c>
      <c r="H276" s="223">
        <v>2017</v>
      </c>
      <c r="I276" s="46">
        <v>179.05615037320825</v>
      </c>
      <c r="J276" s="46">
        <v>6.5667785871569477E-3</v>
      </c>
      <c r="K276" s="46">
        <v>6.8153645512724599E-3</v>
      </c>
      <c r="L276" s="259">
        <v>8.110352476569516E-3</v>
      </c>
    </row>
    <row r="277" spans="1:12" ht="16.25" customHeight="1" x14ac:dyDescent="0.45">
      <c r="A277" s="1" t="s">
        <v>207</v>
      </c>
      <c r="C277" s="217" t="s">
        <v>208</v>
      </c>
      <c r="D277" s="235">
        <v>42.073971</v>
      </c>
      <c r="E277" s="235">
        <v>11.793429</v>
      </c>
      <c r="F277" s="1" t="s">
        <v>14</v>
      </c>
      <c r="H277" s="223">
        <v>2017</v>
      </c>
      <c r="I277" s="46">
        <v>791.23461043296106</v>
      </c>
      <c r="J277" s="46">
        <v>2.9018062135139529E-2</v>
      </c>
      <c r="K277" s="46">
        <v>3.0116543354947227E-2</v>
      </c>
      <c r="L277" s="259">
        <v>3.5838989997813944E-2</v>
      </c>
    </row>
    <row r="278" spans="1:12" ht="16.25" customHeight="1" x14ac:dyDescent="0.45">
      <c r="A278" s="1" t="s">
        <v>207</v>
      </c>
      <c r="C278" s="217" t="s">
        <v>208</v>
      </c>
      <c r="D278" s="235">
        <v>42.069118000000003</v>
      </c>
      <c r="E278" s="237">
        <v>11.782688</v>
      </c>
      <c r="F278" s="1" t="s">
        <v>14</v>
      </c>
      <c r="H278" s="223">
        <v>2017</v>
      </c>
      <c r="I278" s="46">
        <v>629.11620401397283</v>
      </c>
      <c r="J278" s="46">
        <v>2.3072465306227061E-2</v>
      </c>
      <c r="K278" s="46">
        <v>2.7701228286418175E-2</v>
      </c>
      <c r="L278" s="259">
        <v>3.2964740733468598E-2</v>
      </c>
    </row>
    <row r="279" spans="1:12" ht="16.25" customHeight="1" x14ac:dyDescent="0.45">
      <c r="A279" s="1" t="s">
        <v>207</v>
      </c>
      <c r="C279" s="217" t="s">
        <v>208</v>
      </c>
      <c r="D279" s="235">
        <v>42.037565999999998</v>
      </c>
      <c r="E279" s="235">
        <v>11.895206</v>
      </c>
      <c r="F279" s="1" t="s">
        <v>14</v>
      </c>
      <c r="H279" s="223">
        <v>2017</v>
      </c>
      <c r="I279" s="46">
        <v>706.54589066184769</v>
      </c>
      <c r="J279" s="46">
        <v>2.591215334391659E-2</v>
      </c>
      <c r="K279" s="46">
        <v>2.6155062884576481E-2</v>
      </c>
      <c r="L279" s="259">
        <v>3.1124788328623049E-2</v>
      </c>
    </row>
    <row r="280" spans="1:12" ht="16.25" customHeight="1" x14ac:dyDescent="0.45">
      <c r="A280" s="1" t="s">
        <v>207</v>
      </c>
      <c r="C280" s="217" t="s">
        <v>208</v>
      </c>
      <c r="D280" s="235">
        <v>42.019134000000001</v>
      </c>
      <c r="E280" s="235">
        <v>11.866828</v>
      </c>
      <c r="F280" s="1" t="s">
        <v>14</v>
      </c>
      <c r="H280" s="223">
        <v>2017</v>
      </c>
      <c r="I280" s="46">
        <v>418.60424344006861</v>
      </c>
      <c r="J280" s="46">
        <v>1.5352063453758853E-2</v>
      </c>
      <c r="K280" s="46">
        <v>1.5495979037779951E-2</v>
      </c>
      <c r="L280" s="259">
        <v>1.8440371167300702E-2</v>
      </c>
    </row>
    <row r="281" spans="1:12" ht="16.25" customHeight="1" x14ac:dyDescent="0.45">
      <c r="A281" s="1" t="s">
        <v>207</v>
      </c>
      <c r="C281" s="217" t="s">
        <v>208</v>
      </c>
      <c r="D281" s="235">
        <v>42.008094999999997</v>
      </c>
      <c r="E281" s="235">
        <v>11.847958</v>
      </c>
      <c r="F281" s="1" t="s">
        <v>14</v>
      </c>
      <c r="H281" s="223">
        <v>2017</v>
      </c>
      <c r="I281" s="46">
        <v>266.16454785206673</v>
      </c>
      <c r="J281" s="46">
        <v>9.7614276295576504E-3</v>
      </c>
      <c r="K281" s="46">
        <v>9.8529346482993906E-3</v>
      </c>
      <c r="L281" s="259">
        <v>1.1725091493659405E-2</v>
      </c>
    </row>
    <row r="282" spans="1:12" ht="16.25" customHeight="1" x14ac:dyDescent="0.45">
      <c r="A282" s="1" t="s">
        <v>207</v>
      </c>
      <c r="C282" s="217" t="s">
        <v>208</v>
      </c>
      <c r="D282" s="235">
        <v>42.166609000000001</v>
      </c>
      <c r="E282" s="235">
        <v>11.725922000000001</v>
      </c>
      <c r="F282" s="1" t="s">
        <v>8</v>
      </c>
      <c r="H282" s="223">
        <v>2017</v>
      </c>
      <c r="I282" s="46">
        <v>3.6015491477388992</v>
      </c>
      <c r="J282" s="46">
        <v>1.320846883766354E-4</v>
      </c>
      <c r="K282" s="46">
        <v>1.2521346850219645E-4</v>
      </c>
      <c r="L282" s="259">
        <v>1.4900528896536353E-4</v>
      </c>
    </row>
    <row r="283" spans="1:12" ht="16.25" customHeight="1" x14ac:dyDescent="0.45">
      <c r="A283" s="1" t="s">
        <v>207</v>
      </c>
      <c r="C283" s="217" t="s">
        <v>208</v>
      </c>
      <c r="D283" s="236">
        <v>42.161991999999998</v>
      </c>
      <c r="E283" s="236">
        <v>11.716246999999999</v>
      </c>
      <c r="F283" s="1" t="s">
        <v>8</v>
      </c>
      <c r="H283" s="223">
        <v>2017</v>
      </c>
      <c r="I283" s="46">
        <v>2.6108916700832023</v>
      </c>
      <c r="J283" s="46">
        <v>9.5752910339874149E-5</v>
      </c>
      <c r="K283" s="46">
        <v>9.0771717526013529E-5</v>
      </c>
      <c r="L283" s="259">
        <v>1.080192583245048E-4</v>
      </c>
    </row>
    <row r="284" spans="1:12" ht="16.25" customHeight="1" x14ac:dyDescent="0.45">
      <c r="A284" s="1" t="s">
        <v>207</v>
      </c>
      <c r="C284" s="217" t="s">
        <v>208</v>
      </c>
      <c r="D284" s="235">
        <v>42.157035999999998</v>
      </c>
      <c r="E284" s="235">
        <v>11.699755</v>
      </c>
      <c r="F284" s="1" t="s">
        <v>8</v>
      </c>
      <c r="H284" s="223">
        <v>2017</v>
      </c>
      <c r="I284" s="46">
        <v>0.82400481786314017</v>
      </c>
      <c r="J284" s="46">
        <v>3.021989014272631E-5</v>
      </c>
      <c r="K284" s="46">
        <v>2.8647811559628448E-5</v>
      </c>
      <c r="L284" s="259">
        <v>3.4091184364826062E-5</v>
      </c>
    </row>
    <row r="285" spans="1:12" ht="16.25" customHeight="1" x14ac:dyDescent="0.45">
      <c r="A285" s="1" t="s">
        <v>207</v>
      </c>
      <c r="C285" s="217" t="s">
        <v>208</v>
      </c>
      <c r="D285" s="236">
        <v>42.077109999999998</v>
      </c>
      <c r="E285" s="236">
        <v>11.801812</v>
      </c>
      <c r="F285" s="1" t="s">
        <v>8</v>
      </c>
      <c r="H285" s="223">
        <v>2017</v>
      </c>
      <c r="I285" s="46">
        <v>1.083242288651546</v>
      </c>
      <c r="J285" s="46">
        <v>3.9727271311224546E-5</v>
      </c>
      <c r="K285" s="46">
        <v>4.1231150558789454E-5</v>
      </c>
      <c r="L285" s="259">
        <v>4.9065484543134937E-5</v>
      </c>
    </row>
    <row r="286" spans="1:12" ht="16.25" customHeight="1" x14ac:dyDescent="0.45">
      <c r="A286" s="1" t="s">
        <v>207</v>
      </c>
      <c r="C286" s="217" t="s">
        <v>208</v>
      </c>
      <c r="D286" s="235">
        <v>42.073971</v>
      </c>
      <c r="E286" s="235">
        <v>11.793429</v>
      </c>
      <c r="F286" s="1" t="s">
        <v>8</v>
      </c>
      <c r="H286" s="223">
        <v>2017</v>
      </c>
      <c r="I286" s="46">
        <v>2.3609126803943896</v>
      </c>
      <c r="J286" s="46">
        <v>8.6585078498822526E-5</v>
      </c>
      <c r="K286" s="46">
        <v>8.9862764038387057E-5</v>
      </c>
      <c r="L286" s="259">
        <v>1.0693759451708871E-4</v>
      </c>
    </row>
    <row r="287" spans="1:12" ht="16.25" customHeight="1" x14ac:dyDescent="0.45">
      <c r="A287" s="1" t="s">
        <v>207</v>
      </c>
      <c r="C287" s="217" t="s">
        <v>208</v>
      </c>
      <c r="D287" s="235">
        <v>42.069118000000003</v>
      </c>
      <c r="E287" s="235">
        <v>11.895206</v>
      </c>
      <c r="F287" s="1" t="s">
        <v>8</v>
      </c>
      <c r="H287" s="223">
        <v>2017</v>
      </c>
      <c r="I287" s="46">
        <v>2.1664845773030885</v>
      </c>
      <c r="J287" s="46">
        <v>7.9454542622448969E-5</v>
      </c>
      <c r="K287" s="46">
        <v>9.5394592401158525E-5</v>
      </c>
      <c r="L287" s="259">
        <v>1.1352052599851393E-4</v>
      </c>
    </row>
    <row r="288" spans="1:12" ht="16.25" customHeight="1" x14ac:dyDescent="0.45">
      <c r="A288" s="1" t="s">
        <v>207</v>
      </c>
      <c r="C288" s="217" t="s">
        <v>208</v>
      </c>
      <c r="D288" s="235">
        <v>42.037565999999998</v>
      </c>
      <c r="E288" s="235">
        <v>11.895206</v>
      </c>
      <c r="F288" s="1" t="s">
        <v>8</v>
      </c>
      <c r="H288" s="223">
        <v>2017</v>
      </c>
      <c r="I288" s="46">
        <v>1.083242288651546</v>
      </c>
      <c r="J288" s="46">
        <v>3.9727271311224546E-5</v>
      </c>
      <c r="K288" s="46">
        <v>4.0099688574189919E-5</v>
      </c>
      <c r="L288" s="259">
        <v>4.771903338268634E-5</v>
      </c>
    </row>
    <row r="289" spans="1:12" ht="16.25" customHeight="1" x14ac:dyDescent="0.45">
      <c r="A289" s="1" t="s">
        <v>207</v>
      </c>
      <c r="C289" s="217" t="s">
        <v>208</v>
      </c>
      <c r="D289" s="235">
        <v>42.019134000000001</v>
      </c>
      <c r="E289" s="235">
        <v>11.866828</v>
      </c>
      <c r="F289" s="1" t="s">
        <v>8</v>
      </c>
      <c r="H289" s="223">
        <v>2017</v>
      </c>
      <c r="I289" s="46">
        <v>1.0276914020540306</v>
      </c>
      <c r="J289" s="46">
        <v>3.7689975346546364E-5</v>
      </c>
      <c r="K289" s="46">
        <v>3.8043294288334026E-5</v>
      </c>
      <c r="L289" s="259">
        <v>4.5271903465625501E-5</v>
      </c>
    </row>
    <row r="290" spans="1:12" ht="16.25" customHeight="1" x14ac:dyDescent="0.45">
      <c r="A290" s="1" t="s">
        <v>207</v>
      </c>
      <c r="C290" s="217" t="s">
        <v>208</v>
      </c>
      <c r="D290" s="235">
        <v>42.008094999999997</v>
      </c>
      <c r="E290" s="235">
        <v>11.847958</v>
      </c>
      <c r="F290" s="1" t="s">
        <v>8</v>
      </c>
      <c r="H290" s="223">
        <v>2017</v>
      </c>
      <c r="I290" s="46">
        <v>0.58328430927390928</v>
      </c>
      <c r="J290" s="46">
        <v>2.139160762912091E-5</v>
      </c>
      <c r="K290" s="46">
        <v>2.1592140001486877E-5</v>
      </c>
      <c r="L290" s="259">
        <v>2.5694864129138794E-5</v>
      </c>
    </row>
    <row r="291" spans="1:12" ht="16.25" customHeight="1" x14ac:dyDescent="0.45">
      <c r="A291" s="1" t="s">
        <v>209</v>
      </c>
      <c r="C291" s="217" t="s">
        <v>210</v>
      </c>
      <c r="D291" s="238">
        <v>42.436737999999998</v>
      </c>
      <c r="E291" s="238">
        <v>18.762041</v>
      </c>
      <c r="F291" s="1" t="s">
        <v>8</v>
      </c>
      <c r="G291" s="14" t="s">
        <v>231</v>
      </c>
      <c r="H291" s="223">
        <v>2021</v>
      </c>
      <c r="I291" s="46">
        <v>1.8354135796079201</v>
      </c>
      <c r="J291" s="46">
        <v>9.0584739213545517E-5</v>
      </c>
      <c r="K291" s="46">
        <v>1.2439313172967823E-4</v>
      </c>
      <c r="L291" s="259">
        <v>1.2439313172967823E-4</v>
      </c>
    </row>
    <row r="292" spans="1:12" ht="16.25" customHeight="1" x14ac:dyDescent="0.45">
      <c r="A292" s="1" t="s">
        <v>209</v>
      </c>
      <c r="C292" s="217" t="s">
        <v>210</v>
      </c>
      <c r="D292" s="238">
        <v>42.486973999999996</v>
      </c>
      <c r="E292" s="238">
        <v>18.753844000000001</v>
      </c>
      <c r="F292" s="1" t="s">
        <v>8</v>
      </c>
      <c r="G292" s="14" t="s">
        <v>231</v>
      </c>
      <c r="H292" s="223">
        <v>2021</v>
      </c>
      <c r="I292" s="46">
        <v>1.0845625697683177</v>
      </c>
      <c r="J292" s="46">
        <v>5.352734589891333E-5</v>
      </c>
      <c r="K292" s="46">
        <v>7.3505032385719034E-5</v>
      </c>
      <c r="L292" s="259">
        <v>7.3505032385719047E-5</v>
      </c>
    </row>
    <row r="293" spans="1:12" ht="16.25" customHeight="1" x14ac:dyDescent="0.45">
      <c r="A293" s="1" t="s">
        <v>209</v>
      </c>
      <c r="C293" s="217" t="s">
        <v>210</v>
      </c>
      <c r="D293" s="238">
        <v>42.457092000000003</v>
      </c>
      <c r="E293" s="238">
        <v>18.674192999999999</v>
      </c>
      <c r="F293" s="1" t="s">
        <v>8</v>
      </c>
      <c r="G293" s="14" t="s">
        <v>231</v>
      </c>
      <c r="H293" s="223">
        <v>2021</v>
      </c>
      <c r="I293" s="46">
        <v>0.58399522987524777</v>
      </c>
      <c r="J293" s="46">
        <v>2.8822417022491784E-5</v>
      </c>
      <c r="K293" s="46">
        <v>3.9579632823079469E-5</v>
      </c>
      <c r="L293" s="259">
        <v>3.9579632823079469E-5</v>
      </c>
    </row>
    <row r="294" spans="1:12" ht="16.25" customHeight="1" x14ac:dyDescent="0.45">
      <c r="A294" s="1" t="s">
        <v>209</v>
      </c>
      <c r="C294" s="217" t="s">
        <v>210</v>
      </c>
      <c r="D294" s="238">
        <v>42.437744000000002</v>
      </c>
      <c r="E294" s="238">
        <v>18.677641000000001</v>
      </c>
      <c r="F294" s="1" t="s">
        <v>8</v>
      </c>
      <c r="G294" s="14" t="s">
        <v>231</v>
      </c>
      <c r="H294" s="223">
        <v>2021</v>
      </c>
      <c r="I294" s="46">
        <v>1.6685577996435652</v>
      </c>
      <c r="J294" s="46">
        <v>8.2349762921405095E-5</v>
      </c>
      <c r="K294" s="46">
        <v>1.1308466520879849E-4</v>
      </c>
      <c r="L294" s="259">
        <v>1.1308466520879852E-4</v>
      </c>
    </row>
    <row r="295" spans="1:12" ht="16.25" customHeight="1" x14ac:dyDescent="0.45">
      <c r="A295" s="1" t="s">
        <v>209</v>
      </c>
      <c r="C295" s="217" t="s">
        <v>210</v>
      </c>
      <c r="D295" s="238">
        <v>42.446168</v>
      </c>
      <c r="E295" s="238">
        <v>18.658379</v>
      </c>
      <c r="F295" s="1" t="s">
        <v>8</v>
      </c>
      <c r="G295" s="14" t="s">
        <v>231</v>
      </c>
      <c r="H295" s="223">
        <v>2021</v>
      </c>
      <c r="I295" s="46">
        <v>2.2525530295188116</v>
      </c>
      <c r="J295" s="46">
        <v>1.1117217994389685E-4</v>
      </c>
      <c r="K295" s="46">
        <v>1.5118804988735403E-4</v>
      </c>
      <c r="L295" s="259">
        <v>1.5118804988735406E-4</v>
      </c>
    </row>
    <row r="296" spans="1:12" ht="16.25" customHeight="1" x14ac:dyDescent="0.45">
      <c r="A296" s="1" t="s">
        <v>209</v>
      </c>
      <c r="C296" s="217" t="s">
        <v>210</v>
      </c>
      <c r="D296" s="238">
        <v>42.446485000000003</v>
      </c>
      <c r="E296" s="238">
        <v>18.532893999999999</v>
      </c>
      <c r="F296" s="1" t="s">
        <v>8</v>
      </c>
      <c r="G296" s="14" t="s">
        <v>231</v>
      </c>
      <c r="H296" s="223">
        <v>2021</v>
      </c>
      <c r="I296" s="46">
        <v>1.4599880746881193</v>
      </c>
      <c r="J296" s="46">
        <v>7.2056042556229444E-5</v>
      </c>
      <c r="K296" s="46">
        <v>9.7992254556618372E-5</v>
      </c>
      <c r="L296" s="259">
        <v>9.7992254556618385E-5</v>
      </c>
    </row>
    <row r="297" spans="1:12" ht="16.25" customHeight="1" x14ac:dyDescent="0.45">
      <c r="A297" s="1" t="s">
        <v>209</v>
      </c>
      <c r="C297" s="217" t="s">
        <v>210</v>
      </c>
      <c r="D297" s="238">
        <v>42.397888000000002</v>
      </c>
      <c r="E297" s="238">
        <v>18.566368000000001</v>
      </c>
      <c r="F297" s="1" t="s">
        <v>8</v>
      </c>
      <c r="G297" s="14" t="s">
        <v>231</v>
      </c>
      <c r="H297" s="223">
        <v>2021</v>
      </c>
      <c r="I297" s="46">
        <v>0.58399522987524777</v>
      </c>
      <c r="J297" s="46">
        <v>2.8822417022491784E-5</v>
      </c>
      <c r="K297" s="46">
        <v>3.9196901822647357E-5</v>
      </c>
      <c r="L297" s="259">
        <v>3.9196901822647357E-5</v>
      </c>
    </row>
    <row r="298" spans="1:12" ht="16.25" customHeight="1" x14ac:dyDescent="0.45">
      <c r="A298" s="1" t="s">
        <v>209</v>
      </c>
      <c r="C298" s="217" t="s">
        <v>210</v>
      </c>
      <c r="D298" s="238">
        <v>42.262911000000003</v>
      </c>
      <c r="E298" s="238">
        <v>18.833523</v>
      </c>
      <c r="F298" s="1" t="s">
        <v>8</v>
      </c>
      <c r="G298" s="14" t="s">
        <v>231</v>
      </c>
      <c r="H298" s="223">
        <v>2021</v>
      </c>
      <c r="I298" s="46">
        <v>1.5017020196792079</v>
      </c>
      <c r="J298" s="46">
        <v>7.4114786629264563E-5</v>
      </c>
      <c r="K298" s="46">
        <v>1.0283555798290531E-4</v>
      </c>
      <c r="L298" s="259">
        <v>1.0283555798290532E-4</v>
      </c>
    </row>
    <row r="299" spans="1:12" ht="16.25" customHeight="1" x14ac:dyDescent="0.45">
      <c r="A299" s="1" t="s">
        <v>209</v>
      </c>
      <c r="C299" s="217" t="s">
        <v>210</v>
      </c>
      <c r="D299" s="238">
        <v>42.104562000000001</v>
      </c>
      <c r="E299" s="238">
        <v>19.057053</v>
      </c>
      <c r="F299" s="1" t="s">
        <v>8</v>
      </c>
      <c r="G299" s="14" t="s">
        <v>231</v>
      </c>
      <c r="H299" s="223">
        <v>2021</v>
      </c>
      <c r="I299" s="46">
        <v>0.9177067898039607</v>
      </c>
      <c r="J299" s="46">
        <v>4.5292369606772799E-5</v>
      </c>
      <c r="K299" s="46">
        <v>6.023320396495068E-5</v>
      </c>
      <c r="L299" s="259">
        <v>6.0233203964950687E-5</v>
      </c>
    </row>
    <row r="300" spans="1:12" ht="16.25" customHeight="1" x14ac:dyDescent="0.45">
      <c r="A300" s="1" t="s">
        <v>209</v>
      </c>
      <c r="C300" s="217" t="s">
        <v>210</v>
      </c>
      <c r="D300" s="238">
        <v>41.863053999999998</v>
      </c>
      <c r="E300" s="238">
        <v>19.323558999999999</v>
      </c>
      <c r="F300" s="1" t="s">
        <v>8</v>
      </c>
      <c r="G300" s="14" t="s">
        <v>231</v>
      </c>
      <c r="H300" s="223">
        <v>2021</v>
      </c>
      <c r="I300" s="46">
        <v>0.9177067898039607</v>
      </c>
      <c r="J300" s="46">
        <v>4.5292369606772799E-5</v>
      </c>
      <c r="K300" s="46">
        <v>5.7483650899720819E-5</v>
      </c>
      <c r="L300" s="259">
        <v>5.7483650899720819E-5</v>
      </c>
    </row>
    <row r="301" spans="1:12" ht="16.25" customHeight="1" x14ac:dyDescent="0.45">
      <c r="A301" s="1" t="s">
        <v>209</v>
      </c>
      <c r="C301" s="217" t="s">
        <v>210</v>
      </c>
      <c r="D301" s="238">
        <v>42.436737999999998</v>
      </c>
      <c r="E301" s="238">
        <v>18.762041</v>
      </c>
      <c r="F301" s="1" t="s">
        <v>14</v>
      </c>
      <c r="G301" s="14" t="s">
        <v>232</v>
      </c>
      <c r="H301" s="223">
        <v>2021</v>
      </c>
      <c r="I301" s="46">
        <v>281.08250601409662</v>
      </c>
      <c r="J301" s="46">
        <v>1.3872505787069483E-2</v>
      </c>
      <c r="K301" s="46">
        <v>1.9050056938659431E-2</v>
      </c>
      <c r="L301" s="259">
        <v>1.9050056938659427E-2</v>
      </c>
    </row>
    <row r="302" spans="1:12" ht="16.25" customHeight="1" x14ac:dyDescent="0.45">
      <c r="A302" s="1" t="s">
        <v>209</v>
      </c>
      <c r="C302" s="217" t="s">
        <v>210</v>
      </c>
      <c r="D302" s="238">
        <v>42.486973999999996</v>
      </c>
      <c r="E302" s="238">
        <v>18.753844000000001</v>
      </c>
      <c r="F302" s="1" t="s">
        <v>14</v>
      </c>
      <c r="G302" s="14" t="s">
        <v>232</v>
      </c>
      <c r="H302" s="223">
        <v>2021</v>
      </c>
      <c r="I302" s="46">
        <v>166.09420809923884</v>
      </c>
      <c r="J302" s="46">
        <v>8.1973897832683263E-3</v>
      </c>
      <c r="K302" s="46">
        <v>1.1256851827389657E-2</v>
      </c>
      <c r="L302" s="259">
        <v>1.1256851827389657E-2</v>
      </c>
    </row>
    <row r="303" spans="1:12" ht="16.25" customHeight="1" x14ac:dyDescent="0.45">
      <c r="A303" s="1" t="s">
        <v>209</v>
      </c>
      <c r="C303" s="217" t="s">
        <v>210</v>
      </c>
      <c r="D303" s="238">
        <v>42.457092000000003</v>
      </c>
      <c r="E303" s="238">
        <v>18.674192999999999</v>
      </c>
      <c r="F303" s="1" t="s">
        <v>14</v>
      </c>
      <c r="G303" s="14" t="s">
        <v>232</v>
      </c>
      <c r="H303" s="223">
        <v>2021</v>
      </c>
      <c r="I303" s="46">
        <v>89.435342822667039</v>
      </c>
      <c r="J303" s="46">
        <v>4.4139791140675603E-3</v>
      </c>
      <c r="K303" s="46">
        <v>6.0613817532098142E-3</v>
      </c>
      <c r="L303" s="259">
        <v>6.0613817532098142E-3</v>
      </c>
    </row>
    <row r="304" spans="1:12" ht="16.25" customHeight="1" x14ac:dyDescent="0.45">
      <c r="A304" s="1" t="s">
        <v>209</v>
      </c>
      <c r="C304" s="217" t="s">
        <v>210</v>
      </c>
      <c r="D304" s="238">
        <v>42.437744000000002</v>
      </c>
      <c r="E304" s="238">
        <v>18.677641000000001</v>
      </c>
      <c r="F304" s="1" t="s">
        <v>14</v>
      </c>
      <c r="G304" s="14" t="s">
        <v>232</v>
      </c>
      <c r="H304" s="223">
        <v>2021</v>
      </c>
      <c r="I304" s="46">
        <v>255.52955092190584</v>
      </c>
      <c r="J304" s="46">
        <v>1.2611368897335884E-2</v>
      </c>
      <c r="K304" s="46">
        <v>1.7318233580599467E-2</v>
      </c>
      <c r="L304" s="259">
        <v>1.7318233580599467E-2</v>
      </c>
    </row>
    <row r="305" spans="1:12" ht="16.25" customHeight="1" x14ac:dyDescent="0.45">
      <c r="A305" s="1" t="s">
        <v>209</v>
      </c>
      <c r="C305" s="217" t="s">
        <v>210</v>
      </c>
      <c r="D305" s="238">
        <v>42.446168</v>
      </c>
      <c r="E305" s="238">
        <v>18.658379</v>
      </c>
      <c r="F305" s="1" t="s">
        <v>14</v>
      </c>
      <c r="G305" s="14" t="s">
        <v>232</v>
      </c>
      <c r="H305" s="223">
        <v>2021</v>
      </c>
      <c r="I305" s="46">
        <v>344.96489374457309</v>
      </c>
      <c r="J305" s="46">
        <v>1.7025348011403454E-2</v>
      </c>
      <c r="K305" s="46">
        <v>2.3153536845248658E-2</v>
      </c>
      <c r="L305" s="259">
        <v>2.3153536845248662E-2</v>
      </c>
    </row>
    <row r="306" spans="1:12" ht="16.25" customHeight="1" x14ac:dyDescent="0.45">
      <c r="A306" s="1" t="s">
        <v>209</v>
      </c>
      <c r="C306" s="217" t="s">
        <v>210</v>
      </c>
      <c r="D306" s="238">
        <v>42.446485000000003</v>
      </c>
      <c r="E306" s="238">
        <v>18.532893999999999</v>
      </c>
      <c r="F306" s="1" t="s">
        <v>14</v>
      </c>
      <c r="G306" s="14" t="s">
        <v>232</v>
      </c>
      <c r="H306" s="223">
        <v>2021</v>
      </c>
      <c r="I306" s="46">
        <v>223.58835705666755</v>
      </c>
      <c r="J306" s="46">
        <v>1.1034947785168893E-2</v>
      </c>
      <c r="K306" s="46">
        <v>1.5006922029327819E-2</v>
      </c>
      <c r="L306" s="259">
        <v>1.500692202932782E-2</v>
      </c>
    </row>
    <row r="307" spans="1:12" ht="16.25" customHeight="1" x14ac:dyDescent="0.45">
      <c r="A307" s="1" t="s">
        <v>209</v>
      </c>
      <c r="C307" s="217" t="s">
        <v>210</v>
      </c>
      <c r="D307" s="238">
        <v>42.397888000000002</v>
      </c>
      <c r="E307" s="238">
        <v>18.566368000000001</v>
      </c>
      <c r="F307" s="1" t="s">
        <v>14</v>
      </c>
      <c r="G307" s="14" t="s">
        <v>232</v>
      </c>
      <c r="H307" s="223">
        <v>2021</v>
      </c>
      <c r="I307" s="46">
        <v>89.435342822667039</v>
      </c>
      <c r="J307" s="46">
        <v>4.4139791140675603E-3</v>
      </c>
      <c r="K307" s="46">
        <v>6.0027688117311297E-3</v>
      </c>
      <c r="L307" s="259">
        <v>6.0027688117311306E-3</v>
      </c>
    </row>
    <row r="308" spans="1:12" ht="16.25" customHeight="1" x14ac:dyDescent="0.45">
      <c r="A308" s="1" t="s">
        <v>209</v>
      </c>
      <c r="C308" s="217" t="s">
        <v>210</v>
      </c>
      <c r="D308" s="238">
        <v>42.262911000000003</v>
      </c>
      <c r="E308" s="238">
        <v>18.833523</v>
      </c>
      <c r="F308" s="1" t="s">
        <v>14</v>
      </c>
      <c r="G308" s="14" t="s">
        <v>232</v>
      </c>
      <c r="H308" s="223">
        <v>2021</v>
      </c>
      <c r="I308" s="46">
        <v>229.97659582971531</v>
      </c>
      <c r="J308" s="46">
        <v>1.1350232007602299E-2</v>
      </c>
      <c r="K308" s="46">
        <v>1.5748644701303598E-2</v>
      </c>
      <c r="L308" s="259">
        <v>1.5748644701303598E-2</v>
      </c>
    </row>
    <row r="309" spans="1:12" ht="16.25" customHeight="1" x14ac:dyDescent="0.45">
      <c r="A309" s="1" t="s">
        <v>209</v>
      </c>
      <c r="C309" s="217" t="s">
        <v>210</v>
      </c>
      <c r="D309" s="238">
        <v>42.104562000000001</v>
      </c>
      <c r="E309" s="238">
        <v>19.057053</v>
      </c>
      <c r="F309" s="1" t="s">
        <v>14</v>
      </c>
      <c r="G309" s="14" t="s">
        <v>232</v>
      </c>
      <c r="H309" s="223">
        <v>2021</v>
      </c>
      <c r="I309" s="46">
        <v>140.54125300704831</v>
      </c>
      <c r="J309" s="46">
        <v>6.9362528935347414E-3</v>
      </c>
      <c r="K309" s="46">
        <v>9.2243514507194761E-3</v>
      </c>
      <c r="L309" s="259">
        <v>9.2243514507194761E-3</v>
      </c>
    </row>
    <row r="310" spans="1:12" ht="16.25" customHeight="1" x14ac:dyDescent="0.45">
      <c r="A310" s="1" t="s">
        <v>209</v>
      </c>
      <c r="C310" s="217" t="s">
        <v>210</v>
      </c>
      <c r="D310" s="238">
        <v>41.863053999999998</v>
      </c>
      <c r="E310" s="238">
        <v>19.323558999999999</v>
      </c>
      <c r="F310" s="1" t="s">
        <v>14</v>
      </c>
      <c r="G310" s="14" t="s">
        <v>232</v>
      </c>
      <c r="H310" s="223">
        <v>2021</v>
      </c>
      <c r="I310" s="46">
        <v>140.54125300704831</v>
      </c>
      <c r="J310" s="46">
        <v>6.9362528935347414E-3</v>
      </c>
      <c r="K310" s="46">
        <v>8.8032740027915567E-3</v>
      </c>
      <c r="L310" s="259">
        <v>8.8032740027915567E-3</v>
      </c>
    </row>
    <row r="311" spans="1:12" ht="16.25" customHeight="1" x14ac:dyDescent="0.45">
      <c r="A311" s="1" t="s">
        <v>233</v>
      </c>
      <c r="C311" s="217" t="s">
        <v>234</v>
      </c>
      <c r="D311" s="14">
        <v>10.6922</v>
      </c>
      <c r="E311" s="14">
        <v>92.67</v>
      </c>
      <c r="F311" s="1" t="s">
        <v>8</v>
      </c>
      <c r="G311" s="239" t="s">
        <v>141</v>
      </c>
      <c r="H311" s="223">
        <v>2017</v>
      </c>
      <c r="I311" s="46">
        <v>0.16049425341921719</v>
      </c>
      <c r="J311" s="46">
        <v>1.3581592878495556E-5</v>
      </c>
      <c r="K311" s="46">
        <v>1.2419474956646006E-5</v>
      </c>
      <c r="L311" s="259">
        <v>1.477930031688781E-5</v>
      </c>
    </row>
    <row r="312" spans="1:12" ht="16.25" customHeight="1" x14ac:dyDescent="0.45">
      <c r="A312" s="1" t="s">
        <v>233</v>
      </c>
      <c r="C312" s="217" t="s">
        <v>234</v>
      </c>
      <c r="D312" s="14">
        <v>10.0715</v>
      </c>
      <c r="E312" s="14">
        <v>92.736699999999999</v>
      </c>
      <c r="F312" s="1" t="s">
        <v>8</v>
      </c>
      <c r="G312" s="239" t="s">
        <v>141</v>
      </c>
      <c r="H312" s="223">
        <v>2017</v>
      </c>
      <c r="I312" s="46">
        <v>3.0867661890490498E-2</v>
      </c>
      <c r="J312" s="46">
        <v>2.6121310138914705E-6</v>
      </c>
      <c r="K312" s="46">
        <v>2.3886223067302696E-6</v>
      </c>
      <c r="L312" s="259">
        <v>2.8424846088918435E-6</v>
      </c>
    </row>
    <row r="313" spans="1:12" ht="16.25" customHeight="1" x14ac:dyDescent="0.45">
      <c r="A313" s="1" t="s">
        <v>233</v>
      </c>
      <c r="C313" s="217" t="s">
        <v>234</v>
      </c>
      <c r="D313" s="14">
        <v>10.1035</v>
      </c>
      <c r="E313" s="14">
        <v>92.633799999999994</v>
      </c>
      <c r="F313" s="1" t="s">
        <v>8</v>
      </c>
      <c r="G313" s="239" t="s">
        <v>141</v>
      </c>
      <c r="H313" s="223">
        <v>2017</v>
      </c>
      <c r="I313" s="46">
        <v>0.18511802928627494</v>
      </c>
      <c r="J313" s="46">
        <v>1.5665344114648275E-5</v>
      </c>
      <c r="K313" s="46">
        <v>1.5140124821847823E-5</v>
      </c>
      <c r="L313" s="259">
        <v>1.8016901065331759E-5</v>
      </c>
    </row>
    <row r="314" spans="1:12" ht="16.25" customHeight="1" x14ac:dyDescent="0.45">
      <c r="A314" s="1" t="s">
        <v>233</v>
      </c>
      <c r="C314" s="217" t="s">
        <v>234</v>
      </c>
      <c r="D314" s="14">
        <v>9.3170000000000002</v>
      </c>
      <c r="E314" s="14">
        <v>92.818299999999994</v>
      </c>
      <c r="F314" s="1" t="s">
        <v>8</v>
      </c>
      <c r="G314" s="239" t="s">
        <v>141</v>
      </c>
      <c r="H314" s="223">
        <v>2017</v>
      </c>
      <c r="I314" s="46">
        <v>2.4711717923726024E-2</v>
      </c>
      <c r="J314" s="46">
        <v>2.0911932048532865E-6</v>
      </c>
      <c r="K314" s="46">
        <v>2.0235476281794119E-6</v>
      </c>
      <c r="L314" s="259">
        <v>2.4080420635161957E-6</v>
      </c>
    </row>
    <row r="315" spans="1:12" ht="16.25" customHeight="1" x14ac:dyDescent="0.45">
      <c r="A315" s="1" t="s">
        <v>233</v>
      </c>
      <c r="C315" s="217" t="s">
        <v>234</v>
      </c>
      <c r="D315" s="14">
        <v>9.1003000000000007</v>
      </c>
      <c r="E315" s="14">
        <v>93.250299999999996</v>
      </c>
      <c r="F315" s="1" t="s">
        <v>8</v>
      </c>
      <c r="G315" s="239" t="s">
        <v>141</v>
      </c>
      <c r="H315" s="223">
        <v>2017</v>
      </c>
      <c r="I315" s="46">
        <v>3.0867661890490498E-2</v>
      </c>
      <c r="J315" s="46">
        <v>2.6121310138914705E-6</v>
      </c>
      <c r="K315" s="46">
        <v>2.5609285234799671E-6</v>
      </c>
      <c r="L315" s="259">
        <v>3.0475307427018565E-6</v>
      </c>
    </row>
    <row r="316" spans="1:12" ht="16.25" customHeight="1" x14ac:dyDescent="0.45">
      <c r="A316" s="1" t="s">
        <v>233</v>
      </c>
      <c r="C316" s="217" t="s">
        <v>234</v>
      </c>
      <c r="D316" s="14">
        <v>8.0024999999999995</v>
      </c>
      <c r="E316" s="14">
        <v>93.273799999999994</v>
      </c>
      <c r="F316" s="1" t="s">
        <v>8</v>
      </c>
      <c r="G316" s="239" t="s">
        <v>141</v>
      </c>
      <c r="H316" s="223">
        <v>2017</v>
      </c>
      <c r="I316" s="46">
        <v>0.10491487360500049</v>
      </c>
      <c r="J316" s="46">
        <v>8.8782686597507813E-6</v>
      </c>
      <c r="K316" s="46">
        <v>8.6811832635012918E-6</v>
      </c>
      <c r="L316" s="259">
        <v>1.0330695541083876E-5</v>
      </c>
    </row>
    <row r="317" spans="1:12" ht="16.25" customHeight="1" x14ac:dyDescent="0.45">
      <c r="A317" s="1" t="s">
        <v>233</v>
      </c>
      <c r="C317" s="217" t="s">
        <v>234</v>
      </c>
      <c r="D317" s="14">
        <v>7.9988000000000001</v>
      </c>
      <c r="E317" s="14">
        <v>94.257199999999997</v>
      </c>
      <c r="F317" s="1" t="s">
        <v>8</v>
      </c>
      <c r="G317" s="239" t="s">
        <v>141</v>
      </c>
      <c r="H317" s="223">
        <v>2017</v>
      </c>
      <c r="I317" s="46">
        <v>9.8758929638236043E-2</v>
      </c>
      <c r="J317" s="46">
        <v>8.3573308507126049E-6</v>
      </c>
      <c r="K317" s="46">
        <v>7.6422303431854544E-6</v>
      </c>
      <c r="L317" s="259">
        <v>9.0943310991041069E-6</v>
      </c>
    </row>
    <row r="318" spans="1:12" ht="16.25" customHeight="1" x14ac:dyDescent="0.45">
      <c r="A318" s="1" t="s">
        <v>233</v>
      </c>
      <c r="C318" s="217" t="s">
        <v>234</v>
      </c>
      <c r="D318" s="14">
        <v>8.1176999999999992</v>
      </c>
      <c r="E318" s="14">
        <v>93.217799999999997</v>
      </c>
      <c r="F318" s="1" t="s">
        <v>8</v>
      </c>
      <c r="G318" s="239" t="s">
        <v>141</v>
      </c>
      <c r="H318" s="223">
        <v>2017</v>
      </c>
      <c r="I318" s="46">
        <v>7.4047211714509995E-2</v>
      </c>
      <c r="J318" s="46">
        <v>6.2661376458593159E-6</v>
      </c>
      <c r="K318" s="46">
        <v>6.0905297615134022E-6</v>
      </c>
      <c r="L318" s="259">
        <v>7.2477917744969401E-6</v>
      </c>
    </row>
    <row r="319" spans="1:12" ht="16.25" customHeight="1" x14ac:dyDescent="0.45">
      <c r="A319" s="1" t="s">
        <v>233</v>
      </c>
      <c r="C319" s="217" t="s">
        <v>234</v>
      </c>
      <c r="D319" s="14">
        <v>7.2336999999999998</v>
      </c>
      <c r="E319" s="14">
        <v>95.643699999999995</v>
      </c>
      <c r="F319" s="1" t="s">
        <v>8</v>
      </c>
      <c r="G319" s="239" t="s">
        <v>141</v>
      </c>
      <c r="H319" s="223">
        <v>2017</v>
      </c>
      <c r="I319" s="46">
        <v>8.6359099648038978E-2</v>
      </c>
      <c r="J319" s="46">
        <v>7.3080132639356856E-6</v>
      </c>
      <c r="K319" s="46">
        <v>6.6826994159211124E-6</v>
      </c>
      <c r="L319" s="259">
        <v>7.952479628982758E-6</v>
      </c>
    </row>
    <row r="320" spans="1:12" ht="16.25" customHeight="1" x14ac:dyDescent="0.45">
      <c r="A320" s="1" t="s">
        <v>233</v>
      </c>
      <c r="C320" s="217" t="s">
        <v>234</v>
      </c>
      <c r="D320" s="14">
        <v>7.9992000000000001</v>
      </c>
      <c r="E320" s="14">
        <v>94.463499999999996</v>
      </c>
      <c r="F320" s="1" t="s">
        <v>8</v>
      </c>
      <c r="G320" s="239" t="s">
        <v>141</v>
      </c>
      <c r="H320" s="223">
        <v>2017</v>
      </c>
      <c r="I320" s="46">
        <v>0.20982974721000111</v>
      </c>
      <c r="J320" s="46">
        <v>1.7756537319501583E-5</v>
      </c>
      <c r="K320" s="46">
        <v>3.678454264945138E-5</v>
      </c>
      <c r="L320" s="259">
        <v>4.3773976334215957E-5</v>
      </c>
    </row>
    <row r="321" spans="1:12" ht="16.25" customHeight="1" x14ac:dyDescent="0.45">
      <c r="A321" s="1" t="s">
        <v>233</v>
      </c>
      <c r="C321" s="217" t="s">
        <v>234</v>
      </c>
      <c r="D321" s="14">
        <v>6.2080000000000002</v>
      </c>
      <c r="E321" s="14">
        <v>93.863500000000002</v>
      </c>
      <c r="F321" s="1" t="s">
        <v>8</v>
      </c>
      <c r="G321" s="239" t="s">
        <v>141</v>
      </c>
      <c r="H321" s="223">
        <v>2017</v>
      </c>
      <c r="I321" s="46">
        <v>0.12347064756196209</v>
      </c>
      <c r="J321" s="46">
        <v>1.0448524055565894E-5</v>
      </c>
      <c r="K321" s="46">
        <v>9.9988439975130759E-6</v>
      </c>
      <c r="L321" s="259">
        <v>1.1898725089169554E-5</v>
      </c>
    </row>
    <row r="322" spans="1:12" ht="16.25" customHeight="1" x14ac:dyDescent="0.45">
      <c r="A322" s="1" t="s">
        <v>233</v>
      </c>
      <c r="C322" s="217" t="s">
        <v>234</v>
      </c>
      <c r="D322" s="14">
        <v>7.2069999999999999</v>
      </c>
      <c r="E322" s="14">
        <v>94.479500000000002</v>
      </c>
      <c r="F322" s="1" t="s">
        <v>8</v>
      </c>
      <c r="G322" s="239" t="s">
        <v>141</v>
      </c>
      <c r="H322" s="223">
        <v>2017</v>
      </c>
      <c r="I322" s="46">
        <v>0.22829757911029436</v>
      </c>
      <c r="J322" s="46">
        <v>1.9319350746616124E-5</v>
      </c>
      <c r="K322" s="46">
        <v>1.7666277801344103E-5</v>
      </c>
      <c r="L322" s="259">
        <v>2.1023048560351072E-5</v>
      </c>
    </row>
    <row r="323" spans="1:12" ht="16.25" customHeight="1" x14ac:dyDescent="0.45">
      <c r="A323" s="1" t="s">
        <v>233</v>
      </c>
      <c r="C323" s="217" t="s">
        <v>234</v>
      </c>
      <c r="D323" s="14">
        <v>7.0510000000000002</v>
      </c>
      <c r="E323" s="14">
        <v>93.638499999999993</v>
      </c>
      <c r="F323" s="1" t="s">
        <v>8</v>
      </c>
      <c r="G323" s="239" t="s">
        <v>141</v>
      </c>
      <c r="H323" s="223">
        <v>2017</v>
      </c>
      <c r="I323" s="46">
        <v>0.33321245271529504</v>
      </c>
      <c r="J323" s="46">
        <v>2.8197619406366924E-5</v>
      </c>
      <c r="K323" s="46">
        <v>6.6814787545668424E-5</v>
      </c>
      <c r="L323" s="259">
        <v>7.951027029673774E-5</v>
      </c>
    </row>
    <row r="324" spans="1:12" ht="16.25" customHeight="1" x14ac:dyDescent="0.45">
      <c r="A324" s="1" t="s">
        <v>233</v>
      </c>
      <c r="C324" s="217" t="s">
        <v>234</v>
      </c>
      <c r="D324" s="14">
        <v>7.1356999999999999</v>
      </c>
      <c r="E324" s="14">
        <v>93.534300000000002</v>
      </c>
      <c r="F324" s="1" t="s">
        <v>8</v>
      </c>
      <c r="G324" s="239" t="s">
        <v>141</v>
      </c>
      <c r="H324" s="223">
        <v>2017</v>
      </c>
      <c r="I324" s="46">
        <v>1.2651344272267706</v>
      </c>
      <c r="J324" s="46">
        <v>1.0706016172604764E-4</v>
      </c>
      <c r="K324" s="46">
        <v>1.8514237573635515E-4</v>
      </c>
      <c r="L324" s="259">
        <v>2.2032129232044708E-4</v>
      </c>
    </row>
    <row r="325" spans="1:12" ht="16.25" customHeight="1" x14ac:dyDescent="0.45">
      <c r="A325" s="1" t="s">
        <v>233</v>
      </c>
      <c r="C325" s="217" t="s">
        <v>234</v>
      </c>
      <c r="D325" s="14">
        <v>7.2053000000000003</v>
      </c>
      <c r="E325" s="14">
        <v>77.168300000000002</v>
      </c>
      <c r="F325" s="1" t="s">
        <v>8</v>
      </c>
      <c r="G325" s="239" t="s">
        <v>141</v>
      </c>
      <c r="H325" s="223">
        <v>2017</v>
      </c>
      <c r="I325" s="46">
        <v>1.400916962722262</v>
      </c>
      <c r="J325" s="46">
        <v>1.206719614151913E-4</v>
      </c>
      <c r="K325" s="46">
        <v>1.1034658571884177E-4</v>
      </c>
      <c r="L325" s="259">
        <v>1.3131354867858207E-4</v>
      </c>
    </row>
    <row r="326" spans="1:12" ht="16.25" customHeight="1" x14ac:dyDescent="0.45">
      <c r="A326" s="1" t="s">
        <v>233</v>
      </c>
      <c r="C326" s="217" t="s">
        <v>234</v>
      </c>
      <c r="D326" s="14">
        <v>8.0068999999999999</v>
      </c>
      <c r="E326" s="14">
        <v>76.695499999999996</v>
      </c>
      <c r="F326" s="1" t="s">
        <v>8</v>
      </c>
      <c r="G326" s="239" t="s">
        <v>141</v>
      </c>
      <c r="H326" s="223">
        <v>2017</v>
      </c>
      <c r="I326" s="46">
        <v>2.3574627131007961</v>
      </c>
      <c r="J326" s="46">
        <v>2.0306674636892869E-4</v>
      </c>
      <c r="K326" s="46">
        <v>1.8569120673979866E-4</v>
      </c>
      <c r="L326" s="259">
        <v>2.2097440674367547E-4</v>
      </c>
    </row>
    <row r="327" spans="1:12" ht="16.25" customHeight="1" x14ac:dyDescent="0.45">
      <c r="A327" s="1" t="s">
        <v>233</v>
      </c>
      <c r="C327" s="217" t="s">
        <v>234</v>
      </c>
      <c r="D327" s="14">
        <v>9.9603999999999999</v>
      </c>
      <c r="E327" s="14">
        <v>75.594800000000006</v>
      </c>
      <c r="F327" s="1" t="s">
        <v>8</v>
      </c>
      <c r="G327" s="239" t="s">
        <v>141</v>
      </c>
      <c r="H327" s="223">
        <v>2017</v>
      </c>
      <c r="I327" s="46">
        <v>2.314283163276774</v>
      </c>
      <c r="J327" s="46">
        <v>7.8146173444439509E-5</v>
      </c>
      <c r="K327" s="46">
        <v>7.1459544748070689E-5</v>
      </c>
      <c r="L327" s="259">
        <v>8.5037578160633876E-5</v>
      </c>
    </row>
    <row r="328" spans="1:12" ht="16.25" customHeight="1" x14ac:dyDescent="0.45">
      <c r="A328" s="1" t="s">
        <v>233</v>
      </c>
      <c r="C328" s="217" t="s">
        <v>234</v>
      </c>
      <c r="D328" s="14">
        <v>11.002599999999999</v>
      </c>
      <c r="E328" s="14">
        <v>75.115799999999993</v>
      </c>
      <c r="F328" s="1" t="s">
        <v>8</v>
      </c>
      <c r="G328" s="239" t="s">
        <v>141</v>
      </c>
      <c r="H328" s="223">
        <v>2017</v>
      </c>
      <c r="I328" s="46">
        <v>0.67266879145402214</v>
      </c>
      <c r="J328" s="46">
        <v>2.0854862371611858E-5</v>
      </c>
      <c r="K328" s="46">
        <v>1.9070402364853016E-5</v>
      </c>
      <c r="L328" s="259">
        <v>2.2693970936607587E-5</v>
      </c>
    </row>
    <row r="329" spans="1:12" ht="16.25" customHeight="1" x14ac:dyDescent="0.45">
      <c r="A329" s="1" t="s">
        <v>233</v>
      </c>
      <c r="C329" s="217" t="s">
        <v>234</v>
      </c>
      <c r="D329" s="14">
        <v>11.995900000000001</v>
      </c>
      <c r="E329" s="14">
        <v>74.422799999999995</v>
      </c>
      <c r="F329" s="1" t="s">
        <v>8</v>
      </c>
      <c r="G329" s="239" t="s">
        <v>141</v>
      </c>
      <c r="H329" s="223">
        <v>2017</v>
      </c>
      <c r="I329" s="46">
        <v>0.36408011460578538</v>
      </c>
      <c r="J329" s="46">
        <v>1.0281414986358222E-5</v>
      </c>
      <c r="K329" s="46">
        <v>9.4016789550612067E-6</v>
      </c>
      <c r="L329" s="259">
        <v>1.1188092672585763E-5</v>
      </c>
    </row>
    <row r="330" spans="1:12" ht="16.25" customHeight="1" x14ac:dyDescent="0.45">
      <c r="A330" s="1" t="s">
        <v>233</v>
      </c>
      <c r="C330" s="217" t="s">
        <v>234</v>
      </c>
      <c r="D330" s="14">
        <v>12.9984</v>
      </c>
      <c r="E330" s="14">
        <v>73.896199999999993</v>
      </c>
      <c r="F330" s="1" t="s">
        <v>8</v>
      </c>
      <c r="G330" s="239" t="s">
        <v>141</v>
      </c>
      <c r="H330" s="223">
        <v>2017</v>
      </c>
      <c r="I330" s="46">
        <v>0.42581543838676678</v>
      </c>
      <c r="J330" s="46">
        <v>1.2024785353610281E-5</v>
      </c>
      <c r="K330" s="46">
        <v>1.0995876690919424E-5</v>
      </c>
      <c r="L330" s="259">
        <v>1.3085204038806841E-5</v>
      </c>
    </row>
    <row r="331" spans="1:12" ht="16.25" customHeight="1" x14ac:dyDescent="0.45">
      <c r="A331" s="1" t="s">
        <v>233</v>
      </c>
      <c r="C331" s="217" t="s">
        <v>234</v>
      </c>
      <c r="D331" s="14">
        <v>14.0007</v>
      </c>
      <c r="E331" s="14">
        <v>73.330100000000002</v>
      </c>
      <c r="F331" s="1" t="s">
        <v>8</v>
      </c>
      <c r="G331" s="239" t="s">
        <v>141</v>
      </c>
      <c r="H331" s="223">
        <v>2017</v>
      </c>
      <c r="I331" s="46">
        <v>0.24069740910049156</v>
      </c>
      <c r="J331" s="46">
        <v>6.7971576854257175E-6</v>
      </c>
      <c r="K331" s="46">
        <v>6.2155544202904684E-6</v>
      </c>
      <c r="L331" s="259">
        <v>7.3965723779872598E-6</v>
      </c>
    </row>
    <row r="332" spans="1:12" ht="16.25" customHeight="1" x14ac:dyDescent="0.45">
      <c r="A332" s="1" t="s">
        <v>233</v>
      </c>
      <c r="C332" s="217" t="s">
        <v>234</v>
      </c>
      <c r="D332" s="14">
        <v>15.000500000000001</v>
      </c>
      <c r="E332" s="14">
        <v>73.017300000000006</v>
      </c>
      <c r="F332" s="1" t="s">
        <v>8</v>
      </c>
      <c r="G332" s="239" t="s">
        <v>141</v>
      </c>
      <c r="H332" s="223">
        <v>2017</v>
      </c>
      <c r="I332" s="46">
        <v>0.22776992677028618</v>
      </c>
      <c r="J332" s="46">
        <v>6.4320929504028529E-6</v>
      </c>
      <c r="K332" s="46">
        <v>5.8817266892774258E-6</v>
      </c>
      <c r="L332" s="259">
        <v>6.9993140149751563E-6</v>
      </c>
    </row>
  </sheetData>
  <phoneticPr fontId="10" type="noConversion"/>
  <hyperlinks>
    <hyperlink ref="C84" r:id="rId1" location="ab0015" display="https://www-sciencedirect-com.sid2nomade-1.grenet.fr/science/article/pii/S0048969718338786 - ab0015" xr:uid="{CAF7B4E6-BBCC-4F0E-B920-FBC671EB9A89}"/>
    <hyperlink ref="C85:C86" r:id="rId2" location="ab0015" display="https://www-sciencedirect-com.sid2nomade-1.grenet.fr/science/article/pii/S0048969718338786 - ab0015" xr:uid="{A08668D5-2036-40D5-84B4-5AD7E880D8B2}"/>
    <hyperlink ref="C87" r:id="rId3" display="https://www-sciencedirect-com.sid2nomade-1.grenet.fr/science/article/pii/S004896971934759X" xr:uid="{E1E70F13-68E9-4266-8674-86D8EB1E6D3B}"/>
    <hyperlink ref="C88:C92" r:id="rId4" display="https://www-sciencedirect-com.sid2nomade-1.grenet.fr/science/article/pii/S004896971934759X" xr:uid="{81D9B025-CC5C-42D9-A7DE-DB13CB9C4040}"/>
    <hyperlink ref="C93" r:id="rId5" location="sec2" display="https://www-sciencedirect-com.sid2nomade-2.grenet.fr/science/article/pii/S0269749118322474?via%3Dihub - sec2" xr:uid="{8F8DE1E9-CE11-4873-BBB8-53FC185478F6}"/>
    <hyperlink ref="C94:C97" r:id="rId6" location="sec2" display="https://www-sciencedirect-com.sid2nomade-2.grenet.fr/science/article/pii/S0269749118322474?via%3Dihub - sec2" xr:uid="{84701B2C-1830-4EB1-ABB8-B37AA0B89EDD}"/>
    <hyperlink ref="C98" r:id="rId7" location="f0005" display="https://www.sciencedirect.com/science/article/abs/pii/S0048969718319995 - f0005" xr:uid="{6A40FF05-695C-4354-9917-0E88CF1AA79F}"/>
    <hyperlink ref="C99:C110" r:id="rId8" location="f0005" display="https://www.sciencedirect.com/science/article/abs/pii/S0048969718319995 - f0005" xr:uid="{4DC3809A-0893-4566-957A-8E14B49299E3}"/>
    <hyperlink ref="C111" r:id="rId9" display="https://www-sciencedirect-com.sid2nomade-1.grenet.fr/science/article/pii/S004896971934759X?via%3Dihub" xr:uid="{7E4C7BFF-5532-41E3-8D69-5F96842CC2DA}"/>
    <hyperlink ref="C112:C138" r:id="rId10" display="https://www-sciencedirect-com.sid2nomade-1.grenet.fr/science/article/pii/S004896971934759X?via%3Dihub" xr:uid="{F827687B-CD0C-45FA-9391-3C5E09B79832}"/>
    <hyperlink ref="C139" r:id="rId11" display="https://www.sciencedirect.com/science/article/abs/pii/S0048969719315219?via%3Dihub" xr:uid="{7F819C43-F8BE-4B62-A10D-CEDAC6BBF21A}"/>
    <hyperlink ref="C140:C154" r:id="rId12" display="https://www.sciencedirect.com/science/article/abs/pii/S0048969719315219?via%3Dihub" xr:uid="{FFEEA5B7-BC66-4C07-9A3E-47EAF7786012}"/>
    <hyperlink ref="C155" r:id="rId13" display="https://www.sciencedirect.com/science/article/abs/pii/S0048969719308769?via%3Dihub" xr:uid="{11A6A71F-F301-4CFF-9C25-0FF0B332135F}"/>
    <hyperlink ref="C156:C166" r:id="rId14" display="https://www.sciencedirect.com/science/article/abs/pii/S0048969719308769?via%3Dihub" xr:uid="{D07D6211-E40B-44D6-8DBB-BC1C96685D87}"/>
    <hyperlink ref="C167" r:id="rId15" location="abs0020" display="https://www-sciencedirect-com.sid2nomade-1.grenet.fr/science/article/pii/S0269749118339757 - abs0020" xr:uid="{6E87B9E6-3A1D-4403-8E5D-FCCD69B28584}"/>
    <hyperlink ref="C168" r:id="rId16" location="abs0020" display="https://www-sciencedirect-com.sid2nomade-1.grenet.fr/science/article/pii/S0269749118339757 - abs0020" xr:uid="{35D6BDF8-9CC9-48CA-A55E-855740498021}"/>
    <hyperlink ref="C169" r:id="rId17" location="ab010" display="https://www-sciencedirect-com.sid2nomade-1.grenet.fr/science/article/pii/S0048969719352969 - ab010" xr:uid="{A54305F7-4DBD-4861-A9FC-141E89B99051}"/>
    <hyperlink ref="C170:C193" r:id="rId18" location="ab010" display="https://www-sciencedirect-com.sid2nomade-1.grenet.fr/science/article/pii/S0048969719352969 - ab010" xr:uid="{B32FFB9A-FFE0-4574-A621-C1ABC2E5705F}"/>
    <hyperlink ref="C194:C199" r:id="rId19" display="https://www.researchgate.net/publication/335365727_Microplastics_in_the_sediment_of_intertidal_areas_of_Lamongan_Indonesia" xr:uid="{5E6BA935-63EE-4B72-926D-62BA735C5F7B}"/>
    <hyperlink ref="C194" r:id="rId20" location="ab010" display="https://www-sciencedirect-com.sid2nomade-1.grenet.fr/science/article/pii/S0048969719352969 - ab010" xr:uid="{77C0788E-21A9-44DB-BCB5-80FF953108F2}"/>
    <hyperlink ref="C195:C218" r:id="rId21" location="ab010" display="https://www-sciencedirect-com.sid2nomade-1.grenet.fr/science/article/pii/S0048969719352969 - ab010" xr:uid="{B19A345F-300B-4BF7-AD84-ECDDE1D1F1E6}"/>
    <hyperlink ref="C224" r:id="rId22" display="https://www.researchgate.net/publication/335365727_Microplastics_in_the_sediment_of_intertidal_areas_of_Lamongan_Indonesia" xr:uid="{435A582E-2141-482F-A073-5096834492BC}"/>
    <hyperlink ref="C219" r:id="rId23" display="https://www.researchgate.net/publication/335365727_Microplastics_in_the_sediment_of_intertidal_areas_of_Lamongan_Indonesia" xr:uid="{4516830D-A7B4-43EB-AB7B-13DA477C5AC1}"/>
    <hyperlink ref="C225" r:id="rId24" location="s0010" display="https://www-sciencedirect-com.sid2nomade-2.grenet.fr/science/article/pii/S0025326X19307027 - s0010" xr:uid="{52983D8D-3057-4621-B455-DD0C29FAC6DA}"/>
    <hyperlink ref="C226:C230" r:id="rId25" location="s0010" display="https://www-sciencedirect-com.sid2nomade-2.grenet.fr/science/article/pii/S0025326X19307027 - s0010" xr:uid="{11144786-1AB5-478D-8646-6B223E41A6A5}"/>
    <hyperlink ref="C231" r:id="rId26" display="https://pmc-ncbi-nlm-nih-gov.sid2nomade-2.grenet.fr/articles/PMC6210488/" xr:uid="{4BC26DBC-6BA0-432C-BA17-5B0B3D7082C2}"/>
    <hyperlink ref="C232:C238" r:id="rId27" display="https://pmc-ncbi-nlm-nih-gov.sid2nomade-2.grenet.fr/articles/PMC6210488/" xr:uid="{0853F970-537C-4CA2-9FE7-5ABCF7D9C8A7}"/>
    <hyperlink ref="C239" r:id="rId28" location="Sec1" display="https://link-springer-com.sid2nomade-1.grenet.fr/article/10.1007/s00244-017-0414-9 - Sec1" xr:uid="{94C115B4-A310-4E70-90E2-9ADBAB22E170}"/>
    <hyperlink ref="C240" r:id="rId29" location="Sec1" display="https://link-springer-com.sid2nomade-1.grenet.fr/article/10.1007/s00244-017-0414-9 - Sec1" xr:uid="{B3504DAE-C178-434F-91D6-F92197F29084}"/>
    <hyperlink ref="C241" r:id="rId30" display="https://www.sciencedirect.com/science/article/abs/pii/S0025326X16308761?via%3Dihub" xr:uid="{CB3518C5-436D-4CF7-B77F-8F6C39672F68}"/>
    <hyperlink ref="C242:C250" r:id="rId31" display="https://www.sciencedirect.com/science/article/abs/pii/S0025326X16308761?via%3Dihub" xr:uid="{D991B3B0-0207-4A19-A38E-509E37C08940}"/>
    <hyperlink ref="C251" r:id="rId32" location="ab0010" display="https://www-sciencedirect-com.sid2nomade-2.grenet.fr/science/article/pii/S0025326X17305192 - ab0010" xr:uid="{F225B43D-5A7D-4DE0-B4CE-265E556BFA75}"/>
    <hyperlink ref="C252:C272" r:id="rId33" location="ab0010" display="https://www-sciencedirect-com.sid2nomade-2.grenet.fr/science/article/pii/S0025326X17305192 - ab0010" xr:uid="{F3AD1C08-EAB5-474A-B226-63AF5E9540D8}"/>
    <hyperlink ref="C273" r:id="rId34" location="abs0015" display="https://www-sciencedirect-com.sid2nomade-1.grenet.fr/science/article/pii/S0272771419311758 - abs0015" xr:uid="{3D5C50E2-EA17-4D1C-9172-F24826C12B2D}"/>
    <hyperlink ref="C274:C281" r:id="rId35" location="abs0015" display="https://www-sciencedirect-com.sid2nomade-1.grenet.fr/science/article/pii/S0272771419311758 - abs0015" xr:uid="{9AAC192E-A0C1-40A2-A076-CA13C10BE312}"/>
    <hyperlink ref="C282" r:id="rId36" location="abs0015" display="https://www-sciencedirect-com.sid2nomade-1.grenet.fr/science/article/pii/S0272771419311758 - abs0015" xr:uid="{49DABD3B-2959-450B-A2D0-CB55E7A9AEFD}"/>
    <hyperlink ref="C283" r:id="rId37" location="abs0015" display="https://www-sciencedirect-com.sid2nomade-1.grenet.fr/science/article/pii/S0272771419311758 - abs0015" xr:uid="{45B35F1B-6D3F-401B-B642-1E8E5CF6A635}"/>
    <hyperlink ref="C284" r:id="rId38" location="abs0015" display="https://www-sciencedirect-com.sid2nomade-1.grenet.fr/science/article/pii/S0272771419311758 - abs0015" xr:uid="{8E728C92-A9CF-41A3-AC5E-8A0EECE8907C}"/>
    <hyperlink ref="C285" r:id="rId39" location="abs0015" display="https://www-sciencedirect-com.sid2nomade-1.grenet.fr/science/article/pii/S0272771419311758 - abs0015" xr:uid="{EE301768-1632-4676-B204-F537BC656116}"/>
    <hyperlink ref="C286" r:id="rId40" location="abs0015" display="https://www-sciencedirect-com.sid2nomade-1.grenet.fr/science/article/pii/S0272771419311758 - abs0015" xr:uid="{D12E4FF6-B712-42DC-80BE-27B8908F1C72}"/>
    <hyperlink ref="C287" r:id="rId41" location="abs0015" display="https://www-sciencedirect-com.sid2nomade-1.grenet.fr/science/article/pii/S0272771419311758 - abs0015" xr:uid="{B6882E17-A4B4-498A-8DEF-830054B80121}"/>
    <hyperlink ref="C288" r:id="rId42" location="abs0015" display="https://www-sciencedirect-com.sid2nomade-1.grenet.fr/science/article/pii/S0272771419311758 - abs0015" xr:uid="{63E870CA-D547-4367-BF05-ED24CB6F1DB4}"/>
    <hyperlink ref="C289" r:id="rId43" location="abs0015" display="https://www-sciencedirect-com.sid2nomade-1.grenet.fr/science/article/pii/S0272771419311758 - abs0015" xr:uid="{5FE650F0-B1DF-4748-9EC3-D32F3A20CC1E}"/>
    <hyperlink ref="C290" r:id="rId44" location="abs0015" display="https://www-sciencedirect-com.sid2nomade-1.grenet.fr/science/article/pii/S0272771419311758 - abs0015" xr:uid="{861CF4FA-9DD4-4DF1-ACF2-53E0AAF60BF8}"/>
    <hyperlink ref="C291" r:id="rId45" location="Tab1" display="https://link-springer-com.sid2nomade-1.grenet.fr/article/10.1007/s11368-022-03166-3 - Tab1" xr:uid="{B47F3192-9C97-4B73-84C1-5BF4A05E1349}"/>
    <hyperlink ref="C292:C300" r:id="rId46" location="Tab1" display="https://link-springer-com.sid2nomade-1.grenet.fr/article/10.1007/s11368-022-03166-3 - Tab1" xr:uid="{53910E91-EF2F-4C80-8D8C-66C8244534CC}"/>
    <hyperlink ref="C301" r:id="rId47" location="Tab1" display="https://link-springer-com.sid2nomade-1.grenet.fr/article/10.1007/s11368-022-03166-3 - Tab1" xr:uid="{8AD5E476-C6FC-41F6-AD8E-9744A1366189}"/>
    <hyperlink ref="C302:C310" r:id="rId48" location="Tab1" display="https://link-springer-com.sid2nomade-1.grenet.fr/article/10.1007/s11368-022-03166-3 - Tab1" xr:uid="{5988CA34-15B7-41E5-9451-38528AC3FBEE}"/>
    <hyperlink ref="C311" r:id="rId49" location="s0010" display="https://www-sciencedirect-com.sid2nomade-2.grenet.fr/science/article/pii/S0025326X21003453 - s0010" xr:uid="{2F7CA070-89BB-40A7-8923-F928B301F737}"/>
    <hyperlink ref="C312:C332" r:id="rId50" location="s0010" display="https://www-sciencedirect-com.sid2nomade-2.grenet.fr/science/article/pii/S0025326X21003453 - s0010" xr:uid="{2C9B728F-3BD7-4BD6-9144-E554624FFED4}"/>
    <hyperlink ref="C2" r:id="rId51" location="ab0015" display="https://www-sciencedirect-com.sid2nomade-1.grenet.fr/science/article/pii/S0048969718338786 - ab0015" xr:uid="{85BB624C-AE7A-477C-8B62-2C8A60FB455A}"/>
    <hyperlink ref="C3:C15" r:id="rId52" location="ab0015" display="https://www-sciencedirect-com.sid2nomade-1.grenet.fr/science/article/pii/S0048969718338786 - ab0015" xr:uid="{3DC58562-3A22-478B-BCB2-993FED349072}"/>
    <hyperlink ref="C16" r:id="rId53" display="https://www-sciencedirect-com.sid2nomade-1.grenet.fr/science/article/pii/S0269749118330720?via%3Dihub" xr:uid="{30E919F5-6821-493F-A901-5A141EBC16DF}"/>
    <hyperlink ref="C17" r:id="rId54" display="https://www-sciencedirect-com.sid2nomade-1.grenet.fr/science/article/pii/S0048969719348302?via%3Dihub" xr:uid="{35F46891-20CD-4A19-8190-719E3A499852}"/>
    <hyperlink ref="C18" r:id="rId55" display="https://www-sciencedirect-com.sid2nomade-1.grenet.fr/science/article/pii/S0048969719348302?via%3Dihub" xr:uid="{6B1DE327-B49D-4EE1-9CA4-21D8BB42B626}"/>
    <hyperlink ref="C19" r:id="rId56" display="https://www-sciencedirect-com.sid2nomade-1.grenet.fr/science/article/pii/S004896971934759X?via%3Dihub" xr:uid="{515414A8-B535-42D5-B83B-CC362C2EA6BB}"/>
    <hyperlink ref="C20" r:id="rId57" display="https://www-sciencedirect-com.sid2nomade-2.grenet.fr/science/article/pii/S0269749119316744?via%3Dihub" xr:uid="{E053FE6A-2564-4B9E-8334-E4485DAEE82A}"/>
    <hyperlink ref="C21:C23" r:id="rId58" display="https://www-sciencedirect-com.sid2nomade-2.grenet.fr/science/article/pii/S0269749119316744?via%3Dihub" xr:uid="{6ECA28B0-F74F-4035-B343-A401432D4005}"/>
    <hyperlink ref="C24" r:id="rId59" display="https://www-sciencedirect-com.sid2nomade-2.grenet.fr/science/article/pii/S0025326X19304886?via%3Dihub" xr:uid="{BD23418C-83DF-4F9B-97E2-E88F47D193AB}"/>
    <hyperlink ref="C25" r:id="rId60" display="https://www-sciencedirect-com.sid2nomade-1.grenet.fr/science/article/pii/S0025326X19301043?via%3Dihub" xr:uid="{4F0BD7F0-A8B5-4A08-98A7-235E2F1B0A1D}"/>
    <hyperlink ref="C26:C27" r:id="rId61" display="https://www-sciencedirect-com.sid2nomade-1.grenet.fr/science/article/pii/S0025326X19301043?via%3Dihub" xr:uid="{EEDF48DD-0140-4573-B706-173C411BE707}"/>
    <hyperlink ref="C28" r:id="rId62" display="https://www-sciencedirect-com.sid2nomade-1.grenet.fr/science/article/pii/S0269749119318548?via%3Dihub" xr:uid="{E42F80E4-F6A5-4BC5-9FAB-8A406C7CAE6C}"/>
    <hyperlink ref="C29" r:id="rId63" display="https://www-sciencedirect-com.sid2nomade-2.grenet.fr/science/article/pii/S0048969719338744?via%3Dihub" xr:uid="{76B0456D-0E6A-418E-B113-6DB8745109B6}"/>
    <hyperlink ref="C30" r:id="rId64" display="https://www-sciencedirect-com.sid2nomade-2.grenet.fr/science/article/pii/S0025326X17304265?via%3Dihub" xr:uid="{EF0C4A7E-2F00-409A-9D25-8A3FA9E906EC}"/>
    <hyperlink ref="C31:C37" r:id="rId65" display="https://www-sciencedirect-com.sid2nomade-2.grenet.fr/science/article/pii/S0025326X17304265?via%3Dihub" xr:uid="{3BC51810-93EF-453C-8C37-9D996CD9D1B7}"/>
    <hyperlink ref="C38" r:id="rId66" display="https://linkinghub-elsevier-com.sid2nomade-1.grenet.fr/retrieve/pii/S0025326X13007261" xr:uid="{791CA4F7-947B-44C8-B934-CB2EB826DBB6}"/>
    <hyperlink ref="C39" r:id="rId67" display="https://www-sciencedirect-com.sid2nomade-1.grenet.fr/science/article/pii/S0048969719308769?via%3Dihub" xr:uid="{593142A2-A8B8-4A73-9DC5-63E460F9A0D5}"/>
    <hyperlink ref="C40:C62" r:id="rId68" display="https://www-sciencedirect-com.sid2nomade-1.grenet.fr/science/article/pii/S0048969719308769?via%3Dihub" xr:uid="{9B280C67-AD16-4878-A5AF-47D807E0D3DC}"/>
    <hyperlink ref="C63" r:id="rId69" display="https://www.frontiersin.org/journals/marine-science/articles/10.3389/fmars.2022.1093815/full" xr:uid="{F7FD665C-669D-4EC7-95F0-4C64B0A9C3AD}"/>
    <hyperlink ref="C64:C76" r:id="rId70" display="https://www.frontiersin.org/journals/marine-science/articles/10.3389/fmars.2022.1093815/full" xr:uid="{86B94BDF-E84D-4E5B-9E0A-E1557173BDEB}"/>
    <hyperlink ref="C77" r:id="rId71" display="https://www.science.org/doi/10.1126/sciadv.add2348" xr:uid="{DC9C3A03-968A-4B40-8398-890E77C880D2}"/>
    <hyperlink ref="C78:C82" r:id="rId72" display="https://www.science.org/doi/10.1126/sciadv.add2348" xr:uid="{04CAA531-8586-453D-816F-72581A0B6058}"/>
    <hyperlink ref="C83" r:id="rId73" display="https://www-sciencedirect-com.sid2nomade-2.grenet.fr/science/article/pii/S0269749118322474?via%3Dihub" xr:uid="{A6FA1283-CB51-4DBE-9491-06402057CA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E6A0-1AB0-41FC-936D-4D0AE14C0E3C}">
  <dimension ref="A1:I130"/>
  <sheetViews>
    <sheetView tabSelected="1" topLeftCell="B1" workbookViewId="0">
      <selection activeCell="J1" sqref="J1:AB1048576"/>
    </sheetView>
  </sheetViews>
  <sheetFormatPr baseColWidth="10" defaultRowHeight="14.25" x14ac:dyDescent="0.45"/>
  <sheetData>
    <row r="1" spans="1:9" x14ac:dyDescent="0.45">
      <c r="A1" t="s">
        <v>101</v>
      </c>
      <c r="B1" s="1" t="s">
        <v>235</v>
      </c>
      <c r="C1" s="1" t="s">
        <v>102</v>
      </c>
      <c r="D1" s="1" t="s">
        <v>1</v>
      </c>
      <c r="E1" s="1" t="s">
        <v>2</v>
      </c>
      <c r="F1" s="2" t="s">
        <v>3</v>
      </c>
      <c r="G1" s="2" t="s">
        <v>4</v>
      </c>
      <c r="H1" s="1" t="s">
        <v>92</v>
      </c>
      <c r="I1" s="3" t="s">
        <v>6</v>
      </c>
    </row>
    <row r="2" spans="1:9" x14ac:dyDescent="0.45">
      <c r="A2" t="s">
        <v>103</v>
      </c>
      <c r="B2" t="s">
        <v>7</v>
      </c>
      <c r="C2" t="s">
        <v>123</v>
      </c>
      <c r="D2">
        <v>33</v>
      </c>
      <c r="E2">
        <v>122.21</v>
      </c>
      <c r="F2" t="s">
        <v>8</v>
      </c>
      <c r="G2">
        <v>0.91</v>
      </c>
      <c r="H2">
        <v>2017</v>
      </c>
      <c r="I2">
        <v>28.4</v>
      </c>
    </row>
    <row r="3" spans="1:9" x14ac:dyDescent="0.45">
      <c r="A3" t="s">
        <v>103</v>
      </c>
      <c r="B3" t="s">
        <v>106</v>
      </c>
      <c r="C3" t="s">
        <v>123</v>
      </c>
      <c r="D3">
        <v>34</v>
      </c>
      <c r="E3">
        <v>121.24</v>
      </c>
      <c r="F3" t="s">
        <v>8</v>
      </c>
      <c r="G3">
        <v>0.96</v>
      </c>
      <c r="H3">
        <v>2017</v>
      </c>
      <c r="I3">
        <v>111</v>
      </c>
    </row>
    <row r="4" spans="1:9" x14ac:dyDescent="0.45">
      <c r="A4" t="s">
        <v>103</v>
      </c>
      <c r="B4" t="s">
        <v>107</v>
      </c>
      <c r="C4" t="s">
        <v>123</v>
      </c>
      <c r="D4">
        <v>36</v>
      </c>
      <c r="E4">
        <v>121</v>
      </c>
      <c r="F4" t="s">
        <v>8</v>
      </c>
      <c r="G4">
        <v>0.96</v>
      </c>
      <c r="H4">
        <v>2017</v>
      </c>
      <c r="I4">
        <v>180</v>
      </c>
    </row>
    <row r="5" spans="1:9" x14ac:dyDescent="0.45">
      <c r="A5" t="s">
        <v>103</v>
      </c>
      <c r="B5" t="s">
        <v>108</v>
      </c>
      <c r="C5" t="s">
        <v>123</v>
      </c>
      <c r="D5">
        <v>33</v>
      </c>
      <c r="E5">
        <v>123</v>
      </c>
      <c r="F5" t="s">
        <v>8</v>
      </c>
      <c r="G5">
        <v>0.81</v>
      </c>
      <c r="H5">
        <v>2017</v>
      </c>
      <c r="I5">
        <v>74.8</v>
      </c>
    </row>
    <row r="6" spans="1:9" x14ac:dyDescent="0.45">
      <c r="A6" t="s">
        <v>103</v>
      </c>
      <c r="B6" t="s">
        <v>109</v>
      </c>
      <c r="C6" t="s">
        <v>123</v>
      </c>
      <c r="D6">
        <v>35</v>
      </c>
      <c r="E6">
        <v>121.39</v>
      </c>
      <c r="F6" t="s">
        <v>8</v>
      </c>
      <c r="G6">
        <v>0.91</v>
      </c>
      <c r="H6">
        <v>2017</v>
      </c>
      <c r="I6">
        <v>81.900000000000006</v>
      </c>
    </row>
    <row r="7" spans="1:9" x14ac:dyDescent="0.45">
      <c r="A7" t="s">
        <v>103</v>
      </c>
      <c r="B7" t="s">
        <v>110</v>
      </c>
      <c r="C7" t="s">
        <v>123</v>
      </c>
      <c r="D7">
        <v>36</v>
      </c>
      <c r="E7">
        <v>121.4</v>
      </c>
      <c r="F7" t="s">
        <v>8</v>
      </c>
      <c r="G7">
        <v>0.86</v>
      </c>
      <c r="H7">
        <v>2017</v>
      </c>
      <c r="I7">
        <v>108</v>
      </c>
    </row>
    <row r="8" spans="1:9" x14ac:dyDescent="0.45">
      <c r="A8" t="s">
        <v>103</v>
      </c>
      <c r="B8" t="s">
        <v>111</v>
      </c>
      <c r="C8" t="s">
        <v>123</v>
      </c>
      <c r="D8">
        <v>35</v>
      </c>
      <c r="E8">
        <v>123</v>
      </c>
      <c r="F8" t="s">
        <v>8</v>
      </c>
      <c r="G8">
        <v>0.84</v>
      </c>
      <c r="H8">
        <v>2017</v>
      </c>
      <c r="I8">
        <v>114</v>
      </c>
    </row>
    <row r="9" spans="1:9" x14ac:dyDescent="0.45">
      <c r="A9" t="s">
        <v>103</v>
      </c>
      <c r="B9" t="s">
        <v>112</v>
      </c>
      <c r="C9" t="s">
        <v>123</v>
      </c>
      <c r="D9">
        <v>34</v>
      </c>
      <c r="E9">
        <v>124</v>
      </c>
      <c r="F9" t="s">
        <v>8</v>
      </c>
      <c r="G9">
        <v>0.85</v>
      </c>
      <c r="H9">
        <v>2017</v>
      </c>
      <c r="I9">
        <v>90.9</v>
      </c>
    </row>
    <row r="10" spans="1:9" x14ac:dyDescent="0.45">
      <c r="A10" t="s">
        <v>103</v>
      </c>
      <c r="B10" t="s">
        <v>113</v>
      </c>
      <c r="C10" t="s">
        <v>123</v>
      </c>
      <c r="D10">
        <v>36</v>
      </c>
      <c r="E10">
        <v>122</v>
      </c>
      <c r="F10" t="s">
        <v>8</v>
      </c>
      <c r="G10">
        <v>0.74</v>
      </c>
      <c r="H10">
        <v>2017</v>
      </c>
      <c r="I10">
        <v>83.2</v>
      </c>
    </row>
    <row r="11" spans="1:9" x14ac:dyDescent="0.45">
      <c r="A11" t="s">
        <v>103</v>
      </c>
      <c r="B11" t="s">
        <v>114</v>
      </c>
      <c r="C11" t="s">
        <v>123</v>
      </c>
      <c r="D11">
        <v>35</v>
      </c>
      <c r="E11">
        <v>124</v>
      </c>
      <c r="F11" t="s">
        <v>8</v>
      </c>
      <c r="G11">
        <v>0.67</v>
      </c>
      <c r="H11">
        <v>2017</v>
      </c>
      <c r="I11">
        <v>77.400000000000006</v>
      </c>
    </row>
    <row r="12" spans="1:9" x14ac:dyDescent="0.45">
      <c r="A12" t="s">
        <v>103</v>
      </c>
      <c r="B12" t="s">
        <v>115</v>
      </c>
      <c r="C12" t="s">
        <v>123</v>
      </c>
      <c r="D12">
        <v>36</v>
      </c>
      <c r="E12">
        <v>123</v>
      </c>
      <c r="F12" t="s">
        <v>8</v>
      </c>
      <c r="G12">
        <v>0.82</v>
      </c>
      <c r="H12">
        <v>2017</v>
      </c>
      <c r="I12">
        <v>94.9</v>
      </c>
    </row>
    <row r="13" spans="1:9" x14ac:dyDescent="0.45">
      <c r="A13" t="s">
        <v>103</v>
      </c>
      <c r="B13" t="s">
        <v>116</v>
      </c>
      <c r="C13" t="s">
        <v>123</v>
      </c>
      <c r="D13">
        <v>35</v>
      </c>
      <c r="E13">
        <v>124</v>
      </c>
      <c r="F13" t="s">
        <v>8</v>
      </c>
      <c r="G13">
        <v>0.67</v>
      </c>
      <c r="H13">
        <v>2017</v>
      </c>
      <c r="I13">
        <v>135</v>
      </c>
    </row>
    <row r="14" spans="1:9" x14ac:dyDescent="0.45">
      <c r="A14" t="s">
        <v>103</v>
      </c>
      <c r="B14" t="s">
        <v>117</v>
      </c>
      <c r="C14" t="s">
        <v>123</v>
      </c>
      <c r="D14">
        <v>34</v>
      </c>
      <c r="E14">
        <v>123.44</v>
      </c>
      <c r="F14" t="s">
        <v>8</v>
      </c>
      <c r="G14">
        <v>0.87990000000000002</v>
      </c>
      <c r="H14">
        <v>2017</v>
      </c>
      <c r="I14">
        <v>86.3</v>
      </c>
    </row>
    <row r="15" spans="1:9" x14ac:dyDescent="0.45">
      <c r="A15" t="s">
        <v>103</v>
      </c>
      <c r="B15" t="s">
        <v>118</v>
      </c>
      <c r="C15" t="s">
        <v>123</v>
      </c>
      <c r="D15">
        <v>32.299999999999997</v>
      </c>
      <c r="E15">
        <v>122.12</v>
      </c>
      <c r="F15" t="s">
        <v>8</v>
      </c>
      <c r="G15">
        <v>0.87970000000000004</v>
      </c>
      <c r="H15">
        <v>2017</v>
      </c>
      <c r="I15">
        <v>38</v>
      </c>
    </row>
    <row r="16" spans="1:9" x14ac:dyDescent="0.45">
      <c r="A16" t="s">
        <v>124</v>
      </c>
      <c r="B16" t="s">
        <v>16</v>
      </c>
      <c r="C16" t="s">
        <v>125</v>
      </c>
      <c r="D16">
        <v>30.45</v>
      </c>
      <c r="E16">
        <v>122.45</v>
      </c>
      <c r="F16" t="s">
        <v>8</v>
      </c>
      <c r="G16" t="s">
        <v>17</v>
      </c>
      <c r="H16">
        <v>2018</v>
      </c>
      <c r="I16">
        <v>3.56</v>
      </c>
    </row>
    <row r="17" spans="1:9" x14ac:dyDescent="0.45">
      <c r="A17" t="s">
        <v>256</v>
      </c>
      <c r="B17" t="s">
        <v>46</v>
      </c>
      <c r="C17" t="s">
        <v>151</v>
      </c>
      <c r="D17">
        <v>37.115560000000002</v>
      </c>
      <c r="E17">
        <v>122.48</v>
      </c>
      <c r="F17" t="s">
        <v>8</v>
      </c>
      <c r="G17">
        <v>0.96</v>
      </c>
      <c r="H17">
        <v>2017</v>
      </c>
      <c r="I17">
        <v>118</v>
      </c>
    </row>
    <row r="18" spans="1:9" x14ac:dyDescent="0.45">
      <c r="A18" t="s">
        <v>256</v>
      </c>
      <c r="B18" t="s">
        <v>47</v>
      </c>
      <c r="C18" t="s">
        <v>151</v>
      </c>
      <c r="D18">
        <v>37.115560000000002</v>
      </c>
      <c r="E18">
        <v>122.50917</v>
      </c>
      <c r="F18" t="s">
        <v>8</v>
      </c>
      <c r="G18">
        <v>0.95</v>
      </c>
      <c r="H18">
        <v>2017</v>
      </c>
      <c r="I18">
        <v>77.599999999999994</v>
      </c>
    </row>
    <row r="19" spans="1:9" x14ac:dyDescent="0.45">
      <c r="A19" t="s">
        <v>256</v>
      </c>
      <c r="B19" t="s">
        <v>48</v>
      </c>
      <c r="C19" t="s">
        <v>151</v>
      </c>
      <c r="D19">
        <v>37.115560000000002</v>
      </c>
      <c r="E19">
        <v>122.57056</v>
      </c>
      <c r="F19" t="s">
        <v>8</v>
      </c>
      <c r="G19">
        <v>0.81</v>
      </c>
      <c r="H19">
        <v>2017</v>
      </c>
      <c r="I19">
        <v>89.5</v>
      </c>
    </row>
    <row r="20" spans="1:9" x14ac:dyDescent="0.45">
      <c r="A20" t="s">
        <v>256</v>
      </c>
      <c r="B20" t="s">
        <v>49</v>
      </c>
      <c r="C20" t="s">
        <v>151</v>
      </c>
      <c r="D20">
        <v>37.115560000000002</v>
      </c>
      <c r="E20">
        <v>122.59721999999999</v>
      </c>
      <c r="F20" t="s">
        <v>8</v>
      </c>
      <c r="G20">
        <v>0.9</v>
      </c>
      <c r="H20">
        <v>2017</v>
      </c>
      <c r="I20">
        <v>121</v>
      </c>
    </row>
    <row r="21" spans="1:9" x14ac:dyDescent="0.45">
      <c r="A21" t="s">
        <v>256</v>
      </c>
      <c r="B21" t="s">
        <v>50</v>
      </c>
      <c r="C21" t="s">
        <v>151</v>
      </c>
      <c r="D21">
        <v>37.115560000000002</v>
      </c>
      <c r="E21">
        <v>122.66889</v>
      </c>
      <c r="F21" t="s">
        <v>8</v>
      </c>
      <c r="G21">
        <v>0.83</v>
      </c>
      <c r="H21">
        <v>2017</v>
      </c>
      <c r="I21">
        <v>78.599999999999994</v>
      </c>
    </row>
    <row r="22" spans="1:9" x14ac:dyDescent="0.45">
      <c r="A22" t="s">
        <v>256</v>
      </c>
      <c r="B22" t="s">
        <v>51</v>
      </c>
      <c r="C22" t="s">
        <v>151</v>
      </c>
      <c r="D22">
        <v>37.069389999999999</v>
      </c>
      <c r="E22">
        <v>122.48</v>
      </c>
      <c r="F22" t="s">
        <v>8</v>
      </c>
      <c r="G22">
        <v>0.69</v>
      </c>
      <c r="H22">
        <v>2017</v>
      </c>
      <c r="I22">
        <v>87.4</v>
      </c>
    </row>
    <row r="23" spans="1:9" x14ac:dyDescent="0.45">
      <c r="A23" t="s">
        <v>256</v>
      </c>
      <c r="B23" t="s">
        <v>52</v>
      </c>
      <c r="C23" t="s">
        <v>151</v>
      </c>
      <c r="D23">
        <v>37.069389999999999</v>
      </c>
      <c r="E23">
        <v>122.50833</v>
      </c>
      <c r="F23" t="s">
        <v>8</v>
      </c>
      <c r="G23">
        <v>0.97</v>
      </c>
      <c r="H23">
        <v>2017</v>
      </c>
      <c r="I23">
        <v>70</v>
      </c>
    </row>
    <row r="24" spans="1:9" x14ac:dyDescent="0.45">
      <c r="A24" t="s">
        <v>256</v>
      </c>
      <c r="B24" t="s">
        <v>53</v>
      </c>
      <c r="C24" t="s">
        <v>151</v>
      </c>
      <c r="D24">
        <v>37.069389999999999</v>
      </c>
      <c r="E24">
        <v>122.57111</v>
      </c>
      <c r="F24" t="s">
        <v>8</v>
      </c>
      <c r="G24">
        <v>0.95</v>
      </c>
      <c r="H24">
        <v>2017</v>
      </c>
      <c r="I24">
        <v>95.4</v>
      </c>
    </row>
    <row r="25" spans="1:9" x14ac:dyDescent="0.45">
      <c r="A25" t="s">
        <v>256</v>
      </c>
      <c r="B25" t="s">
        <v>54</v>
      </c>
      <c r="C25" t="s">
        <v>151</v>
      </c>
      <c r="D25">
        <v>37.069389999999999</v>
      </c>
      <c r="E25">
        <v>122.59889</v>
      </c>
      <c r="F25" t="s">
        <v>8</v>
      </c>
      <c r="G25">
        <v>0.86</v>
      </c>
      <c r="H25">
        <v>2017</v>
      </c>
      <c r="I25">
        <v>87.8</v>
      </c>
    </row>
    <row r="26" spans="1:9" x14ac:dyDescent="0.45">
      <c r="A26" t="s">
        <v>256</v>
      </c>
      <c r="B26" t="s">
        <v>55</v>
      </c>
      <c r="C26" t="s">
        <v>151</v>
      </c>
      <c r="D26">
        <v>37.069389999999999</v>
      </c>
      <c r="E26">
        <v>122.66889</v>
      </c>
      <c r="F26" t="s">
        <v>8</v>
      </c>
      <c r="G26">
        <v>0.91</v>
      </c>
      <c r="H26">
        <v>2017</v>
      </c>
      <c r="I26">
        <v>41.3</v>
      </c>
    </row>
    <row r="27" spans="1:9" x14ac:dyDescent="0.45">
      <c r="A27" t="s">
        <v>256</v>
      </c>
      <c r="B27" t="s">
        <v>56</v>
      </c>
      <c r="C27" t="s">
        <v>151</v>
      </c>
      <c r="D27">
        <v>37.040559999999999</v>
      </c>
      <c r="E27">
        <v>122.48</v>
      </c>
      <c r="F27" t="s">
        <v>8</v>
      </c>
      <c r="G27">
        <v>0.84</v>
      </c>
      <c r="H27">
        <v>2017</v>
      </c>
      <c r="I27">
        <v>68.400000000000006</v>
      </c>
    </row>
    <row r="28" spans="1:9" x14ac:dyDescent="0.45">
      <c r="A28" t="s">
        <v>256</v>
      </c>
      <c r="B28" t="s">
        <v>57</v>
      </c>
      <c r="C28" t="s">
        <v>151</v>
      </c>
      <c r="D28">
        <v>37.040559999999999</v>
      </c>
      <c r="E28">
        <v>122.50722</v>
      </c>
      <c r="F28" t="s">
        <v>8</v>
      </c>
      <c r="G28">
        <v>0.94</v>
      </c>
      <c r="H28">
        <v>2017</v>
      </c>
      <c r="I28">
        <v>87.5</v>
      </c>
    </row>
    <row r="29" spans="1:9" x14ac:dyDescent="0.45">
      <c r="A29" t="s">
        <v>256</v>
      </c>
      <c r="B29" t="s">
        <v>58</v>
      </c>
      <c r="C29" t="s">
        <v>151</v>
      </c>
      <c r="D29">
        <v>37.115560000000002</v>
      </c>
      <c r="E29">
        <v>122.48</v>
      </c>
      <c r="F29" t="s">
        <v>8</v>
      </c>
      <c r="G29">
        <v>0.96</v>
      </c>
      <c r="H29">
        <v>2017</v>
      </c>
      <c r="I29">
        <v>83</v>
      </c>
    </row>
    <row r="30" spans="1:9" x14ac:dyDescent="0.45">
      <c r="A30" t="s">
        <v>256</v>
      </c>
      <c r="B30" t="s">
        <v>59</v>
      </c>
      <c r="C30" t="s">
        <v>151</v>
      </c>
      <c r="D30">
        <v>37.115560000000002</v>
      </c>
      <c r="E30">
        <v>122.50917</v>
      </c>
      <c r="F30" t="s">
        <v>8</v>
      </c>
      <c r="G30">
        <v>0.95</v>
      </c>
      <c r="H30">
        <v>2017</v>
      </c>
      <c r="I30">
        <v>91.5</v>
      </c>
    </row>
    <row r="31" spans="1:9" x14ac:dyDescent="0.45">
      <c r="A31" t="s">
        <v>256</v>
      </c>
      <c r="B31" t="s">
        <v>60</v>
      </c>
      <c r="C31" t="s">
        <v>151</v>
      </c>
      <c r="D31">
        <v>37.115560000000002</v>
      </c>
      <c r="E31">
        <v>122.57056</v>
      </c>
      <c r="F31" t="s">
        <v>8</v>
      </c>
      <c r="G31">
        <v>0.81</v>
      </c>
      <c r="H31">
        <v>2017</v>
      </c>
      <c r="I31">
        <v>124</v>
      </c>
    </row>
    <row r="32" spans="1:9" x14ac:dyDescent="0.45">
      <c r="A32" t="s">
        <v>256</v>
      </c>
      <c r="B32" t="s">
        <v>61</v>
      </c>
      <c r="C32" t="s">
        <v>151</v>
      </c>
      <c r="D32">
        <v>37.115560000000002</v>
      </c>
      <c r="E32">
        <v>122.59721999999999</v>
      </c>
      <c r="F32" t="s">
        <v>8</v>
      </c>
      <c r="G32">
        <v>0.9</v>
      </c>
      <c r="H32">
        <v>2017</v>
      </c>
      <c r="I32">
        <v>78</v>
      </c>
    </row>
    <row r="33" spans="1:9" x14ac:dyDescent="0.45">
      <c r="A33" t="s">
        <v>256</v>
      </c>
      <c r="B33" t="s">
        <v>62</v>
      </c>
      <c r="C33" t="s">
        <v>151</v>
      </c>
      <c r="D33">
        <v>37.115560000000002</v>
      </c>
      <c r="E33">
        <v>122.66889</v>
      </c>
      <c r="F33" t="s">
        <v>8</v>
      </c>
      <c r="G33">
        <v>0.83</v>
      </c>
      <c r="H33">
        <v>2017</v>
      </c>
      <c r="I33">
        <v>118</v>
      </c>
    </row>
    <row r="34" spans="1:9" x14ac:dyDescent="0.45">
      <c r="A34" t="s">
        <v>256</v>
      </c>
      <c r="B34" t="s">
        <v>63</v>
      </c>
      <c r="C34" t="s">
        <v>151</v>
      </c>
      <c r="D34">
        <v>37.069389999999999</v>
      </c>
      <c r="E34">
        <v>122.48</v>
      </c>
      <c r="F34" t="s">
        <v>8</v>
      </c>
      <c r="G34">
        <v>0.69</v>
      </c>
      <c r="H34">
        <v>2017</v>
      </c>
      <c r="I34">
        <v>101</v>
      </c>
    </row>
    <row r="35" spans="1:9" x14ac:dyDescent="0.45">
      <c r="A35" t="s">
        <v>256</v>
      </c>
      <c r="B35" t="s">
        <v>64</v>
      </c>
      <c r="C35" t="s">
        <v>151</v>
      </c>
      <c r="D35">
        <v>37.069389999999999</v>
      </c>
      <c r="E35">
        <v>122.50833</v>
      </c>
      <c r="F35" t="s">
        <v>8</v>
      </c>
      <c r="G35">
        <v>0.97</v>
      </c>
      <c r="H35">
        <v>2017</v>
      </c>
      <c r="I35">
        <v>85.7</v>
      </c>
    </row>
    <row r="36" spans="1:9" x14ac:dyDescent="0.45">
      <c r="A36" t="s">
        <v>256</v>
      </c>
      <c r="B36" t="s">
        <v>65</v>
      </c>
      <c r="C36" t="s">
        <v>151</v>
      </c>
      <c r="D36">
        <v>37.069389999999999</v>
      </c>
      <c r="E36">
        <v>122.57111</v>
      </c>
      <c r="F36" t="s">
        <v>8</v>
      </c>
      <c r="G36">
        <v>0.95</v>
      </c>
      <c r="H36">
        <v>2017</v>
      </c>
      <c r="I36">
        <v>88.6</v>
      </c>
    </row>
    <row r="37" spans="1:9" x14ac:dyDescent="0.45">
      <c r="A37" t="s">
        <v>256</v>
      </c>
      <c r="B37" t="s">
        <v>66</v>
      </c>
      <c r="C37" t="s">
        <v>151</v>
      </c>
      <c r="D37">
        <v>37.069389999999999</v>
      </c>
      <c r="E37">
        <v>122.59889</v>
      </c>
      <c r="F37" t="s">
        <v>8</v>
      </c>
      <c r="G37">
        <v>0.86</v>
      </c>
      <c r="H37">
        <v>2017</v>
      </c>
      <c r="I37">
        <v>95.5</v>
      </c>
    </row>
    <row r="38" spans="1:9" x14ac:dyDescent="0.45">
      <c r="A38" t="s">
        <v>256</v>
      </c>
      <c r="B38" t="s">
        <v>67</v>
      </c>
      <c r="C38" t="s">
        <v>151</v>
      </c>
      <c r="D38">
        <v>37.069389999999999</v>
      </c>
      <c r="E38">
        <v>122.66889</v>
      </c>
      <c r="F38" t="s">
        <v>8</v>
      </c>
      <c r="G38">
        <v>0.91</v>
      </c>
      <c r="H38">
        <v>2017</v>
      </c>
      <c r="I38">
        <v>72.400000000000006</v>
      </c>
    </row>
    <row r="39" spans="1:9" x14ac:dyDescent="0.45">
      <c r="A39" t="s">
        <v>256</v>
      </c>
      <c r="B39" t="s">
        <v>68</v>
      </c>
      <c r="C39" t="s">
        <v>151</v>
      </c>
      <c r="D39">
        <v>37.040559999999999</v>
      </c>
      <c r="E39">
        <v>122.48</v>
      </c>
      <c r="F39" t="s">
        <v>8</v>
      </c>
      <c r="G39">
        <v>0.84</v>
      </c>
      <c r="H39">
        <v>2017</v>
      </c>
      <c r="I39">
        <v>134</v>
      </c>
    </row>
    <row r="40" spans="1:9" x14ac:dyDescent="0.45">
      <c r="A40" t="s">
        <v>256</v>
      </c>
      <c r="B40" t="s">
        <v>69</v>
      </c>
      <c r="C40" t="s">
        <v>151</v>
      </c>
      <c r="D40">
        <v>37.040559999999999</v>
      </c>
      <c r="E40">
        <v>122.50722</v>
      </c>
      <c r="F40" t="s">
        <v>8</v>
      </c>
      <c r="G40">
        <v>0.94</v>
      </c>
      <c r="H40">
        <v>2017</v>
      </c>
      <c r="I40">
        <v>181</v>
      </c>
    </row>
    <row r="41" spans="1:9" x14ac:dyDescent="0.45">
      <c r="A41" t="s">
        <v>137</v>
      </c>
      <c r="B41" t="s">
        <v>133</v>
      </c>
      <c r="C41" t="s">
        <v>138</v>
      </c>
      <c r="D41">
        <v>29.51</v>
      </c>
      <c r="E41">
        <v>121.504</v>
      </c>
      <c r="F41" t="s">
        <v>8</v>
      </c>
      <c r="G41" t="s">
        <v>136</v>
      </c>
      <c r="H41">
        <v>2017</v>
      </c>
      <c r="I41">
        <v>702</v>
      </c>
    </row>
    <row r="42" spans="1:9" x14ac:dyDescent="0.45">
      <c r="A42" t="s">
        <v>103</v>
      </c>
      <c r="B42" t="s">
        <v>237</v>
      </c>
      <c r="C42" t="s">
        <v>123</v>
      </c>
      <c r="D42">
        <v>35.299999999999997</v>
      </c>
      <c r="E42">
        <v>122.19</v>
      </c>
      <c r="F42" t="s">
        <v>8</v>
      </c>
      <c r="G42">
        <v>0.83997142857142848</v>
      </c>
      <c r="H42">
        <v>2017</v>
      </c>
      <c r="I42">
        <v>226.7489753256161</v>
      </c>
    </row>
    <row r="43" spans="1:9" x14ac:dyDescent="0.45">
      <c r="A43" t="s">
        <v>103</v>
      </c>
      <c r="B43" t="s">
        <v>105</v>
      </c>
      <c r="C43" t="s">
        <v>123</v>
      </c>
      <c r="D43">
        <v>35</v>
      </c>
      <c r="E43">
        <v>121.19</v>
      </c>
      <c r="F43" t="s">
        <v>8</v>
      </c>
      <c r="G43">
        <v>0.83997142857142848</v>
      </c>
      <c r="H43">
        <v>2017</v>
      </c>
      <c r="I43">
        <v>247.3897890879006</v>
      </c>
    </row>
    <row r="44" spans="1:9" x14ac:dyDescent="0.45">
      <c r="A44" t="s">
        <v>103</v>
      </c>
      <c r="B44" t="s">
        <v>104</v>
      </c>
      <c r="C44" t="s">
        <v>123</v>
      </c>
      <c r="D44">
        <v>36</v>
      </c>
      <c r="E44">
        <v>124</v>
      </c>
      <c r="F44" t="s">
        <v>8</v>
      </c>
      <c r="G44">
        <v>0.83997142857142848</v>
      </c>
      <c r="H44">
        <v>2017</v>
      </c>
      <c r="I44">
        <v>375.1630078151876</v>
      </c>
    </row>
    <row r="45" spans="1:9" x14ac:dyDescent="0.45">
      <c r="A45" t="s">
        <v>124</v>
      </c>
      <c r="C45" t="s">
        <v>125</v>
      </c>
      <c r="D45">
        <v>30.803000000000001</v>
      </c>
      <c r="E45">
        <v>122.655</v>
      </c>
      <c r="F45" t="s">
        <v>8</v>
      </c>
      <c r="G45" t="s">
        <v>17</v>
      </c>
      <c r="H45">
        <v>2018</v>
      </c>
      <c r="I45">
        <v>17.070178542568065</v>
      </c>
    </row>
    <row r="46" spans="1:9" x14ac:dyDescent="0.45">
      <c r="A46" t="s">
        <v>124</v>
      </c>
      <c r="C46" t="s">
        <v>125</v>
      </c>
      <c r="D46">
        <v>30.731999999999999</v>
      </c>
      <c r="E46">
        <v>122.818</v>
      </c>
      <c r="F46" t="s">
        <v>8</v>
      </c>
      <c r="G46" t="s">
        <v>17</v>
      </c>
      <c r="H46">
        <v>2018</v>
      </c>
      <c r="I46">
        <v>15.932166639730193</v>
      </c>
    </row>
    <row r="47" spans="1:9" x14ac:dyDescent="0.45">
      <c r="A47" t="s">
        <v>124</v>
      </c>
      <c r="C47" t="s">
        <v>125</v>
      </c>
      <c r="D47">
        <v>30.696999999999999</v>
      </c>
      <c r="E47">
        <v>122.79600000000001</v>
      </c>
      <c r="F47" t="s">
        <v>8</v>
      </c>
      <c r="G47" t="s">
        <v>17</v>
      </c>
      <c r="H47">
        <v>2018</v>
      </c>
      <c r="I47">
        <v>13.656142834054451</v>
      </c>
    </row>
    <row r="48" spans="1:9" x14ac:dyDescent="0.45">
      <c r="A48" t="s">
        <v>124</v>
      </c>
      <c r="C48" t="s">
        <v>125</v>
      </c>
      <c r="D48">
        <v>30.774999999999999</v>
      </c>
      <c r="E48">
        <v>122.64100000000001</v>
      </c>
      <c r="F48" t="s">
        <v>8</v>
      </c>
      <c r="G48" t="s">
        <v>17</v>
      </c>
      <c r="H48">
        <v>2018</v>
      </c>
      <c r="I48">
        <v>6.8280714170272256</v>
      </c>
    </row>
    <row r="49" spans="1:9" x14ac:dyDescent="0.45">
      <c r="A49" t="s">
        <v>124</v>
      </c>
      <c r="C49" t="s">
        <v>125</v>
      </c>
      <c r="D49">
        <v>30.771000000000001</v>
      </c>
      <c r="E49">
        <v>122.733</v>
      </c>
      <c r="F49" t="s">
        <v>8</v>
      </c>
      <c r="G49" t="s">
        <v>17</v>
      </c>
      <c r="H49">
        <v>2018</v>
      </c>
      <c r="I49">
        <v>18.208190445405936</v>
      </c>
    </row>
    <row r="50" spans="1:9" x14ac:dyDescent="0.45">
      <c r="A50" t="s">
        <v>124</v>
      </c>
      <c r="C50" t="s">
        <v>125</v>
      </c>
      <c r="D50">
        <v>30.762</v>
      </c>
      <c r="E50">
        <v>122.65900000000001</v>
      </c>
      <c r="F50" t="s">
        <v>8</v>
      </c>
      <c r="G50" t="s">
        <v>17</v>
      </c>
      <c r="H50">
        <v>2018</v>
      </c>
      <c r="I50">
        <v>18.208190445405936</v>
      </c>
    </row>
    <row r="51" spans="1:9" x14ac:dyDescent="0.45">
      <c r="A51" t="s">
        <v>137</v>
      </c>
      <c r="C51" t="s">
        <v>138</v>
      </c>
      <c r="D51">
        <v>29.5</v>
      </c>
      <c r="E51">
        <v>121.51</v>
      </c>
      <c r="F51" t="s">
        <v>8</v>
      </c>
      <c r="G51" t="s">
        <v>139</v>
      </c>
      <c r="H51">
        <v>2017</v>
      </c>
      <c r="I51">
        <v>28.253202334126609</v>
      </c>
    </row>
    <row r="52" spans="1:9" x14ac:dyDescent="0.45">
      <c r="A52" t="s">
        <v>137</v>
      </c>
      <c r="C52" t="s">
        <v>138</v>
      </c>
      <c r="D52">
        <v>29.51</v>
      </c>
      <c r="E52">
        <v>121.5</v>
      </c>
      <c r="F52" t="s">
        <v>8</v>
      </c>
      <c r="G52" t="s">
        <v>10</v>
      </c>
      <c r="H52">
        <v>2017</v>
      </c>
      <c r="I52">
        <v>53.660758389995863</v>
      </c>
    </row>
    <row r="53" spans="1:9" x14ac:dyDescent="0.45">
      <c r="A53" t="s">
        <v>137</v>
      </c>
      <c r="C53" t="s">
        <v>138</v>
      </c>
      <c r="D53">
        <v>29.51</v>
      </c>
      <c r="E53">
        <v>121.51</v>
      </c>
      <c r="F53" t="s">
        <v>8</v>
      </c>
      <c r="G53" t="s">
        <v>140</v>
      </c>
      <c r="H53">
        <v>2017</v>
      </c>
      <c r="I53">
        <v>67.075947987494757</v>
      </c>
    </row>
    <row r="54" spans="1:9" x14ac:dyDescent="0.45">
      <c r="A54" t="s">
        <v>137</v>
      </c>
      <c r="C54" t="s">
        <v>138</v>
      </c>
      <c r="D54">
        <v>29.52</v>
      </c>
      <c r="E54">
        <v>121.5</v>
      </c>
      <c r="F54" t="s">
        <v>8</v>
      </c>
      <c r="G54" t="s">
        <v>141</v>
      </c>
      <c r="H54">
        <v>2017</v>
      </c>
      <c r="I54">
        <v>64.298055192053127</v>
      </c>
    </row>
    <row r="55" spans="1:9" x14ac:dyDescent="0.45">
      <c r="A55" t="s">
        <v>137</v>
      </c>
      <c r="C55" t="s">
        <v>138</v>
      </c>
      <c r="D55">
        <v>29.53</v>
      </c>
      <c r="E55">
        <v>121.5</v>
      </c>
      <c r="F55" t="s">
        <v>8</v>
      </c>
      <c r="G55" t="s">
        <v>10</v>
      </c>
      <c r="H55">
        <v>2017</v>
      </c>
      <c r="I55">
        <v>376.77711793783635</v>
      </c>
    </row>
    <row r="56" spans="1:9" x14ac:dyDescent="0.45">
      <c r="A56" t="s">
        <v>142</v>
      </c>
      <c r="C56" t="s">
        <v>145</v>
      </c>
      <c r="D56">
        <v>37.862000000000002</v>
      </c>
      <c r="E56">
        <v>119.444</v>
      </c>
      <c r="F56" t="s">
        <v>8</v>
      </c>
      <c r="G56" t="s">
        <v>146</v>
      </c>
      <c r="H56">
        <v>2016</v>
      </c>
      <c r="I56">
        <v>4.2206925963290152</v>
      </c>
    </row>
    <row r="57" spans="1:9" x14ac:dyDescent="0.45">
      <c r="A57" t="s">
        <v>142</v>
      </c>
      <c r="C57" t="s">
        <v>145</v>
      </c>
      <c r="D57">
        <v>38.095999999999997</v>
      </c>
      <c r="E57">
        <v>120.04300000000001</v>
      </c>
      <c r="F57" t="s">
        <v>8</v>
      </c>
      <c r="G57" t="s">
        <v>146</v>
      </c>
      <c r="H57">
        <v>2016</v>
      </c>
      <c r="I57">
        <v>6.1799143514024557</v>
      </c>
    </row>
    <row r="58" spans="1:9" x14ac:dyDescent="0.45">
      <c r="A58" t="s">
        <v>142</v>
      </c>
      <c r="C58" t="s">
        <v>145</v>
      </c>
      <c r="D58">
        <v>33.716884</v>
      </c>
      <c r="E58">
        <v>123.390299</v>
      </c>
      <c r="F58" t="s">
        <v>8</v>
      </c>
      <c r="G58" t="s">
        <v>146</v>
      </c>
      <c r="H58">
        <v>2016</v>
      </c>
      <c r="I58">
        <v>2.3694169434634729</v>
      </c>
    </row>
    <row r="59" spans="1:9" x14ac:dyDescent="0.45">
      <c r="A59" t="s">
        <v>142</v>
      </c>
      <c r="C59" t="s">
        <v>145</v>
      </c>
      <c r="D59">
        <v>38.585999999999999</v>
      </c>
      <c r="E59">
        <v>118.854</v>
      </c>
      <c r="F59" t="s">
        <v>8</v>
      </c>
      <c r="G59" t="s">
        <v>146</v>
      </c>
      <c r="H59">
        <v>2016</v>
      </c>
      <c r="I59">
        <v>5.2893590081872555</v>
      </c>
    </row>
    <row r="60" spans="1:9" x14ac:dyDescent="0.45">
      <c r="A60" t="s">
        <v>142</v>
      </c>
      <c r="C60" t="s">
        <v>145</v>
      </c>
      <c r="D60">
        <v>39.396999999999998</v>
      </c>
      <c r="E60">
        <v>120.20399999999999</v>
      </c>
      <c r="F60" t="s">
        <v>8</v>
      </c>
      <c r="G60" t="s">
        <v>146</v>
      </c>
      <c r="H60">
        <v>2016</v>
      </c>
      <c r="I60">
        <v>3.3679183888865802</v>
      </c>
    </row>
    <row r="61" spans="1:9" x14ac:dyDescent="0.45">
      <c r="A61" t="s">
        <v>142</v>
      </c>
      <c r="C61" t="s">
        <v>145</v>
      </c>
      <c r="D61">
        <v>35.270245000000003</v>
      </c>
      <c r="E61">
        <v>122.83520300000001</v>
      </c>
      <c r="F61" t="s">
        <v>8</v>
      </c>
      <c r="G61" t="s">
        <v>146</v>
      </c>
      <c r="H61">
        <v>2016</v>
      </c>
      <c r="I61">
        <v>1.5382319564626197</v>
      </c>
    </row>
    <row r="62" spans="1:9" x14ac:dyDescent="0.45">
      <c r="A62" t="s">
        <v>142</v>
      </c>
      <c r="C62" t="s">
        <v>145</v>
      </c>
      <c r="D62">
        <v>38.585999999999999</v>
      </c>
      <c r="E62">
        <v>121.928</v>
      </c>
      <c r="F62" t="s">
        <v>8</v>
      </c>
      <c r="G62" t="s">
        <v>146</v>
      </c>
      <c r="H62">
        <v>2016</v>
      </c>
      <c r="I62">
        <v>2.4287872996778201</v>
      </c>
    </row>
    <row r="63" spans="1:9" x14ac:dyDescent="0.45">
      <c r="A63" t="s">
        <v>142</v>
      </c>
      <c r="C63" t="s">
        <v>145</v>
      </c>
      <c r="D63">
        <v>37.106000000000002</v>
      </c>
      <c r="E63">
        <v>123.639</v>
      </c>
      <c r="F63" t="s">
        <v>8</v>
      </c>
      <c r="G63" t="s">
        <v>146</v>
      </c>
      <c r="H63">
        <v>2016</v>
      </c>
      <c r="I63">
        <v>2.9253393698341745</v>
      </c>
    </row>
    <row r="64" spans="1:9" x14ac:dyDescent="0.45">
      <c r="A64" t="s">
        <v>142</v>
      </c>
      <c r="C64" t="s">
        <v>145</v>
      </c>
      <c r="D64">
        <v>36.189942000000002</v>
      </c>
      <c r="E64">
        <v>122.87322899999999</v>
      </c>
      <c r="F64" t="s">
        <v>8</v>
      </c>
      <c r="G64" t="s">
        <v>146</v>
      </c>
      <c r="H64">
        <v>2016</v>
      </c>
      <c r="I64">
        <v>1.8620702630863293</v>
      </c>
    </row>
    <row r="65" spans="1:9" x14ac:dyDescent="0.45">
      <c r="A65" t="s">
        <v>142</v>
      </c>
      <c r="C65" t="s">
        <v>145</v>
      </c>
      <c r="D65">
        <v>38.088000000000001</v>
      </c>
      <c r="E65">
        <v>121.282</v>
      </c>
      <c r="F65" t="s">
        <v>8</v>
      </c>
      <c r="G65" t="s">
        <v>146</v>
      </c>
      <c r="H65">
        <v>2016</v>
      </c>
      <c r="I65">
        <v>5.9532275367658576</v>
      </c>
    </row>
    <row r="66" spans="1:9" x14ac:dyDescent="0.45">
      <c r="A66" t="s">
        <v>142</v>
      </c>
      <c r="C66" t="s">
        <v>145</v>
      </c>
      <c r="D66">
        <v>33.864114999999998</v>
      </c>
      <c r="E66">
        <v>123.066439</v>
      </c>
      <c r="F66" t="s">
        <v>8</v>
      </c>
      <c r="G66" t="s">
        <v>146</v>
      </c>
      <c r="H66">
        <v>2016</v>
      </c>
      <c r="I66">
        <v>1.7973026017615865</v>
      </c>
    </row>
    <row r="67" spans="1:9" x14ac:dyDescent="0.45">
      <c r="A67" t="s">
        <v>142</v>
      </c>
      <c r="C67" t="s">
        <v>145</v>
      </c>
      <c r="D67">
        <v>35.972209999999997</v>
      </c>
      <c r="E67">
        <v>122.846682</v>
      </c>
      <c r="F67" t="s">
        <v>8</v>
      </c>
      <c r="G67" t="s">
        <v>146</v>
      </c>
      <c r="H67">
        <v>2016</v>
      </c>
      <c r="I67">
        <v>2.4665684354505872</v>
      </c>
    </row>
    <row r="68" spans="1:9" x14ac:dyDescent="0.45">
      <c r="A68" t="s">
        <v>142</v>
      </c>
      <c r="C68" t="s">
        <v>145</v>
      </c>
      <c r="D68">
        <v>38.348999999999997</v>
      </c>
      <c r="E68">
        <v>123.17100000000001</v>
      </c>
      <c r="F68" t="s">
        <v>8</v>
      </c>
      <c r="G68" t="s">
        <v>146</v>
      </c>
      <c r="H68">
        <v>2016</v>
      </c>
      <c r="I68">
        <v>2.7688175216327169</v>
      </c>
    </row>
    <row r="69" spans="1:9" x14ac:dyDescent="0.45">
      <c r="A69" t="s">
        <v>147</v>
      </c>
      <c r="C69" t="s">
        <v>125</v>
      </c>
      <c r="D69">
        <v>37.457147999999997</v>
      </c>
      <c r="E69">
        <v>121.775639</v>
      </c>
      <c r="F69" t="s">
        <v>8</v>
      </c>
      <c r="G69">
        <v>0.87887000000000004</v>
      </c>
      <c r="H69">
        <v>2017</v>
      </c>
      <c r="I69">
        <v>14.759653658812001</v>
      </c>
    </row>
    <row r="70" spans="1:9" x14ac:dyDescent="0.45">
      <c r="A70" t="s">
        <v>147</v>
      </c>
      <c r="C70" t="s">
        <v>125</v>
      </c>
      <c r="D70">
        <v>37.461025999999997</v>
      </c>
      <c r="E70">
        <v>121.687877</v>
      </c>
      <c r="F70" t="s">
        <v>8</v>
      </c>
      <c r="G70">
        <v>0.91544999999999999</v>
      </c>
      <c r="H70">
        <v>2017</v>
      </c>
      <c r="I70">
        <v>27.103502722805754</v>
      </c>
    </row>
    <row r="71" spans="1:9" x14ac:dyDescent="0.45">
      <c r="A71" t="s">
        <v>147</v>
      </c>
      <c r="C71" t="s">
        <v>125</v>
      </c>
      <c r="D71">
        <v>37.445559000000003</v>
      </c>
      <c r="E71">
        <v>121.58030599999999</v>
      </c>
      <c r="F71" t="s">
        <v>8</v>
      </c>
      <c r="G71">
        <v>0.92564999999999997</v>
      </c>
      <c r="H71">
        <v>2017</v>
      </c>
      <c r="I71">
        <v>23.361461439940221</v>
      </c>
    </row>
    <row r="72" spans="1:9" x14ac:dyDescent="0.45">
      <c r="A72" t="s">
        <v>147</v>
      </c>
      <c r="C72" t="s">
        <v>125</v>
      </c>
      <c r="D72">
        <v>36.451923200000003</v>
      </c>
      <c r="E72">
        <v>121.58028</v>
      </c>
      <c r="F72" t="s">
        <v>8</v>
      </c>
      <c r="G72">
        <v>0.74512999999999996</v>
      </c>
      <c r="H72">
        <v>2017</v>
      </c>
      <c r="I72">
        <v>6.9436906073875972</v>
      </c>
    </row>
    <row r="73" spans="1:9" x14ac:dyDescent="0.45">
      <c r="A73" t="s">
        <v>147</v>
      </c>
      <c r="C73" t="s">
        <v>125</v>
      </c>
      <c r="D73">
        <v>37.575792999999997</v>
      </c>
      <c r="E73">
        <v>121.430736</v>
      </c>
      <c r="F73" t="s">
        <v>8</v>
      </c>
      <c r="G73">
        <v>0.93127000000000004</v>
      </c>
      <c r="H73">
        <v>2017</v>
      </c>
      <c r="I73">
        <v>9.2545958646640756</v>
      </c>
    </row>
    <row r="74" spans="1:9" x14ac:dyDescent="0.45">
      <c r="A74" t="s">
        <v>147</v>
      </c>
      <c r="C74" t="s">
        <v>125</v>
      </c>
      <c r="D74">
        <v>37.464278999999998</v>
      </c>
      <c r="E74">
        <v>121.862875</v>
      </c>
      <c r="F74" t="s">
        <v>8</v>
      </c>
      <c r="G74">
        <v>0.96272999999999997</v>
      </c>
      <c r="H74">
        <v>2017</v>
      </c>
      <c r="I74">
        <v>18.424744064797956</v>
      </c>
    </row>
    <row r="75" spans="1:9" x14ac:dyDescent="0.45">
      <c r="A75" t="s">
        <v>147</v>
      </c>
      <c r="C75" t="s">
        <v>125</v>
      </c>
      <c r="D75">
        <v>37.484386000000001</v>
      </c>
      <c r="E75">
        <v>121.960354</v>
      </c>
      <c r="F75" t="s">
        <v>8</v>
      </c>
      <c r="G75">
        <v>0.89510000000000001</v>
      </c>
      <c r="H75">
        <v>2017</v>
      </c>
      <c r="I75">
        <v>11.817852425637737</v>
      </c>
    </row>
    <row r="76" spans="1:9" x14ac:dyDescent="0.45">
      <c r="A76" t="s">
        <v>147</v>
      </c>
      <c r="C76" t="s">
        <v>125</v>
      </c>
      <c r="D76">
        <v>37.565966000000003</v>
      </c>
      <c r="E76">
        <v>121.393845</v>
      </c>
      <c r="F76" t="s">
        <v>8</v>
      </c>
      <c r="G76">
        <v>0.52588999999999997</v>
      </c>
      <c r="H76">
        <v>2017</v>
      </c>
      <c r="I76">
        <v>25.076119402651361</v>
      </c>
    </row>
    <row r="77" spans="1:9" x14ac:dyDescent="0.45">
      <c r="A77" t="s">
        <v>147</v>
      </c>
      <c r="C77" t="s">
        <v>125</v>
      </c>
      <c r="D77">
        <v>37.472619999999999</v>
      </c>
      <c r="E77">
        <v>121.53774199999999</v>
      </c>
      <c r="F77" t="s">
        <v>8</v>
      </c>
      <c r="G77">
        <v>0.89517999999999998</v>
      </c>
      <c r="H77">
        <v>2017</v>
      </c>
      <c r="I77">
        <v>7.2429933716917771</v>
      </c>
    </row>
    <row r="78" spans="1:9" x14ac:dyDescent="0.45">
      <c r="A78" t="s">
        <v>147</v>
      </c>
      <c r="C78" t="s">
        <v>125</v>
      </c>
      <c r="D78">
        <v>37.474303999999997</v>
      </c>
      <c r="E78">
        <v>121.48737199999999</v>
      </c>
      <c r="F78" t="s">
        <v>8</v>
      </c>
      <c r="G78">
        <v>0.94430000000000003</v>
      </c>
      <c r="H78">
        <v>2017</v>
      </c>
      <c r="I78">
        <v>5.9061933611759372</v>
      </c>
    </row>
    <row r="79" spans="1:9" x14ac:dyDescent="0.45">
      <c r="A79" t="s">
        <v>147</v>
      </c>
      <c r="C79" t="s">
        <v>125</v>
      </c>
      <c r="D79">
        <v>37.504139000000002</v>
      </c>
      <c r="E79">
        <v>121.51571800000001</v>
      </c>
      <c r="F79" t="s">
        <v>8</v>
      </c>
      <c r="G79">
        <v>0.94430000000000003</v>
      </c>
      <c r="H79">
        <v>2017</v>
      </c>
      <c r="I79">
        <v>5.5339039025561485</v>
      </c>
    </row>
    <row r="80" spans="1:9" x14ac:dyDescent="0.45">
      <c r="A80" t="s">
        <v>147</v>
      </c>
      <c r="C80" t="s">
        <v>125</v>
      </c>
      <c r="D80">
        <v>37.486080000000001</v>
      </c>
      <c r="E80">
        <v>121.625411</v>
      </c>
      <c r="F80" t="s">
        <v>8</v>
      </c>
      <c r="G80">
        <v>0.94286000000000003</v>
      </c>
      <c r="H80">
        <v>2017</v>
      </c>
      <c r="I80">
        <v>14.13497528238433</v>
      </c>
    </row>
    <row r="81" spans="1:9" x14ac:dyDescent="0.45">
      <c r="A81" t="s">
        <v>147</v>
      </c>
      <c r="C81" t="s">
        <v>125</v>
      </c>
      <c r="D81">
        <v>37.513882000000002</v>
      </c>
      <c r="E81">
        <v>121.778015</v>
      </c>
      <c r="F81" t="s">
        <v>8</v>
      </c>
      <c r="G81">
        <v>0.91678999999999999</v>
      </c>
      <c r="H81">
        <v>2017</v>
      </c>
      <c r="I81">
        <v>7.5034613014133322</v>
      </c>
    </row>
    <row r="82" spans="1:9" x14ac:dyDescent="0.45">
      <c r="A82" t="s">
        <v>147</v>
      </c>
      <c r="C82" t="s">
        <v>125</v>
      </c>
      <c r="D82">
        <v>37.530493999999997</v>
      </c>
      <c r="E82">
        <v>121.70903</v>
      </c>
      <c r="F82" t="s">
        <v>8</v>
      </c>
      <c r="G82">
        <v>0.91678999999999999</v>
      </c>
      <c r="H82">
        <v>2017</v>
      </c>
      <c r="I82">
        <v>13.532382691886042</v>
      </c>
    </row>
    <row r="83" spans="1:9" x14ac:dyDescent="0.45">
      <c r="A83" t="s">
        <v>147</v>
      </c>
      <c r="C83" t="s">
        <v>125</v>
      </c>
      <c r="D83">
        <v>37.544573999999997</v>
      </c>
      <c r="E83">
        <v>121.631653</v>
      </c>
      <c r="F83" t="s">
        <v>8</v>
      </c>
      <c r="G83">
        <v>0.90242</v>
      </c>
      <c r="H83">
        <v>2017</v>
      </c>
      <c r="I83">
        <v>6.4793537467451268</v>
      </c>
    </row>
    <row r="84" spans="1:9" x14ac:dyDescent="0.45">
      <c r="A84" t="s">
        <v>147</v>
      </c>
      <c r="C84" t="s">
        <v>125</v>
      </c>
      <c r="D84">
        <v>37.562748999999997</v>
      </c>
      <c r="E84">
        <v>121.55318699999999</v>
      </c>
      <c r="F84" t="s">
        <v>8</v>
      </c>
      <c r="G84">
        <v>0.95103000000000004</v>
      </c>
      <c r="H84">
        <v>2017</v>
      </c>
      <c r="I84">
        <v>3.3216302842181835</v>
      </c>
    </row>
    <row r="85" spans="1:9" x14ac:dyDescent="0.45">
      <c r="A85" t="s">
        <v>147</v>
      </c>
      <c r="C85" t="s">
        <v>125</v>
      </c>
      <c r="D85">
        <v>37.603489000000003</v>
      </c>
      <c r="E85">
        <v>121.46861199999999</v>
      </c>
      <c r="F85" t="s">
        <v>8</v>
      </c>
      <c r="G85">
        <v>0.91576999999999997</v>
      </c>
      <c r="H85">
        <v>2017</v>
      </c>
      <c r="I85">
        <v>5.5096992968792842</v>
      </c>
    </row>
    <row r="86" spans="1:9" x14ac:dyDescent="0.45">
      <c r="A86" t="s">
        <v>147</v>
      </c>
      <c r="C86" t="s">
        <v>125</v>
      </c>
      <c r="D86">
        <v>37.512934000000001</v>
      </c>
      <c r="E86">
        <v>121.880461</v>
      </c>
      <c r="F86" t="s">
        <v>8</v>
      </c>
      <c r="G86">
        <v>0.91010999999999997</v>
      </c>
      <c r="H86">
        <v>2017</v>
      </c>
      <c r="I86">
        <v>19.309091325436743</v>
      </c>
    </row>
    <row r="87" spans="1:9" x14ac:dyDescent="0.45">
      <c r="A87" t="s">
        <v>147</v>
      </c>
      <c r="C87" t="s">
        <v>125</v>
      </c>
      <c r="D87">
        <v>37.514389999999999</v>
      </c>
      <c r="E87">
        <v>121.518027</v>
      </c>
      <c r="F87" t="s">
        <v>8</v>
      </c>
      <c r="G87">
        <v>0.96753</v>
      </c>
      <c r="H87">
        <v>2017</v>
      </c>
      <c r="I87">
        <v>5.1906257606215238</v>
      </c>
    </row>
    <row r="88" spans="1:9" x14ac:dyDescent="0.45">
      <c r="A88" t="s">
        <v>147</v>
      </c>
      <c r="C88" t="s">
        <v>125</v>
      </c>
      <c r="D88">
        <v>37.572401999999997</v>
      </c>
      <c r="E88">
        <v>121.547618</v>
      </c>
      <c r="F88" t="s">
        <v>8</v>
      </c>
      <c r="G88">
        <v>0.94499</v>
      </c>
      <c r="H88">
        <v>2017</v>
      </c>
      <c r="I88">
        <v>17.58399818229541</v>
      </c>
    </row>
    <row r="89" spans="1:9" x14ac:dyDescent="0.45">
      <c r="A89" t="s">
        <v>147</v>
      </c>
      <c r="C89" t="s">
        <v>125</v>
      </c>
      <c r="D89">
        <v>37.504578000000002</v>
      </c>
      <c r="E89">
        <v>121.95050500000001</v>
      </c>
      <c r="F89" t="s">
        <v>8</v>
      </c>
      <c r="G89">
        <v>0.80206</v>
      </c>
      <c r="H89">
        <v>2017</v>
      </c>
      <c r="I89">
        <v>7.0310464477518826</v>
      </c>
    </row>
    <row r="90" spans="1:9" x14ac:dyDescent="0.45">
      <c r="A90" t="s">
        <v>147</v>
      </c>
      <c r="C90" t="s">
        <v>125</v>
      </c>
      <c r="D90">
        <v>37.610947000000003</v>
      </c>
      <c r="E90">
        <v>121.710663</v>
      </c>
      <c r="F90" t="s">
        <v>8</v>
      </c>
      <c r="G90">
        <v>0.93503999999999998</v>
      </c>
      <c r="H90">
        <v>2017</v>
      </c>
      <c r="I90">
        <v>14.939016570883982</v>
      </c>
    </row>
    <row r="91" spans="1:9" x14ac:dyDescent="0.45">
      <c r="A91" t="s">
        <v>147</v>
      </c>
      <c r="C91" t="s">
        <v>125</v>
      </c>
      <c r="D91">
        <v>37.612537000000003</v>
      </c>
      <c r="E91">
        <v>121.784526</v>
      </c>
      <c r="F91" t="s">
        <v>8</v>
      </c>
      <c r="G91">
        <v>0.87546000000000002</v>
      </c>
      <c r="H91">
        <v>2017</v>
      </c>
      <c r="I91">
        <v>3.6475154986568801</v>
      </c>
    </row>
    <row r="92" spans="1:9" x14ac:dyDescent="0.45">
      <c r="A92" t="s">
        <v>147</v>
      </c>
      <c r="C92" t="s">
        <v>125</v>
      </c>
      <c r="D92">
        <v>37.615000000000002</v>
      </c>
      <c r="E92">
        <v>121.63577600000001</v>
      </c>
      <c r="F92" t="s">
        <v>8</v>
      </c>
      <c r="G92">
        <v>0.99966999999999995</v>
      </c>
      <c r="H92">
        <v>2017</v>
      </c>
      <c r="I92">
        <v>4.8606148609224693</v>
      </c>
    </row>
    <row r="93" spans="1:9" x14ac:dyDescent="0.45">
      <c r="A93" t="s">
        <v>147</v>
      </c>
      <c r="C93" t="s">
        <v>125</v>
      </c>
      <c r="D93">
        <v>37.603555</v>
      </c>
      <c r="E93">
        <v>121.829649</v>
      </c>
      <c r="F93" t="s">
        <v>8</v>
      </c>
      <c r="G93">
        <v>0.86360999999999999</v>
      </c>
      <c r="H93">
        <v>2017</v>
      </c>
      <c r="I93">
        <v>9.7735918885813895</v>
      </c>
    </row>
    <row r="94" spans="1:9" x14ac:dyDescent="0.45">
      <c r="A94" t="s">
        <v>147</v>
      </c>
      <c r="C94" t="s">
        <v>125</v>
      </c>
      <c r="D94">
        <v>37.600991999999998</v>
      </c>
      <c r="E94">
        <v>121.91377</v>
      </c>
      <c r="F94" t="s">
        <v>8</v>
      </c>
      <c r="G94">
        <v>0.90317999999999998</v>
      </c>
      <c r="H94">
        <v>2017</v>
      </c>
      <c r="I94">
        <v>4.7539725276715705</v>
      </c>
    </row>
    <row r="95" spans="1:9" x14ac:dyDescent="0.45">
      <c r="A95" t="s">
        <v>147</v>
      </c>
      <c r="C95" t="s">
        <v>125</v>
      </c>
      <c r="D95">
        <v>37.577157999999997</v>
      </c>
      <c r="E95">
        <v>122.10325</v>
      </c>
      <c r="F95" t="s">
        <v>8</v>
      </c>
      <c r="G95">
        <v>0.95935999999999999</v>
      </c>
      <c r="H95">
        <v>2017</v>
      </c>
      <c r="I95">
        <v>8.6240750964802615</v>
      </c>
    </row>
    <row r="96" spans="1:9" x14ac:dyDescent="0.45">
      <c r="A96" t="s">
        <v>147</v>
      </c>
      <c r="C96" t="s">
        <v>125</v>
      </c>
      <c r="D96">
        <v>37.606701999999999</v>
      </c>
      <c r="E96">
        <v>122.079786</v>
      </c>
      <c r="F96" t="s">
        <v>8</v>
      </c>
      <c r="G96">
        <v>0.94159999999999999</v>
      </c>
      <c r="H96">
        <v>2017</v>
      </c>
      <c r="I96">
        <v>5.4791446952232699</v>
      </c>
    </row>
    <row r="97" spans="1:9" x14ac:dyDescent="0.45">
      <c r="A97" t="s">
        <v>148</v>
      </c>
      <c r="C97" t="s">
        <v>149</v>
      </c>
      <c r="D97">
        <v>36.0304833</v>
      </c>
      <c r="E97">
        <v>120.250166666666</v>
      </c>
      <c r="F97" t="s">
        <v>8</v>
      </c>
      <c r="G97" t="s">
        <v>146</v>
      </c>
      <c r="H97">
        <v>2017</v>
      </c>
      <c r="I97">
        <v>0.41356149725140406</v>
      </c>
    </row>
    <row r="98" spans="1:9" x14ac:dyDescent="0.45">
      <c r="A98" t="s">
        <v>148</v>
      </c>
      <c r="C98" t="s">
        <v>149</v>
      </c>
      <c r="D98">
        <v>36.0936667</v>
      </c>
      <c r="E98">
        <v>120.25433333333299</v>
      </c>
      <c r="F98" t="s">
        <v>8</v>
      </c>
      <c r="G98" t="s">
        <v>146</v>
      </c>
      <c r="H98">
        <v>2017</v>
      </c>
      <c r="I98">
        <v>0.62034224587710618</v>
      </c>
    </row>
    <row r="99" spans="1:9" x14ac:dyDescent="0.45">
      <c r="A99" t="s">
        <v>148</v>
      </c>
      <c r="C99" t="s">
        <v>149</v>
      </c>
      <c r="D99">
        <v>36.123166699999999</v>
      </c>
      <c r="E99">
        <v>120.18233333333301</v>
      </c>
      <c r="F99" t="s">
        <v>8</v>
      </c>
      <c r="G99" t="s">
        <v>146</v>
      </c>
      <c r="H99">
        <v>2017</v>
      </c>
      <c r="I99">
        <v>0.24124420672998559</v>
      </c>
    </row>
    <row r="100" spans="1:9" x14ac:dyDescent="0.45">
      <c r="A100" t="s">
        <v>148</v>
      </c>
      <c r="C100" t="s">
        <v>149</v>
      </c>
      <c r="D100">
        <v>36.1232167</v>
      </c>
      <c r="E100">
        <v>120.22133333333301</v>
      </c>
      <c r="F100" t="s">
        <v>8</v>
      </c>
      <c r="G100" t="s">
        <v>146</v>
      </c>
      <c r="H100">
        <v>2017</v>
      </c>
      <c r="I100">
        <v>0.58587878777282199</v>
      </c>
    </row>
    <row r="101" spans="1:9" x14ac:dyDescent="0.45">
      <c r="A101" t="s">
        <v>148</v>
      </c>
      <c r="C101" t="s">
        <v>149</v>
      </c>
      <c r="D101">
        <v>36.1232167</v>
      </c>
      <c r="E101">
        <v>120.2715</v>
      </c>
      <c r="F101" t="s">
        <v>8</v>
      </c>
      <c r="G101" t="s">
        <v>146</v>
      </c>
      <c r="H101">
        <v>2017</v>
      </c>
      <c r="I101">
        <v>0.62034224587710618</v>
      </c>
    </row>
    <row r="102" spans="1:9" x14ac:dyDescent="0.45">
      <c r="A102" t="s">
        <v>148</v>
      </c>
      <c r="C102" t="s">
        <v>149</v>
      </c>
      <c r="D102">
        <v>36.157649999999997</v>
      </c>
      <c r="E102">
        <v>120.25083333333301</v>
      </c>
      <c r="F102" t="s">
        <v>8</v>
      </c>
      <c r="G102" t="s">
        <v>146</v>
      </c>
      <c r="H102">
        <v>2017</v>
      </c>
      <c r="I102">
        <v>0.27570766483426928</v>
      </c>
    </row>
    <row r="103" spans="1:9" x14ac:dyDescent="0.45">
      <c r="A103" t="s">
        <v>148</v>
      </c>
      <c r="C103" t="s">
        <v>149</v>
      </c>
      <c r="D103">
        <v>36.158549999999998</v>
      </c>
      <c r="E103">
        <v>120.29216666666601</v>
      </c>
      <c r="F103" t="s">
        <v>8</v>
      </c>
      <c r="G103" t="s">
        <v>146</v>
      </c>
      <c r="H103">
        <v>2017</v>
      </c>
      <c r="I103">
        <v>0.41356149725140406</v>
      </c>
    </row>
    <row r="104" spans="1:9" x14ac:dyDescent="0.45">
      <c r="A104" t="s">
        <v>148</v>
      </c>
      <c r="C104" t="s">
        <v>149</v>
      </c>
      <c r="D104">
        <v>36.0883167</v>
      </c>
      <c r="E104">
        <v>120.299833333333</v>
      </c>
      <c r="F104" t="s">
        <v>8</v>
      </c>
      <c r="G104" t="s">
        <v>146</v>
      </c>
      <c r="H104">
        <v>2017</v>
      </c>
      <c r="I104">
        <v>0.86158645260709232</v>
      </c>
    </row>
    <row r="105" spans="1:9" x14ac:dyDescent="0.45">
      <c r="A105" t="s">
        <v>148</v>
      </c>
      <c r="C105" t="s">
        <v>149</v>
      </c>
      <c r="D105">
        <v>36.123249999999999</v>
      </c>
      <c r="E105">
        <v>120.321166666666</v>
      </c>
      <c r="F105" t="s">
        <v>8</v>
      </c>
      <c r="G105" t="s">
        <v>146</v>
      </c>
      <c r="H105">
        <v>2017</v>
      </c>
      <c r="I105">
        <v>0.79265953639852449</v>
      </c>
    </row>
    <row r="106" spans="1:9" x14ac:dyDescent="0.45">
      <c r="A106" t="s">
        <v>148</v>
      </c>
      <c r="C106" t="s">
        <v>149</v>
      </c>
      <c r="D106">
        <v>36.158016699999997</v>
      </c>
      <c r="E106">
        <v>120.335333333333</v>
      </c>
      <c r="F106" t="s">
        <v>8</v>
      </c>
      <c r="G106" t="s">
        <v>146</v>
      </c>
      <c r="H106">
        <v>2017</v>
      </c>
      <c r="I106">
        <v>0.62034224587710618</v>
      </c>
    </row>
    <row r="107" spans="1:9" x14ac:dyDescent="0.45">
      <c r="A107" t="s">
        <v>148</v>
      </c>
      <c r="C107" t="s">
        <v>149</v>
      </c>
      <c r="D107">
        <v>36.159799999999997</v>
      </c>
      <c r="E107">
        <v>120.219833333333</v>
      </c>
      <c r="F107" t="s">
        <v>8</v>
      </c>
      <c r="G107" t="s">
        <v>146</v>
      </c>
      <c r="H107">
        <v>2017</v>
      </c>
      <c r="I107">
        <v>0.24124420672998559</v>
      </c>
    </row>
    <row r="108" spans="1:9" x14ac:dyDescent="0.45">
      <c r="A108" t="s">
        <v>148</v>
      </c>
      <c r="C108" t="s">
        <v>149</v>
      </c>
      <c r="D108">
        <v>36.182283300000002</v>
      </c>
      <c r="E108">
        <v>120.322666666666</v>
      </c>
      <c r="F108" t="s">
        <v>8</v>
      </c>
      <c r="G108" t="s">
        <v>146</v>
      </c>
      <c r="H108">
        <v>2017</v>
      </c>
      <c r="I108">
        <v>0.62034224587710618</v>
      </c>
    </row>
    <row r="109" spans="1:9" x14ac:dyDescent="0.45">
      <c r="A109" t="s">
        <v>148</v>
      </c>
      <c r="C109" t="s">
        <v>149</v>
      </c>
      <c r="D109">
        <v>36.103898999999998</v>
      </c>
      <c r="E109">
        <v>120.11225399999999</v>
      </c>
      <c r="F109" t="s">
        <v>8</v>
      </c>
      <c r="G109" t="s">
        <v>146</v>
      </c>
      <c r="H109">
        <v>2017</v>
      </c>
      <c r="I109">
        <v>1.4819286984841975</v>
      </c>
    </row>
    <row r="110" spans="1:9" x14ac:dyDescent="0.45">
      <c r="A110" t="s">
        <v>148</v>
      </c>
      <c r="C110" t="s">
        <v>149</v>
      </c>
      <c r="D110">
        <v>36.179698999999999</v>
      </c>
      <c r="E110">
        <v>120.13865300000001</v>
      </c>
      <c r="F110" t="s">
        <v>8</v>
      </c>
      <c r="G110" t="s">
        <v>146</v>
      </c>
      <c r="H110">
        <v>2017</v>
      </c>
      <c r="I110">
        <v>0.75819607829424041</v>
      </c>
    </row>
    <row r="111" spans="1:9" x14ac:dyDescent="0.45">
      <c r="A111" t="s">
        <v>148</v>
      </c>
      <c r="C111" t="s">
        <v>149</v>
      </c>
      <c r="D111">
        <v>36.255127999999999</v>
      </c>
      <c r="E111">
        <v>120.325998</v>
      </c>
      <c r="F111" t="s">
        <v>8</v>
      </c>
      <c r="G111" t="s">
        <v>146</v>
      </c>
      <c r="H111">
        <v>2017</v>
      </c>
      <c r="I111">
        <v>0.68926916208567324</v>
      </c>
    </row>
    <row r="112" spans="1:9" x14ac:dyDescent="0.45">
      <c r="A112" t="s">
        <v>148</v>
      </c>
      <c r="C112" t="s">
        <v>149</v>
      </c>
      <c r="D112">
        <v>36.255898999999999</v>
      </c>
      <c r="E112">
        <v>120.320267</v>
      </c>
      <c r="F112" t="s">
        <v>8</v>
      </c>
      <c r="G112" t="s">
        <v>146</v>
      </c>
      <c r="H112">
        <v>2017</v>
      </c>
      <c r="I112">
        <v>0.44802495535568765</v>
      </c>
    </row>
    <row r="113" spans="1:9" x14ac:dyDescent="0.45">
      <c r="A113" t="s">
        <v>150</v>
      </c>
      <c r="C113" t="s">
        <v>151</v>
      </c>
      <c r="D113">
        <v>37.115560000000002</v>
      </c>
      <c r="E113">
        <v>122.48</v>
      </c>
      <c r="F113" t="s">
        <v>8</v>
      </c>
      <c r="G113">
        <v>0.96</v>
      </c>
      <c r="H113">
        <v>2017</v>
      </c>
      <c r="I113">
        <v>116.23157308425252</v>
      </c>
    </row>
    <row r="114" spans="1:9" x14ac:dyDescent="0.45">
      <c r="A114" t="s">
        <v>150</v>
      </c>
      <c r="C114" t="s">
        <v>151</v>
      </c>
      <c r="D114">
        <v>37.115560000000002</v>
      </c>
      <c r="E114">
        <v>122.50917</v>
      </c>
      <c r="F114" t="s">
        <v>8</v>
      </c>
      <c r="G114">
        <v>0.95</v>
      </c>
      <c r="H114">
        <v>2017</v>
      </c>
      <c r="I114">
        <v>107.31149368578636</v>
      </c>
    </row>
    <row r="115" spans="1:9" x14ac:dyDescent="0.45">
      <c r="A115" t="s">
        <v>150</v>
      </c>
      <c r="C115" t="s">
        <v>151</v>
      </c>
      <c r="D115">
        <v>37.115560000000002</v>
      </c>
      <c r="E115">
        <v>122.57056</v>
      </c>
      <c r="F115" t="s">
        <v>8</v>
      </c>
      <c r="G115">
        <v>0.81</v>
      </c>
      <c r="H115">
        <v>2017</v>
      </c>
      <c r="I115">
        <v>101.57609401815508</v>
      </c>
    </row>
    <row r="116" spans="1:9" x14ac:dyDescent="0.45">
      <c r="A116" t="s">
        <v>150</v>
      </c>
      <c r="C116" t="s">
        <v>151</v>
      </c>
      <c r="D116">
        <v>37.115560000000002</v>
      </c>
      <c r="E116">
        <v>122.59721999999999</v>
      </c>
      <c r="F116" t="s">
        <v>8</v>
      </c>
      <c r="G116">
        <v>0.9</v>
      </c>
      <c r="H116">
        <v>2017</v>
      </c>
      <c r="I116">
        <v>84.501965636141193</v>
      </c>
    </row>
    <row r="117" spans="1:9" x14ac:dyDescent="0.45">
      <c r="A117" t="s">
        <v>150</v>
      </c>
      <c r="C117" t="s">
        <v>151</v>
      </c>
      <c r="D117">
        <v>37.115560000000002</v>
      </c>
      <c r="E117">
        <v>122.66889</v>
      </c>
      <c r="F117" t="s">
        <v>8</v>
      </c>
      <c r="G117">
        <v>0.83</v>
      </c>
      <c r="H117">
        <v>2017</v>
      </c>
      <c r="I117">
        <v>115.48594411711908</v>
      </c>
    </row>
    <row r="118" spans="1:9" x14ac:dyDescent="0.45">
      <c r="A118" t="s">
        <v>150</v>
      </c>
      <c r="C118" t="s">
        <v>151</v>
      </c>
      <c r="D118">
        <v>37.069389999999999</v>
      </c>
      <c r="E118">
        <v>122.48</v>
      </c>
      <c r="F118" t="s">
        <v>8</v>
      </c>
      <c r="G118">
        <v>0.69</v>
      </c>
      <c r="H118">
        <v>2017</v>
      </c>
      <c r="I118">
        <v>121.41766798659764</v>
      </c>
    </row>
    <row r="119" spans="1:9" x14ac:dyDescent="0.45">
      <c r="A119" t="s">
        <v>150</v>
      </c>
      <c r="C119" t="s">
        <v>151</v>
      </c>
      <c r="D119">
        <v>37.069389999999999</v>
      </c>
      <c r="E119">
        <v>122.50833</v>
      </c>
      <c r="F119" t="s">
        <v>8</v>
      </c>
      <c r="G119">
        <v>0.97</v>
      </c>
      <c r="H119">
        <v>2017</v>
      </c>
      <c r="I119">
        <v>80.243403140068366</v>
      </c>
    </row>
    <row r="120" spans="1:9" x14ac:dyDescent="0.45">
      <c r="A120" t="s">
        <v>150</v>
      </c>
      <c r="C120" t="s">
        <v>151</v>
      </c>
      <c r="D120">
        <v>37.069389999999999</v>
      </c>
      <c r="E120">
        <v>122.57111</v>
      </c>
      <c r="F120" t="s">
        <v>8</v>
      </c>
      <c r="G120">
        <v>0.95</v>
      </c>
      <c r="H120">
        <v>2017</v>
      </c>
      <c r="I120">
        <v>111.75294004985007</v>
      </c>
    </row>
    <row r="121" spans="1:9" x14ac:dyDescent="0.45">
      <c r="A121" t="s">
        <v>150</v>
      </c>
      <c r="C121" t="s">
        <v>151</v>
      </c>
      <c r="D121">
        <v>37.069389999999999</v>
      </c>
      <c r="E121">
        <v>122.59889</v>
      </c>
      <c r="F121" t="s">
        <v>8</v>
      </c>
      <c r="G121">
        <v>0.86</v>
      </c>
      <c r="H121">
        <v>2017</v>
      </c>
      <c r="I121">
        <v>149.65845526613322</v>
      </c>
    </row>
    <row r="122" spans="1:9" x14ac:dyDescent="0.45">
      <c r="A122" t="s">
        <v>150</v>
      </c>
      <c r="C122" t="s">
        <v>151</v>
      </c>
      <c r="D122">
        <v>37.069389999999999</v>
      </c>
      <c r="E122">
        <v>122.66889</v>
      </c>
      <c r="F122" t="s">
        <v>8</v>
      </c>
      <c r="G122">
        <v>0.91</v>
      </c>
      <c r="H122">
        <v>2017</v>
      </c>
      <c r="I122">
        <v>83.264275887242633</v>
      </c>
    </row>
    <row r="123" spans="1:9" x14ac:dyDescent="0.45">
      <c r="A123" t="s">
        <v>150</v>
      </c>
      <c r="C123" t="s">
        <v>151</v>
      </c>
      <c r="D123">
        <v>37.040559999999999</v>
      </c>
      <c r="E123">
        <v>122.48</v>
      </c>
      <c r="F123" t="s">
        <v>8</v>
      </c>
      <c r="G123">
        <v>0.84</v>
      </c>
      <c r="H123">
        <v>2017</v>
      </c>
      <c r="I123">
        <v>60.371525354445851</v>
      </c>
    </row>
    <row r="124" spans="1:9" x14ac:dyDescent="0.45">
      <c r="A124" t="s">
        <v>150</v>
      </c>
      <c r="C124" t="s">
        <v>151</v>
      </c>
      <c r="D124">
        <v>37.040559999999999</v>
      </c>
      <c r="E124">
        <v>122.50722</v>
      </c>
      <c r="F124" t="s">
        <v>8</v>
      </c>
      <c r="G124">
        <v>0.94</v>
      </c>
      <c r="H124">
        <v>2017</v>
      </c>
      <c r="I124">
        <v>159.51850468287941</v>
      </c>
    </row>
    <row r="125" spans="1:9" x14ac:dyDescent="0.45">
      <c r="A125" t="s">
        <v>185</v>
      </c>
      <c r="C125" t="s">
        <v>184</v>
      </c>
      <c r="D125">
        <v>35.138997000000003</v>
      </c>
      <c r="E125">
        <v>119.91445</v>
      </c>
      <c r="F125" t="s">
        <v>8</v>
      </c>
      <c r="G125" t="s">
        <v>186</v>
      </c>
      <c r="H125">
        <v>2018</v>
      </c>
      <c r="I125">
        <v>2.836063650044403</v>
      </c>
    </row>
    <row r="126" spans="1:9" x14ac:dyDescent="0.45">
      <c r="A126" t="s">
        <v>185</v>
      </c>
      <c r="C126" t="s">
        <v>184</v>
      </c>
      <c r="D126">
        <v>39.178718000000003</v>
      </c>
      <c r="E126">
        <v>118.988893</v>
      </c>
      <c r="F126" t="s">
        <v>8</v>
      </c>
      <c r="G126" t="s">
        <v>186</v>
      </c>
      <c r="H126">
        <v>2018</v>
      </c>
      <c r="I126">
        <v>1.6317078534502025</v>
      </c>
    </row>
    <row r="127" spans="1:9" x14ac:dyDescent="0.45">
      <c r="A127" t="s">
        <v>199</v>
      </c>
      <c r="C127" t="s">
        <v>198</v>
      </c>
      <c r="D127">
        <v>22.32</v>
      </c>
      <c r="E127">
        <v>114.35</v>
      </c>
      <c r="F127" t="s">
        <v>8</v>
      </c>
      <c r="G127" t="s">
        <v>193</v>
      </c>
      <c r="H127">
        <v>2015</v>
      </c>
      <c r="I127">
        <v>1.5636166033734831</v>
      </c>
    </row>
    <row r="128" spans="1:9" x14ac:dyDescent="0.45">
      <c r="A128" t="s">
        <v>199</v>
      </c>
      <c r="C128" t="s">
        <v>198</v>
      </c>
      <c r="D128">
        <v>22.36</v>
      </c>
      <c r="E128">
        <v>114.29</v>
      </c>
      <c r="F128" t="s">
        <v>8</v>
      </c>
      <c r="G128" t="s">
        <v>193</v>
      </c>
      <c r="H128">
        <v>2017</v>
      </c>
      <c r="I128">
        <v>1.7566070657545945</v>
      </c>
    </row>
    <row r="129" spans="1:9" x14ac:dyDescent="0.45">
      <c r="A129" t="s">
        <v>199</v>
      </c>
      <c r="C129" t="s">
        <v>198</v>
      </c>
      <c r="D129">
        <v>22.5</v>
      </c>
      <c r="E129">
        <v>114.36</v>
      </c>
      <c r="F129" t="s">
        <v>8</v>
      </c>
      <c r="G129" t="s">
        <v>193</v>
      </c>
      <c r="H129">
        <v>2017</v>
      </c>
      <c r="I129">
        <v>1.352508669013738</v>
      </c>
    </row>
    <row r="130" spans="1:9" x14ac:dyDescent="0.45">
      <c r="A130" t="s">
        <v>199</v>
      </c>
      <c r="C130" t="s">
        <v>198</v>
      </c>
      <c r="D130">
        <v>22.52</v>
      </c>
      <c r="E130">
        <v>114.31</v>
      </c>
      <c r="F130" t="s">
        <v>8</v>
      </c>
      <c r="G130" t="s">
        <v>193</v>
      </c>
      <c r="H130">
        <v>2017</v>
      </c>
      <c r="I130">
        <v>1.4572749200206268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MPsizeBase+parameters</vt:lpstr>
      <vt:lpstr>One study one line </vt:lpstr>
      <vt:lpstr>Mean slope extrapolates</vt:lpstr>
      <vt:lpstr>All put together for analysis</vt:lpstr>
      <vt:lpstr>Focus on 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 Dobiášová</dc:creator>
  <cp:lastModifiedBy>Nela Dobiášová</cp:lastModifiedBy>
  <dcterms:created xsi:type="dcterms:W3CDTF">2026-04-10T14:52:30Z</dcterms:created>
  <dcterms:modified xsi:type="dcterms:W3CDTF">2026-06-04T14:49:42Z</dcterms:modified>
</cp:coreProperties>
</file>